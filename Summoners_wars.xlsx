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5.xml" ContentType="application/vnd.openxmlformats-officedocument.spreadsheetml.pivot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3.xml" ContentType="application/vnd.openxmlformats-officedocument.spreadsheetml.pivot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pivotTables/pivotTable4.xml" ContentType="application/vnd.openxmlformats-officedocument.spreadsheetml.pivot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2.xml" ContentType="application/vnd.openxmlformats-officedocument.spreadsheetml.pivotCacheDefinitio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Cache/pivotCacheRecords1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17.xml" ContentType="application/vnd.openxmlformats-officedocument.spreadsheetml.table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240" yWindow="90" windowWidth="1554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Runes for DPS" sheetId="6" r:id="rId6"/>
    <sheet name="Runes DB" sheetId="8" r:id="rId7"/>
    <sheet name="TP_Mon.Runes" sheetId="12" r:id="rId8"/>
    <sheet name="Summary" sheetId="2" r:id="rId9"/>
    <sheet name="Runes Mon.build" sheetId="7" r:id="rId10"/>
    <sheet name="Runes stats" sheetId="11" r:id="rId11"/>
  </sheets>
  <calcPr calcId="125725"/>
  <pivotCaches>
    <pivotCache cacheId="0" r:id="rId12"/>
    <pivotCache cacheId="1" r:id="rId13"/>
  </pivotCaches>
</workbook>
</file>

<file path=xl/calcChain.xml><?xml version="1.0" encoding="utf-8"?>
<calcChain xmlns="http://schemas.openxmlformats.org/spreadsheetml/2006/main">
  <c r="M3" i="1"/>
  <c r="H3" i="6" l="1"/>
  <c r="H4"/>
  <c r="L21" i="11"/>
  <c r="L20"/>
  <c r="L19"/>
  <c r="L15"/>
  <c r="L14"/>
  <c r="L10"/>
  <c r="L9"/>
  <c r="L6"/>
  <c r="L5"/>
  <c r="L4"/>
  <c r="K15"/>
  <c r="K14"/>
  <c r="K10"/>
  <c r="K9"/>
  <c r="K6"/>
  <c r="K5"/>
  <c r="K4"/>
  <c r="J16"/>
  <c r="J15"/>
  <c r="J14"/>
  <c r="J11"/>
  <c r="J10"/>
  <c r="J9"/>
  <c r="J6"/>
  <c r="J5"/>
  <c r="J4"/>
  <c r="I11"/>
  <c r="H11"/>
  <c r="G11"/>
  <c r="F11"/>
  <c r="C11"/>
  <c r="I16"/>
  <c r="H16"/>
  <c r="G16"/>
  <c r="F16"/>
  <c r="E16"/>
  <c r="D16"/>
  <c r="C16"/>
  <c r="I21"/>
  <c r="H21"/>
  <c r="G21"/>
  <c r="F21"/>
  <c r="E21"/>
  <c r="D21"/>
  <c r="C21"/>
  <c r="H20"/>
  <c r="H19"/>
  <c r="H15"/>
  <c r="H14"/>
  <c r="H10"/>
  <c r="H9"/>
  <c r="H6"/>
  <c r="H5"/>
  <c r="H4"/>
  <c r="I20"/>
  <c r="I19"/>
  <c r="I15"/>
  <c r="I14"/>
  <c r="I10"/>
  <c r="I9"/>
  <c r="I6"/>
  <c r="I5"/>
  <c r="I4"/>
  <c r="G20"/>
  <c r="G19"/>
  <c r="G15"/>
  <c r="G14"/>
  <c r="G10"/>
  <c r="G9"/>
  <c r="G6"/>
  <c r="G5"/>
  <c r="G4"/>
  <c r="E15"/>
  <c r="D15"/>
  <c r="C15"/>
  <c r="E14"/>
  <c r="D14"/>
  <c r="C14"/>
  <c r="E20"/>
  <c r="E19"/>
  <c r="D20"/>
  <c r="D19"/>
  <c r="C20"/>
  <c r="C19"/>
  <c r="F20"/>
  <c r="F19"/>
  <c r="F15"/>
  <c r="F14"/>
  <c r="E10"/>
  <c r="D10"/>
  <c r="C10"/>
  <c r="E9"/>
  <c r="D9"/>
  <c r="C9"/>
  <c r="F10"/>
  <c r="F9"/>
  <c r="E6"/>
  <c r="C6"/>
  <c r="E5"/>
  <c r="D5"/>
  <c r="C5"/>
  <c r="E4"/>
  <c r="D4"/>
  <c r="C4"/>
  <c r="F6"/>
  <c r="F5"/>
  <c r="F4"/>
  <c r="M28" i="1" l="1"/>
  <c r="M29" l="1"/>
  <c r="O28"/>
  <c r="R35" i="2" l="1"/>
  <c r="G38"/>
  <c r="G36"/>
  <c r="F37"/>
  <c r="K14"/>
  <c r="K7"/>
  <c r="J7"/>
  <c r="I8"/>
  <c r="I9" s="1"/>
  <c r="I10" s="1"/>
  <c r="I11" s="1"/>
  <c r="I12" s="1"/>
  <c r="I13" s="1"/>
  <c r="I14" s="1"/>
  <c r="I15" s="1"/>
  <c r="I16" s="1"/>
  <c r="I17" s="1"/>
  <c r="I18" s="1"/>
  <c r="I19" s="1"/>
  <c r="I20" s="1"/>
  <c r="I21" s="1"/>
  <c r="I22" s="1"/>
  <c r="I23" s="1"/>
  <c r="I24" s="1"/>
  <c r="I25" s="1"/>
  <c r="I26" s="1"/>
  <c r="I27" s="1"/>
  <c r="I28" s="1"/>
  <c r="I29" s="1"/>
  <c r="I30" s="1"/>
  <c r="I31" s="1"/>
  <c r="I32" s="1"/>
  <c r="I33" s="1"/>
  <c r="I34" s="1"/>
  <c r="I35" s="1"/>
  <c r="J35" s="1"/>
  <c r="R37"/>
  <c r="Q3" i="4"/>
  <c r="J3"/>
  <c r="E3"/>
  <c r="L3" s="1"/>
  <c r="K3" l="1"/>
  <c r="K16" i="2"/>
  <c r="K8"/>
  <c r="K12"/>
  <c r="K24"/>
  <c r="K32"/>
  <c r="K22"/>
  <c r="K30"/>
  <c r="K20"/>
  <c r="K28"/>
  <c r="K10"/>
  <c r="K18"/>
  <c r="K26"/>
  <c r="K34"/>
  <c r="J9"/>
  <c r="J11"/>
  <c r="J13"/>
  <c r="J15"/>
  <c r="J17"/>
  <c r="J19"/>
  <c r="J21"/>
  <c r="J23"/>
  <c r="J25"/>
  <c r="J27"/>
  <c r="J29"/>
  <c r="J31"/>
  <c r="J33"/>
  <c r="I36"/>
  <c r="J8"/>
  <c r="J10"/>
  <c r="J12"/>
  <c r="J14"/>
  <c r="J16"/>
  <c r="J18"/>
  <c r="J20"/>
  <c r="J22"/>
  <c r="J24"/>
  <c r="J26"/>
  <c r="J28"/>
  <c r="J30"/>
  <c r="J32"/>
  <c r="J34"/>
  <c r="K9"/>
  <c r="K11"/>
  <c r="K13"/>
  <c r="K15"/>
  <c r="K17"/>
  <c r="K19"/>
  <c r="K21"/>
  <c r="K23"/>
  <c r="K25"/>
  <c r="K27"/>
  <c r="K29"/>
  <c r="K31"/>
  <c r="K33"/>
  <c r="K35"/>
  <c r="O3" i="4"/>
  <c r="R3" s="1"/>
  <c r="I37" i="2" l="1"/>
  <c r="J36"/>
  <c r="K36"/>
  <c r="J5" i="6"/>
  <c r="H5"/>
  <c r="P2"/>
  <c r="AN4"/>
  <c r="AM4"/>
  <c r="AL4"/>
  <c r="AN3"/>
  <c r="AM3"/>
  <c r="AL3"/>
  <c r="AN2"/>
  <c r="AM2"/>
  <c r="AL2"/>
  <c r="Q6" i="5"/>
  <c r="Q13" i="4"/>
  <c r="L13"/>
  <c r="K13"/>
  <c r="J13"/>
  <c r="W6" i="5"/>
  <c r="T6"/>
  <c r="U6"/>
  <c r="S6"/>
  <c r="V6"/>
  <c r="R6"/>
  <c r="R4" i="6" l="1"/>
  <c r="R3"/>
  <c r="I38" i="2"/>
  <c r="J37"/>
  <c r="K37"/>
  <c r="R2" i="6"/>
  <c r="O13" i="4"/>
  <c r="R13" s="1"/>
  <c r="Q20"/>
  <c r="L20"/>
  <c r="K20"/>
  <c r="J20"/>
  <c r="K28"/>
  <c r="K27"/>
  <c r="K25"/>
  <c r="K24"/>
  <c r="K22"/>
  <c r="S3" i="3"/>
  <c r="S4" s="1"/>
  <c r="S5" s="1"/>
  <c r="L2"/>
  <c r="L3"/>
  <c r="L4"/>
  <c r="L5"/>
  <c r="L6"/>
  <c r="L7"/>
  <c r="L8"/>
  <c r="L9"/>
  <c r="L10"/>
  <c r="L11"/>
  <c r="L12"/>
  <c r="L13"/>
  <c r="L14"/>
  <c r="L15"/>
  <c r="L16"/>
  <c r="L17"/>
  <c r="L18"/>
  <c r="L19"/>
  <c r="L20"/>
  <c r="L21"/>
  <c r="L22"/>
  <c r="L23"/>
  <c r="L24"/>
  <c r="L25"/>
  <c r="L26"/>
  <c r="L27"/>
  <c r="L28"/>
  <c r="L29"/>
  <c r="L30"/>
  <c r="L31"/>
  <c r="L32"/>
  <c r="L33"/>
  <c r="L34"/>
  <c r="L35"/>
  <c r="L36"/>
  <c r="L37"/>
  <c r="L38"/>
  <c r="L39"/>
  <c r="L40"/>
  <c r="L41"/>
  <c r="L42"/>
  <c r="L43"/>
  <c r="L44"/>
  <c r="L45"/>
  <c r="L46"/>
  <c r="L47"/>
  <c r="L48"/>
  <c r="L49"/>
  <c r="L50"/>
  <c r="L51"/>
  <c r="L52"/>
  <c r="L53"/>
  <c r="L54"/>
  <c r="L55"/>
  <c r="L56"/>
  <c r="L57"/>
  <c r="L58"/>
  <c r="M18" i="4" s="1"/>
  <c r="L59" i="3"/>
  <c r="L60"/>
  <c r="L61"/>
  <c r="L62"/>
  <c r="L63"/>
  <c r="L64"/>
  <c r="L65"/>
  <c r="L66"/>
  <c r="L67"/>
  <c r="L68"/>
  <c r="L69"/>
  <c r="L70"/>
  <c r="L71"/>
  <c r="L72"/>
  <c r="L73"/>
  <c r="L74"/>
  <c r="L75"/>
  <c r="L76"/>
  <c r="L77"/>
  <c r="L78"/>
  <c r="L79"/>
  <c r="L80"/>
  <c r="L81"/>
  <c r="L82"/>
  <c r="L83"/>
  <c r="L84"/>
  <c r="L85"/>
  <c r="L86"/>
  <c r="L87"/>
  <c r="L88"/>
  <c r="L89"/>
  <c r="L90"/>
  <c r="L91"/>
  <c r="L92"/>
  <c r="L93"/>
  <c r="L94"/>
  <c r="L95"/>
  <c r="L96"/>
  <c r="L97"/>
  <c r="L98"/>
  <c r="L99"/>
  <c r="L100"/>
  <c r="L101"/>
  <c r="L102"/>
  <c r="L103"/>
  <c r="L104"/>
  <c r="L105"/>
  <c r="L106"/>
  <c r="L107"/>
  <c r="L108"/>
  <c r="L109"/>
  <c r="L110"/>
  <c r="L111"/>
  <c r="L112"/>
  <c r="L113"/>
  <c r="L114"/>
  <c r="L115"/>
  <c r="L116"/>
  <c r="L117"/>
  <c r="L118"/>
  <c r="L119"/>
  <c r="L120"/>
  <c r="L121"/>
  <c r="L122"/>
  <c r="L123"/>
  <c r="L124"/>
  <c r="L125"/>
  <c r="L126"/>
  <c r="L127"/>
  <c r="L128"/>
  <c r="L129"/>
  <c r="L130"/>
  <c r="L131"/>
  <c r="L132"/>
  <c r="L133"/>
  <c r="L134"/>
  <c r="L135"/>
  <c r="L136"/>
  <c r="L137"/>
  <c r="L138"/>
  <c r="L139"/>
  <c r="L140"/>
  <c r="L141"/>
  <c r="L142"/>
  <c r="L143"/>
  <c r="L144"/>
  <c r="L145"/>
  <c r="L146"/>
  <c r="L147"/>
  <c r="L148"/>
  <c r="L149"/>
  <c r="L150"/>
  <c r="L151"/>
  <c r="L152"/>
  <c r="L153"/>
  <c r="L154"/>
  <c r="L155"/>
  <c r="L156"/>
  <c r="L157"/>
  <c r="L158"/>
  <c r="L159"/>
  <c r="L160"/>
  <c r="L161"/>
  <c r="L162"/>
  <c r="L163"/>
  <c r="L164"/>
  <c r="L165"/>
  <c r="L166"/>
  <c r="L167"/>
  <c r="L168"/>
  <c r="L169"/>
  <c r="L170"/>
  <c r="L171"/>
  <c r="L172"/>
  <c r="L173"/>
  <c r="L174"/>
  <c r="L175"/>
  <c r="L176"/>
  <c r="L177"/>
  <c r="L178"/>
  <c r="M21" i="4" s="1"/>
  <c r="L179" i="3"/>
  <c r="L180"/>
  <c r="L181"/>
  <c r="L182"/>
  <c r="L183"/>
  <c r="L184"/>
  <c r="L185"/>
  <c r="L186"/>
  <c r="L187"/>
  <c r="L188"/>
  <c r="L189"/>
  <c r="M6" i="4" s="1"/>
  <c r="L190" i="3"/>
  <c r="L191"/>
  <c r="L192"/>
  <c r="L193"/>
  <c r="L194"/>
  <c r="L195"/>
  <c r="L196"/>
  <c r="L197"/>
  <c r="L198"/>
  <c r="L199"/>
  <c r="L200"/>
  <c r="L201"/>
  <c r="L202"/>
  <c r="L203"/>
  <c r="L204"/>
  <c r="L205"/>
  <c r="L206"/>
  <c r="L207"/>
  <c r="L208"/>
  <c r="L209"/>
  <c r="L210"/>
  <c r="L211"/>
  <c r="L212"/>
  <c r="L213"/>
  <c r="L214"/>
  <c r="L215"/>
  <c r="L216"/>
  <c r="L217"/>
  <c r="L218"/>
  <c r="L219"/>
  <c r="L220"/>
  <c r="L221"/>
  <c r="L222"/>
  <c r="L223"/>
  <c r="L224"/>
  <c r="L225"/>
  <c r="L226"/>
  <c r="L227"/>
  <c r="L228"/>
  <c r="L229"/>
  <c r="L230"/>
  <c r="L231"/>
  <c r="L232"/>
  <c r="L233"/>
  <c r="L234"/>
  <c r="L235"/>
  <c r="L236"/>
  <c r="L237"/>
  <c r="L238"/>
  <c r="L239"/>
  <c r="L240"/>
  <c r="L241"/>
  <c r="L242"/>
  <c r="L243"/>
  <c r="L244"/>
  <c r="L245"/>
  <c r="L246"/>
  <c r="L247"/>
  <c r="L248"/>
  <c r="L249"/>
  <c r="L250"/>
  <c r="L251"/>
  <c r="L252"/>
  <c r="L253"/>
  <c r="L254"/>
  <c r="L255"/>
  <c r="L256"/>
  <c r="L257"/>
  <c r="L258"/>
  <c r="L259"/>
  <c r="L260"/>
  <c r="L261"/>
  <c r="L262"/>
  <c r="L263"/>
  <c r="L264"/>
  <c r="L265"/>
  <c r="L266"/>
  <c r="L267"/>
  <c r="L268"/>
  <c r="L269"/>
  <c r="L270"/>
  <c r="L271"/>
  <c r="L272"/>
  <c r="L273"/>
  <c r="L274"/>
  <c r="L275"/>
  <c r="L276"/>
  <c r="L277"/>
  <c r="L278"/>
  <c r="L279"/>
  <c r="L280"/>
  <c r="L281"/>
  <c r="L282"/>
  <c r="L283"/>
  <c r="L284"/>
  <c r="L285"/>
  <c r="L286"/>
  <c r="L287"/>
  <c r="L288"/>
  <c r="L289"/>
  <c r="L290"/>
  <c r="L291"/>
  <c r="L292"/>
  <c r="L293"/>
  <c r="L294"/>
  <c r="L296"/>
  <c r="L297"/>
  <c r="L298"/>
  <c r="L299"/>
  <c r="L300"/>
  <c r="L301"/>
  <c r="L302"/>
  <c r="L303"/>
  <c r="L304"/>
  <c r="L305"/>
  <c r="L306"/>
  <c r="L307"/>
  <c r="L308"/>
  <c r="L309"/>
  <c r="L310"/>
  <c r="L311"/>
  <c r="L312"/>
  <c r="L313"/>
  <c r="L314"/>
  <c r="L315"/>
  <c r="L316"/>
  <c r="L317"/>
  <c r="L318"/>
  <c r="L319"/>
  <c r="L320"/>
  <c r="L321"/>
  <c r="L322"/>
  <c r="L323"/>
  <c r="L324"/>
  <c r="L325"/>
  <c r="L326"/>
  <c r="L327"/>
  <c r="L328"/>
  <c r="L329"/>
  <c r="L330"/>
  <c r="L331"/>
  <c r="L332"/>
  <c r="L333"/>
  <c r="L334"/>
  <c r="L335"/>
  <c r="L336"/>
  <c r="L337"/>
  <c r="L338"/>
  <c r="L339"/>
  <c r="L340"/>
  <c r="L341"/>
  <c r="L342"/>
  <c r="L343"/>
  <c r="L344"/>
  <c r="L345"/>
  <c r="L346"/>
  <c r="L347"/>
  <c r="L348"/>
  <c r="L349"/>
  <c r="L350"/>
  <c r="L351"/>
  <c r="L352"/>
  <c r="L353"/>
  <c r="L354"/>
  <c r="L355"/>
  <c r="L356"/>
  <c r="L357"/>
  <c r="L358"/>
  <c r="L359"/>
  <c r="L360"/>
  <c r="L361"/>
  <c r="L362"/>
  <c r="L363"/>
  <c r="L364"/>
  <c r="L365"/>
  <c r="L366"/>
  <c r="L367"/>
  <c r="L368"/>
  <c r="L369"/>
  <c r="L370"/>
  <c r="L371"/>
  <c r="L372"/>
  <c r="L373"/>
  <c r="L374"/>
  <c r="L375"/>
  <c r="L376"/>
  <c r="L377"/>
  <c r="L378"/>
  <c r="L379"/>
  <c r="L380"/>
  <c r="L381"/>
  <c r="L382"/>
  <c r="L383"/>
  <c r="L384"/>
  <c r="L385"/>
  <c r="L386"/>
  <c r="L387"/>
  <c r="L388"/>
  <c r="L389"/>
  <c r="L390"/>
  <c r="L391"/>
  <c r="L392"/>
  <c r="L393"/>
  <c r="L394"/>
  <c r="L395"/>
  <c r="L396"/>
  <c r="L397"/>
  <c r="L398"/>
  <c r="L399"/>
  <c r="L400"/>
  <c r="L401"/>
  <c r="L402"/>
  <c r="L403"/>
  <c r="L404"/>
  <c r="L405"/>
  <c r="L406"/>
  <c r="L407"/>
  <c r="L408"/>
  <c r="L409"/>
  <c r="L410"/>
  <c r="L411"/>
  <c r="L412"/>
  <c r="L413"/>
  <c r="L414"/>
  <c r="L415"/>
  <c r="L416"/>
  <c r="L417"/>
  <c r="L418"/>
  <c r="L419"/>
  <c r="L420"/>
  <c r="L421"/>
  <c r="L422"/>
  <c r="L423"/>
  <c r="L424"/>
  <c r="L425"/>
  <c r="L426"/>
  <c r="L427"/>
  <c r="L428"/>
  <c r="L429"/>
  <c r="L430"/>
  <c r="L431"/>
  <c r="L432"/>
  <c r="L433"/>
  <c r="L434"/>
  <c r="L435"/>
  <c r="L436"/>
  <c r="L437"/>
  <c r="L438"/>
  <c r="L439"/>
  <c r="L440"/>
  <c r="L441"/>
  <c r="L442"/>
  <c r="L443"/>
  <c r="L444"/>
  <c r="L445"/>
  <c r="L446"/>
  <c r="L447"/>
  <c r="L448"/>
  <c r="L449"/>
  <c r="L450"/>
  <c r="L451"/>
  <c r="L452"/>
  <c r="L453"/>
  <c r="L454"/>
  <c r="L455"/>
  <c r="L456"/>
  <c r="L457"/>
  <c r="L458"/>
  <c r="L459"/>
  <c r="L460"/>
  <c r="L461"/>
  <c r="L462"/>
  <c r="L463"/>
  <c r="L464"/>
  <c r="L465"/>
  <c r="L466"/>
  <c r="L467"/>
  <c r="L468"/>
  <c r="L469"/>
  <c r="L470"/>
  <c r="L471"/>
  <c r="L472"/>
  <c r="L473"/>
  <c r="L474"/>
  <c r="L475"/>
  <c r="L476"/>
  <c r="L477"/>
  <c r="L478"/>
  <c r="L479"/>
  <c r="L480"/>
  <c r="L481"/>
  <c r="L482"/>
  <c r="L483"/>
  <c r="L484"/>
  <c r="L485"/>
  <c r="L486"/>
  <c r="L487"/>
  <c r="L488"/>
  <c r="L489"/>
  <c r="L490"/>
  <c r="L491"/>
  <c r="L492"/>
  <c r="L493"/>
  <c r="L494"/>
  <c r="L495"/>
  <c r="L496"/>
  <c r="L497"/>
  <c r="L498"/>
  <c r="L499"/>
  <c r="L500"/>
  <c r="L501"/>
  <c r="L502"/>
  <c r="L503"/>
  <c r="L504"/>
  <c r="L505"/>
  <c r="L506"/>
  <c r="L507"/>
  <c r="L508"/>
  <c r="L509"/>
  <c r="L510"/>
  <c r="L511"/>
  <c r="L512"/>
  <c r="L513"/>
  <c r="L514"/>
  <c r="L515"/>
  <c r="L516"/>
  <c r="L517"/>
  <c r="L518"/>
  <c r="L519"/>
  <c r="L520"/>
  <c r="L521"/>
  <c r="L522"/>
  <c r="L523"/>
  <c r="L524"/>
  <c r="L525"/>
  <c r="L526"/>
  <c r="L527"/>
  <c r="L528"/>
  <c r="L529"/>
  <c r="L530"/>
  <c r="L531"/>
  <c r="L532"/>
  <c r="L533"/>
  <c r="L534"/>
  <c r="L535"/>
  <c r="L536"/>
  <c r="L537"/>
  <c r="L538"/>
  <c r="L540"/>
  <c r="L541"/>
  <c r="L542"/>
  <c r="L543"/>
  <c r="L544"/>
  <c r="L545"/>
  <c r="L546"/>
  <c r="L547"/>
  <c r="L548"/>
  <c r="L549"/>
  <c r="L550"/>
  <c r="L551"/>
  <c r="L552"/>
  <c r="L553"/>
  <c r="L554"/>
  <c r="L555"/>
  <c r="L556"/>
  <c r="L557"/>
  <c r="L558"/>
  <c r="L559"/>
  <c r="L560"/>
  <c r="L561"/>
  <c r="L562"/>
  <c r="L563"/>
  <c r="L564"/>
  <c r="L565"/>
  <c r="L566"/>
  <c r="L567"/>
  <c r="L568"/>
  <c r="L569"/>
  <c r="L570"/>
  <c r="L571"/>
  <c r="L572"/>
  <c r="L573"/>
  <c r="L574"/>
  <c r="L575"/>
  <c r="L576"/>
  <c r="L577"/>
  <c r="L578"/>
  <c r="L579"/>
  <c r="L580"/>
  <c r="L581"/>
  <c r="L582"/>
  <c r="L583"/>
  <c r="L584"/>
  <c r="L585"/>
  <c r="L586"/>
  <c r="L587"/>
  <c r="L588"/>
  <c r="L589"/>
  <c r="L590"/>
  <c r="L591"/>
  <c r="L592"/>
  <c r="L593"/>
  <c r="L594"/>
  <c r="L595"/>
  <c r="L596"/>
  <c r="L597"/>
  <c r="L598"/>
  <c r="L599"/>
  <c r="L600"/>
  <c r="L601"/>
  <c r="L602"/>
  <c r="L603"/>
  <c r="L604"/>
  <c r="L605"/>
  <c r="L606"/>
  <c r="L607"/>
  <c r="L608"/>
  <c r="L609"/>
  <c r="L610"/>
  <c r="L611"/>
  <c r="L612"/>
  <c r="L613"/>
  <c r="L614"/>
  <c r="L615"/>
  <c r="L616"/>
  <c r="L617"/>
  <c r="L618"/>
  <c r="L619"/>
  <c r="L620"/>
  <c r="L621"/>
  <c r="L622"/>
  <c r="L623"/>
  <c r="L624"/>
  <c r="L625"/>
  <c r="L626"/>
  <c r="L627"/>
  <c r="L628"/>
  <c r="L629"/>
  <c r="L630"/>
  <c r="L631"/>
  <c r="L632"/>
  <c r="L633"/>
  <c r="L634"/>
  <c r="L635"/>
  <c r="L636"/>
  <c r="L637"/>
  <c r="L638"/>
  <c r="L639"/>
  <c r="L640"/>
  <c r="L641"/>
  <c r="L642"/>
  <c r="L643"/>
  <c r="L644"/>
  <c r="L645"/>
  <c r="L646"/>
  <c r="L647"/>
  <c r="L648"/>
  <c r="L649"/>
  <c r="L650"/>
  <c r="L651"/>
  <c r="L652"/>
  <c r="L653"/>
  <c r="L654"/>
  <c r="L655"/>
  <c r="L656"/>
  <c r="L657"/>
  <c r="L658"/>
  <c r="L659"/>
  <c r="L660"/>
  <c r="L661"/>
  <c r="L662"/>
  <c r="L663"/>
  <c r="L664"/>
  <c r="L665"/>
  <c r="L666"/>
  <c r="L667"/>
  <c r="L668"/>
  <c r="L669"/>
  <c r="L670"/>
  <c r="L671"/>
  <c r="L672"/>
  <c r="L673"/>
  <c r="L674"/>
  <c r="L675"/>
  <c r="L676"/>
  <c r="L677"/>
  <c r="L678"/>
  <c r="L679"/>
  <c r="L680"/>
  <c r="L681"/>
  <c r="L682"/>
  <c r="L683"/>
  <c r="L684"/>
  <c r="L685"/>
  <c r="L686"/>
  <c r="L687"/>
  <c r="L688"/>
  <c r="L689"/>
  <c r="L690"/>
  <c r="L691"/>
  <c r="L692"/>
  <c r="L693"/>
  <c r="L694"/>
  <c r="L695"/>
  <c r="L696"/>
  <c r="L697"/>
  <c r="L698"/>
  <c r="L699"/>
  <c r="L700"/>
  <c r="L701"/>
  <c r="L702"/>
  <c r="L703"/>
  <c r="L704"/>
  <c r="L705"/>
  <c r="L706"/>
  <c r="L707"/>
  <c r="L708"/>
  <c r="L709"/>
  <c r="L710"/>
  <c r="L711"/>
  <c r="L712"/>
  <c r="L713"/>
  <c r="L714"/>
  <c r="L715"/>
  <c r="L716"/>
  <c r="L717"/>
  <c r="L718"/>
  <c r="L719"/>
  <c r="L720"/>
  <c r="L721"/>
  <c r="L722"/>
  <c r="L723"/>
  <c r="L724"/>
  <c r="L725"/>
  <c r="L726"/>
  <c r="L727"/>
  <c r="L728"/>
  <c r="L729"/>
  <c r="L730"/>
  <c r="L731"/>
  <c r="L732"/>
  <c r="L733"/>
  <c r="L734"/>
  <c r="L735"/>
  <c r="L736"/>
  <c r="L737"/>
  <c r="L738"/>
  <c r="L739"/>
  <c r="L740"/>
  <c r="L741"/>
  <c r="L742"/>
  <c r="L743"/>
  <c r="L744"/>
  <c r="L745"/>
  <c r="L746"/>
  <c r="L747"/>
  <c r="L748"/>
  <c r="L749"/>
  <c r="L750"/>
  <c r="L751"/>
  <c r="L752"/>
  <c r="L753"/>
  <c r="L754"/>
  <c r="L755"/>
  <c r="L756"/>
  <c r="L757"/>
  <c r="L758"/>
  <c r="L759"/>
  <c r="L760"/>
  <c r="L761"/>
  <c r="L762"/>
  <c r="L763"/>
  <c r="L764"/>
  <c r="L765"/>
  <c r="L766"/>
  <c r="L767"/>
  <c r="L768"/>
  <c r="L769"/>
  <c r="L770"/>
  <c r="L771"/>
  <c r="L772"/>
  <c r="L773"/>
  <c r="L774"/>
  <c r="L775"/>
  <c r="L776"/>
  <c r="L777"/>
  <c r="L778"/>
  <c r="L779"/>
  <c r="L780"/>
  <c r="L781"/>
  <c r="L782"/>
  <c r="L783"/>
  <c r="L784"/>
  <c r="L785"/>
  <c r="L786"/>
  <c r="L787"/>
  <c r="L788"/>
  <c r="L789"/>
  <c r="L790"/>
  <c r="L791"/>
  <c r="L792"/>
  <c r="L793"/>
  <c r="L794"/>
  <c r="L795"/>
  <c r="L796"/>
  <c r="L797"/>
  <c r="L798"/>
  <c r="L799"/>
  <c r="L800"/>
  <c r="L801"/>
  <c r="L802"/>
  <c r="L803"/>
  <c r="L804"/>
  <c r="L805"/>
  <c r="L806"/>
  <c r="L807"/>
  <c r="L808"/>
  <c r="L809"/>
  <c r="L810"/>
  <c r="L811"/>
  <c r="L812"/>
  <c r="L813"/>
  <c r="L814"/>
  <c r="L815"/>
  <c r="L816"/>
  <c r="L817"/>
  <c r="L818"/>
  <c r="L819"/>
  <c r="L820"/>
  <c r="L821"/>
  <c r="L822"/>
  <c r="L823"/>
  <c r="L824"/>
  <c r="L825"/>
  <c r="L826"/>
  <c r="L827"/>
  <c r="L828"/>
  <c r="L829"/>
  <c r="L830"/>
  <c r="L831"/>
  <c r="L832"/>
  <c r="L833"/>
  <c r="L834"/>
  <c r="L835"/>
  <c r="L836"/>
  <c r="L837"/>
  <c r="L838"/>
  <c r="L839"/>
  <c r="L840"/>
  <c r="L841"/>
  <c r="L842"/>
  <c r="L843"/>
  <c r="L844"/>
  <c r="L845"/>
  <c r="L846"/>
  <c r="L847"/>
  <c r="L848"/>
  <c r="L849"/>
  <c r="L850"/>
  <c r="L851"/>
  <c r="L852"/>
  <c r="L853"/>
  <c r="L854"/>
  <c r="L855"/>
  <c r="L856"/>
  <c r="L858"/>
  <c r="L859"/>
  <c r="L860"/>
  <c r="L861"/>
  <c r="L862"/>
  <c r="L863"/>
  <c r="L864"/>
  <c r="L865"/>
  <c r="L866"/>
  <c r="L867"/>
  <c r="L868"/>
  <c r="L869"/>
  <c r="L870"/>
  <c r="L871"/>
  <c r="L872"/>
  <c r="L873"/>
  <c r="L882"/>
  <c r="L883"/>
  <c r="L884"/>
  <c r="L885"/>
  <c r="L886"/>
  <c r="L887"/>
  <c r="L888"/>
  <c r="L889"/>
  <c r="L890"/>
  <c r="L891"/>
  <c r="L893"/>
  <c r="L894"/>
  <c r="L895"/>
  <c r="L896"/>
  <c r="L897"/>
  <c r="L898"/>
  <c r="L899"/>
  <c r="L900"/>
  <c r="L901"/>
  <c r="L902"/>
  <c r="L903"/>
  <c r="L904"/>
  <c r="L905"/>
  <c r="L906"/>
  <c r="L907"/>
  <c r="L909"/>
  <c r="L910"/>
  <c r="L911"/>
  <c r="L913"/>
  <c r="L914"/>
  <c r="L915"/>
  <c r="L917"/>
  <c r="L918"/>
  <c r="L919"/>
  <c r="L920"/>
  <c r="L921"/>
  <c r="L922"/>
  <c r="L923"/>
  <c r="L924"/>
  <c r="L925"/>
  <c r="L926"/>
  <c r="L927"/>
  <c r="L928"/>
  <c r="L929"/>
  <c r="L930"/>
  <c r="L931"/>
  <c r="L932"/>
  <c r="L933"/>
  <c r="L934"/>
  <c r="L935"/>
  <c r="L936"/>
  <c r="L937"/>
  <c r="L938"/>
  <c r="L939"/>
  <c r="L940"/>
  <c r="L941"/>
  <c r="L942"/>
  <c r="L943"/>
  <c r="L944"/>
  <c r="L945"/>
  <c r="L946"/>
  <c r="L947"/>
  <c r="L948"/>
  <c r="L949"/>
  <c r="L950"/>
  <c r="L951"/>
  <c r="L952"/>
  <c r="L953"/>
  <c r="L954"/>
  <c r="L955"/>
  <c r="L956"/>
  <c r="L957"/>
  <c r="L958"/>
  <c r="L959"/>
  <c r="L960"/>
  <c r="L961"/>
  <c r="L962"/>
  <c r="L963"/>
  <c r="L964"/>
  <c r="L965"/>
  <c r="L966"/>
  <c r="L967"/>
  <c r="L968"/>
  <c r="L969"/>
  <c r="L970"/>
  <c r="L971"/>
  <c r="L972"/>
  <c r="L973"/>
  <c r="L974"/>
  <c r="L975"/>
  <c r="L976"/>
  <c r="L977"/>
  <c r="L978"/>
  <c r="L979"/>
  <c r="L980"/>
  <c r="L981"/>
  <c r="L982"/>
  <c r="L983"/>
  <c r="L984"/>
  <c r="L985"/>
  <c r="L986"/>
  <c r="L987"/>
  <c r="L988"/>
  <c r="L989"/>
  <c r="L990"/>
  <c r="L991"/>
  <c r="L992"/>
  <c r="L993"/>
  <c r="L994"/>
  <c r="L995"/>
  <c r="L996"/>
  <c r="L997"/>
  <c r="L998"/>
  <c r="L999"/>
  <c r="L1000"/>
  <c r="L1001"/>
  <c r="L1002"/>
  <c r="L1003"/>
  <c r="L1004"/>
  <c r="L1005"/>
  <c r="L1006"/>
  <c r="L1007"/>
  <c r="L1008"/>
  <c r="L1009"/>
  <c r="L1010"/>
  <c r="L1011"/>
  <c r="L1012"/>
  <c r="L1013"/>
  <c r="L1014"/>
  <c r="L1015"/>
  <c r="L1016"/>
  <c r="L1018"/>
  <c r="L1019"/>
  <c r="L1020"/>
  <c r="L1021"/>
  <c r="L1022"/>
  <c r="L1023"/>
  <c r="L1024"/>
  <c r="L1025"/>
  <c r="L1026"/>
  <c r="L1027"/>
  <c r="L1028"/>
  <c r="L1029"/>
  <c r="L1030"/>
  <c r="L1031"/>
  <c r="L1032"/>
  <c r="L1033"/>
  <c r="L1034"/>
  <c r="L1035"/>
  <c r="L1036"/>
  <c r="L1037"/>
  <c r="L1038"/>
  <c r="L1039"/>
  <c r="L1040"/>
  <c r="L1041"/>
  <c r="L1042"/>
  <c r="L1043"/>
  <c r="L1044"/>
  <c r="L1045"/>
  <c r="L1046"/>
  <c r="L1047"/>
  <c r="L1048"/>
  <c r="L1049"/>
  <c r="L1050"/>
  <c r="L1051"/>
  <c r="L1052"/>
  <c r="L1053"/>
  <c r="L1054"/>
  <c r="L1055"/>
  <c r="L1056"/>
  <c r="L1057"/>
  <c r="L1058"/>
  <c r="L1059"/>
  <c r="L1060"/>
  <c r="L1061"/>
  <c r="L1062"/>
  <c r="L1063"/>
  <c r="L1064"/>
  <c r="L1065"/>
  <c r="L1066"/>
  <c r="L1067"/>
  <c r="L1068"/>
  <c r="L1069"/>
  <c r="L1070"/>
  <c r="L1071"/>
  <c r="L1072"/>
  <c r="L1073"/>
  <c r="L1074"/>
  <c r="L1075"/>
  <c r="L1076"/>
  <c r="L1077"/>
  <c r="L1078"/>
  <c r="L1079"/>
  <c r="L1080"/>
  <c r="L1081"/>
  <c r="L1082"/>
  <c r="L1083"/>
  <c r="L1084"/>
  <c r="L1085"/>
  <c r="L1086"/>
  <c r="L1087"/>
  <c r="L1088"/>
  <c r="L1089"/>
  <c r="L1090"/>
  <c r="L1091"/>
  <c r="L1092"/>
  <c r="L1093"/>
  <c r="L1094"/>
  <c r="L1095"/>
  <c r="L1096"/>
  <c r="L1097"/>
  <c r="L1098"/>
  <c r="L1099"/>
  <c r="L1100"/>
  <c r="L1101"/>
  <c r="L1102"/>
  <c r="L1103"/>
  <c r="L1104"/>
  <c r="L1105"/>
  <c r="L1106"/>
  <c r="L1107"/>
  <c r="L1108"/>
  <c r="L1109"/>
  <c r="L1110"/>
  <c r="L1111"/>
  <c r="L1112"/>
  <c r="L1113"/>
  <c r="L1114"/>
  <c r="L1115"/>
  <c r="L1116"/>
  <c r="L1117"/>
  <c r="L1118"/>
  <c r="L1119"/>
  <c r="L1120"/>
  <c r="L1121"/>
  <c r="L1122"/>
  <c r="L1123"/>
  <c r="L1124"/>
  <c r="L1125"/>
  <c r="L1126"/>
  <c r="L1127"/>
  <c r="L1128"/>
  <c r="L1129"/>
  <c r="L1130"/>
  <c r="L1131"/>
  <c r="L1132"/>
  <c r="L1133"/>
  <c r="L1134"/>
  <c r="L1135"/>
  <c r="L1136"/>
  <c r="L1137"/>
  <c r="L1138"/>
  <c r="L1139"/>
  <c r="L1140"/>
  <c r="L1141"/>
  <c r="L1142"/>
  <c r="L1143"/>
  <c r="L1144"/>
  <c r="L1145"/>
  <c r="L1146"/>
  <c r="L1147"/>
  <c r="L1148"/>
  <c r="L1149"/>
  <c r="L1150"/>
  <c r="L1151"/>
  <c r="L1152"/>
  <c r="L1153"/>
  <c r="L1154"/>
  <c r="L1155"/>
  <c r="L1156"/>
  <c r="L1157"/>
  <c r="L1158"/>
  <c r="L1159"/>
  <c r="L1160"/>
  <c r="L1161"/>
  <c r="L1162"/>
  <c r="L1163"/>
  <c r="L1164"/>
  <c r="L1165"/>
  <c r="L1166"/>
  <c r="L1167"/>
  <c r="L1168"/>
  <c r="L1169"/>
  <c r="L1170"/>
  <c r="L1171"/>
  <c r="L1172"/>
  <c r="L1173"/>
  <c r="L1174"/>
  <c r="L1175"/>
  <c r="L1176"/>
  <c r="L1177"/>
  <c r="L1178"/>
  <c r="L1179"/>
  <c r="L1180"/>
  <c r="L1181"/>
  <c r="L1182"/>
  <c r="L1183"/>
  <c r="L1184"/>
  <c r="L1185"/>
  <c r="L1186"/>
  <c r="L1187"/>
  <c r="L1188"/>
  <c r="L1189"/>
  <c r="L1190"/>
  <c r="L1191"/>
  <c r="L1192"/>
  <c r="L1193"/>
  <c r="L1194"/>
  <c r="L1195"/>
  <c r="L1196"/>
  <c r="L1197"/>
  <c r="L1198"/>
  <c r="L1199"/>
  <c r="L1200"/>
  <c r="L1201"/>
  <c r="L1202"/>
  <c r="L1203"/>
  <c r="L1204"/>
  <c r="L1205"/>
  <c r="L1206"/>
  <c r="L1207"/>
  <c r="L1208"/>
  <c r="L1209"/>
  <c r="L1210"/>
  <c r="L1211"/>
  <c r="L1212"/>
  <c r="L1213"/>
  <c r="L1214"/>
  <c r="L1215"/>
  <c r="L1216"/>
  <c r="L1217"/>
  <c r="L1218"/>
  <c r="L1219"/>
  <c r="L1220"/>
  <c r="L1221"/>
  <c r="L1222"/>
  <c r="L1223"/>
  <c r="L1224"/>
  <c r="L1225"/>
  <c r="L1226"/>
  <c r="L1227"/>
  <c r="L1228"/>
  <c r="L1229"/>
  <c r="L1230"/>
  <c r="L1231"/>
  <c r="L1232"/>
  <c r="L1233"/>
  <c r="L1234"/>
  <c r="L1235"/>
  <c r="L1236"/>
  <c r="L1237"/>
  <c r="L1238"/>
  <c r="L1239"/>
  <c r="L1240"/>
  <c r="L1241"/>
  <c r="L1242"/>
  <c r="L1243"/>
  <c r="L1244"/>
  <c r="L1245"/>
  <c r="L1246"/>
  <c r="L1247"/>
  <c r="L1248"/>
  <c r="L1249"/>
  <c r="L1250"/>
  <c r="L1251"/>
  <c r="L1252"/>
  <c r="L1253"/>
  <c r="L1254"/>
  <c r="L1255"/>
  <c r="L1256"/>
  <c r="L1257"/>
  <c r="L1258"/>
  <c r="L1259"/>
  <c r="L1260"/>
  <c r="L1261"/>
  <c r="L1262"/>
  <c r="L1263"/>
  <c r="L1264"/>
  <c r="L1265"/>
  <c r="L1266"/>
  <c r="L1267"/>
  <c r="L1268"/>
  <c r="L1269"/>
  <c r="L1270"/>
  <c r="L1271"/>
  <c r="L1272"/>
  <c r="L1273"/>
  <c r="L1274"/>
  <c r="L1275"/>
  <c r="L1276"/>
  <c r="L1277"/>
  <c r="L1278"/>
  <c r="L1279"/>
  <c r="L1280"/>
  <c r="L1281"/>
  <c r="L1282"/>
  <c r="L1283"/>
  <c r="L1284"/>
  <c r="L1285"/>
  <c r="L1286"/>
  <c r="L1287"/>
  <c r="L1288"/>
  <c r="L1289"/>
  <c r="L1290"/>
  <c r="L1291"/>
  <c r="L1292"/>
  <c r="L1293"/>
  <c r="L1294"/>
  <c r="L1295"/>
  <c r="L1296"/>
  <c r="L1297"/>
  <c r="L1298"/>
  <c r="L1299"/>
  <c r="L1300"/>
  <c r="L1301"/>
  <c r="L1302"/>
  <c r="L1303"/>
  <c r="L1304"/>
  <c r="L1305"/>
  <c r="L1306"/>
  <c r="L1307"/>
  <c r="L1308"/>
  <c r="L1309"/>
  <c r="L1310"/>
  <c r="L1311"/>
  <c r="L1312"/>
  <c r="L1313"/>
  <c r="L1314"/>
  <c r="L1315"/>
  <c r="L1316"/>
  <c r="L1317"/>
  <c r="L1318"/>
  <c r="L1319"/>
  <c r="L1320"/>
  <c r="L1321"/>
  <c r="L1322"/>
  <c r="L1323"/>
  <c r="L1324"/>
  <c r="L1325"/>
  <c r="L1326"/>
  <c r="L1327"/>
  <c r="L1328"/>
  <c r="L1329"/>
  <c r="L1330"/>
  <c r="L1331"/>
  <c r="L1332"/>
  <c r="L1333"/>
  <c r="L1334"/>
  <c r="L1335"/>
  <c r="L1336"/>
  <c r="L1337"/>
  <c r="L1338"/>
  <c r="L1339"/>
  <c r="L1340"/>
  <c r="L1341"/>
  <c r="L1342"/>
  <c r="L1343"/>
  <c r="L1344"/>
  <c r="L1345"/>
  <c r="L1346"/>
  <c r="L1347"/>
  <c r="L1348"/>
  <c r="L1349"/>
  <c r="L1350"/>
  <c r="L1351"/>
  <c r="L1352"/>
  <c r="L1353"/>
  <c r="L1354"/>
  <c r="L1355"/>
  <c r="L1356"/>
  <c r="L1357"/>
  <c r="L1358"/>
  <c r="L1359"/>
  <c r="L1360"/>
  <c r="L1361"/>
  <c r="L1362"/>
  <c r="L1363"/>
  <c r="L1364"/>
  <c r="L1365"/>
  <c r="L1366"/>
  <c r="L1367"/>
  <c r="L1368"/>
  <c r="L1369"/>
  <c r="L1370"/>
  <c r="L1371"/>
  <c r="L1372"/>
  <c r="L1373"/>
  <c r="L1374"/>
  <c r="L1375"/>
  <c r="L1376"/>
  <c r="L1377"/>
  <c r="L1378"/>
  <c r="L1379"/>
  <c r="L1380"/>
  <c r="L1381"/>
  <c r="L1382"/>
  <c r="L1383"/>
  <c r="L1384"/>
  <c r="L1385"/>
  <c r="L1386"/>
  <c r="L1387"/>
  <c r="L1388"/>
  <c r="L1389"/>
  <c r="L1390"/>
  <c r="L1391"/>
  <c r="L1392"/>
  <c r="L1393"/>
  <c r="L1394"/>
  <c r="L1395"/>
  <c r="L1396"/>
  <c r="L1397"/>
  <c r="L1398"/>
  <c r="L1399"/>
  <c r="L1400"/>
  <c r="L1401"/>
  <c r="L1402"/>
  <c r="L1403"/>
  <c r="L1404"/>
  <c r="L1405"/>
  <c r="L1406"/>
  <c r="L1407"/>
  <c r="L1408"/>
  <c r="L1409"/>
  <c r="L1410"/>
  <c r="L1411"/>
  <c r="L1412"/>
  <c r="L1413"/>
  <c r="L1414"/>
  <c r="L1415"/>
  <c r="L1416"/>
  <c r="L1417"/>
  <c r="L1418"/>
  <c r="L1419"/>
  <c r="L1420"/>
  <c r="L1421"/>
  <c r="L1422"/>
  <c r="L1423"/>
  <c r="L1424"/>
  <c r="L1425"/>
  <c r="L1426"/>
  <c r="L1427"/>
  <c r="L1428"/>
  <c r="L1429"/>
  <c r="L1430"/>
  <c r="L1431"/>
  <c r="L1432"/>
  <c r="L1433"/>
  <c r="L1434"/>
  <c r="L1435"/>
  <c r="L1436"/>
  <c r="L1437"/>
  <c r="L1438"/>
  <c r="L1439"/>
  <c r="L1440"/>
  <c r="L1441"/>
  <c r="L1442"/>
  <c r="L1443"/>
  <c r="L1444"/>
  <c r="L1445"/>
  <c r="L1446"/>
  <c r="L1447"/>
  <c r="L1448"/>
  <c r="L1449"/>
  <c r="L1450"/>
  <c r="L1451"/>
  <c r="L1452"/>
  <c r="L1453"/>
  <c r="L1454"/>
  <c r="L1455"/>
  <c r="L1456"/>
  <c r="L1457"/>
  <c r="L1458"/>
  <c r="L1459"/>
  <c r="L1460"/>
  <c r="L1461"/>
  <c r="L1462"/>
  <c r="L1463"/>
  <c r="L1464"/>
  <c r="L1465"/>
  <c r="L1466"/>
  <c r="L1467"/>
  <c r="L1468"/>
  <c r="L1469"/>
  <c r="L1470"/>
  <c r="L1471"/>
  <c r="L1472"/>
  <c r="L1473"/>
  <c r="L1474"/>
  <c r="L1475"/>
  <c r="L1476"/>
  <c r="L1477"/>
  <c r="L1478"/>
  <c r="L1479"/>
  <c r="L1480"/>
  <c r="L1481"/>
  <c r="L1482"/>
  <c r="L1483"/>
  <c r="L1484"/>
  <c r="L1485"/>
  <c r="L1486"/>
  <c r="L1487"/>
  <c r="L1488"/>
  <c r="L1489"/>
  <c r="L1490"/>
  <c r="L1491"/>
  <c r="L1492"/>
  <c r="L1493"/>
  <c r="L1494"/>
  <c r="L1495"/>
  <c r="L1496"/>
  <c r="L1497"/>
  <c r="L1498"/>
  <c r="L1499"/>
  <c r="L1500"/>
  <c r="L1501"/>
  <c r="L1502"/>
  <c r="L1503"/>
  <c r="L1504"/>
  <c r="L1505"/>
  <c r="L1506"/>
  <c r="L1507"/>
  <c r="L1508"/>
  <c r="L1509"/>
  <c r="L1510"/>
  <c r="L1511"/>
  <c r="L1512"/>
  <c r="L1513"/>
  <c r="L1514"/>
  <c r="L1515"/>
  <c r="L1516"/>
  <c r="L1517"/>
  <c r="L1518"/>
  <c r="L1519"/>
  <c r="L1520"/>
  <c r="L1521"/>
  <c r="L1522"/>
  <c r="L1523"/>
  <c r="L1524"/>
  <c r="L1525"/>
  <c r="L1526"/>
  <c r="L1527"/>
  <c r="L1528"/>
  <c r="L1529"/>
  <c r="L1530"/>
  <c r="L1531"/>
  <c r="L1532"/>
  <c r="L1533"/>
  <c r="L1534"/>
  <c r="L1535"/>
  <c r="L1536"/>
  <c r="L1537"/>
  <c r="L1538"/>
  <c r="L1539"/>
  <c r="L1540"/>
  <c r="L1541"/>
  <c r="L1542"/>
  <c r="L1543"/>
  <c r="L1544"/>
  <c r="L1545"/>
  <c r="L1546"/>
  <c r="L1547"/>
  <c r="L1548"/>
  <c r="L1549"/>
  <c r="L1550"/>
  <c r="L1551"/>
  <c r="L1552"/>
  <c r="L1553"/>
  <c r="L1554"/>
  <c r="L1555"/>
  <c r="L1556"/>
  <c r="L1557"/>
  <c r="L1558"/>
  <c r="L1559"/>
  <c r="L1560"/>
  <c r="L1561"/>
  <c r="L1562"/>
  <c r="L1563"/>
  <c r="L1564"/>
  <c r="L1565"/>
  <c r="L1566"/>
  <c r="L1567"/>
  <c r="L1568"/>
  <c r="L1569"/>
  <c r="L1570"/>
  <c r="L1571"/>
  <c r="L1572"/>
  <c r="L1573"/>
  <c r="L1574"/>
  <c r="L1575"/>
  <c r="L1576"/>
  <c r="L1577"/>
  <c r="L1578"/>
  <c r="L1579"/>
  <c r="L1580"/>
  <c r="L1581"/>
  <c r="L1582"/>
  <c r="L1583"/>
  <c r="L1584"/>
  <c r="L1585"/>
  <c r="L1586"/>
  <c r="L1587"/>
  <c r="L1588"/>
  <c r="L1589"/>
  <c r="L1590"/>
  <c r="L1591"/>
  <c r="L1592"/>
  <c r="L1593"/>
  <c r="L1594"/>
  <c r="L1595"/>
  <c r="L1596"/>
  <c r="L1597"/>
  <c r="L1598"/>
  <c r="L1599"/>
  <c r="L1600"/>
  <c r="L1601"/>
  <c r="L1602"/>
  <c r="L1603"/>
  <c r="L1604"/>
  <c r="L1605"/>
  <c r="L1606"/>
  <c r="L1607"/>
  <c r="L1608"/>
  <c r="L1609"/>
  <c r="L1610"/>
  <c r="L1611"/>
  <c r="L1612"/>
  <c r="L1613"/>
  <c r="L1614"/>
  <c r="L1615"/>
  <c r="L1616"/>
  <c r="L1617"/>
  <c r="L1618"/>
  <c r="L1619"/>
  <c r="L1620"/>
  <c r="L1621"/>
  <c r="L1622"/>
  <c r="L1623"/>
  <c r="L1624"/>
  <c r="L1625"/>
  <c r="L1626"/>
  <c r="L1627"/>
  <c r="L1628"/>
  <c r="L1629"/>
  <c r="L1630"/>
  <c r="L1631"/>
  <c r="L1632"/>
  <c r="L1633"/>
  <c r="L1634"/>
  <c r="L1635"/>
  <c r="L1636"/>
  <c r="L1637"/>
  <c r="L1638"/>
  <c r="L1639"/>
  <c r="L1640"/>
  <c r="L1641"/>
  <c r="L1642"/>
  <c r="L1643"/>
  <c r="L1644"/>
  <c r="L1645"/>
  <c r="L1646"/>
  <c r="L1647"/>
  <c r="L1648"/>
  <c r="L1649"/>
  <c r="L1650"/>
  <c r="L1651"/>
  <c r="L1652"/>
  <c r="L1653"/>
  <c r="L1654"/>
  <c r="L1655"/>
  <c r="L1656"/>
  <c r="L1657"/>
  <c r="L1658"/>
  <c r="L1659"/>
  <c r="L1660"/>
  <c r="L1661"/>
  <c r="L1662"/>
  <c r="L1663"/>
  <c r="L1664"/>
  <c r="L1665"/>
  <c r="L1666"/>
  <c r="L1667"/>
  <c r="L1668"/>
  <c r="L1669"/>
  <c r="L1670"/>
  <c r="L1671"/>
  <c r="L1672"/>
  <c r="L1673"/>
  <c r="L1674"/>
  <c r="L1675"/>
  <c r="L1676"/>
  <c r="L1677"/>
  <c r="L1678"/>
  <c r="L1679"/>
  <c r="L1680"/>
  <c r="L1681"/>
  <c r="L1682"/>
  <c r="L1683"/>
  <c r="L1684"/>
  <c r="L1685"/>
  <c r="L1686"/>
  <c r="L1687"/>
  <c r="L1688"/>
  <c r="L1689"/>
  <c r="L1690"/>
  <c r="L1691"/>
  <c r="L1692"/>
  <c r="L1693"/>
  <c r="L1694"/>
  <c r="L1695"/>
  <c r="L1696"/>
  <c r="L1697"/>
  <c r="L1698"/>
  <c r="L1699"/>
  <c r="L1700"/>
  <c r="L1701"/>
  <c r="L1702"/>
  <c r="L1703"/>
  <c r="L1704"/>
  <c r="L1705"/>
  <c r="L1706"/>
  <c r="L1707"/>
  <c r="L1708"/>
  <c r="L1709"/>
  <c r="L1710"/>
  <c r="L1711"/>
  <c r="L1712"/>
  <c r="L1713"/>
  <c r="L1714"/>
  <c r="L1715"/>
  <c r="L1716"/>
  <c r="L1717"/>
  <c r="L1718"/>
  <c r="L1719"/>
  <c r="L1720"/>
  <c r="L1721"/>
  <c r="L1722"/>
  <c r="L1723"/>
  <c r="L1724"/>
  <c r="L1725"/>
  <c r="L1726"/>
  <c r="L1727"/>
  <c r="L1728"/>
  <c r="L1729"/>
  <c r="L1730"/>
  <c r="L1731"/>
  <c r="L1732"/>
  <c r="L1733"/>
  <c r="L1734"/>
  <c r="L1735"/>
  <c r="L1736"/>
  <c r="L1737"/>
  <c r="L1738"/>
  <c r="L1739"/>
  <c r="L1740"/>
  <c r="L1741"/>
  <c r="L1742"/>
  <c r="L1743"/>
  <c r="L1744"/>
  <c r="L1745"/>
  <c r="L1746"/>
  <c r="L1747"/>
  <c r="L1748"/>
  <c r="L1749"/>
  <c r="L1750"/>
  <c r="L1751"/>
  <c r="L1752"/>
  <c r="L1753"/>
  <c r="L1754"/>
  <c r="L1755"/>
  <c r="L1756"/>
  <c r="L1757"/>
  <c r="L1758"/>
  <c r="L1759"/>
  <c r="L1760"/>
  <c r="L1761"/>
  <c r="L1762"/>
  <c r="L1763"/>
  <c r="L1764"/>
  <c r="L1765"/>
  <c r="L1766"/>
  <c r="L1767"/>
  <c r="L1768"/>
  <c r="L1769"/>
  <c r="L1770"/>
  <c r="L1771"/>
  <c r="L1772"/>
  <c r="L1773"/>
  <c r="L1774"/>
  <c r="L1775"/>
  <c r="L1776"/>
  <c r="L1777"/>
  <c r="L1778"/>
  <c r="L1779"/>
  <c r="L1780"/>
  <c r="L1781"/>
  <c r="L1782"/>
  <c r="L1783"/>
  <c r="L1784"/>
  <c r="L1785"/>
  <c r="L1786"/>
  <c r="L1787"/>
  <c r="L1788"/>
  <c r="L1789"/>
  <c r="L1790"/>
  <c r="L1791"/>
  <c r="L1792"/>
  <c r="L1793"/>
  <c r="L1794"/>
  <c r="L1795"/>
  <c r="L1796"/>
  <c r="L1797"/>
  <c r="L1798"/>
  <c r="L1799"/>
  <c r="L1800"/>
  <c r="L1801"/>
  <c r="L1802"/>
  <c r="L1803"/>
  <c r="L1804"/>
  <c r="L1805"/>
  <c r="L1806"/>
  <c r="L1807"/>
  <c r="L1808"/>
  <c r="L1809"/>
  <c r="L1810"/>
  <c r="L1811"/>
  <c r="L1812"/>
  <c r="L1813"/>
  <c r="L1814"/>
  <c r="L1815"/>
  <c r="L1816"/>
  <c r="L1817"/>
  <c r="L1818"/>
  <c r="L1819"/>
  <c r="L1820"/>
  <c r="L1821"/>
  <c r="L1822"/>
  <c r="L1823"/>
  <c r="L1824"/>
  <c r="L1825"/>
  <c r="L1826"/>
  <c r="L1827"/>
  <c r="L1828"/>
  <c r="L1829"/>
  <c r="L1830"/>
  <c r="L1831"/>
  <c r="L1832"/>
  <c r="L1833"/>
  <c r="L1834"/>
  <c r="L1835"/>
  <c r="L1836"/>
  <c r="L1837"/>
  <c r="L1838"/>
  <c r="L1839"/>
  <c r="L1840"/>
  <c r="L1841"/>
  <c r="L1842"/>
  <c r="L1843"/>
  <c r="L1844"/>
  <c r="L1845"/>
  <c r="L1846"/>
  <c r="L1847"/>
  <c r="L1848"/>
  <c r="L1849"/>
  <c r="L1850"/>
  <c r="L1851"/>
  <c r="L1852"/>
  <c r="L1853"/>
  <c r="L1854"/>
  <c r="L1855"/>
  <c r="L1856"/>
  <c r="L1857"/>
  <c r="L1858"/>
  <c r="L1859"/>
  <c r="L1860"/>
  <c r="L1861"/>
  <c r="L1862"/>
  <c r="L1863"/>
  <c r="L1864"/>
  <c r="L1865"/>
  <c r="L1866"/>
  <c r="L1867"/>
  <c r="L1868"/>
  <c r="L1869"/>
  <c r="L1870"/>
  <c r="L1871"/>
  <c r="L1872"/>
  <c r="L1873"/>
  <c r="L1874"/>
  <c r="L1875"/>
  <c r="L1876"/>
  <c r="L1877"/>
  <c r="L1878"/>
  <c r="L1879"/>
  <c r="L1880"/>
  <c r="L1881"/>
  <c r="L1882"/>
  <c r="L1883"/>
  <c r="L1884"/>
  <c r="L1885"/>
  <c r="L1886"/>
  <c r="L1887"/>
  <c r="L1888"/>
  <c r="L1889"/>
  <c r="L1890"/>
  <c r="L1891"/>
  <c r="L1892"/>
  <c r="L1893"/>
  <c r="L1894"/>
  <c r="L1895"/>
  <c r="L1896"/>
  <c r="L1897"/>
  <c r="L1898"/>
  <c r="L1899"/>
  <c r="L1900"/>
  <c r="L1901"/>
  <c r="L1902"/>
  <c r="L1903"/>
  <c r="L1904"/>
  <c r="L1905"/>
  <c r="L1906"/>
  <c r="L1907"/>
  <c r="L1908"/>
  <c r="L1909"/>
  <c r="L1910"/>
  <c r="L1911"/>
  <c r="L1912"/>
  <c r="L1913"/>
  <c r="L1914"/>
  <c r="L1915"/>
  <c r="L1916"/>
  <c r="L1917"/>
  <c r="L1918"/>
  <c r="L1919"/>
  <c r="L1920"/>
  <c r="L1921"/>
  <c r="L1922"/>
  <c r="L1923"/>
  <c r="L1924"/>
  <c r="L1925"/>
  <c r="L1926"/>
  <c r="L1927"/>
  <c r="L1928"/>
  <c r="L1929"/>
  <c r="L1930"/>
  <c r="L1931"/>
  <c r="L1932"/>
  <c r="L1933"/>
  <c r="L1934"/>
  <c r="L1935"/>
  <c r="L1936"/>
  <c r="L1937"/>
  <c r="L1938"/>
  <c r="L1939"/>
  <c r="L1940"/>
  <c r="L1941"/>
  <c r="L1942"/>
  <c r="L1943"/>
  <c r="L1944"/>
  <c r="L1945"/>
  <c r="L1946"/>
  <c r="L1947"/>
  <c r="L1948"/>
  <c r="L1949"/>
  <c r="L1950"/>
  <c r="L1951"/>
  <c r="L1952"/>
  <c r="L1953"/>
  <c r="L1954"/>
  <c r="L1955"/>
  <c r="L1956"/>
  <c r="L1957"/>
  <c r="L1958"/>
  <c r="L1959"/>
  <c r="L1960"/>
  <c r="L1961"/>
  <c r="L1962"/>
  <c r="L1963"/>
  <c r="L1964"/>
  <c r="L1965"/>
  <c r="L1966"/>
  <c r="L1967"/>
  <c r="L1968"/>
  <c r="L1969"/>
  <c r="L1970"/>
  <c r="L1971"/>
  <c r="L1972"/>
  <c r="L1973"/>
  <c r="L1974"/>
  <c r="L1975"/>
  <c r="L1976"/>
  <c r="L1977"/>
  <c r="L1978"/>
  <c r="L1979"/>
  <c r="L1980"/>
  <c r="L1981"/>
  <c r="L1982"/>
  <c r="L1983"/>
  <c r="L1984"/>
  <c r="L1985"/>
  <c r="L1986"/>
  <c r="L1987"/>
  <c r="L1988"/>
  <c r="L1989"/>
  <c r="L1990"/>
  <c r="L1991"/>
  <c r="L1992"/>
  <c r="L1993"/>
  <c r="L1994"/>
  <c r="L1995"/>
  <c r="L1996"/>
  <c r="L1997"/>
  <c r="L1998"/>
  <c r="L1999"/>
  <c r="L2000"/>
  <c r="K2"/>
  <c r="K3"/>
  <c r="K4"/>
  <c r="K5"/>
  <c r="K6"/>
  <c r="K7"/>
  <c r="K8"/>
  <c r="K9"/>
  <c r="K10"/>
  <c r="K11"/>
  <c r="K12"/>
  <c r="K13"/>
  <c r="K14"/>
  <c r="K15"/>
  <c r="K16"/>
  <c r="K17"/>
  <c r="K18"/>
  <c r="K19"/>
  <c r="K20"/>
  <c r="K21"/>
  <c r="K22"/>
  <c r="K23"/>
  <c r="K24"/>
  <c r="K25"/>
  <c r="K26"/>
  <c r="K27"/>
  <c r="K28"/>
  <c r="K29"/>
  <c r="K30"/>
  <c r="K31"/>
  <c r="K32"/>
  <c r="K33"/>
  <c r="K34"/>
  <c r="K35"/>
  <c r="K36"/>
  <c r="K37"/>
  <c r="K38"/>
  <c r="K39"/>
  <c r="K40"/>
  <c r="K41"/>
  <c r="K42"/>
  <c r="K43"/>
  <c r="K44"/>
  <c r="K45"/>
  <c r="K46"/>
  <c r="K47"/>
  <c r="K48"/>
  <c r="K49"/>
  <c r="K50"/>
  <c r="K51"/>
  <c r="K52"/>
  <c r="K53"/>
  <c r="K54"/>
  <c r="K55"/>
  <c r="K56"/>
  <c r="K57"/>
  <c r="K58"/>
  <c r="K59"/>
  <c r="K60"/>
  <c r="K61"/>
  <c r="K62"/>
  <c r="K63"/>
  <c r="K64"/>
  <c r="K65"/>
  <c r="K66"/>
  <c r="K67"/>
  <c r="K68"/>
  <c r="K69"/>
  <c r="K70"/>
  <c r="K71"/>
  <c r="K72"/>
  <c r="K73"/>
  <c r="K74"/>
  <c r="K75"/>
  <c r="K76"/>
  <c r="K77"/>
  <c r="K78"/>
  <c r="K79"/>
  <c r="K80"/>
  <c r="K81"/>
  <c r="K82"/>
  <c r="K83"/>
  <c r="K84"/>
  <c r="K85"/>
  <c r="K86"/>
  <c r="K87"/>
  <c r="K88"/>
  <c r="K89"/>
  <c r="K90"/>
  <c r="K91"/>
  <c r="K92"/>
  <c r="K93"/>
  <c r="K94"/>
  <c r="K95"/>
  <c r="K96"/>
  <c r="K97"/>
  <c r="K98"/>
  <c r="K99"/>
  <c r="K100"/>
  <c r="K101"/>
  <c r="K102"/>
  <c r="K103"/>
  <c r="K104"/>
  <c r="K105"/>
  <c r="K106"/>
  <c r="K107"/>
  <c r="K108"/>
  <c r="K109"/>
  <c r="K110"/>
  <c r="K111"/>
  <c r="K112"/>
  <c r="K113"/>
  <c r="K114"/>
  <c r="K115"/>
  <c r="K116"/>
  <c r="K117"/>
  <c r="K118"/>
  <c r="K119"/>
  <c r="K120"/>
  <c r="K121"/>
  <c r="K122"/>
  <c r="K123"/>
  <c r="K124"/>
  <c r="K125"/>
  <c r="K126"/>
  <c r="K127"/>
  <c r="K128"/>
  <c r="K129"/>
  <c r="K130"/>
  <c r="K131"/>
  <c r="K132"/>
  <c r="K133"/>
  <c r="K134"/>
  <c r="K135"/>
  <c r="K136"/>
  <c r="K137"/>
  <c r="K138"/>
  <c r="K139"/>
  <c r="K140"/>
  <c r="K141"/>
  <c r="K142"/>
  <c r="K143"/>
  <c r="K144"/>
  <c r="K145"/>
  <c r="K146"/>
  <c r="K147"/>
  <c r="K148"/>
  <c r="K149"/>
  <c r="K150"/>
  <c r="K151"/>
  <c r="K152"/>
  <c r="K153"/>
  <c r="K154"/>
  <c r="K155"/>
  <c r="K156"/>
  <c r="K157"/>
  <c r="K158"/>
  <c r="K159"/>
  <c r="K160"/>
  <c r="K161"/>
  <c r="K162"/>
  <c r="K163"/>
  <c r="K164"/>
  <c r="K165"/>
  <c r="K166"/>
  <c r="K167"/>
  <c r="K168"/>
  <c r="K169"/>
  <c r="K170"/>
  <c r="K171"/>
  <c r="K172"/>
  <c r="K173"/>
  <c r="K174"/>
  <c r="K175"/>
  <c r="K176"/>
  <c r="K177"/>
  <c r="K178"/>
  <c r="K179"/>
  <c r="K180"/>
  <c r="K181"/>
  <c r="K182"/>
  <c r="K183"/>
  <c r="K184"/>
  <c r="K185"/>
  <c r="K186"/>
  <c r="K187"/>
  <c r="K188"/>
  <c r="K189"/>
  <c r="K190"/>
  <c r="K191"/>
  <c r="K192"/>
  <c r="K193"/>
  <c r="K194"/>
  <c r="K195"/>
  <c r="K196"/>
  <c r="K197"/>
  <c r="K198"/>
  <c r="K199"/>
  <c r="K200"/>
  <c r="K201"/>
  <c r="K202"/>
  <c r="K203"/>
  <c r="K204"/>
  <c r="K205"/>
  <c r="K206"/>
  <c r="K207"/>
  <c r="K208"/>
  <c r="K209"/>
  <c r="K210"/>
  <c r="K211"/>
  <c r="K212"/>
  <c r="K213"/>
  <c r="K214"/>
  <c r="K215"/>
  <c r="K216"/>
  <c r="K217"/>
  <c r="K218"/>
  <c r="K219"/>
  <c r="K220"/>
  <c r="K221"/>
  <c r="K222"/>
  <c r="K223"/>
  <c r="K224"/>
  <c r="K225"/>
  <c r="K226"/>
  <c r="K227"/>
  <c r="K228"/>
  <c r="K229"/>
  <c r="K230"/>
  <c r="K231"/>
  <c r="K232"/>
  <c r="K233"/>
  <c r="K234"/>
  <c r="K235"/>
  <c r="K236"/>
  <c r="K237"/>
  <c r="K238"/>
  <c r="K239"/>
  <c r="K240"/>
  <c r="K241"/>
  <c r="K242"/>
  <c r="K243"/>
  <c r="K244"/>
  <c r="K245"/>
  <c r="K246"/>
  <c r="K247"/>
  <c r="K248"/>
  <c r="K249"/>
  <c r="K250"/>
  <c r="K251"/>
  <c r="K252"/>
  <c r="K253"/>
  <c r="K254"/>
  <c r="K255"/>
  <c r="K256"/>
  <c r="K257"/>
  <c r="K258"/>
  <c r="K259"/>
  <c r="K260"/>
  <c r="K261"/>
  <c r="K262"/>
  <c r="K263"/>
  <c r="K264"/>
  <c r="K265"/>
  <c r="K266"/>
  <c r="K267"/>
  <c r="K268"/>
  <c r="K269"/>
  <c r="K270"/>
  <c r="K271"/>
  <c r="K272"/>
  <c r="K273"/>
  <c r="K274"/>
  <c r="K275"/>
  <c r="K276"/>
  <c r="K277"/>
  <c r="K278"/>
  <c r="K279"/>
  <c r="K280"/>
  <c r="K281"/>
  <c r="K282"/>
  <c r="K283"/>
  <c r="K284"/>
  <c r="K285"/>
  <c r="K286"/>
  <c r="K287"/>
  <c r="K288"/>
  <c r="K289"/>
  <c r="K290"/>
  <c r="K291"/>
  <c r="K292"/>
  <c r="K293"/>
  <c r="K294"/>
  <c r="K296"/>
  <c r="K297"/>
  <c r="K298"/>
  <c r="K299"/>
  <c r="K300"/>
  <c r="K301"/>
  <c r="K302"/>
  <c r="K303"/>
  <c r="K304"/>
  <c r="K305"/>
  <c r="K306"/>
  <c r="K307"/>
  <c r="K308"/>
  <c r="K309"/>
  <c r="K310"/>
  <c r="K311"/>
  <c r="K312"/>
  <c r="K313"/>
  <c r="K314"/>
  <c r="K315"/>
  <c r="K316"/>
  <c r="K317"/>
  <c r="K318"/>
  <c r="K319"/>
  <c r="K320"/>
  <c r="K321"/>
  <c r="K322"/>
  <c r="K323"/>
  <c r="K324"/>
  <c r="K325"/>
  <c r="K326"/>
  <c r="K327"/>
  <c r="K328"/>
  <c r="K329"/>
  <c r="K330"/>
  <c r="K331"/>
  <c r="K332"/>
  <c r="K333"/>
  <c r="K334"/>
  <c r="K335"/>
  <c r="K336"/>
  <c r="K337"/>
  <c r="K338"/>
  <c r="K339"/>
  <c r="K340"/>
  <c r="K341"/>
  <c r="K342"/>
  <c r="K343"/>
  <c r="K344"/>
  <c r="K345"/>
  <c r="K346"/>
  <c r="K347"/>
  <c r="K348"/>
  <c r="K349"/>
  <c r="K350"/>
  <c r="K351"/>
  <c r="K352"/>
  <c r="K353"/>
  <c r="K354"/>
  <c r="K355"/>
  <c r="K356"/>
  <c r="K357"/>
  <c r="K358"/>
  <c r="K359"/>
  <c r="K360"/>
  <c r="K361"/>
  <c r="K362"/>
  <c r="K363"/>
  <c r="K364"/>
  <c r="K365"/>
  <c r="K366"/>
  <c r="K367"/>
  <c r="K368"/>
  <c r="K369"/>
  <c r="K370"/>
  <c r="K371"/>
  <c r="K372"/>
  <c r="K373"/>
  <c r="K374"/>
  <c r="K375"/>
  <c r="K376"/>
  <c r="K377"/>
  <c r="K378"/>
  <c r="K379"/>
  <c r="K380"/>
  <c r="K381"/>
  <c r="K382"/>
  <c r="K383"/>
  <c r="K384"/>
  <c r="K385"/>
  <c r="K386"/>
  <c r="K387"/>
  <c r="K388"/>
  <c r="K389"/>
  <c r="K390"/>
  <c r="K391"/>
  <c r="K392"/>
  <c r="K393"/>
  <c r="K394"/>
  <c r="K395"/>
  <c r="K396"/>
  <c r="K397"/>
  <c r="K398"/>
  <c r="K399"/>
  <c r="K400"/>
  <c r="K401"/>
  <c r="K402"/>
  <c r="K403"/>
  <c r="K404"/>
  <c r="K405"/>
  <c r="K406"/>
  <c r="K407"/>
  <c r="K408"/>
  <c r="K409"/>
  <c r="K410"/>
  <c r="K411"/>
  <c r="K412"/>
  <c r="K413"/>
  <c r="K414"/>
  <c r="K415"/>
  <c r="K416"/>
  <c r="K417"/>
  <c r="K418"/>
  <c r="K419"/>
  <c r="K420"/>
  <c r="K421"/>
  <c r="K422"/>
  <c r="K423"/>
  <c r="K424"/>
  <c r="K425"/>
  <c r="K426"/>
  <c r="K427"/>
  <c r="K428"/>
  <c r="K429"/>
  <c r="K430"/>
  <c r="K431"/>
  <c r="K432"/>
  <c r="K433"/>
  <c r="K434"/>
  <c r="K435"/>
  <c r="K436"/>
  <c r="K437"/>
  <c r="K438"/>
  <c r="K439"/>
  <c r="K440"/>
  <c r="K441"/>
  <c r="K442"/>
  <c r="K443"/>
  <c r="K444"/>
  <c r="K445"/>
  <c r="K446"/>
  <c r="K447"/>
  <c r="K448"/>
  <c r="K449"/>
  <c r="K450"/>
  <c r="K451"/>
  <c r="K452"/>
  <c r="K453"/>
  <c r="K454"/>
  <c r="K455"/>
  <c r="K456"/>
  <c r="K457"/>
  <c r="K458"/>
  <c r="K459"/>
  <c r="K460"/>
  <c r="K461"/>
  <c r="K462"/>
  <c r="K463"/>
  <c r="K464"/>
  <c r="K465"/>
  <c r="K466"/>
  <c r="K467"/>
  <c r="K468"/>
  <c r="K469"/>
  <c r="K470"/>
  <c r="K471"/>
  <c r="K472"/>
  <c r="K473"/>
  <c r="K474"/>
  <c r="K475"/>
  <c r="K476"/>
  <c r="K477"/>
  <c r="K478"/>
  <c r="K479"/>
  <c r="K480"/>
  <c r="K481"/>
  <c r="K482"/>
  <c r="K483"/>
  <c r="K484"/>
  <c r="K485"/>
  <c r="K486"/>
  <c r="K487"/>
  <c r="K488"/>
  <c r="K489"/>
  <c r="K490"/>
  <c r="K491"/>
  <c r="K492"/>
  <c r="K493"/>
  <c r="K494"/>
  <c r="K495"/>
  <c r="K496"/>
  <c r="K497"/>
  <c r="K498"/>
  <c r="K499"/>
  <c r="K500"/>
  <c r="K501"/>
  <c r="K502"/>
  <c r="K503"/>
  <c r="K504"/>
  <c r="K505"/>
  <c r="K506"/>
  <c r="K507"/>
  <c r="K508"/>
  <c r="K509"/>
  <c r="K510"/>
  <c r="K511"/>
  <c r="K512"/>
  <c r="K513"/>
  <c r="K514"/>
  <c r="K515"/>
  <c r="K516"/>
  <c r="K517"/>
  <c r="K518"/>
  <c r="K519"/>
  <c r="K520"/>
  <c r="K521"/>
  <c r="K522"/>
  <c r="K523"/>
  <c r="K524"/>
  <c r="K525"/>
  <c r="K526"/>
  <c r="K527"/>
  <c r="K528"/>
  <c r="K529"/>
  <c r="K530"/>
  <c r="K531"/>
  <c r="K532"/>
  <c r="K533"/>
  <c r="K534"/>
  <c r="K535"/>
  <c r="K536"/>
  <c r="K537"/>
  <c r="K538"/>
  <c r="K540"/>
  <c r="K541"/>
  <c r="K542"/>
  <c r="K543"/>
  <c r="K544"/>
  <c r="K545"/>
  <c r="K546"/>
  <c r="K547"/>
  <c r="K548"/>
  <c r="K549"/>
  <c r="K550"/>
  <c r="K551"/>
  <c r="K552"/>
  <c r="K553"/>
  <c r="K554"/>
  <c r="K555"/>
  <c r="K556"/>
  <c r="K557"/>
  <c r="K558"/>
  <c r="K559"/>
  <c r="K560"/>
  <c r="K561"/>
  <c r="K562"/>
  <c r="K563"/>
  <c r="K564"/>
  <c r="K565"/>
  <c r="K566"/>
  <c r="K567"/>
  <c r="K568"/>
  <c r="K569"/>
  <c r="K570"/>
  <c r="K571"/>
  <c r="K572"/>
  <c r="K573"/>
  <c r="K574"/>
  <c r="K575"/>
  <c r="K576"/>
  <c r="K577"/>
  <c r="K578"/>
  <c r="K579"/>
  <c r="K580"/>
  <c r="K581"/>
  <c r="K582"/>
  <c r="K583"/>
  <c r="K584"/>
  <c r="K585"/>
  <c r="K586"/>
  <c r="K587"/>
  <c r="K588"/>
  <c r="K589"/>
  <c r="K590"/>
  <c r="K591"/>
  <c r="K592"/>
  <c r="K593"/>
  <c r="K594"/>
  <c r="K595"/>
  <c r="K596"/>
  <c r="K597"/>
  <c r="K598"/>
  <c r="K599"/>
  <c r="K600"/>
  <c r="K601"/>
  <c r="K602"/>
  <c r="K603"/>
  <c r="K604"/>
  <c r="K605"/>
  <c r="K606"/>
  <c r="K607"/>
  <c r="K608"/>
  <c r="K609"/>
  <c r="K610"/>
  <c r="K611"/>
  <c r="K612"/>
  <c r="K613"/>
  <c r="K614"/>
  <c r="K615"/>
  <c r="K616"/>
  <c r="K617"/>
  <c r="K618"/>
  <c r="K619"/>
  <c r="K620"/>
  <c r="K621"/>
  <c r="K622"/>
  <c r="K623"/>
  <c r="K624"/>
  <c r="K625"/>
  <c r="K626"/>
  <c r="K627"/>
  <c r="K628"/>
  <c r="K629"/>
  <c r="K630"/>
  <c r="K631"/>
  <c r="K632"/>
  <c r="K633"/>
  <c r="K634"/>
  <c r="K635"/>
  <c r="K636"/>
  <c r="K637"/>
  <c r="K638"/>
  <c r="K639"/>
  <c r="K640"/>
  <c r="K641"/>
  <c r="K642"/>
  <c r="K643"/>
  <c r="K644"/>
  <c r="K645"/>
  <c r="K646"/>
  <c r="K647"/>
  <c r="K648"/>
  <c r="K649"/>
  <c r="K650"/>
  <c r="K651"/>
  <c r="K652"/>
  <c r="K653"/>
  <c r="K654"/>
  <c r="K655"/>
  <c r="K656"/>
  <c r="K657"/>
  <c r="K658"/>
  <c r="K659"/>
  <c r="K660"/>
  <c r="K661"/>
  <c r="K662"/>
  <c r="K663"/>
  <c r="K664"/>
  <c r="K665"/>
  <c r="K666"/>
  <c r="K667"/>
  <c r="K668"/>
  <c r="K669"/>
  <c r="K670"/>
  <c r="K671"/>
  <c r="K672"/>
  <c r="K673"/>
  <c r="K674"/>
  <c r="K675"/>
  <c r="K676"/>
  <c r="K677"/>
  <c r="K678"/>
  <c r="K679"/>
  <c r="K680"/>
  <c r="K681"/>
  <c r="K682"/>
  <c r="K683"/>
  <c r="K684"/>
  <c r="K685"/>
  <c r="K686"/>
  <c r="K687"/>
  <c r="K688"/>
  <c r="K689"/>
  <c r="K690"/>
  <c r="K691"/>
  <c r="K692"/>
  <c r="K693"/>
  <c r="K694"/>
  <c r="K695"/>
  <c r="K696"/>
  <c r="K697"/>
  <c r="K698"/>
  <c r="K699"/>
  <c r="K700"/>
  <c r="K701"/>
  <c r="K702"/>
  <c r="K703"/>
  <c r="K704"/>
  <c r="K705"/>
  <c r="K706"/>
  <c r="K707"/>
  <c r="K708"/>
  <c r="K709"/>
  <c r="K710"/>
  <c r="K711"/>
  <c r="K712"/>
  <c r="K713"/>
  <c r="K714"/>
  <c r="K715"/>
  <c r="K716"/>
  <c r="K717"/>
  <c r="K718"/>
  <c r="K719"/>
  <c r="K720"/>
  <c r="K721"/>
  <c r="K722"/>
  <c r="K723"/>
  <c r="K724"/>
  <c r="K725"/>
  <c r="K726"/>
  <c r="K727"/>
  <c r="K728"/>
  <c r="K729"/>
  <c r="K730"/>
  <c r="K731"/>
  <c r="K732"/>
  <c r="K733"/>
  <c r="K734"/>
  <c r="K735"/>
  <c r="K736"/>
  <c r="K737"/>
  <c r="K738"/>
  <c r="K739"/>
  <c r="K740"/>
  <c r="K741"/>
  <c r="K742"/>
  <c r="K743"/>
  <c r="K744"/>
  <c r="K745"/>
  <c r="K746"/>
  <c r="K747"/>
  <c r="K748"/>
  <c r="K749"/>
  <c r="K750"/>
  <c r="K751"/>
  <c r="K752"/>
  <c r="K753"/>
  <c r="K754"/>
  <c r="K755"/>
  <c r="K756"/>
  <c r="K757"/>
  <c r="K758"/>
  <c r="K759"/>
  <c r="K760"/>
  <c r="K761"/>
  <c r="K762"/>
  <c r="K763"/>
  <c r="K764"/>
  <c r="K765"/>
  <c r="K766"/>
  <c r="K767"/>
  <c r="K768"/>
  <c r="K769"/>
  <c r="K770"/>
  <c r="K771"/>
  <c r="K772"/>
  <c r="K773"/>
  <c r="K774"/>
  <c r="K775"/>
  <c r="K776"/>
  <c r="K777"/>
  <c r="K778"/>
  <c r="K779"/>
  <c r="K780"/>
  <c r="K781"/>
  <c r="K782"/>
  <c r="K783"/>
  <c r="K784"/>
  <c r="K785"/>
  <c r="K786"/>
  <c r="K787"/>
  <c r="K788"/>
  <c r="K789"/>
  <c r="K790"/>
  <c r="K791"/>
  <c r="K792"/>
  <c r="K793"/>
  <c r="K794"/>
  <c r="K795"/>
  <c r="K796"/>
  <c r="K797"/>
  <c r="K798"/>
  <c r="K799"/>
  <c r="K800"/>
  <c r="K801"/>
  <c r="K802"/>
  <c r="K803"/>
  <c r="K804"/>
  <c r="K805"/>
  <c r="K806"/>
  <c r="K807"/>
  <c r="K808"/>
  <c r="K809"/>
  <c r="K810"/>
  <c r="K811"/>
  <c r="K812"/>
  <c r="K813"/>
  <c r="K814"/>
  <c r="K815"/>
  <c r="K816"/>
  <c r="K817"/>
  <c r="K818"/>
  <c r="K819"/>
  <c r="K820"/>
  <c r="K821"/>
  <c r="K822"/>
  <c r="K823"/>
  <c r="K824"/>
  <c r="K825"/>
  <c r="K826"/>
  <c r="K827"/>
  <c r="K828"/>
  <c r="K829"/>
  <c r="K830"/>
  <c r="K831"/>
  <c r="K832"/>
  <c r="K833"/>
  <c r="K834"/>
  <c r="K835"/>
  <c r="K836"/>
  <c r="K837"/>
  <c r="K838"/>
  <c r="K839"/>
  <c r="K840"/>
  <c r="K841"/>
  <c r="K842"/>
  <c r="K843"/>
  <c r="K844"/>
  <c r="K845"/>
  <c r="K846"/>
  <c r="K847"/>
  <c r="K848"/>
  <c r="K849"/>
  <c r="K850"/>
  <c r="K851"/>
  <c r="K852"/>
  <c r="K853"/>
  <c r="K854"/>
  <c r="K855"/>
  <c r="K856"/>
  <c r="K858"/>
  <c r="K859"/>
  <c r="K860"/>
  <c r="K861"/>
  <c r="K862"/>
  <c r="K863"/>
  <c r="K864"/>
  <c r="K865"/>
  <c r="K866"/>
  <c r="K867"/>
  <c r="K868"/>
  <c r="K869"/>
  <c r="K870"/>
  <c r="K871"/>
  <c r="K872"/>
  <c r="K873"/>
  <c r="K882"/>
  <c r="K883"/>
  <c r="K884"/>
  <c r="K885"/>
  <c r="K886"/>
  <c r="K887"/>
  <c r="K888"/>
  <c r="K889"/>
  <c r="K890"/>
  <c r="K891"/>
  <c r="K892"/>
  <c r="K893"/>
  <c r="K894"/>
  <c r="K895"/>
  <c r="K896"/>
  <c r="K897"/>
  <c r="K898"/>
  <c r="K899"/>
  <c r="K900"/>
  <c r="K901"/>
  <c r="K902"/>
  <c r="K903"/>
  <c r="K904"/>
  <c r="K905"/>
  <c r="K906"/>
  <c r="K907"/>
  <c r="K908"/>
  <c r="K909"/>
  <c r="K910"/>
  <c r="K911"/>
  <c r="K912"/>
  <c r="K913"/>
  <c r="K914"/>
  <c r="K915"/>
  <c r="K916"/>
  <c r="K917"/>
  <c r="K918"/>
  <c r="K919"/>
  <c r="K920"/>
  <c r="K921"/>
  <c r="K922"/>
  <c r="K923"/>
  <c r="K924"/>
  <c r="K925"/>
  <c r="K926"/>
  <c r="K927"/>
  <c r="K928"/>
  <c r="K929"/>
  <c r="K930"/>
  <c r="K931"/>
  <c r="K932"/>
  <c r="K933"/>
  <c r="K934"/>
  <c r="K935"/>
  <c r="K936"/>
  <c r="K937"/>
  <c r="K938"/>
  <c r="K939"/>
  <c r="K940"/>
  <c r="K941"/>
  <c r="K942"/>
  <c r="K943"/>
  <c r="K944"/>
  <c r="K945"/>
  <c r="K946"/>
  <c r="K947"/>
  <c r="K948"/>
  <c r="K949"/>
  <c r="K950"/>
  <c r="K951"/>
  <c r="K952"/>
  <c r="K953"/>
  <c r="K954"/>
  <c r="K955"/>
  <c r="K956"/>
  <c r="K957"/>
  <c r="K958"/>
  <c r="K959"/>
  <c r="K960"/>
  <c r="K961"/>
  <c r="K962"/>
  <c r="K963"/>
  <c r="K964"/>
  <c r="K965"/>
  <c r="K966"/>
  <c r="K967"/>
  <c r="K968"/>
  <c r="K969"/>
  <c r="K970"/>
  <c r="K971"/>
  <c r="K972"/>
  <c r="K973"/>
  <c r="K974"/>
  <c r="K975"/>
  <c r="K976"/>
  <c r="K977"/>
  <c r="K978"/>
  <c r="K979"/>
  <c r="K980"/>
  <c r="K981"/>
  <c r="K982"/>
  <c r="K983"/>
  <c r="K984"/>
  <c r="K985"/>
  <c r="K986"/>
  <c r="K987"/>
  <c r="K988"/>
  <c r="K989"/>
  <c r="K990"/>
  <c r="K991"/>
  <c r="K992"/>
  <c r="K993"/>
  <c r="K994"/>
  <c r="K995"/>
  <c r="K996"/>
  <c r="K997"/>
  <c r="K998"/>
  <c r="K999"/>
  <c r="K1000"/>
  <c r="K1001"/>
  <c r="K1002"/>
  <c r="K1003"/>
  <c r="K1004"/>
  <c r="K1005"/>
  <c r="K1006"/>
  <c r="K1007"/>
  <c r="K1008"/>
  <c r="K1009"/>
  <c r="K1010"/>
  <c r="K1011"/>
  <c r="K1012"/>
  <c r="K1013"/>
  <c r="K1014"/>
  <c r="K1015"/>
  <c r="K1016"/>
  <c r="K1018"/>
  <c r="K1019"/>
  <c r="K1020"/>
  <c r="K1021"/>
  <c r="K1022"/>
  <c r="K1023"/>
  <c r="K1024"/>
  <c r="K1025"/>
  <c r="K1026"/>
  <c r="K1027"/>
  <c r="K1028"/>
  <c r="K1029"/>
  <c r="K1030"/>
  <c r="K1031"/>
  <c r="K1032"/>
  <c r="K1033"/>
  <c r="K1034"/>
  <c r="K1035"/>
  <c r="K1036"/>
  <c r="K1037"/>
  <c r="K1038"/>
  <c r="K1039"/>
  <c r="K1040"/>
  <c r="K1041"/>
  <c r="K1042"/>
  <c r="K1043"/>
  <c r="K1044"/>
  <c r="K1045"/>
  <c r="K1046"/>
  <c r="K1047"/>
  <c r="K1048"/>
  <c r="K1049"/>
  <c r="K1050"/>
  <c r="K1051"/>
  <c r="K1052"/>
  <c r="K1053"/>
  <c r="K1054"/>
  <c r="K1055"/>
  <c r="K1056"/>
  <c r="K1057"/>
  <c r="K1058"/>
  <c r="K1059"/>
  <c r="K1060"/>
  <c r="K1061"/>
  <c r="K1062"/>
  <c r="K1063"/>
  <c r="K1064"/>
  <c r="K1065"/>
  <c r="K1066"/>
  <c r="K1067"/>
  <c r="K1068"/>
  <c r="K1069"/>
  <c r="K1070"/>
  <c r="K1071"/>
  <c r="K1072"/>
  <c r="K1073"/>
  <c r="K1074"/>
  <c r="K1075"/>
  <c r="K1076"/>
  <c r="K1077"/>
  <c r="K1078"/>
  <c r="K1079"/>
  <c r="K1080"/>
  <c r="K1081"/>
  <c r="K1082"/>
  <c r="K1083"/>
  <c r="K1084"/>
  <c r="K1085"/>
  <c r="K1086"/>
  <c r="K1087"/>
  <c r="K1088"/>
  <c r="K1089"/>
  <c r="K1090"/>
  <c r="K1091"/>
  <c r="K1092"/>
  <c r="K1093"/>
  <c r="K1094"/>
  <c r="K1095"/>
  <c r="K1096"/>
  <c r="K1097"/>
  <c r="K1098"/>
  <c r="K1099"/>
  <c r="K1100"/>
  <c r="K1101"/>
  <c r="K1102"/>
  <c r="K1103"/>
  <c r="K1104"/>
  <c r="K1105"/>
  <c r="K1106"/>
  <c r="K1107"/>
  <c r="K1108"/>
  <c r="K1109"/>
  <c r="K1110"/>
  <c r="K1111"/>
  <c r="K1112"/>
  <c r="K1113"/>
  <c r="K1114"/>
  <c r="K1115"/>
  <c r="K1116"/>
  <c r="K1117"/>
  <c r="K1118"/>
  <c r="K1119"/>
  <c r="K1120"/>
  <c r="K1121"/>
  <c r="K1122"/>
  <c r="K1123"/>
  <c r="K1124"/>
  <c r="K1125"/>
  <c r="K1126"/>
  <c r="K1127"/>
  <c r="K1128"/>
  <c r="K1129"/>
  <c r="K1130"/>
  <c r="K1131"/>
  <c r="K1132"/>
  <c r="K1133"/>
  <c r="K1134"/>
  <c r="K1135"/>
  <c r="K1136"/>
  <c r="K1137"/>
  <c r="K1138"/>
  <c r="K1139"/>
  <c r="K1140"/>
  <c r="K1141"/>
  <c r="K1142"/>
  <c r="K1143"/>
  <c r="K1144"/>
  <c r="K1145"/>
  <c r="K1146"/>
  <c r="K1147"/>
  <c r="K1148"/>
  <c r="K1149"/>
  <c r="K1150"/>
  <c r="K1151"/>
  <c r="K1152"/>
  <c r="K1153"/>
  <c r="K1154"/>
  <c r="K1155"/>
  <c r="K1156"/>
  <c r="K1157"/>
  <c r="K1158"/>
  <c r="K1159"/>
  <c r="K1160"/>
  <c r="K1161"/>
  <c r="K1162"/>
  <c r="K1163"/>
  <c r="K1164"/>
  <c r="K1165"/>
  <c r="K1166"/>
  <c r="K1167"/>
  <c r="K1168"/>
  <c r="K1169"/>
  <c r="K1170"/>
  <c r="K1171"/>
  <c r="K1172"/>
  <c r="K1173"/>
  <c r="K1174"/>
  <c r="K1175"/>
  <c r="K1176"/>
  <c r="K1177"/>
  <c r="K1178"/>
  <c r="K1179"/>
  <c r="K1180"/>
  <c r="K1181"/>
  <c r="K1182"/>
  <c r="K1183"/>
  <c r="K1184"/>
  <c r="K1185"/>
  <c r="K1186"/>
  <c r="K1187"/>
  <c r="K1188"/>
  <c r="K1189"/>
  <c r="K1190"/>
  <c r="K1191"/>
  <c r="K1192"/>
  <c r="K1193"/>
  <c r="K1194"/>
  <c r="K1195"/>
  <c r="K1196"/>
  <c r="K1197"/>
  <c r="K1198"/>
  <c r="K1199"/>
  <c r="K1200"/>
  <c r="K1201"/>
  <c r="K1202"/>
  <c r="K1203"/>
  <c r="K1204"/>
  <c r="K1205"/>
  <c r="K1206"/>
  <c r="K1207"/>
  <c r="K1208"/>
  <c r="K1209"/>
  <c r="K1210"/>
  <c r="K1211"/>
  <c r="K1212"/>
  <c r="K1213"/>
  <c r="K1214"/>
  <c r="K1215"/>
  <c r="K1216"/>
  <c r="K1217"/>
  <c r="K1218"/>
  <c r="K1219"/>
  <c r="K1220"/>
  <c r="K1221"/>
  <c r="K1222"/>
  <c r="K1223"/>
  <c r="K1224"/>
  <c r="K1225"/>
  <c r="K1226"/>
  <c r="K1227"/>
  <c r="K1228"/>
  <c r="K1229"/>
  <c r="K1230"/>
  <c r="K1231"/>
  <c r="K1232"/>
  <c r="K1233"/>
  <c r="K1234"/>
  <c r="K1235"/>
  <c r="K1236"/>
  <c r="K1237"/>
  <c r="K1238"/>
  <c r="K1239"/>
  <c r="K1240"/>
  <c r="K1241"/>
  <c r="K1242"/>
  <c r="K1243"/>
  <c r="K1244"/>
  <c r="K1245"/>
  <c r="K1246"/>
  <c r="K1247"/>
  <c r="K1248"/>
  <c r="K1249"/>
  <c r="K1250"/>
  <c r="K1251"/>
  <c r="K1252"/>
  <c r="K1253"/>
  <c r="K1254"/>
  <c r="K1255"/>
  <c r="K1256"/>
  <c r="K1257"/>
  <c r="K1258"/>
  <c r="K1259"/>
  <c r="K1260"/>
  <c r="K1261"/>
  <c r="K1262"/>
  <c r="K1263"/>
  <c r="K1264"/>
  <c r="K1265"/>
  <c r="K1266"/>
  <c r="K1267"/>
  <c r="K1268"/>
  <c r="K1269"/>
  <c r="K1270"/>
  <c r="K1271"/>
  <c r="K1272"/>
  <c r="K1273"/>
  <c r="K1274"/>
  <c r="K1275"/>
  <c r="K1276"/>
  <c r="K1277"/>
  <c r="K1278"/>
  <c r="K1279"/>
  <c r="K1280"/>
  <c r="K1281"/>
  <c r="K1282"/>
  <c r="K1283"/>
  <c r="K1284"/>
  <c r="K1285"/>
  <c r="K1286"/>
  <c r="K1287"/>
  <c r="K1288"/>
  <c r="K1289"/>
  <c r="K1290"/>
  <c r="K1291"/>
  <c r="K1292"/>
  <c r="K1293"/>
  <c r="K1294"/>
  <c r="K1295"/>
  <c r="K1296"/>
  <c r="K1297"/>
  <c r="K1298"/>
  <c r="K1299"/>
  <c r="K1300"/>
  <c r="K1301"/>
  <c r="K1302"/>
  <c r="K1303"/>
  <c r="K1304"/>
  <c r="K1305"/>
  <c r="K1306"/>
  <c r="K1307"/>
  <c r="K1308"/>
  <c r="K1309"/>
  <c r="K1310"/>
  <c r="K1311"/>
  <c r="K1312"/>
  <c r="K1313"/>
  <c r="K1314"/>
  <c r="K1315"/>
  <c r="K1316"/>
  <c r="K1317"/>
  <c r="K1318"/>
  <c r="K1319"/>
  <c r="K1320"/>
  <c r="K1321"/>
  <c r="K1322"/>
  <c r="K1323"/>
  <c r="K1324"/>
  <c r="K1325"/>
  <c r="K1326"/>
  <c r="K1327"/>
  <c r="K1328"/>
  <c r="K1329"/>
  <c r="K1330"/>
  <c r="K1331"/>
  <c r="K1332"/>
  <c r="K1333"/>
  <c r="K1334"/>
  <c r="K1335"/>
  <c r="K1336"/>
  <c r="K1337"/>
  <c r="K1338"/>
  <c r="K1339"/>
  <c r="K1340"/>
  <c r="K1341"/>
  <c r="K1342"/>
  <c r="K1343"/>
  <c r="K1344"/>
  <c r="K1345"/>
  <c r="K1346"/>
  <c r="K1347"/>
  <c r="K1348"/>
  <c r="K1349"/>
  <c r="K1350"/>
  <c r="K1351"/>
  <c r="K1352"/>
  <c r="K1353"/>
  <c r="K1354"/>
  <c r="K1355"/>
  <c r="K1356"/>
  <c r="K1357"/>
  <c r="K1358"/>
  <c r="K1359"/>
  <c r="K1360"/>
  <c r="K1361"/>
  <c r="K1362"/>
  <c r="K1363"/>
  <c r="K1364"/>
  <c r="K1365"/>
  <c r="K1366"/>
  <c r="K1367"/>
  <c r="K1368"/>
  <c r="K1369"/>
  <c r="K1370"/>
  <c r="K1371"/>
  <c r="K1372"/>
  <c r="K1373"/>
  <c r="K1374"/>
  <c r="K1375"/>
  <c r="K1376"/>
  <c r="K1377"/>
  <c r="K1378"/>
  <c r="K1379"/>
  <c r="K1380"/>
  <c r="K1381"/>
  <c r="K1382"/>
  <c r="K1383"/>
  <c r="K1384"/>
  <c r="K1385"/>
  <c r="K1386"/>
  <c r="K1387"/>
  <c r="K1388"/>
  <c r="K1389"/>
  <c r="K1390"/>
  <c r="K1391"/>
  <c r="K1392"/>
  <c r="K1393"/>
  <c r="K1394"/>
  <c r="K1395"/>
  <c r="K1396"/>
  <c r="K1397"/>
  <c r="K1398"/>
  <c r="K1399"/>
  <c r="K1400"/>
  <c r="K1401"/>
  <c r="K1402"/>
  <c r="K1403"/>
  <c r="K1404"/>
  <c r="K1405"/>
  <c r="K1406"/>
  <c r="K1407"/>
  <c r="K1408"/>
  <c r="K1409"/>
  <c r="K1410"/>
  <c r="K1411"/>
  <c r="K1412"/>
  <c r="K1413"/>
  <c r="K1414"/>
  <c r="K1415"/>
  <c r="K1416"/>
  <c r="K1417"/>
  <c r="K1418"/>
  <c r="K1419"/>
  <c r="K1420"/>
  <c r="K1421"/>
  <c r="K1422"/>
  <c r="K1423"/>
  <c r="K1424"/>
  <c r="K1425"/>
  <c r="K1426"/>
  <c r="K1427"/>
  <c r="K1428"/>
  <c r="K1429"/>
  <c r="K1430"/>
  <c r="K1431"/>
  <c r="K1432"/>
  <c r="K1433"/>
  <c r="K1434"/>
  <c r="K1435"/>
  <c r="K1436"/>
  <c r="K1437"/>
  <c r="K1438"/>
  <c r="K1439"/>
  <c r="K1440"/>
  <c r="K1441"/>
  <c r="K1442"/>
  <c r="K1443"/>
  <c r="K1444"/>
  <c r="K1445"/>
  <c r="K1446"/>
  <c r="K1447"/>
  <c r="K1448"/>
  <c r="K1449"/>
  <c r="K1450"/>
  <c r="K1451"/>
  <c r="K1452"/>
  <c r="K1453"/>
  <c r="K1454"/>
  <c r="K1455"/>
  <c r="K1456"/>
  <c r="K1457"/>
  <c r="K1458"/>
  <c r="K1459"/>
  <c r="K1460"/>
  <c r="K1461"/>
  <c r="K1462"/>
  <c r="K1463"/>
  <c r="K1464"/>
  <c r="K1465"/>
  <c r="K1466"/>
  <c r="K1467"/>
  <c r="K1468"/>
  <c r="K1469"/>
  <c r="K1470"/>
  <c r="K1471"/>
  <c r="K1472"/>
  <c r="K1473"/>
  <c r="K1474"/>
  <c r="K1475"/>
  <c r="K1476"/>
  <c r="K1477"/>
  <c r="K1478"/>
  <c r="K1479"/>
  <c r="K1480"/>
  <c r="K1481"/>
  <c r="K1482"/>
  <c r="K1483"/>
  <c r="K1484"/>
  <c r="K1485"/>
  <c r="K1486"/>
  <c r="K1487"/>
  <c r="K1488"/>
  <c r="K1489"/>
  <c r="K1490"/>
  <c r="K1491"/>
  <c r="K1492"/>
  <c r="K1493"/>
  <c r="K1494"/>
  <c r="K1495"/>
  <c r="K1496"/>
  <c r="K1497"/>
  <c r="K1498"/>
  <c r="K1499"/>
  <c r="K1500"/>
  <c r="K1501"/>
  <c r="K1502"/>
  <c r="K1503"/>
  <c r="K1504"/>
  <c r="K1505"/>
  <c r="K1506"/>
  <c r="K1507"/>
  <c r="K1508"/>
  <c r="K1509"/>
  <c r="K1510"/>
  <c r="K1511"/>
  <c r="K1512"/>
  <c r="K1513"/>
  <c r="K1514"/>
  <c r="K1515"/>
  <c r="K1516"/>
  <c r="K1517"/>
  <c r="K1518"/>
  <c r="K1519"/>
  <c r="K1520"/>
  <c r="K1521"/>
  <c r="K1522"/>
  <c r="K1523"/>
  <c r="K1524"/>
  <c r="K1525"/>
  <c r="K1526"/>
  <c r="K1527"/>
  <c r="K1528"/>
  <c r="K1529"/>
  <c r="K1530"/>
  <c r="K1531"/>
  <c r="K1532"/>
  <c r="K1533"/>
  <c r="K1534"/>
  <c r="K1535"/>
  <c r="K1536"/>
  <c r="K1537"/>
  <c r="K1538"/>
  <c r="K1539"/>
  <c r="K1540"/>
  <c r="K1541"/>
  <c r="K1542"/>
  <c r="K1543"/>
  <c r="K1544"/>
  <c r="K1545"/>
  <c r="K1546"/>
  <c r="K1547"/>
  <c r="K1548"/>
  <c r="K1549"/>
  <c r="K1550"/>
  <c r="K1551"/>
  <c r="K1552"/>
  <c r="K1553"/>
  <c r="K1554"/>
  <c r="K1555"/>
  <c r="K1556"/>
  <c r="K1557"/>
  <c r="K1558"/>
  <c r="K1559"/>
  <c r="K1560"/>
  <c r="K1561"/>
  <c r="K1562"/>
  <c r="K1563"/>
  <c r="K1564"/>
  <c r="K1565"/>
  <c r="K1566"/>
  <c r="K1567"/>
  <c r="K1568"/>
  <c r="K1569"/>
  <c r="K1570"/>
  <c r="K1571"/>
  <c r="K1572"/>
  <c r="K1573"/>
  <c r="K1574"/>
  <c r="K1575"/>
  <c r="K1576"/>
  <c r="K1577"/>
  <c r="K1578"/>
  <c r="K1579"/>
  <c r="K1580"/>
  <c r="K1581"/>
  <c r="K1582"/>
  <c r="K1583"/>
  <c r="K1584"/>
  <c r="K1585"/>
  <c r="K1586"/>
  <c r="K1587"/>
  <c r="K1588"/>
  <c r="K1589"/>
  <c r="K1590"/>
  <c r="K1591"/>
  <c r="K1592"/>
  <c r="K1593"/>
  <c r="K1594"/>
  <c r="K1595"/>
  <c r="K1596"/>
  <c r="K1597"/>
  <c r="K1598"/>
  <c r="K1599"/>
  <c r="K1600"/>
  <c r="K1601"/>
  <c r="K1602"/>
  <c r="K1603"/>
  <c r="K1604"/>
  <c r="K1605"/>
  <c r="K1606"/>
  <c r="K1607"/>
  <c r="K1608"/>
  <c r="K1609"/>
  <c r="K1610"/>
  <c r="K1611"/>
  <c r="K1612"/>
  <c r="K1613"/>
  <c r="K1614"/>
  <c r="K1615"/>
  <c r="K1616"/>
  <c r="K1617"/>
  <c r="K1618"/>
  <c r="K1619"/>
  <c r="K1620"/>
  <c r="K1621"/>
  <c r="K1622"/>
  <c r="K1623"/>
  <c r="K1624"/>
  <c r="K1625"/>
  <c r="K1626"/>
  <c r="K1627"/>
  <c r="K1628"/>
  <c r="K1629"/>
  <c r="K1630"/>
  <c r="K1631"/>
  <c r="K1632"/>
  <c r="K1633"/>
  <c r="K1634"/>
  <c r="K1635"/>
  <c r="K1636"/>
  <c r="K1637"/>
  <c r="K1638"/>
  <c r="K1639"/>
  <c r="K1640"/>
  <c r="K1641"/>
  <c r="K1642"/>
  <c r="K1643"/>
  <c r="K1644"/>
  <c r="K1645"/>
  <c r="K1646"/>
  <c r="K1647"/>
  <c r="K1648"/>
  <c r="K1649"/>
  <c r="K1650"/>
  <c r="K1651"/>
  <c r="K1652"/>
  <c r="K1653"/>
  <c r="K1654"/>
  <c r="K1655"/>
  <c r="K1656"/>
  <c r="K1657"/>
  <c r="K1658"/>
  <c r="K1659"/>
  <c r="K1660"/>
  <c r="K1661"/>
  <c r="K1662"/>
  <c r="K1663"/>
  <c r="K1664"/>
  <c r="K1665"/>
  <c r="K1666"/>
  <c r="K1667"/>
  <c r="K1668"/>
  <c r="K1669"/>
  <c r="K1670"/>
  <c r="K1671"/>
  <c r="K1672"/>
  <c r="K1673"/>
  <c r="K1674"/>
  <c r="K1675"/>
  <c r="K1676"/>
  <c r="K1677"/>
  <c r="K1678"/>
  <c r="K1679"/>
  <c r="K1680"/>
  <c r="K1681"/>
  <c r="K1682"/>
  <c r="K1683"/>
  <c r="K1684"/>
  <c r="K1685"/>
  <c r="K1686"/>
  <c r="K1687"/>
  <c r="K1688"/>
  <c r="K1689"/>
  <c r="K1690"/>
  <c r="K1691"/>
  <c r="K1692"/>
  <c r="K1693"/>
  <c r="K1694"/>
  <c r="K1695"/>
  <c r="K1696"/>
  <c r="K1697"/>
  <c r="K1698"/>
  <c r="K1699"/>
  <c r="K1700"/>
  <c r="K1701"/>
  <c r="K1702"/>
  <c r="K1703"/>
  <c r="K1704"/>
  <c r="K1705"/>
  <c r="K1706"/>
  <c r="K1707"/>
  <c r="K1708"/>
  <c r="K1709"/>
  <c r="K1710"/>
  <c r="K1711"/>
  <c r="K1712"/>
  <c r="K1713"/>
  <c r="K1714"/>
  <c r="K1715"/>
  <c r="K1716"/>
  <c r="K1717"/>
  <c r="K1718"/>
  <c r="K1719"/>
  <c r="K1720"/>
  <c r="K1721"/>
  <c r="K1722"/>
  <c r="K1723"/>
  <c r="K1724"/>
  <c r="K1725"/>
  <c r="K1726"/>
  <c r="K1727"/>
  <c r="K1728"/>
  <c r="K1729"/>
  <c r="K1730"/>
  <c r="K1731"/>
  <c r="K1732"/>
  <c r="K1733"/>
  <c r="K1734"/>
  <c r="K1735"/>
  <c r="K1736"/>
  <c r="K1737"/>
  <c r="K1738"/>
  <c r="K1739"/>
  <c r="K1740"/>
  <c r="K1741"/>
  <c r="K1742"/>
  <c r="K1743"/>
  <c r="K1744"/>
  <c r="K1745"/>
  <c r="K1746"/>
  <c r="K1747"/>
  <c r="K1748"/>
  <c r="K1749"/>
  <c r="K1750"/>
  <c r="K1751"/>
  <c r="K1752"/>
  <c r="K1753"/>
  <c r="K1754"/>
  <c r="K1755"/>
  <c r="K1756"/>
  <c r="K1757"/>
  <c r="K1758"/>
  <c r="K1759"/>
  <c r="K1760"/>
  <c r="K1761"/>
  <c r="K1762"/>
  <c r="K1763"/>
  <c r="K1764"/>
  <c r="K1765"/>
  <c r="K1766"/>
  <c r="K1767"/>
  <c r="K1768"/>
  <c r="K1769"/>
  <c r="K1770"/>
  <c r="K1771"/>
  <c r="K1772"/>
  <c r="K1773"/>
  <c r="K1774"/>
  <c r="K1775"/>
  <c r="K1776"/>
  <c r="K1777"/>
  <c r="K1778"/>
  <c r="K1779"/>
  <c r="K1780"/>
  <c r="K1781"/>
  <c r="K1782"/>
  <c r="K1783"/>
  <c r="K1784"/>
  <c r="K1785"/>
  <c r="K1786"/>
  <c r="K1787"/>
  <c r="K1788"/>
  <c r="K1789"/>
  <c r="K1790"/>
  <c r="K1791"/>
  <c r="K1792"/>
  <c r="K1793"/>
  <c r="K1794"/>
  <c r="K1795"/>
  <c r="K1796"/>
  <c r="K1797"/>
  <c r="K1798"/>
  <c r="K1799"/>
  <c r="K1800"/>
  <c r="K1801"/>
  <c r="K1802"/>
  <c r="K1803"/>
  <c r="K1804"/>
  <c r="K1805"/>
  <c r="K1806"/>
  <c r="K1807"/>
  <c r="K1808"/>
  <c r="K1809"/>
  <c r="K1810"/>
  <c r="K1811"/>
  <c r="K1812"/>
  <c r="K1813"/>
  <c r="K1814"/>
  <c r="K1815"/>
  <c r="K1816"/>
  <c r="K1817"/>
  <c r="K1818"/>
  <c r="K1819"/>
  <c r="K1820"/>
  <c r="K1821"/>
  <c r="K1822"/>
  <c r="K1823"/>
  <c r="K1824"/>
  <c r="K1825"/>
  <c r="K1826"/>
  <c r="K1827"/>
  <c r="K1828"/>
  <c r="K1829"/>
  <c r="K1830"/>
  <c r="K1831"/>
  <c r="K1832"/>
  <c r="K1833"/>
  <c r="K1834"/>
  <c r="K1835"/>
  <c r="K1836"/>
  <c r="K1837"/>
  <c r="K1838"/>
  <c r="K1839"/>
  <c r="K1840"/>
  <c r="K1841"/>
  <c r="K1842"/>
  <c r="K1843"/>
  <c r="K1844"/>
  <c r="K1845"/>
  <c r="K1846"/>
  <c r="K1847"/>
  <c r="K1848"/>
  <c r="K1849"/>
  <c r="K1850"/>
  <c r="K1851"/>
  <c r="K1852"/>
  <c r="K1853"/>
  <c r="K1854"/>
  <c r="K1855"/>
  <c r="K1856"/>
  <c r="K1857"/>
  <c r="K1858"/>
  <c r="K1859"/>
  <c r="K1860"/>
  <c r="K1861"/>
  <c r="K1862"/>
  <c r="K1863"/>
  <c r="K1864"/>
  <c r="K1865"/>
  <c r="K1866"/>
  <c r="K1867"/>
  <c r="K1868"/>
  <c r="K1869"/>
  <c r="K1870"/>
  <c r="K1871"/>
  <c r="K1872"/>
  <c r="K1873"/>
  <c r="K1874"/>
  <c r="K1875"/>
  <c r="K1876"/>
  <c r="K1877"/>
  <c r="K1878"/>
  <c r="K1879"/>
  <c r="K1880"/>
  <c r="K1881"/>
  <c r="K1882"/>
  <c r="K1883"/>
  <c r="K1884"/>
  <c r="K1885"/>
  <c r="K1886"/>
  <c r="K1887"/>
  <c r="K1888"/>
  <c r="K1889"/>
  <c r="K1890"/>
  <c r="K1891"/>
  <c r="K1892"/>
  <c r="K1893"/>
  <c r="K1894"/>
  <c r="K1895"/>
  <c r="K1896"/>
  <c r="K1897"/>
  <c r="K1898"/>
  <c r="K1899"/>
  <c r="K1900"/>
  <c r="K1901"/>
  <c r="K1902"/>
  <c r="K1903"/>
  <c r="K1904"/>
  <c r="K1905"/>
  <c r="K1906"/>
  <c r="K1907"/>
  <c r="K1908"/>
  <c r="K1909"/>
  <c r="K1910"/>
  <c r="K1911"/>
  <c r="K1912"/>
  <c r="K1913"/>
  <c r="K1914"/>
  <c r="K1915"/>
  <c r="K1916"/>
  <c r="K1917"/>
  <c r="K1918"/>
  <c r="K1919"/>
  <c r="K1920"/>
  <c r="K1921"/>
  <c r="K1922"/>
  <c r="K1923"/>
  <c r="K1924"/>
  <c r="K1925"/>
  <c r="K1926"/>
  <c r="K1927"/>
  <c r="K1928"/>
  <c r="K1929"/>
  <c r="K1930"/>
  <c r="K1931"/>
  <c r="K1932"/>
  <c r="K1933"/>
  <c r="K1934"/>
  <c r="K1935"/>
  <c r="K1936"/>
  <c r="K1937"/>
  <c r="K1938"/>
  <c r="K1939"/>
  <c r="K1940"/>
  <c r="K1941"/>
  <c r="K1942"/>
  <c r="K1943"/>
  <c r="K1944"/>
  <c r="K1945"/>
  <c r="K1946"/>
  <c r="K1947"/>
  <c r="K1948"/>
  <c r="K1949"/>
  <c r="K1950"/>
  <c r="K1951"/>
  <c r="K1952"/>
  <c r="K1953"/>
  <c r="K1954"/>
  <c r="K1955"/>
  <c r="K1956"/>
  <c r="K1957"/>
  <c r="K1958"/>
  <c r="K1959"/>
  <c r="K1960"/>
  <c r="K1961"/>
  <c r="K1962"/>
  <c r="K1963"/>
  <c r="K1964"/>
  <c r="K1965"/>
  <c r="K1966"/>
  <c r="K1967"/>
  <c r="K1968"/>
  <c r="K1969"/>
  <c r="K1970"/>
  <c r="K1971"/>
  <c r="K1972"/>
  <c r="K1973"/>
  <c r="K1974"/>
  <c r="K1975"/>
  <c r="K1976"/>
  <c r="K1977"/>
  <c r="K1978"/>
  <c r="K1979"/>
  <c r="K1980"/>
  <c r="K1981"/>
  <c r="K1982"/>
  <c r="K1983"/>
  <c r="K1984"/>
  <c r="K1985"/>
  <c r="K1986"/>
  <c r="K1987"/>
  <c r="K1988"/>
  <c r="K1989"/>
  <c r="K1990"/>
  <c r="K1991"/>
  <c r="K1992"/>
  <c r="K1993"/>
  <c r="K1994"/>
  <c r="K1995"/>
  <c r="K1996"/>
  <c r="K1997"/>
  <c r="K1998"/>
  <c r="K1999"/>
  <c r="K2000"/>
  <c r="J3"/>
  <c r="J4"/>
  <c r="J5"/>
  <c r="J6"/>
  <c r="J7"/>
  <c r="J8"/>
  <c r="J9"/>
  <c r="J10"/>
  <c r="J11"/>
  <c r="J12"/>
  <c r="J13"/>
  <c r="J14"/>
  <c r="J15"/>
  <c r="J16"/>
  <c r="J17"/>
  <c r="J18"/>
  <c r="J19"/>
  <c r="J20"/>
  <c r="J21"/>
  <c r="J22"/>
  <c r="J23"/>
  <c r="J24"/>
  <c r="J25"/>
  <c r="J26"/>
  <c r="J27"/>
  <c r="J28"/>
  <c r="J29"/>
  <c r="J30"/>
  <c r="J31"/>
  <c r="J32"/>
  <c r="J33"/>
  <c r="J34"/>
  <c r="J35"/>
  <c r="J36"/>
  <c r="J37"/>
  <c r="J38"/>
  <c r="J39"/>
  <c r="J40"/>
  <c r="J41"/>
  <c r="J42"/>
  <c r="J43"/>
  <c r="J44"/>
  <c r="J45"/>
  <c r="J46"/>
  <c r="J47"/>
  <c r="J48"/>
  <c r="J49"/>
  <c r="J50"/>
  <c r="J51"/>
  <c r="J52"/>
  <c r="J53"/>
  <c r="J54"/>
  <c r="J55"/>
  <c r="J56"/>
  <c r="J57"/>
  <c r="J58"/>
  <c r="J59"/>
  <c r="J60"/>
  <c r="J61"/>
  <c r="J62"/>
  <c r="J63"/>
  <c r="J64"/>
  <c r="J65"/>
  <c r="J66"/>
  <c r="J67"/>
  <c r="J68"/>
  <c r="J69"/>
  <c r="J70"/>
  <c r="J71"/>
  <c r="J72"/>
  <c r="J73"/>
  <c r="J74"/>
  <c r="J75"/>
  <c r="J76"/>
  <c r="J77"/>
  <c r="J78"/>
  <c r="J79"/>
  <c r="J80"/>
  <c r="J81"/>
  <c r="J82"/>
  <c r="J83"/>
  <c r="J84"/>
  <c r="J85"/>
  <c r="J86"/>
  <c r="J87"/>
  <c r="J88"/>
  <c r="J89"/>
  <c r="J90"/>
  <c r="J91"/>
  <c r="J92"/>
  <c r="J93"/>
  <c r="J94"/>
  <c r="J95"/>
  <c r="J96"/>
  <c r="J97"/>
  <c r="J98"/>
  <c r="J99"/>
  <c r="J100"/>
  <c r="J101"/>
  <c r="J102"/>
  <c r="J103"/>
  <c r="J104"/>
  <c r="J105"/>
  <c r="J106"/>
  <c r="J107"/>
  <c r="J108"/>
  <c r="J109"/>
  <c r="J110"/>
  <c r="J111"/>
  <c r="J112"/>
  <c r="J113"/>
  <c r="J114"/>
  <c r="J115"/>
  <c r="J116"/>
  <c r="J117"/>
  <c r="J118"/>
  <c r="J119"/>
  <c r="J120"/>
  <c r="J121"/>
  <c r="J122"/>
  <c r="J123"/>
  <c r="J124"/>
  <c r="J125"/>
  <c r="J126"/>
  <c r="J127"/>
  <c r="J128"/>
  <c r="J129"/>
  <c r="J130"/>
  <c r="J131"/>
  <c r="J132"/>
  <c r="J133"/>
  <c r="J134"/>
  <c r="J135"/>
  <c r="J136"/>
  <c r="J137"/>
  <c r="J138"/>
  <c r="J139"/>
  <c r="J140"/>
  <c r="J141"/>
  <c r="J142"/>
  <c r="J143"/>
  <c r="J144"/>
  <c r="J145"/>
  <c r="J146"/>
  <c r="J147"/>
  <c r="J148"/>
  <c r="J149"/>
  <c r="J150"/>
  <c r="J151"/>
  <c r="J152"/>
  <c r="J153"/>
  <c r="J154"/>
  <c r="J155"/>
  <c r="J156"/>
  <c r="J157"/>
  <c r="J158"/>
  <c r="J159"/>
  <c r="J160"/>
  <c r="J161"/>
  <c r="J162"/>
  <c r="J163"/>
  <c r="J164"/>
  <c r="J165"/>
  <c r="J166"/>
  <c r="J167"/>
  <c r="J168"/>
  <c r="J169"/>
  <c r="J170"/>
  <c r="J171"/>
  <c r="J172"/>
  <c r="J173"/>
  <c r="J174"/>
  <c r="J175"/>
  <c r="J176"/>
  <c r="J177"/>
  <c r="J178"/>
  <c r="J179"/>
  <c r="J180"/>
  <c r="J181"/>
  <c r="J182"/>
  <c r="J183"/>
  <c r="J184"/>
  <c r="J185"/>
  <c r="J186"/>
  <c r="J187"/>
  <c r="J188"/>
  <c r="J189"/>
  <c r="J190"/>
  <c r="J191"/>
  <c r="J192"/>
  <c r="J193"/>
  <c r="J194"/>
  <c r="J195"/>
  <c r="J196"/>
  <c r="J197"/>
  <c r="J198"/>
  <c r="J199"/>
  <c r="J200"/>
  <c r="J201"/>
  <c r="J202"/>
  <c r="J203"/>
  <c r="J204"/>
  <c r="J205"/>
  <c r="J206"/>
  <c r="J207"/>
  <c r="J208"/>
  <c r="J209"/>
  <c r="J210"/>
  <c r="J211"/>
  <c r="J212"/>
  <c r="J213"/>
  <c r="J214"/>
  <c r="J215"/>
  <c r="J216"/>
  <c r="J217"/>
  <c r="J218"/>
  <c r="J219"/>
  <c r="J220"/>
  <c r="J221"/>
  <c r="J222"/>
  <c r="J223"/>
  <c r="J224"/>
  <c r="J225"/>
  <c r="J226"/>
  <c r="J227"/>
  <c r="J228"/>
  <c r="J229"/>
  <c r="J230"/>
  <c r="J231"/>
  <c r="J232"/>
  <c r="J233"/>
  <c r="J234"/>
  <c r="J235"/>
  <c r="J236"/>
  <c r="J237"/>
  <c r="J238"/>
  <c r="J239"/>
  <c r="J240"/>
  <c r="J241"/>
  <c r="J242"/>
  <c r="J243"/>
  <c r="J244"/>
  <c r="J245"/>
  <c r="J246"/>
  <c r="J247"/>
  <c r="J248"/>
  <c r="J249"/>
  <c r="J250"/>
  <c r="J251"/>
  <c r="J252"/>
  <c r="J253"/>
  <c r="J254"/>
  <c r="J255"/>
  <c r="J256"/>
  <c r="J257"/>
  <c r="J258"/>
  <c r="J259"/>
  <c r="J260"/>
  <c r="J261"/>
  <c r="J262"/>
  <c r="J263"/>
  <c r="J264"/>
  <c r="J265"/>
  <c r="J266"/>
  <c r="J267"/>
  <c r="J268"/>
  <c r="J269"/>
  <c r="J270"/>
  <c r="J271"/>
  <c r="J272"/>
  <c r="J273"/>
  <c r="J274"/>
  <c r="J275"/>
  <c r="J276"/>
  <c r="J277"/>
  <c r="J278"/>
  <c r="J279"/>
  <c r="J280"/>
  <c r="J281"/>
  <c r="J282"/>
  <c r="J283"/>
  <c r="J284"/>
  <c r="J285"/>
  <c r="J286"/>
  <c r="J287"/>
  <c r="J288"/>
  <c r="J289"/>
  <c r="J290"/>
  <c r="J291"/>
  <c r="J292"/>
  <c r="J293"/>
  <c r="J294"/>
  <c r="J295"/>
  <c r="J296"/>
  <c r="J297"/>
  <c r="J298"/>
  <c r="J299"/>
  <c r="J300"/>
  <c r="J301"/>
  <c r="J302"/>
  <c r="J303"/>
  <c r="J304"/>
  <c r="J305"/>
  <c r="J306"/>
  <c r="J307"/>
  <c r="J308"/>
  <c r="J309"/>
  <c r="J310"/>
  <c r="J311"/>
  <c r="J312"/>
  <c r="J313"/>
  <c r="J314"/>
  <c r="J315"/>
  <c r="J316"/>
  <c r="J317"/>
  <c r="J318"/>
  <c r="J319"/>
  <c r="J320"/>
  <c r="J321"/>
  <c r="J322"/>
  <c r="J323"/>
  <c r="J324"/>
  <c r="J325"/>
  <c r="J326"/>
  <c r="J327"/>
  <c r="J328"/>
  <c r="J329"/>
  <c r="J330"/>
  <c r="J331"/>
  <c r="J332"/>
  <c r="J333"/>
  <c r="J334"/>
  <c r="J335"/>
  <c r="J336"/>
  <c r="J337"/>
  <c r="J338"/>
  <c r="J339"/>
  <c r="J340"/>
  <c r="J341"/>
  <c r="J342"/>
  <c r="J343"/>
  <c r="J344"/>
  <c r="J345"/>
  <c r="J346"/>
  <c r="J347"/>
  <c r="J348"/>
  <c r="J349"/>
  <c r="J350"/>
  <c r="J351"/>
  <c r="J352"/>
  <c r="J353"/>
  <c r="J354"/>
  <c r="J355"/>
  <c r="J356"/>
  <c r="J357"/>
  <c r="J358"/>
  <c r="J359"/>
  <c r="J360"/>
  <c r="J361"/>
  <c r="J362"/>
  <c r="J363"/>
  <c r="J364"/>
  <c r="J365"/>
  <c r="J366"/>
  <c r="J367"/>
  <c r="J368"/>
  <c r="J369"/>
  <c r="J370"/>
  <c r="J371"/>
  <c r="J372"/>
  <c r="J373"/>
  <c r="J374"/>
  <c r="J375"/>
  <c r="J376"/>
  <c r="J377"/>
  <c r="J378"/>
  <c r="J379"/>
  <c r="J380"/>
  <c r="J381"/>
  <c r="J382"/>
  <c r="J383"/>
  <c r="J384"/>
  <c r="J385"/>
  <c r="J386"/>
  <c r="J387"/>
  <c r="J388"/>
  <c r="J389"/>
  <c r="J390"/>
  <c r="J391"/>
  <c r="J392"/>
  <c r="J393"/>
  <c r="J394"/>
  <c r="J395"/>
  <c r="J396"/>
  <c r="J397"/>
  <c r="J398"/>
  <c r="J399"/>
  <c r="J400"/>
  <c r="J401"/>
  <c r="J402"/>
  <c r="J403"/>
  <c r="J404"/>
  <c r="J405"/>
  <c r="J406"/>
  <c r="J407"/>
  <c r="J408"/>
  <c r="J409"/>
  <c r="J410"/>
  <c r="J411"/>
  <c r="J412"/>
  <c r="J413"/>
  <c r="J414"/>
  <c r="J415"/>
  <c r="J416"/>
  <c r="J417"/>
  <c r="J418"/>
  <c r="J419"/>
  <c r="J420"/>
  <c r="J421"/>
  <c r="J422"/>
  <c r="J423"/>
  <c r="J424"/>
  <c r="J425"/>
  <c r="J426"/>
  <c r="J427"/>
  <c r="J428"/>
  <c r="J429"/>
  <c r="J430"/>
  <c r="J431"/>
  <c r="J432"/>
  <c r="J433"/>
  <c r="J434"/>
  <c r="J435"/>
  <c r="J436"/>
  <c r="J437"/>
  <c r="J438"/>
  <c r="J439"/>
  <c r="J440"/>
  <c r="J441"/>
  <c r="J442"/>
  <c r="J443"/>
  <c r="J444"/>
  <c r="J445"/>
  <c r="J446"/>
  <c r="J447"/>
  <c r="J448"/>
  <c r="J449"/>
  <c r="J450"/>
  <c r="J451"/>
  <c r="J452"/>
  <c r="J453"/>
  <c r="J454"/>
  <c r="J455"/>
  <c r="J456"/>
  <c r="J457"/>
  <c r="J458"/>
  <c r="J459"/>
  <c r="J460"/>
  <c r="J461"/>
  <c r="J462"/>
  <c r="J463"/>
  <c r="J464"/>
  <c r="J465"/>
  <c r="J466"/>
  <c r="J467"/>
  <c r="J468"/>
  <c r="J469"/>
  <c r="J470"/>
  <c r="J471"/>
  <c r="J472"/>
  <c r="J473"/>
  <c r="J474"/>
  <c r="J475"/>
  <c r="J476"/>
  <c r="J477"/>
  <c r="J478"/>
  <c r="J479"/>
  <c r="J480"/>
  <c r="J481"/>
  <c r="J482"/>
  <c r="J483"/>
  <c r="J484"/>
  <c r="J485"/>
  <c r="J486"/>
  <c r="J487"/>
  <c r="J488"/>
  <c r="J489"/>
  <c r="J490"/>
  <c r="J491"/>
  <c r="J492"/>
  <c r="J493"/>
  <c r="J494"/>
  <c r="J495"/>
  <c r="J496"/>
  <c r="J497"/>
  <c r="J498"/>
  <c r="J499"/>
  <c r="J500"/>
  <c r="J501"/>
  <c r="J502"/>
  <c r="J503"/>
  <c r="J504"/>
  <c r="J505"/>
  <c r="J506"/>
  <c r="J507"/>
  <c r="J508"/>
  <c r="J509"/>
  <c r="J510"/>
  <c r="J511"/>
  <c r="J512"/>
  <c r="J513"/>
  <c r="J514"/>
  <c r="J515"/>
  <c r="J516"/>
  <c r="J517"/>
  <c r="J518"/>
  <c r="J519"/>
  <c r="J520"/>
  <c r="J521"/>
  <c r="J522"/>
  <c r="J523"/>
  <c r="J524"/>
  <c r="J525"/>
  <c r="J526"/>
  <c r="J527"/>
  <c r="J528"/>
  <c r="J529"/>
  <c r="J530"/>
  <c r="J531"/>
  <c r="J532"/>
  <c r="J533"/>
  <c r="J534"/>
  <c r="J535"/>
  <c r="J536"/>
  <c r="J537"/>
  <c r="J538"/>
  <c r="J539"/>
  <c r="J540"/>
  <c r="J541"/>
  <c r="J542"/>
  <c r="J543"/>
  <c r="J544"/>
  <c r="J545"/>
  <c r="J546"/>
  <c r="J547"/>
  <c r="J548"/>
  <c r="J549"/>
  <c r="J550"/>
  <c r="J551"/>
  <c r="J552"/>
  <c r="J553"/>
  <c r="J554"/>
  <c r="J555"/>
  <c r="J556"/>
  <c r="J557"/>
  <c r="J558"/>
  <c r="J559"/>
  <c r="J560"/>
  <c r="J561"/>
  <c r="J562"/>
  <c r="J563"/>
  <c r="J564"/>
  <c r="J565"/>
  <c r="J566"/>
  <c r="J567"/>
  <c r="J568"/>
  <c r="J569"/>
  <c r="J570"/>
  <c r="J571"/>
  <c r="J572"/>
  <c r="J573"/>
  <c r="J574"/>
  <c r="J575"/>
  <c r="J576"/>
  <c r="J577"/>
  <c r="J578"/>
  <c r="J579"/>
  <c r="J580"/>
  <c r="J581"/>
  <c r="J582"/>
  <c r="J583"/>
  <c r="J584"/>
  <c r="J585"/>
  <c r="J586"/>
  <c r="J587"/>
  <c r="J588"/>
  <c r="J589"/>
  <c r="J590"/>
  <c r="J591"/>
  <c r="J592"/>
  <c r="J593"/>
  <c r="J594"/>
  <c r="J595"/>
  <c r="J596"/>
  <c r="J597"/>
  <c r="J598"/>
  <c r="J599"/>
  <c r="J600"/>
  <c r="J601"/>
  <c r="J602"/>
  <c r="J603"/>
  <c r="J604"/>
  <c r="J605"/>
  <c r="J606"/>
  <c r="J607"/>
  <c r="J608"/>
  <c r="J609"/>
  <c r="J610"/>
  <c r="J611"/>
  <c r="J612"/>
  <c r="J613"/>
  <c r="J614"/>
  <c r="J615"/>
  <c r="J616"/>
  <c r="J617"/>
  <c r="J618"/>
  <c r="J619"/>
  <c r="J620"/>
  <c r="J621"/>
  <c r="J622"/>
  <c r="J623"/>
  <c r="J624"/>
  <c r="J625"/>
  <c r="J626"/>
  <c r="J627"/>
  <c r="J628"/>
  <c r="J629"/>
  <c r="J630"/>
  <c r="J631"/>
  <c r="J632"/>
  <c r="J633"/>
  <c r="J634"/>
  <c r="J635"/>
  <c r="J636"/>
  <c r="J637"/>
  <c r="J638"/>
  <c r="J639"/>
  <c r="J640"/>
  <c r="J641"/>
  <c r="J642"/>
  <c r="J643"/>
  <c r="J644"/>
  <c r="J645"/>
  <c r="J646"/>
  <c r="J647"/>
  <c r="J648"/>
  <c r="J649"/>
  <c r="J650"/>
  <c r="J651"/>
  <c r="J652"/>
  <c r="J653"/>
  <c r="J654"/>
  <c r="J655"/>
  <c r="J656"/>
  <c r="J657"/>
  <c r="J658"/>
  <c r="J659"/>
  <c r="J660"/>
  <c r="J661"/>
  <c r="J662"/>
  <c r="J663"/>
  <c r="J664"/>
  <c r="J665"/>
  <c r="J666"/>
  <c r="J667"/>
  <c r="J668"/>
  <c r="J669"/>
  <c r="J670"/>
  <c r="J671"/>
  <c r="J672"/>
  <c r="J673"/>
  <c r="J674"/>
  <c r="J675"/>
  <c r="J676"/>
  <c r="J677"/>
  <c r="J678"/>
  <c r="J679"/>
  <c r="J680"/>
  <c r="J681"/>
  <c r="J682"/>
  <c r="J683"/>
  <c r="J684"/>
  <c r="J685"/>
  <c r="J686"/>
  <c r="J687"/>
  <c r="J688"/>
  <c r="J689"/>
  <c r="J690"/>
  <c r="J691"/>
  <c r="J692"/>
  <c r="J693"/>
  <c r="J694"/>
  <c r="J695"/>
  <c r="J696"/>
  <c r="J697"/>
  <c r="J698"/>
  <c r="J699"/>
  <c r="J700"/>
  <c r="J701"/>
  <c r="J702"/>
  <c r="J703"/>
  <c r="J704"/>
  <c r="J705"/>
  <c r="J706"/>
  <c r="J707"/>
  <c r="J708"/>
  <c r="J709"/>
  <c r="J710"/>
  <c r="J711"/>
  <c r="J712"/>
  <c r="J713"/>
  <c r="J714"/>
  <c r="J715"/>
  <c r="J716"/>
  <c r="J717"/>
  <c r="J718"/>
  <c r="J719"/>
  <c r="J720"/>
  <c r="J721"/>
  <c r="J722"/>
  <c r="J723"/>
  <c r="J724"/>
  <c r="J725"/>
  <c r="J726"/>
  <c r="J727"/>
  <c r="J728"/>
  <c r="J729"/>
  <c r="J730"/>
  <c r="J731"/>
  <c r="J732"/>
  <c r="J733"/>
  <c r="J734"/>
  <c r="J735"/>
  <c r="J736"/>
  <c r="J737"/>
  <c r="J738"/>
  <c r="J739"/>
  <c r="J740"/>
  <c r="J741"/>
  <c r="J742"/>
  <c r="J743"/>
  <c r="J744"/>
  <c r="J745"/>
  <c r="J746"/>
  <c r="J747"/>
  <c r="J748"/>
  <c r="J749"/>
  <c r="J750"/>
  <c r="J751"/>
  <c r="J752"/>
  <c r="J753"/>
  <c r="J754"/>
  <c r="J755"/>
  <c r="J756"/>
  <c r="J757"/>
  <c r="J758"/>
  <c r="J759"/>
  <c r="J760"/>
  <c r="J761"/>
  <c r="J762"/>
  <c r="J763"/>
  <c r="J764"/>
  <c r="J765"/>
  <c r="J766"/>
  <c r="J767"/>
  <c r="J768"/>
  <c r="J769"/>
  <c r="J770"/>
  <c r="J771"/>
  <c r="J772"/>
  <c r="J773"/>
  <c r="J774"/>
  <c r="J775"/>
  <c r="J776"/>
  <c r="J777"/>
  <c r="J778"/>
  <c r="J779"/>
  <c r="J780"/>
  <c r="J781"/>
  <c r="J782"/>
  <c r="J783"/>
  <c r="J784"/>
  <c r="J785"/>
  <c r="J786"/>
  <c r="J787"/>
  <c r="J788"/>
  <c r="J789"/>
  <c r="J790"/>
  <c r="J791"/>
  <c r="J792"/>
  <c r="J793"/>
  <c r="J794"/>
  <c r="J795"/>
  <c r="J796"/>
  <c r="J797"/>
  <c r="J798"/>
  <c r="J799"/>
  <c r="J800"/>
  <c r="J801"/>
  <c r="J802"/>
  <c r="J803"/>
  <c r="J804"/>
  <c r="J805"/>
  <c r="J806"/>
  <c r="J807"/>
  <c r="J808"/>
  <c r="J809"/>
  <c r="J810"/>
  <c r="J811"/>
  <c r="J812"/>
  <c r="J813"/>
  <c r="J814"/>
  <c r="J815"/>
  <c r="J816"/>
  <c r="J817"/>
  <c r="J818"/>
  <c r="J819"/>
  <c r="J820"/>
  <c r="J821"/>
  <c r="J822"/>
  <c r="J823"/>
  <c r="J824"/>
  <c r="J825"/>
  <c r="J826"/>
  <c r="J827"/>
  <c r="J828"/>
  <c r="J829"/>
  <c r="J830"/>
  <c r="J831"/>
  <c r="J832"/>
  <c r="J833"/>
  <c r="J834"/>
  <c r="J835"/>
  <c r="J836"/>
  <c r="J837"/>
  <c r="J838"/>
  <c r="J839"/>
  <c r="J840"/>
  <c r="J841"/>
  <c r="J842"/>
  <c r="J843"/>
  <c r="J844"/>
  <c r="J845"/>
  <c r="J846"/>
  <c r="J847"/>
  <c r="J848"/>
  <c r="J849"/>
  <c r="J850"/>
  <c r="J851"/>
  <c r="J852"/>
  <c r="J853"/>
  <c r="J854"/>
  <c r="J855"/>
  <c r="J856"/>
  <c r="J857"/>
  <c r="J858"/>
  <c r="J859"/>
  <c r="J860"/>
  <c r="J861"/>
  <c r="J862"/>
  <c r="J863"/>
  <c r="J864"/>
  <c r="J865"/>
  <c r="J866"/>
  <c r="J867"/>
  <c r="J868"/>
  <c r="J869"/>
  <c r="J870"/>
  <c r="J871"/>
  <c r="J872"/>
  <c r="J873"/>
  <c r="J874"/>
  <c r="J875"/>
  <c r="J876"/>
  <c r="J877"/>
  <c r="J878"/>
  <c r="J879"/>
  <c r="J880"/>
  <c r="J881"/>
  <c r="J882"/>
  <c r="J883"/>
  <c r="J884"/>
  <c r="J885"/>
  <c r="J886"/>
  <c r="J887"/>
  <c r="J888"/>
  <c r="J889"/>
  <c r="J890"/>
  <c r="J891"/>
  <c r="J892"/>
  <c r="J893"/>
  <c r="J894"/>
  <c r="J895"/>
  <c r="J896"/>
  <c r="J897"/>
  <c r="J898"/>
  <c r="J899"/>
  <c r="J900"/>
  <c r="J901"/>
  <c r="J902"/>
  <c r="J903"/>
  <c r="J904"/>
  <c r="J905"/>
  <c r="J906"/>
  <c r="J907"/>
  <c r="J908"/>
  <c r="J909"/>
  <c r="J910"/>
  <c r="J911"/>
  <c r="J912"/>
  <c r="J913"/>
  <c r="J914"/>
  <c r="J915"/>
  <c r="J916"/>
  <c r="J917"/>
  <c r="J918"/>
  <c r="J919"/>
  <c r="J920"/>
  <c r="J921"/>
  <c r="J922"/>
  <c r="J923"/>
  <c r="J924"/>
  <c r="J925"/>
  <c r="J926"/>
  <c r="J927"/>
  <c r="J928"/>
  <c r="J929"/>
  <c r="J930"/>
  <c r="J931"/>
  <c r="J932"/>
  <c r="J933"/>
  <c r="J934"/>
  <c r="J935"/>
  <c r="J936"/>
  <c r="J937"/>
  <c r="J938"/>
  <c r="J939"/>
  <c r="J940"/>
  <c r="J941"/>
  <c r="J942"/>
  <c r="J943"/>
  <c r="J944"/>
  <c r="J945"/>
  <c r="J946"/>
  <c r="J947"/>
  <c r="J948"/>
  <c r="J949"/>
  <c r="J950"/>
  <c r="J951"/>
  <c r="J952"/>
  <c r="J953"/>
  <c r="J954"/>
  <c r="J955"/>
  <c r="J956"/>
  <c r="J957"/>
  <c r="J958"/>
  <c r="J959"/>
  <c r="J960"/>
  <c r="J961"/>
  <c r="J962"/>
  <c r="J963"/>
  <c r="J964"/>
  <c r="J965"/>
  <c r="J966"/>
  <c r="J967"/>
  <c r="J968"/>
  <c r="J969"/>
  <c r="J970"/>
  <c r="J971"/>
  <c r="J972"/>
  <c r="J973"/>
  <c r="J974"/>
  <c r="J975"/>
  <c r="J976"/>
  <c r="J977"/>
  <c r="J978"/>
  <c r="J979"/>
  <c r="J980"/>
  <c r="J981"/>
  <c r="J982"/>
  <c r="J983"/>
  <c r="J984"/>
  <c r="J985"/>
  <c r="J986"/>
  <c r="J987"/>
  <c r="J988"/>
  <c r="J989"/>
  <c r="J990"/>
  <c r="J991"/>
  <c r="J992"/>
  <c r="J993"/>
  <c r="J994"/>
  <c r="J995"/>
  <c r="J996"/>
  <c r="J997"/>
  <c r="J998"/>
  <c r="J999"/>
  <c r="J1000"/>
  <c r="J1001"/>
  <c r="J1002"/>
  <c r="J1003"/>
  <c r="J1004"/>
  <c r="J1005"/>
  <c r="J1006"/>
  <c r="J1007"/>
  <c r="J1008"/>
  <c r="J1009"/>
  <c r="J1010"/>
  <c r="J1011"/>
  <c r="J1012"/>
  <c r="J1013"/>
  <c r="J1014"/>
  <c r="J1015"/>
  <c r="J1016"/>
  <c r="J1017"/>
  <c r="J1018"/>
  <c r="J1019"/>
  <c r="J1020"/>
  <c r="J1021"/>
  <c r="J1022"/>
  <c r="J1023"/>
  <c r="J1024"/>
  <c r="J1025"/>
  <c r="J1026"/>
  <c r="J1027"/>
  <c r="J1028"/>
  <c r="J1029"/>
  <c r="J1030"/>
  <c r="J1031"/>
  <c r="J1032"/>
  <c r="J1033"/>
  <c r="J1034"/>
  <c r="J1035"/>
  <c r="J1036"/>
  <c r="J1037"/>
  <c r="J1038"/>
  <c r="J1039"/>
  <c r="J1040"/>
  <c r="J1041"/>
  <c r="J1042"/>
  <c r="J1043"/>
  <c r="J1044"/>
  <c r="J1045"/>
  <c r="J1046"/>
  <c r="J1047"/>
  <c r="J1048"/>
  <c r="J1049"/>
  <c r="J1050"/>
  <c r="J1051"/>
  <c r="J1052"/>
  <c r="J1053"/>
  <c r="J1054"/>
  <c r="J1055"/>
  <c r="J1056"/>
  <c r="J1057"/>
  <c r="J1058"/>
  <c r="J1059"/>
  <c r="J1060"/>
  <c r="J1061"/>
  <c r="J1062"/>
  <c r="J1063"/>
  <c r="J1064"/>
  <c r="J1065"/>
  <c r="J1066"/>
  <c r="J1067"/>
  <c r="J1068"/>
  <c r="J1069"/>
  <c r="J1070"/>
  <c r="J1071"/>
  <c r="J1072"/>
  <c r="J1073"/>
  <c r="J1074"/>
  <c r="J1075"/>
  <c r="J1076"/>
  <c r="J1077"/>
  <c r="J1078"/>
  <c r="J1079"/>
  <c r="J1080"/>
  <c r="J1081"/>
  <c r="J1082"/>
  <c r="J1083"/>
  <c r="J1084"/>
  <c r="J1085"/>
  <c r="J1086"/>
  <c r="J1087"/>
  <c r="J1088"/>
  <c r="J1089"/>
  <c r="J1090"/>
  <c r="J1091"/>
  <c r="J1092"/>
  <c r="J1093"/>
  <c r="J1094"/>
  <c r="J1095"/>
  <c r="J1096"/>
  <c r="J1097"/>
  <c r="J1098"/>
  <c r="J1099"/>
  <c r="J1100"/>
  <c r="J1101"/>
  <c r="J1102"/>
  <c r="J1103"/>
  <c r="J1104"/>
  <c r="J1105"/>
  <c r="J1106"/>
  <c r="J1107"/>
  <c r="J1108"/>
  <c r="J1109"/>
  <c r="J1110"/>
  <c r="J1111"/>
  <c r="J1112"/>
  <c r="J1113"/>
  <c r="J1114"/>
  <c r="J1115"/>
  <c r="J1116"/>
  <c r="J1117"/>
  <c r="J1118"/>
  <c r="J1119"/>
  <c r="J1120"/>
  <c r="J1121"/>
  <c r="J1122"/>
  <c r="J1123"/>
  <c r="J1124"/>
  <c r="J1125"/>
  <c r="J1126"/>
  <c r="J1127"/>
  <c r="J1128"/>
  <c r="J1129"/>
  <c r="J1130"/>
  <c r="J1131"/>
  <c r="J1132"/>
  <c r="J1133"/>
  <c r="J1134"/>
  <c r="J1135"/>
  <c r="J1136"/>
  <c r="J1137"/>
  <c r="J1138"/>
  <c r="J1139"/>
  <c r="J1140"/>
  <c r="J1141"/>
  <c r="J1142"/>
  <c r="J1143"/>
  <c r="J1144"/>
  <c r="J1145"/>
  <c r="J1146"/>
  <c r="J1147"/>
  <c r="J1148"/>
  <c r="J1149"/>
  <c r="J1150"/>
  <c r="J1151"/>
  <c r="J1152"/>
  <c r="J1153"/>
  <c r="J1154"/>
  <c r="J1155"/>
  <c r="J1156"/>
  <c r="J1157"/>
  <c r="J1158"/>
  <c r="J1159"/>
  <c r="J1160"/>
  <c r="J1161"/>
  <c r="J1162"/>
  <c r="J1163"/>
  <c r="J1164"/>
  <c r="J1165"/>
  <c r="J1166"/>
  <c r="J1167"/>
  <c r="J1168"/>
  <c r="J1169"/>
  <c r="J1170"/>
  <c r="J1171"/>
  <c r="J1172"/>
  <c r="J1173"/>
  <c r="J1174"/>
  <c r="J1175"/>
  <c r="J1176"/>
  <c r="J1177"/>
  <c r="J1178"/>
  <c r="J1179"/>
  <c r="J1180"/>
  <c r="J1181"/>
  <c r="J1182"/>
  <c r="J1183"/>
  <c r="J1184"/>
  <c r="J1185"/>
  <c r="J1186"/>
  <c r="J1187"/>
  <c r="J1188"/>
  <c r="J1189"/>
  <c r="J1190"/>
  <c r="J1191"/>
  <c r="J1192"/>
  <c r="J1193"/>
  <c r="J1194"/>
  <c r="J1195"/>
  <c r="J1196"/>
  <c r="J1197"/>
  <c r="J1198"/>
  <c r="J1199"/>
  <c r="J1200"/>
  <c r="J1201"/>
  <c r="J1202"/>
  <c r="J1203"/>
  <c r="J1204"/>
  <c r="J1205"/>
  <c r="J1206"/>
  <c r="J1207"/>
  <c r="J1208"/>
  <c r="J1209"/>
  <c r="J1210"/>
  <c r="J1211"/>
  <c r="J1212"/>
  <c r="J1213"/>
  <c r="J1214"/>
  <c r="J1215"/>
  <c r="J1216"/>
  <c r="J1217"/>
  <c r="J1218"/>
  <c r="J1219"/>
  <c r="J1220"/>
  <c r="J1221"/>
  <c r="J1222"/>
  <c r="J1223"/>
  <c r="J1224"/>
  <c r="J1225"/>
  <c r="J1226"/>
  <c r="J1227"/>
  <c r="J1228"/>
  <c r="J1229"/>
  <c r="J1230"/>
  <c r="J1231"/>
  <c r="J1232"/>
  <c r="J1233"/>
  <c r="J1234"/>
  <c r="J1235"/>
  <c r="J1236"/>
  <c r="J1237"/>
  <c r="J1238"/>
  <c r="J1239"/>
  <c r="J1240"/>
  <c r="J1241"/>
  <c r="J1242"/>
  <c r="J1243"/>
  <c r="J1244"/>
  <c r="J1245"/>
  <c r="J1246"/>
  <c r="J1247"/>
  <c r="J1248"/>
  <c r="J1249"/>
  <c r="J1250"/>
  <c r="J1251"/>
  <c r="J1252"/>
  <c r="J1253"/>
  <c r="J1254"/>
  <c r="J1255"/>
  <c r="J1256"/>
  <c r="J1257"/>
  <c r="J1258"/>
  <c r="J1259"/>
  <c r="J1260"/>
  <c r="J1261"/>
  <c r="J1262"/>
  <c r="J1263"/>
  <c r="J1264"/>
  <c r="J1265"/>
  <c r="J1266"/>
  <c r="J1267"/>
  <c r="J1268"/>
  <c r="J1269"/>
  <c r="J1270"/>
  <c r="J1271"/>
  <c r="J1272"/>
  <c r="J1273"/>
  <c r="J1274"/>
  <c r="J1275"/>
  <c r="J1276"/>
  <c r="J1277"/>
  <c r="J1278"/>
  <c r="J1279"/>
  <c r="J1280"/>
  <c r="J1281"/>
  <c r="J1282"/>
  <c r="J1283"/>
  <c r="J1284"/>
  <c r="J1285"/>
  <c r="J1286"/>
  <c r="J1287"/>
  <c r="J1288"/>
  <c r="J1289"/>
  <c r="J1290"/>
  <c r="J1291"/>
  <c r="J1292"/>
  <c r="J1293"/>
  <c r="J1294"/>
  <c r="J1295"/>
  <c r="J1296"/>
  <c r="J1297"/>
  <c r="J1298"/>
  <c r="J1299"/>
  <c r="J1300"/>
  <c r="J1301"/>
  <c r="J1302"/>
  <c r="J1303"/>
  <c r="J1304"/>
  <c r="J1305"/>
  <c r="J1306"/>
  <c r="J1307"/>
  <c r="J1308"/>
  <c r="J1309"/>
  <c r="J1310"/>
  <c r="J1311"/>
  <c r="J1312"/>
  <c r="J1313"/>
  <c r="J1314"/>
  <c r="J1315"/>
  <c r="J1316"/>
  <c r="J1317"/>
  <c r="J1318"/>
  <c r="J1319"/>
  <c r="J1320"/>
  <c r="J1321"/>
  <c r="J1322"/>
  <c r="J1323"/>
  <c r="J1324"/>
  <c r="J1325"/>
  <c r="J1326"/>
  <c r="J1327"/>
  <c r="J1328"/>
  <c r="J1329"/>
  <c r="J1330"/>
  <c r="J1331"/>
  <c r="J1332"/>
  <c r="J1333"/>
  <c r="J1334"/>
  <c r="J1335"/>
  <c r="J1336"/>
  <c r="J1337"/>
  <c r="J1338"/>
  <c r="J1339"/>
  <c r="J1340"/>
  <c r="J1341"/>
  <c r="J1342"/>
  <c r="J1343"/>
  <c r="J1344"/>
  <c r="J1345"/>
  <c r="J1346"/>
  <c r="J1347"/>
  <c r="J1348"/>
  <c r="J1349"/>
  <c r="J1350"/>
  <c r="J1351"/>
  <c r="J1352"/>
  <c r="J1353"/>
  <c r="J1354"/>
  <c r="J1355"/>
  <c r="J1356"/>
  <c r="J1357"/>
  <c r="J1358"/>
  <c r="J1359"/>
  <c r="J1360"/>
  <c r="J1361"/>
  <c r="J1362"/>
  <c r="J1363"/>
  <c r="J1364"/>
  <c r="J1365"/>
  <c r="J1366"/>
  <c r="J1367"/>
  <c r="J1368"/>
  <c r="J1369"/>
  <c r="J1370"/>
  <c r="J1371"/>
  <c r="J1372"/>
  <c r="J1373"/>
  <c r="J1374"/>
  <c r="J1375"/>
  <c r="J1376"/>
  <c r="J1377"/>
  <c r="J1378"/>
  <c r="J1379"/>
  <c r="J1380"/>
  <c r="J1381"/>
  <c r="J1382"/>
  <c r="J1383"/>
  <c r="J1384"/>
  <c r="J1385"/>
  <c r="J1386"/>
  <c r="J1387"/>
  <c r="J1388"/>
  <c r="J1389"/>
  <c r="J1390"/>
  <c r="J1391"/>
  <c r="J1392"/>
  <c r="J1393"/>
  <c r="J1394"/>
  <c r="J1395"/>
  <c r="J1396"/>
  <c r="J1397"/>
  <c r="J1398"/>
  <c r="J1399"/>
  <c r="J1400"/>
  <c r="J1401"/>
  <c r="J1402"/>
  <c r="J1403"/>
  <c r="J1404"/>
  <c r="J1405"/>
  <c r="J1406"/>
  <c r="J1407"/>
  <c r="J1408"/>
  <c r="J1409"/>
  <c r="J1410"/>
  <c r="J1411"/>
  <c r="J1412"/>
  <c r="J1413"/>
  <c r="J1414"/>
  <c r="J1415"/>
  <c r="J1416"/>
  <c r="J1417"/>
  <c r="J1418"/>
  <c r="J1419"/>
  <c r="J1420"/>
  <c r="J1421"/>
  <c r="J1422"/>
  <c r="J1423"/>
  <c r="J1424"/>
  <c r="J1425"/>
  <c r="J1426"/>
  <c r="J1427"/>
  <c r="J1428"/>
  <c r="J1429"/>
  <c r="J1430"/>
  <c r="J1431"/>
  <c r="J1432"/>
  <c r="J1433"/>
  <c r="J1434"/>
  <c r="J1435"/>
  <c r="J1436"/>
  <c r="J1437"/>
  <c r="J1438"/>
  <c r="J1439"/>
  <c r="J1440"/>
  <c r="J1441"/>
  <c r="J1442"/>
  <c r="J1443"/>
  <c r="J1444"/>
  <c r="J1445"/>
  <c r="J1446"/>
  <c r="J1447"/>
  <c r="J1448"/>
  <c r="J1449"/>
  <c r="J1450"/>
  <c r="J1451"/>
  <c r="J1452"/>
  <c r="J1453"/>
  <c r="J1454"/>
  <c r="J1455"/>
  <c r="J1456"/>
  <c r="J1457"/>
  <c r="J1458"/>
  <c r="J1459"/>
  <c r="J1460"/>
  <c r="J1461"/>
  <c r="J1462"/>
  <c r="J1463"/>
  <c r="J1464"/>
  <c r="J1465"/>
  <c r="J1466"/>
  <c r="J1467"/>
  <c r="J1468"/>
  <c r="J1469"/>
  <c r="J1470"/>
  <c r="J1471"/>
  <c r="J1472"/>
  <c r="J1473"/>
  <c r="J1474"/>
  <c r="J1475"/>
  <c r="J1476"/>
  <c r="J1477"/>
  <c r="J1478"/>
  <c r="J1479"/>
  <c r="J1480"/>
  <c r="J1481"/>
  <c r="J1482"/>
  <c r="J1483"/>
  <c r="J1484"/>
  <c r="J1485"/>
  <c r="J1486"/>
  <c r="J1487"/>
  <c r="J1488"/>
  <c r="J1489"/>
  <c r="J1490"/>
  <c r="J1491"/>
  <c r="J1492"/>
  <c r="J1493"/>
  <c r="J1494"/>
  <c r="J1495"/>
  <c r="J1496"/>
  <c r="J1497"/>
  <c r="J1498"/>
  <c r="J1499"/>
  <c r="J1500"/>
  <c r="J1501"/>
  <c r="J1502"/>
  <c r="J1503"/>
  <c r="J1504"/>
  <c r="J1505"/>
  <c r="J1506"/>
  <c r="J1507"/>
  <c r="J1508"/>
  <c r="J1509"/>
  <c r="J1510"/>
  <c r="J1511"/>
  <c r="J1512"/>
  <c r="J1513"/>
  <c r="J1514"/>
  <c r="J1515"/>
  <c r="J1516"/>
  <c r="J1517"/>
  <c r="J1518"/>
  <c r="J1519"/>
  <c r="J1520"/>
  <c r="J1521"/>
  <c r="J1522"/>
  <c r="J1523"/>
  <c r="J1524"/>
  <c r="J1525"/>
  <c r="J1526"/>
  <c r="J1527"/>
  <c r="J1528"/>
  <c r="J1529"/>
  <c r="J1530"/>
  <c r="J1531"/>
  <c r="J1532"/>
  <c r="J1533"/>
  <c r="J1534"/>
  <c r="J1535"/>
  <c r="J1536"/>
  <c r="J1537"/>
  <c r="J1538"/>
  <c r="J1539"/>
  <c r="J1540"/>
  <c r="J1541"/>
  <c r="J1542"/>
  <c r="J1543"/>
  <c r="J1544"/>
  <c r="J1545"/>
  <c r="J1546"/>
  <c r="J1547"/>
  <c r="J1548"/>
  <c r="J1549"/>
  <c r="J1550"/>
  <c r="J1551"/>
  <c r="J1552"/>
  <c r="J1553"/>
  <c r="J1554"/>
  <c r="J1555"/>
  <c r="J1556"/>
  <c r="J1557"/>
  <c r="J1558"/>
  <c r="J1559"/>
  <c r="J1560"/>
  <c r="J1561"/>
  <c r="J1562"/>
  <c r="J1563"/>
  <c r="J1564"/>
  <c r="J1565"/>
  <c r="J1566"/>
  <c r="J1567"/>
  <c r="J1568"/>
  <c r="J1569"/>
  <c r="J1570"/>
  <c r="J1571"/>
  <c r="J1572"/>
  <c r="J1573"/>
  <c r="J1574"/>
  <c r="J1575"/>
  <c r="J1576"/>
  <c r="J1577"/>
  <c r="J1578"/>
  <c r="J1579"/>
  <c r="J1580"/>
  <c r="J1581"/>
  <c r="J1582"/>
  <c r="J1583"/>
  <c r="J1584"/>
  <c r="J1585"/>
  <c r="J1586"/>
  <c r="J1587"/>
  <c r="J1588"/>
  <c r="J1589"/>
  <c r="J1590"/>
  <c r="J1591"/>
  <c r="J1592"/>
  <c r="J1593"/>
  <c r="J1594"/>
  <c r="J1595"/>
  <c r="J1596"/>
  <c r="J1597"/>
  <c r="J1598"/>
  <c r="J1599"/>
  <c r="J1600"/>
  <c r="J1601"/>
  <c r="J1602"/>
  <c r="J1603"/>
  <c r="J1604"/>
  <c r="J1605"/>
  <c r="J1606"/>
  <c r="J1607"/>
  <c r="J1608"/>
  <c r="J1609"/>
  <c r="J1610"/>
  <c r="J1611"/>
  <c r="J1612"/>
  <c r="J1613"/>
  <c r="J1614"/>
  <c r="J1615"/>
  <c r="J1616"/>
  <c r="J1617"/>
  <c r="J1618"/>
  <c r="J1619"/>
  <c r="J1620"/>
  <c r="J1621"/>
  <c r="J1622"/>
  <c r="J1623"/>
  <c r="J1624"/>
  <c r="J1625"/>
  <c r="J1626"/>
  <c r="J1627"/>
  <c r="J1628"/>
  <c r="J1629"/>
  <c r="J1630"/>
  <c r="J1631"/>
  <c r="J1632"/>
  <c r="J1633"/>
  <c r="J1634"/>
  <c r="J1635"/>
  <c r="J1636"/>
  <c r="J1637"/>
  <c r="J1638"/>
  <c r="J1639"/>
  <c r="J1640"/>
  <c r="J1641"/>
  <c r="J1642"/>
  <c r="J1643"/>
  <c r="J1644"/>
  <c r="J1645"/>
  <c r="J1646"/>
  <c r="J1647"/>
  <c r="J1648"/>
  <c r="J1649"/>
  <c r="J1650"/>
  <c r="J1651"/>
  <c r="J1652"/>
  <c r="J1653"/>
  <c r="J1654"/>
  <c r="J1655"/>
  <c r="J1656"/>
  <c r="J1657"/>
  <c r="J1658"/>
  <c r="J1659"/>
  <c r="J1660"/>
  <c r="J1661"/>
  <c r="J1662"/>
  <c r="J1663"/>
  <c r="J1664"/>
  <c r="J1665"/>
  <c r="J1666"/>
  <c r="J1667"/>
  <c r="J1668"/>
  <c r="J1669"/>
  <c r="J1670"/>
  <c r="J1671"/>
  <c r="J1672"/>
  <c r="J1673"/>
  <c r="J1674"/>
  <c r="J1675"/>
  <c r="J1676"/>
  <c r="J1677"/>
  <c r="J1678"/>
  <c r="J1679"/>
  <c r="J1680"/>
  <c r="J1681"/>
  <c r="J1682"/>
  <c r="J1683"/>
  <c r="J1684"/>
  <c r="J1685"/>
  <c r="J1686"/>
  <c r="J1687"/>
  <c r="J1688"/>
  <c r="J1689"/>
  <c r="J1690"/>
  <c r="J1691"/>
  <c r="J1692"/>
  <c r="J1693"/>
  <c r="J1694"/>
  <c r="J1695"/>
  <c r="J1696"/>
  <c r="J1697"/>
  <c r="J1698"/>
  <c r="J1699"/>
  <c r="J1700"/>
  <c r="J1701"/>
  <c r="J1702"/>
  <c r="J1703"/>
  <c r="J1704"/>
  <c r="J1705"/>
  <c r="J1706"/>
  <c r="J1707"/>
  <c r="J1708"/>
  <c r="J1709"/>
  <c r="J1710"/>
  <c r="J1711"/>
  <c r="J1712"/>
  <c r="J1713"/>
  <c r="J1714"/>
  <c r="J1715"/>
  <c r="J1716"/>
  <c r="J1717"/>
  <c r="J1718"/>
  <c r="J1719"/>
  <c r="J1720"/>
  <c r="J1721"/>
  <c r="J1722"/>
  <c r="J1723"/>
  <c r="J1724"/>
  <c r="J1725"/>
  <c r="J1726"/>
  <c r="J1727"/>
  <c r="J1728"/>
  <c r="J1729"/>
  <c r="J1730"/>
  <c r="J1731"/>
  <c r="J1732"/>
  <c r="J1733"/>
  <c r="J1734"/>
  <c r="J1735"/>
  <c r="J1736"/>
  <c r="J1737"/>
  <c r="J1738"/>
  <c r="J1739"/>
  <c r="J1740"/>
  <c r="J1741"/>
  <c r="J1742"/>
  <c r="J1743"/>
  <c r="J1744"/>
  <c r="J1745"/>
  <c r="J1746"/>
  <c r="J1747"/>
  <c r="J1748"/>
  <c r="J1749"/>
  <c r="J1750"/>
  <c r="J1751"/>
  <c r="J1752"/>
  <c r="J1753"/>
  <c r="J1754"/>
  <c r="J1755"/>
  <c r="J1756"/>
  <c r="J1757"/>
  <c r="J1758"/>
  <c r="J1759"/>
  <c r="J1760"/>
  <c r="J1761"/>
  <c r="J1762"/>
  <c r="J1763"/>
  <c r="J1764"/>
  <c r="J1765"/>
  <c r="J1766"/>
  <c r="J1767"/>
  <c r="J1768"/>
  <c r="J1769"/>
  <c r="J1770"/>
  <c r="J1771"/>
  <c r="J1772"/>
  <c r="J1773"/>
  <c r="J1774"/>
  <c r="J1775"/>
  <c r="J1776"/>
  <c r="J1777"/>
  <c r="J1778"/>
  <c r="J1779"/>
  <c r="J1780"/>
  <c r="J1781"/>
  <c r="J1782"/>
  <c r="J1783"/>
  <c r="J1784"/>
  <c r="J1785"/>
  <c r="J1786"/>
  <c r="J1787"/>
  <c r="J1788"/>
  <c r="J1789"/>
  <c r="J1790"/>
  <c r="J1791"/>
  <c r="J1792"/>
  <c r="J1793"/>
  <c r="J1794"/>
  <c r="J1795"/>
  <c r="J1796"/>
  <c r="J1797"/>
  <c r="J1798"/>
  <c r="J1799"/>
  <c r="J1800"/>
  <c r="J1801"/>
  <c r="J1802"/>
  <c r="J1803"/>
  <c r="J1804"/>
  <c r="J1805"/>
  <c r="J1806"/>
  <c r="J1807"/>
  <c r="J1808"/>
  <c r="J1809"/>
  <c r="J1810"/>
  <c r="J1811"/>
  <c r="J1812"/>
  <c r="J1813"/>
  <c r="J1814"/>
  <c r="J1815"/>
  <c r="J1816"/>
  <c r="J1817"/>
  <c r="J1818"/>
  <c r="J1819"/>
  <c r="J1820"/>
  <c r="J1821"/>
  <c r="J1822"/>
  <c r="J1823"/>
  <c r="J1824"/>
  <c r="J1825"/>
  <c r="J1826"/>
  <c r="J1827"/>
  <c r="J1828"/>
  <c r="J1829"/>
  <c r="J1830"/>
  <c r="J1831"/>
  <c r="J1832"/>
  <c r="J1833"/>
  <c r="J1834"/>
  <c r="J1835"/>
  <c r="J1836"/>
  <c r="J1837"/>
  <c r="J1838"/>
  <c r="J1839"/>
  <c r="J1840"/>
  <c r="J1841"/>
  <c r="J1842"/>
  <c r="J1843"/>
  <c r="J1844"/>
  <c r="J1845"/>
  <c r="J1846"/>
  <c r="J1847"/>
  <c r="J1848"/>
  <c r="J1849"/>
  <c r="J1850"/>
  <c r="J1851"/>
  <c r="J1852"/>
  <c r="J1853"/>
  <c r="J1854"/>
  <c r="J1855"/>
  <c r="J1856"/>
  <c r="J1857"/>
  <c r="J1858"/>
  <c r="J1859"/>
  <c r="J1860"/>
  <c r="J1861"/>
  <c r="J1862"/>
  <c r="J1863"/>
  <c r="J1864"/>
  <c r="J1865"/>
  <c r="J1866"/>
  <c r="J1867"/>
  <c r="J1868"/>
  <c r="J1869"/>
  <c r="J1870"/>
  <c r="J1871"/>
  <c r="J1872"/>
  <c r="J1873"/>
  <c r="J1874"/>
  <c r="J1875"/>
  <c r="J1876"/>
  <c r="J1877"/>
  <c r="J1878"/>
  <c r="J1879"/>
  <c r="J1880"/>
  <c r="J1881"/>
  <c r="J1882"/>
  <c r="J1883"/>
  <c r="J1884"/>
  <c r="J1885"/>
  <c r="J1886"/>
  <c r="J1887"/>
  <c r="J1888"/>
  <c r="J1889"/>
  <c r="J1890"/>
  <c r="J1891"/>
  <c r="J1892"/>
  <c r="J1893"/>
  <c r="J1894"/>
  <c r="J1895"/>
  <c r="J1896"/>
  <c r="J1897"/>
  <c r="J1898"/>
  <c r="J1899"/>
  <c r="J1900"/>
  <c r="J1901"/>
  <c r="J1902"/>
  <c r="J1903"/>
  <c r="J1904"/>
  <c r="J1905"/>
  <c r="J1906"/>
  <c r="J1907"/>
  <c r="J1908"/>
  <c r="J1909"/>
  <c r="J1910"/>
  <c r="J1911"/>
  <c r="J1912"/>
  <c r="J1913"/>
  <c r="J1914"/>
  <c r="J1915"/>
  <c r="J1916"/>
  <c r="J1917"/>
  <c r="J1918"/>
  <c r="J1919"/>
  <c r="J1920"/>
  <c r="J1921"/>
  <c r="J1922"/>
  <c r="J1923"/>
  <c r="J1924"/>
  <c r="J1925"/>
  <c r="J1926"/>
  <c r="J1927"/>
  <c r="J1928"/>
  <c r="J1929"/>
  <c r="J1930"/>
  <c r="J1931"/>
  <c r="J1932"/>
  <c r="J1933"/>
  <c r="J1934"/>
  <c r="J1935"/>
  <c r="J1936"/>
  <c r="J1937"/>
  <c r="J1938"/>
  <c r="J1939"/>
  <c r="J1940"/>
  <c r="J1941"/>
  <c r="J1942"/>
  <c r="J1943"/>
  <c r="J1944"/>
  <c r="J1945"/>
  <c r="J1946"/>
  <c r="J1947"/>
  <c r="J1948"/>
  <c r="J1949"/>
  <c r="J1950"/>
  <c r="J1951"/>
  <c r="J1952"/>
  <c r="J1953"/>
  <c r="J1954"/>
  <c r="J1955"/>
  <c r="J1956"/>
  <c r="J1957"/>
  <c r="J1958"/>
  <c r="J1959"/>
  <c r="J1960"/>
  <c r="J1961"/>
  <c r="J1962"/>
  <c r="J1963"/>
  <c r="J1964"/>
  <c r="J1965"/>
  <c r="J1966"/>
  <c r="J1967"/>
  <c r="J1968"/>
  <c r="J1969"/>
  <c r="J1970"/>
  <c r="J1971"/>
  <c r="J1972"/>
  <c r="J1973"/>
  <c r="J1974"/>
  <c r="J1975"/>
  <c r="J1976"/>
  <c r="J1977"/>
  <c r="J1978"/>
  <c r="J1979"/>
  <c r="J1980"/>
  <c r="J1981"/>
  <c r="J1982"/>
  <c r="J1983"/>
  <c r="J1984"/>
  <c r="J1985"/>
  <c r="J1986"/>
  <c r="J1987"/>
  <c r="J1988"/>
  <c r="J1989"/>
  <c r="J1990"/>
  <c r="J1991"/>
  <c r="J1992"/>
  <c r="J1993"/>
  <c r="J1994"/>
  <c r="J1995"/>
  <c r="J1996"/>
  <c r="J1997"/>
  <c r="J1998"/>
  <c r="J1999"/>
  <c r="J2000"/>
  <c r="J2"/>
  <c r="R8"/>
  <c r="K295" s="1"/>
  <c r="T8"/>
  <c r="L295" s="1"/>
  <c r="T5"/>
  <c r="L892" s="1"/>
  <c r="I3" i="4" l="1"/>
  <c r="N3" s="1"/>
  <c r="M3"/>
  <c r="P3" s="1"/>
  <c r="K38" i="2"/>
  <c r="J38"/>
  <c r="M12" i="4"/>
  <c r="K1017" i="3"/>
  <c r="L1017"/>
  <c r="M16" i="4"/>
  <c r="M19"/>
  <c r="M10"/>
  <c r="M24"/>
  <c r="M26"/>
  <c r="M5"/>
  <c r="M8"/>
  <c r="M4"/>
  <c r="M28"/>
  <c r="M7"/>
  <c r="M13"/>
  <c r="P13" s="1"/>
  <c r="M23"/>
  <c r="M15"/>
  <c r="M25"/>
  <c r="M9"/>
  <c r="M14"/>
  <c r="M27"/>
  <c r="M17"/>
  <c r="I13"/>
  <c r="N13" s="1"/>
  <c r="I20"/>
  <c r="N20" s="1"/>
  <c r="O20"/>
  <c r="R20" s="1"/>
  <c r="K879" i="3"/>
  <c r="K875"/>
  <c r="K539"/>
  <c r="L881"/>
  <c r="L877"/>
  <c r="L857"/>
  <c r="M22" i="4" s="1"/>
  <c r="K880" i="3"/>
  <c r="K876"/>
  <c r="L878"/>
  <c r="L874"/>
  <c r="K881"/>
  <c r="K877"/>
  <c r="K857"/>
  <c r="L879"/>
  <c r="L875"/>
  <c r="L539"/>
  <c r="K878"/>
  <c r="K874"/>
  <c r="L880"/>
  <c r="L876"/>
  <c r="L916"/>
  <c r="L912"/>
  <c r="L908"/>
  <c r="Q12" i="4"/>
  <c r="J12"/>
  <c r="E12"/>
  <c r="L12" s="1"/>
  <c r="M20" l="1"/>
  <c r="P20" s="1"/>
  <c r="M11"/>
  <c r="K12"/>
  <c r="O12"/>
  <c r="R12" s="1"/>
  <c r="P12"/>
  <c r="Q11"/>
  <c r="L11"/>
  <c r="K11"/>
  <c r="J11"/>
  <c r="Q24"/>
  <c r="L24"/>
  <c r="J24"/>
  <c r="Q22"/>
  <c r="L22"/>
  <c r="J22"/>
  <c r="Q25"/>
  <c r="L25"/>
  <c r="J25"/>
  <c r="Q28"/>
  <c r="L28"/>
  <c r="J28"/>
  <c r="R5" i="5"/>
  <c r="W5"/>
  <c r="S4"/>
  <c r="W4"/>
  <c r="V5"/>
  <c r="T5"/>
  <c r="U5"/>
  <c r="U4"/>
  <c r="S5"/>
  <c r="T4"/>
  <c r="V4"/>
  <c r="P11" i="4" l="1"/>
  <c r="O11"/>
  <c r="R11" s="1"/>
  <c r="O24"/>
  <c r="R24" s="1"/>
  <c r="O25"/>
  <c r="O28"/>
  <c r="R28" s="1"/>
  <c r="O22"/>
  <c r="R22" s="1"/>
  <c r="R25"/>
  <c r="Q5" i="5"/>
  <c r="Q4"/>
  <c r="R4"/>
  <c r="M30" i="1" l="1"/>
  <c r="I12" i="4"/>
  <c r="N12" s="1"/>
  <c r="Q26"/>
  <c r="L26"/>
  <c r="K26"/>
  <c r="J26"/>
  <c r="J2"/>
  <c r="M32" i="1" l="1"/>
  <c r="M31"/>
  <c r="I11" i="4"/>
  <c r="N11" s="1"/>
  <c r="P22"/>
  <c r="I22"/>
  <c r="N22" s="1"/>
  <c r="I24"/>
  <c r="N24" s="1"/>
  <c r="P24"/>
  <c r="O26"/>
  <c r="R26" s="1"/>
  <c r="M34" i="1" l="1"/>
  <c r="M33"/>
  <c r="K2" i="4"/>
  <c r="Q2"/>
  <c r="L2"/>
  <c r="O2" l="1"/>
  <c r="R2" s="1"/>
  <c r="T36" i="9"/>
  <c r="T38" s="1"/>
  <c r="S36"/>
  <c r="S38" s="1"/>
  <c r="R36"/>
  <c r="R38" s="1"/>
  <c r="Q36"/>
  <c r="Q38" s="1"/>
  <c r="P36"/>
  <c r="P38" s="1"/>
  <c r="O36"/>
  <c r="O38" s="1"/>
  <c r="N36"/>
  <c r="N38" s="1"/>
  <c r="M36"/>
  <c r="M38" s="1"/>
  <c r="L36"/>
  <c r="L38" s="1"/>
  <c r="K36"/>
  <c r="K38" s="1"/>
  <c r="J36"/>
  <c r="J38" s="1"/>
  <c r="I36"/>
  <c r="I38" s="1"/>
  <c r="H36"/>
  <c r="H38" s="1"/>
  <c r="G36"/>
  <c r="G38" s="1"/>
  <c r="F36"/>
  <c r="F38" s="1"/>
  <c r="I47" l="1"/>
  <c r="I40"/>
  <c r="I45"/>
  <c r="I41"/>
  <c r="I42"/>
  <c r="I46"/>
  <c r="M42"/>
  <c r="M45"/>
  <c r="M40"/>
  <c r="M46"/>
  <c r="M47"/>
  <c r="M41"/>
  <c r="L45"/>
  <c r="L41"/>
  <c r="L46"/>
  <c r="L42"/>
  <c r="L47"/>
  <c r="L40"/>
  <c r="T47"/>
  <c r="T40"/>
  <c r="T45"/>
  <c r="T41"/>
  <c r="T46"/>
  <c r="T42"/>
  <c r="J41"/>
  <c r="J45"/>
  <c r="J46"/>
  <c r="J42"/>
  <c r="J47"/>
  <c r="J40"/>
  <c r="N46"/>
  <c r="N40"/>
  <c r="N41"/>
  <c r="N47"/>
  <c r="N42"/>
  <c r="N45"/>
  <c r="R47"/>
  <c r="R40"/>
  <c r="R41"/>
  <c r="R45"/>
  <c r="R46"/>
  <c r="R42"/>
  <c r="P40"/>
  <c r="P46"/>
  <c r="P47"/>
  <c r="P41"/>
  <c r="P42"/>
  <c r="P45"/>
  <c r="Q45"/>
  <c r="Q41"/>
  <c r="Q42"/>
  <c r="Q46"/>
  <c r="Q47"/>
  <c r="Q40"/>
  <c r="K47"/>
  <c r="K40"/>
  <c r="K45"/>
  <c r="K41"/>
  <c r="K42"/>
  <c r="K46"/>
  <c r="O42"/>
  <c r="O45"/>
  <c r="O46"/>
  <c r="O40"/>
  <c r="O47"/>
  <c r="O41"/>
  <c r="S45"/>
  <c r="S41"/>
  <c r="S42"/>
  <c r="S46"/>
  <c r="S47"/>
  <c r="S40"/>
  <c r="H47"/>
  <c r="H45"/>
  <c r="H42"/>
  <c r="H40"/>
  <c r="H46"/>
  <c r="H41"/>
  <c r="G46"/>
  <c r="G40"/>
  <c r="G42"/>
  <c r="G47"/>
  <c r="G45"/>
  <c r="G41"/>
  <c r="F45"/>
  <c r="F41"/>
  <c r="F47"/>
  <c r="F40"/>
  <c r="F46"/>
  <c r="F42"/>
  <c r="Q15" i="4"/>
  <c r="L15"/>
  <c r="K15"/>
  <c r="J15"/>
  <c r="U46" i="9" l="1"/>
  <c r="U47"/>
  <c r="U45"/>
  <c r="O15" i="4"/>
  <c r="R15" s="1"/>
  <c r="Q14"/>
  <c r="Q5"/>
  <c r="Q8"/>
  <c r="Q4"/>
  <c r="Q21"/>
  <c r="Q7"/>
  <c r="Q17"/>
  <c r="Q16"/>
  <c r="Q18"/>
  <c r="Q9"/>
  <c r="Q6"/>
  <c r="Q10"/>
  <c r="Q27"/>
  <c r="Q19"/>
  <c r="Q23"/>
  <c r="O29" i="1"/>
  <c r="M17"/>
  <c r="M18" s="1"/>
  <c r="J8" i="4"/>
  <c r="J14"/>
  <c r="J5"/>
  <c r="J9"/>
  <c r="J7"/>
  <c r="J21"/>
  <c r="J17"/>
  <c r="J16"/>
  <c r="J6"/>
  <c r="J4"/>
  <c r="J10"/>
  <c r="J27"/>
  <c r="J19"/>
  <c r="J18"/>
  <c r="J23"/>
  <c r="L8"/>
  <c r="L14"/>
  <c r="L5"/>
  <c r="L9"/>
  <c r="L7"/>
  <c r="L21"/>
  <c r="L17"/>
  <c r="L16"/>
  <c r="L6"/>
  <c r="L4"/>
  <c r="L10"/>
  <c r="L27"/>
  <c r="L19"/>
  <c r="L18"/>
  <c r="L23"/>
  <c r="Q35" i="2" l="1"/>
  <c r="Q37"/>
  <c r="O37"/>
  <c r="O35"/>
  <c r="O8" i="4"/>
  <c r="R8" s="1"/>
  <c r="O6"/>
  <c r="R6" s="1"/>
  <c r="O7"/>
  <c r="R7" s="1"/>
  <c r="O23"/>
  <c r="R23" s="1"/>
  <c r="O21"/>
  <c r="R21" s="1"/>
  <c r="O14"/>
  <c r="R14" s="1"/>
  <c r="O4"/>
  <c r="R4" s="1"/>
  <c r="O19"/>
  <c r="R19" s="1"/>
  <c r="O10"/>
  <c r="R10" s="1"/>
  <c r="O17"/>
  <c r="R17" s="1"/>
  <c r="O5"/>
  <c r="R5" s="1"/>
  <c r="O18"/>
  <c r="R18" s="1"/>
  <c r="O27"/>
  <c r="R27" s="1"/>
  <c r="O16"/>
  <c r="R16" s="1"/>
  <c r="O9"/>
  <c r="R9" s="1"/>
  <c r="K5"/>
  <c r="B35" i="2" l="1"/>
  <c r="O31" i="1"/>
  <c r="O33"/>
  <c r="K23" i="4"/>
  <c r="O35" i="1" l="1"/>
  <c r="O37" s="1"/>
  <c r="M36" l="1"/>
  <c r="K10" i="4"/>
  <c r="I21" l="1"/>
  <c r="N21" s="1"/>
  <c r="I6"/>
  <c r="N6" s="1"/>
  <c r="P18"/>
  <c r="P21"/>
  <c r="P6"/>
  <c r="P25"/>
  <c r="P28" l="1"/>
  <c r="M2"/>
  <c r="P2" s="1"/>
  <c r="I9"/>
  <c r="N9" s="1"/>
  <c r="P26"/>
  <c r="P5"/>
  <c r="P16"/>
  <c r="P19"/>
  <c r="P9"/>
  <c r="P17"/>
  <c r="P23"/>
  <c r="P14"/>
  <c r="P27"/>
  <c r="P10"/>
  <c r="P8"/>
  <c r="P15"/>
  <c r="P4"/>
  <c r="P7"/>
  <c r="I18"/>
  <c r="N18" s="1"/>
  <c r="I28"/>
  <c r="N28" s="1"/>
  <c r="M16" i="1"/>
  <c r="M19" s="1"/>
  <c r="I25" i="4" l="1"/>
  <c r="N25" s="1"/>
  <c r="I2"/>
  <c r="N2" s="1"/>
  <c r="I26"/>
  <c r="N26" s="1"/>
  <c r="I27"/>
  <c r="N27" s="1"/>
  <c r="I10"/>
  <c r="N10" s="1"/>
  <c r="I15"/>
  <c r="N15" s="1"/>
  <c r="I19"/>
  <c r="N19" s="1"/>
  <c r="I16"/>
  <c r="N16" s="1"/>
  <c r="I23"/>
  <c r="N23" s="1"/>
  <c r="I5"/>
  <c r="I17"/>
  <c r="N17" s="1"/>
  <c r="I8"/>
  <c r="N8" s="1"/>
  <c r="I14"/>
  <c r="N14" s="1"/>
  <c r="I7"/>
  <c r="N7" s="1"/>
  <c r="I4"/>
  <c r="N4" s="1"/>
  <c r="O16" i="1"/>
  <c r="M20"/>
  <c r="O18"/>
  <c r="N5" i="4" l="1"/>
  <c r="P35" i="2"/>
  <c r="C35" s="1"/>
  <c r="P37"/>
  <c r="M21" i="1"/>
  <c r="M22" s="1"/>
  <c r="M23" s="1"/>
  <c r="O20"/>
  <c r="V4"/>
  <c r="W4" s="1"/>
  <c r="V5"/>
  <c r="W5" s="1"/>
  <c r="V6"/>
  <c r="W6" s="1"/>
  <c r="V7"/>
  <c r="W7" s="1"/>
  <c r="V8"/>
  <c r="W8" s="1"/>
  <c r="K16" i="4"/>
  <c r="K19"/>
  <c r="K17"/>
  <c r="K7"/>
  <c r="K18"/>
  <c r="K14"/>
  <c r="K21"/>
  <c r="K4"/>
  <c r="K6"/>
  <c r="K9"/>
  <c r="K8"/>
  <c r="Z8" i="1" l="1"/>
  <c r="Z7"/>
  <c r="Z6"/>
  <c r="Z5"/>
  <c r="Z4"/>
  <c r="Y4"/>
  <c r="Y8"/>
  <c r="Y7"/>
  <c r="Y6"/>
  <c r="Y5"/>
  <c r="O22" l="1"/>
  <c r="O24" s="1"/>
  <c r="R38" i="2"/>
  <c r="R36"/>
  <c r="R30"/>
  <c r="R34"/>
  <c r="P34"/>
  <c r="R33"/>
  <c r="P33"/>
  <c r="R32"/>
  <c r="R31"/>
  <c r="R29"/>
  <c r="R28"/>
  <c r="M5" i="1" l="1"/>
  <c r="M4"/>
  <c r="O5" s="1"/>
  <c r="AH2" i="6"/>
  <c r="S2" s="1"/>
  <c r="U2" s="1"/>
  <c r="AG2"/>
  <c r="AF2"/>
  <c r="J6"/>
  <c r="J7" s="1"/>
  <c r="J8" s="1"/>
  <c r="J9" s="1"/>
  <c r="Q5"/>
  <c r="Q7" s="1"/>
  <c r="V3" i="1"/>
  <c r="W3" s="1"/>
  <c r="V2"/>
  <c r="G3" i="6" l="1"/>
  <c r="G19"/>
  <c r="F3"/>
  <c r="N3" s="1"/>
  <c r="F19"/>
  <c r="O3"/>
  <c r="P3" s="1"/>
  <c r="S3" s="1"/>
  <c r="U3" s="1"/>
  <c r="O6" i="1"/>
  <c r="O7"/>
  <c r="M6"/>
  <c r="M7"/>
  <c r="J10" i="6"/>
  <c r="G4"/>
  <c r="F4"/>
  <c r="N4" s="1"/>
  <c r="R5"/>
  <c r="P4" i="1"/>
  <c r="Z2"/>
  <c r="W2"/>
  <c r="O33" i="2"/>
  <c r="O34"/>
  <c r="Y2" i="1"/>
  <c r="Q8" i="6"/>
  <c r="Q9" s="1"/>
  <c r="Q10" s="1"/>
  <c r="Q11" s="1"/>
  <c r="Q12" s="1"/>
  <c r="Q13" s="1"/>
  <c r="Q14" s="1"/>
  <c r="Q15" s="1"/>
  <c r="Q16" s="1"/>
  <c r="Q17" s="1"/>
  <c r="Q18" s="1"/>
  <c r="Q19" s="1"/>
  <c r="R19" s="1"/>
  <c r="Q6"/>
  <c r="I5"/>
  <c r="G5" s="1"/>
  <c r="H6"/>
  <c r="H7" s="1"/>
  <c r="F5"/>
  <c r="N5" s="1"/>
  <c r="Z3" i="1"/>
  <c r="Y3"/>
  <c r="R27" i="2"/>
  <c r="R26"/>
  <c r="R25"/>
  <c r="R24"/>
  <c r="R23"/>
  <c r="R22"/>
  <c r="R21"/>
  <c r="R20"/>
  <c r="R19"/>
  <c r="R18"/>
  <c r="R17"/>
  <c r="R16"/>
  <c r="R15"/>
  <c r="O19" i="6" l="1"/>
  <c r="P19" s="1"/>
  <c r="N19"/>
  <c r="S19"/>
  <c r="U19" s="1"/>
  <c r="O8" i="1"/>
  <c r="M9"/>
  <c r="M8"/>
  <c r="O9" s="1"/>
  <c r="R9" i="6"/>
  <c r="J11"/>
  <c r="R10"/>
  <c r="H8"/>
  <c r="H9" s="1"/>
  <c r="F7"/>
  <c r="N7" s="1"/>
  <c r="R6"/>
  <c r="R7"/>
  <c r="Q24" i="2"/>
  <c r="P6" i="1"/>
  <c r="Q19" i="2"/>
  <c r="Q31"/>
  <c r="Q32"/>
  <c r="I6" i="6"/>
  <c r="I7" s="1"/>
  <c r="F6"/>
  <c r="N6" s="1"/>
  <c r="O5"/>
  <c r="P5" s="1"/>
  <c r="S5" s="1"/>
  <c r="U5" s="1"/>
  <c r="O4"/>
  <c r="P4" s="1"/>
  <c r="S4" s="1"/>
  <c r="U4" s="1"/>
  <c r="Q21" i="2"/>
  <c r="Q15"/>
  <c r="Q18"/>
  <c r="Q20"/>
  <c r="Q16"/>
  <c r="Q17"/>
  <c r="Q23"/>
  <c r="Q22"/>
  <c r="H10" i="6" l="1"/>
  <c r="F9"/>
  <c r="J12"/>
  <c r="R11"/>
  <c r="I8"/>
  <c r="I9" s="1"/>
  <c r="G7"/>
  <c r="F8"/>
  <c r="N8" s="1"/>
  <c r="G6"/>
  <c r="R8"/>
  <c r="M11" i="1"/>
  <c r="P8"/>
  <c r="O7" i="6"/>
  <c r="O6"/>
  <c r="O24" i="2"/>
  <c r="O22"/>
  <c r="O23"/>
  <c r="P23"/>
  <c r="P24"/>
  <c r="P22"/>
  <c r="H11" i="6" l="1"/>
  <c r="F10"/>
  <c r="I10"/>
  <c r="G9"/>
  <c r="J13"/>
  <c r="R12"/>
  <c r="G8"/>
  <c r="P7"/>
  <c r="S7" s="1"/>
  <c r="U7" s="1"/>
  <c r="P6"/>
  <c r="S6" s="1"/>
  <c r="U6" s="1"/>
  <c r="P10" i="1"/>
  <c r="O12" s="1"/>
  <c r="O32" i="2"/>
  <c r="O31"/>
  <c r="P32"/>
  <c r="P31"/>
  <c r="O8" i="6"/>
  <c r="O21" i="2"/>
  <c r="B21" s="1"/>
  <c r="O15"/>
  <c r="O20"/>
  <c r="B20" s="1"/>
  <c r="O18"/>
  <c r="O19"/>
  <c r="B19" s="1"/>
  <c r="O17"/>
  <c r="O16"/>
  <c r="B22"/>
  <c r="P20"/>
  <c r="C20" s="1"/>
  <c r="P19"/>
  <c r="C19" s="1"/>
  <c r="P16"/>
  <c r="P15"/>
  <c r="P18"/>
  <c r="P17"/>
  <c r="P21"/>
  <c r="C21" s="1"/>
  <c r="R14"/>
  <c r="C43"/>
  <c r="B43"/>
  <c r="C42"/>
  <c r="B42"/>
  <c r="R10"/>
  <c r="R9"/>
  <c r="R13"/>
  <c r="H12" i="6" l="1"/>
  <c r="F11"/>
  <c r="I11"/>
  <c r="G10"/>
  <c r="J14"/>
  <c r="R13"/>
  <c r="P8"/>
  <c r="S8" s="1"/>
  <c r="U8" s="1"/>
  <c r="O36" i="2"/>
  <c r="O38"/>
  <c r="Q36"/>
  <c r="Q38"/>
  <c r="Q29"/>
  <c r="Q30"/>
  <c r="Q28"/>
  <c r="O30"/>
  <c r="O29"/>
  <c r="O28"/>
  <c r="O27"/>
  <c r="O26"/>
  <c r="O25"/>
  <c r="C22"/>
  <c r="Q27"/>
  <c r="Q26"/>
  <c r="Q25"/>
  <c r="Q14"/>
  <c r="R12"/>
  <c r="R11"/>
  <c r="R8"/>
  <c r="R7"/>
  <c r="H13" i="6" l="1"/>
  <c r="F12"/>
  <c r="I12"/>
  <c r="G11"/>
  <c r="J15"/>
  <c r="R14"/>
  <c r="N9"/>
  <c r="Q34" i="2"/>
  <c r="Q33"/>
  <c r="B24"/>
  <c r="C24"/>
  <c r="B23"/>
  <c r="C23"/>
  <c r="O14"/>
  <c r="A3"/>
  <c r="B3" s="1"/>
  <c r="B37" l="1"/>
  <c r="C37"/>
  <c r="H14" i="6"/>
  <c r="F13"/>
  <c r="I13"/>
  <c r="G12"/>
  <c r="J16"/>
  <c r="R15"/>
  <c r="P38" i="2"/>
  <c r="P36"/>
  <c r="C33"/>
  <c r="B30"/>
  <c r="P30"/>
  <c r="P29"/>
  <c r="P28"/>
  <c r="N11" i="6"/>
  <c r="N12"/>
  <c r="O9"/>
  <c r="P26" i="2"/>
  <c r="P25"/>
  <c r="C25" s="1"/>
  <c r="P27"/>
  <c r="B25"/>
  <c r="P14"/>
  <c r="O10"/>
  <c r="O9"/>
  <c r="O7"/>
  <c r="O8"/>
  <c r="O13"/>
  <c r="O11"/>
  <c r="O12"/>
  <c r="P9"/>
  <c r="P10"/>
  <c r="Q13"/>
  <c r="Q11"/>
  <c r="Q12"/>
  <c r="P13"/>
  <c r="P11"/>
  <c r="P12"/>
  <c r="Q9"/>
  <c r="Q10"/>
  <c r="Q7"/>
  <c r="Q8"/>
  <c r="P7"/>
  <c r="P8"/>
  <c r="H15" i="6" l="1"/>
  <c r="F14"/>
  <c r="N14" s="1"/>
  <c r="I14"/>
  <c r="G13"/>
  <c r="J17"/>
  <c r="R16"/>
  <c r="P9"/>
  <c r="O10"/>
  <c r="P10" s="1"/>
  <c r="N10"/>
  <c r="C3" i="2"/>
  <c r="D3" s="1"/>
  <c r="C30"/>
  <c r="B33"/>
  <c r="B31"/>
  <c r="C31"/>
  <c r="B28"/>
  <c r="C28"/>
  <c r="C29"/>
  <c r="B29"/>
  <c r="B32"/>
  <c r="C32"/>
  <c r="O12" i="6"/>
  <c r="O11"/>
  <c r="N13"/>
  <c r="B26" i="2"/>
  <c r="C26"/>
  <c r="B27"/>
  <c r="C27"/>
  <c r="E42"/>
  <c r="F42" s="1"/>
  <c r="R17" i="6" l="1"/>
  <c r="J18"/>
  <c r="R18" s="1"/>
  <c r="H16"/>
  <c r="F15"/>
  <c r="N15" s="1"/>
  <c r="I15"/>
  <c r="G14"/>
  <c r="S10"/>
  <c r="U10" s="1"/>
  <c r="S9"/>
  <c r="U9" s="1"/>
  <c r="C34" i="2"/>
  <c r="B34"/>
  <c r="O14" i="6"/>
  <c r="O13"/>
  <c r="P11"/>
  <c r="B17" i="2"/>
  <c r="C17"/>
  <c r="C16"/>
  <c r="B16"/>
  <c r="C15"/>
  <c r="B15"/>
  <c r="B18"/>
  <c r="C18"/>
  <c r="B7"/>
  <c r="C7"/>
  <c r="C8"/>
  <c r="B8"/>
  <c r="B10"/>
  <c r="C10"/>
  <c r="B9"/>
  <c r="C9"/>
  <c r="B14"/>
  <c r="C14"/>
  <c r="C11"/>
  <c r="B11"/>
  <c r="C13"/>
  <c r="B13"/>
  <c r="E43"/>
  <c r="F43" s="1"/>
  <c r="B12"/>
  <c r="C12"/>
  <c r="H17" i="6" l="1"/>
  <c r="F16"/>
  <c r="N16" s="1"/>
  <c r="O15"/>
  <c r="I16"/>
  <c r="G15"/>
  <c r="S11"/>
  <c r="U11" s="1"/>
  <c r="F17" l="1"/>
  <c r="N17" s="1"/>
  <c r="H18"/>
  <c r="F18" s="1"/>
  <c r="O16"/>
  <c r="I17"/>
  <c r="G16"/>
  <c r="B36" i="2"/>
  <c r="C36"/>
  <c r="B38"/>
  <c r="C38"/>
  <c r="O17" i="6" l="1"/>
  <c r="N18"/>
  <c r="O18"/>
  <c r="G17"/>
  <c r="I18"/>
  <c r="G18" s="1"/>
  <c r="P12"/>
  <c r="P18" l="1"/>
  <c r="S18" s="1"/>
  <c r="U18" s="1"/>
  <c r="S12"/>
  <c r="U12" s="1"/>
  <c r="P13"/>
  <c r="S13" l="1"/>
  <c r="U13" s="1"/>
  <c r="P14"/>
  <c r="S14" l="1"/>
  <c r="U14" s="1"/>
  <c r="P15"/>
  <c r="S15" l="1"/>
  <c r="U15" s="1"/>
  <c r="P16"/>
  <c r="S16" l="1"/>
  <c r="U16" s="1"/>
  <c r="P17"/>
  <c r="S17" l="1"/>
  <c r="U17" s="1"/>
  <c r="J20" i="11"/>
  <c r="J19"/>
  <c r="J21"/>
  <c r="K20"/>
  <c r="K21"/>
  <c r="K19"/>
</calcChain>
</file>

<file path=xl/sharedStrings.xml><?xml version="1.0" encoding="utf-8"?>
<sst xmlns="http://schemas.openxmlformats.org/spreadsheetml/2006/main" count="4903" uniqueCount="385">
  <si>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</si>
  <si>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</si>
  <si>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</si>
  <si>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</si>
  <si>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</si>
  <si>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</si>
  <si>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</si>
  <si>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</si>
  <si>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</si>
  <si>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</si>
  <si>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</si>
  <si>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</si>
  <si>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</si>
  <si>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</si>
  <si>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</si>
  <si>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</si>
  <si>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</si>
  <si>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</si>
  <si>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</si>
  <si>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</si>
  <si>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</si>
  <si>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</si>
  <si>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</si>
  <si>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</si>
  <si>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</si>
  <si>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</si>
  <si>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</si>
  <si>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</si>
  <si>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</si>
  <si>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</si>
  <si>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</si>
  <si>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</si>
  <si>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</si>
  <si>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</si>
  <si>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</si>
  <si>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</si>
  <si>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</si>
  <si>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</si>
  <si>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</si>
  <si>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</si>
  <si>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</si>
  <si>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</si>
  <si>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</si>
  <si>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</si>
  <si>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</si>
  <si>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</si>
  <si>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</si>
  <si>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</si>
  <si>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</si>
  <si>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</si>
  <si>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</si>
  <si>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</si>
  <si>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</si>
  <si>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</si>
  <si>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</si>
  <si>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</si>
  <si>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</si>
  <si>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</si>
  <si>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</si>
  <si>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</si>
  <si>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</si>
  <si>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</si>
  <si>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</si>
  <si>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</si>
  <si>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</si>
  <si>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</si>
  <si>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</si>
  <si>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</si>
  <si>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</si>
  <si>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</si>
  <si>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</si>
  <si>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</si>
  <si>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</si>
  <si>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</si>
  <si>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</si>
  <si>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</si>
  <si>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</si>
  <si>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</si>
  <si>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</si>
  <si>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</si>
  <si>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</si>
  <si>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</si>
  <si>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</si>
  <si>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</si>
  <si>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</si>
  <si>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Atk%/Crit.C/Atk%</t>
  </si>
  <si>
    <t>Blade</t>
  </si>
  <si>
    <t>Rage</t>
  </si>
  <si>
    <t>Fatal</t>
  </si>
  <si>
    <t>Atk%/Crit.D/Atk%</t>
  </si>
  <si>
    <t>Atk%/Atk%/Atk%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</si>
  <si>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</si>
  <si>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</si>
  <si>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</si>
  <si>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</si>
  <si>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</si>
  <si>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</si>
  <si>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</si>
  <si>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</si>
  <si>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N/A</t>
  </si>
  <si>
    <t>Base</t>
  </si>
  <si>
    <t>Crit D rune</t>
  </si>
  <si>
    <t>Atk rune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</si>
  <si>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</si>
  <si>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</si>
  <si>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</si>
  <si>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</si>
  <si>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</si>
  <si>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</si>
  <si>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</si>
  <si>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</si>
  <si>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</si>
  <si>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</si>
  <si>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</si>
  <si>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</si>
  <si>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</si>
  <si>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</si>
  <si>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</si>
  <si>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</si>
  <si>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</si>
  <si>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</si>
  <si>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</si>
  <si>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</si>
  <si>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</si>
  <si>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</si>
  <si>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</si>
  <si>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</si>
  <si>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</si>
  <si>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</si>
  <si>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</si>
  <si>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</si>
  <si>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</si>
  <si>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</si>
  <si>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</si>
  <si>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</si>
  <si>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</si>
  <si>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</si>
  <si>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</si>
  <si>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</si>
  <si>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</si>
  <si>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</si>
  <si>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</si>
  <si>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</si>
  <si>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</si>
  <si>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</si>
  <si>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</si>
  <si>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</si>
  <si>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</si>
  <si>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</si>
  <si>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</si>
  <si>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</si>
  <si>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</si>
  <si>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</si>
  <si>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</si>
  <si>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</si>
  <si>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</si>
  <si>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</si>
  <si>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</si>
  <si>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</si>
  <si>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</si>
  <si>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</si>
  <si>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</si>
  <si>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</si>
  <si>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</si>
  <si>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</si>
  <si>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</si>
  <si>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</si>
  <si>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</si>
  <si>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</si>
  <si>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</si>
  <si>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</si>
  <si>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</si>
  <si>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</si>
  <si>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</si>
  <si>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</si>
  <si>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</si>
  <si>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</si>
  <si>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</si>
  <si>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</si>
  <si>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</si>
  <si>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</si>
  <si>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</si>
  <si>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</si>
  <si>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</si>
  <si>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</si>
  <si>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</si>
  <si>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</si>
  <si>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</si>
  <si>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</si>
  <si>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</si>
  <si>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</si>
  <si>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</si>
  <si>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</si>
  <si>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</si>
  <si>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</si>
  <si>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</si>
  <si>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</si>
  <si>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</si>
  <si>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</si>
  <si>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</si>
  <si>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</si>
  <si>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</si>
  <si>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</si>
  <si>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</si>
  <si>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</si>
  <si>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</si>
  <si>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</si>
  <si>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</si>
  <si>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</si>
  <si>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</si>
  <si>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</si>
  <si>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</si>
  <si>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</si>
  <si>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</si>
  <si>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</si>
  <si>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</si>
  <si>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</si>
  <si>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</si>
  <si>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</si>
  <si>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</si>
  <si>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</si>
  <si>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</si>
  <si>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</si>
  <si>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</si>
  <si>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</si>
  <si>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</si>
  <si>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</si>
  <si>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9-tailed Fox</t>
  </si>
  <si>
    <t>Harpy(wind)</t>
  </si>
  <si>
    <t>Amazon(wind)</t>
  </si>
  <si>
    <t>High Elem(fire)</t>
  </si>
  <si>
    <t>Garuda(water)</t>
  </si>
  <si>
    <t>Toget</t>
  </si>
  <si>
    <t>Map</t>
  </si>
  <si>
    <t>SD</t>
  </si>
  <si>
    <t>Shop</t>
  </si>
  <si>
    <t>M.Cat (water)</t>
  </si>
  <si>
    <t>Shop/SD</t>
  </si>
  <si>
    <t>Complete</t>
  </si>
  <si>
    <t>Phoenix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</si>
  <si>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</si>
  <si>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</si>
  <si>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</si>
  <si>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</si>
  <si>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</si>
  <si>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</si>
  <si>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</si>
  <si>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</si>
  <si>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</si>
  <si>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</si>
  <si>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</si>
  <si>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</si>
  <si>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</si>
  <si>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</si>
  <si>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</si>
  <si>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</si>
  <si>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</si>
  <si>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</si>
  <si>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</si>
  <si>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</si>
  <si>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</si>
  <si>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SD/Shop</t>
  </si>
  <si>
    <t>Próbka</t>
  </si>
  <si>
    <t>Lapis</t>
  </si>
  <si>
    <t>GOT</t>
  </si>
  <si>
    <t>LVL 40</t>
  </si>
  <si>
    <t>LVL 50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</si>
  <si>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</si>
  <si>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</si>
  <si>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</si>
  <si>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</si>
  <si>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</si>
  <si>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</si>
  <si>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</si>
  <si>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</si>
  <si>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</si>
  <si>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</si>
  <si>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</si>
  <si>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</si>
  <si>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</si>
  <si>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</si>
  <si>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</si>
  <si>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</si>
  <si>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</si>
  <si>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</si>
  <si>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</si>
  <si>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</si>
  <si>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</si>
  <si>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</si>
  <si>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</si>
  <si>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</si>
  <si>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</si>
  <si>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</si>
  <si>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</si>
  <si>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</si>
  <si>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</si>
  <si>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</si>
  <si>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</si>
  <si>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</si>
  <si>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</si>
  <si>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</si>
  <si>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</si>
  <si>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</si>
  <si>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</si>
  <si>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</si>
  <si>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</si>
  <si>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</si>
  <si>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</si>
  <si>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</si>
  <si>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</si>
  <si>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</si>
  <si>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</si>
  <si>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</si>
  <si>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</si>
  <si>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</si>
  <si>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</si>
  <si>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</si>
  <si>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</si>
  <si>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</si>
  <si>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</si>
  <si>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</si>
  <si>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</si>
  <si>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</si>
  <si>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</si>
  <si>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</si>
  <si>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</si>
  <si>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</si>
  <si>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</si>
  <si>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</si>
  <si>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</si>
  <si>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</si>
  <si>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</si>
  <si>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</si>
  <si>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</si>
  <si>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</si>
  <si>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</si>
  <si>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</si>
  <si>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</si>
  <si>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</si>
  <si>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</si>
  <si>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</si>
  <si>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</si>
  <si>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</si>
  <si>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</si>
  <si>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</si>
  <si>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</si>
  <si>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</si>
  <si>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</si>
  <si>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</si>
  <si>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</si>
  <si>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</si>
  <si>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</si>
  <si>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</si>
  <si>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</si>
  <si>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</si>
  <si>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</si>
  <si>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</si>
  <si>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</si>
  <si>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</si>
  <si>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</si>
  <si>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</si>
  <si>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SPD/Atk%/Atk%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</si>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</sst>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sz val="11"/>
      <color theme="1"/>
      <name val="Czcionka tekstu podstawowego"/>
      <family val="2"/>
      <charset val="238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/>
  </cellStyleXfs>
  <cellXfs count="198">
    <xf numFmtId="0" fontId="0" fillId="0" borderId="0" xfId="0"/>
    <xf numFmtId="4" fontId="0" fillId="0" borderId="0" xfId="0" applyNumberFormat="1"/>
    <xf numFmtId="0" fontId="0" fillId="2" borderId="0" xfId="0" applyFill="1"/>
    <xf numFmtId="0" fontId="1" fillId="3" borderId="1" xfId="0" applyFont="1" applyFill="1" applyBorder="1"/>
    <xf numFmtId="0" fontId="1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2" fillId="0" borderId="10" xfId="0" applyNumberFormat="1" applyFont="1" applyFill="1" applyBorder="1" applyAlignment="1">
      <alignment horizontal="left" wrapText="1"/>
    </xf>
    <xf numFmtId="0" fontId="2" fillId="0" borderId="10" xfId="0" applyFont="1" applyFill="1" applyBorder="1" applyAlignment="1">
      <alignment horizontal="left" wrapText="1"/>
    </xf>
    <xf numFmtId="3" fontId="2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3" fillId="0" borderId="5" xfId="0" applyNumberFormat="1" applyFont="1" applyBorder="1"/>
    <xf numFmtId="0" fontId="3" fillId="0" borderId="4" xfId="0" applyFont="1" applyBorder="1"/>
    <xf numFmtId="0" fontId="3" fillId="0" borderId="3" xfId="0" applyFont="1" applyBorder="1"/>
    <xf numFmtId="165" fontId="3" fillId="0" borderId="14" xfId="0" applyNumberFormat="1" applyFont="1" applyBorder="1"/>
    <xf numFmtId="0" fontId="4" fillId="4" borderId="0" xfId="0" applyFont="1" applyFill="1" applyBorder="1" applyAlignment="1">
      <alignment horizontal="left" vertical="center" wrapText="1"/>
    </xf>
    <xf numFmtId="0" fontId="3" fillId="0" borderId="0" xfId="0" applyFont="1"/>
    <xf numFmtId="4" fontId="2" fillId="0" borderId="10" xfId="0" applyNumberFormat="1" applyFont="1" applyFill="1" applyBorder="1" applyAlignment="1">
      <alignment horizontal="left" wrapText="1"/>
    </xf>
    <xf numFmtId="4" fontId="3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5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3" fillId="0" borderId="5" xfId="0" applyFont="1" applyBorder="1"/>
    <xf numFmtId="0" fontId="5" fillId="0" borderId="0" xfId="0" applyFont="1" applyBorder="1"/>
    <xf numFmtId="0" fontId="5" fillId="0" borderId="12" xfId="0" applyFont="1" applyBorder="1"/>
    <xf numFmtId="0" fontId="0" fillId="0" borderId="12" xfId="0" applyBorder="1"/>
    <xf numFmtId="0" fontId="0" fillId="0" borderId="0" xfId="0" applyFill="1" applyBorder="1"/>
    <xf numFmtId="0" fontId="0" fillId="0" borderId="16" xfId="0" applyBorder="1" applyAlignment="1"/>
    <xf numFmtId="0" fontId="0" fillId="0" borderId="17" xfId="0" applyBorder="1" applyAlignment="1"/>
    <xf numFmtId="0" fontId="0" fillId="2" borderId="0" xfId="0" applyFill="1" applyBorder="1"/>
    <xf numFmtId="0" fontId="0" fillId="2" borderId="12" xfId="0" applyFill="1" applyBorder="1"/>
    <xf numFmtId="0" fontId="0" fillId="2" borderId="8" xfId="0" applyFill="1" applyBorder="1"/>
    <xf numFmtId="0" fontId="0" fillId="2" borderId="9" xfId="0" applyFill="1" applyBorder="1"/>
    <xf numFmtId="0" fontId="0" fillId="2" borderId="6" xfId="0" applyFill="1" applyBorder="1"/>
    <xf numFmtId="0" fontId="0" fillId="2" borderId="7" xfId="0" applyFill="1" applyBorder="1"/>
    <xf numFmtId="0" fontId="3" fillId="2" borderId="0" xfId="0" applyFont="1" applyFill="1" applyBorder="1"/>
    <xf numFmtId="0" fontId="3" fillId="2" borderId="6" xfId="0" applyFont="1" applyFill="1" applyBorder="1"/>
    <xf numFmtId="0" fontId="3" fillId="2" borderId="12" xfId="0" applyFont="1" applyFill="1" applyBorder="1"/>
    <xf numFmtId="0" fontId="0" fillId="5" borderId="0" xfId="0" applyFill="1" applyBorder="1"/>
    <xf numFmtId="0" fontId="0" fillId="5" borderId="8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3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3" fillId="0" borderId="16" xfId="0" applyFont="1" applyFill="1" applyBorder="1"/>
    <xf numFmtId="0" fontId="0" fillId="0" borderId="0" xfId="0" applyAlignment="1">
      <alignment wrapText="1"/>
    </xf>
    <xf numFmtId="0" fontId="3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3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3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3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3" fillId="9" borderId="8" xfId="0" applyFont="1" applyFill="1" applyBorder="1"/>
    <xf numFmtId="0" fontId="0" fillId="9" borderId="5" xfId="0" applyFill="1" applyBorder="1"/>
    <xf numFmtId="0" fontId="3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3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3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0" fillId="11" borderId="6" xfId="0" applyFill="1" applyBorder="1"/>
    <xf numFmtId="0" fontId="2" fillId="4" borderId="0" xfId="0" applyFont="1" applyFill="1" applyBorder="1" applyAlignment="1">
      <alignment horizontal="left" vertical="center" wrapText="1"/>
    </xf>
    <xf numFmtId="0" fontId="2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4" fillId="0" borderId="20" xfId="0" applyFont="1" applyFill="1" applyBorder="1" applyAlignment="1">
      <alignment horizontal="left" vertical="center" wrapText="1"/>
    </xf>
    <xf numFmtId="0" fontId="4" fillId="0" borderId="10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0" fontId="4" fillId="0" borderId="15" xfId="0" applyFont="1" applyFill="1" applyBorder="1" applyAlignment="1">
      <alignment horizontal="left" vertical="center" wrapText="1"/>
    </xf>
    <xf numFmtId="0" fontId="3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7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2" borderId="0" xfId="0" applyFill="1"/>
    <xf numFmtId="9" fontId="0" fillId="12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3" borderId="0" xfId="0" applyFill="1"/>
    <xf numFmtId="9" fontId="0" fillId="13" borderId="0" xfId="0" applyNumberFormat="1" applyFill="1"/>
    <xf numFmtId="9" fontId="0" fillId="13" borderId="0" xfId="1" applyFont="1" applyFill="1"/>
    <xf numFmtId="0" fontId="0" fillId="13" borderId="0" xfId="0" applyFill="1" applyBorder="1"/>
    <xf numFmtId="9" fontId="0" fillId="12" borderId="0" xfId="1" applyFont="1" applyFill="1"/>
    <xf numFmtId="0" fontId="0" fillId="12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ny" xfId="0" builtinId="0"/>
    <cellStyle name="Procentowy" xfId="1" builtinId="5"/>
  </cellStyles>
  <dxfs count="85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indent="0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indent="0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indent="0" relativeIndent="0" justifyLastLine="0" shrinkToFit="0" readingOrder="0"/>
    </dxf>
    <dxf>
      <numFmt numFmtId="13" formatCode="0%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466069560185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 count="23">
        <m/>
        <s v="Fod"/>
        <s v="Scroll"/>
        <s v="Magic"/>
        <s v="Rainb"/>
        <s v="Water"/>
        <s v="Light"/>
        <s v="SD(sala)"/>
        <s v="SumStone"/>
        <s v="SweetCookie"/>
        <s v="Dark"/>
        <s v="SD"/>
        <s v="Angelmon"/>
        <s v="Blue"/>
        <s v="Wind"/>
        <s v="Fire"/>
        <s v="Candy"/>
        <s v="EoFire(low)"/>
        <s v="Pink"/>
        <s v="MystScroll"/>
        <s v="Violet"/>
        <s v="Orange"/>
        <s v="Fatal" u="1"/>
      </sharedItems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0">
        <m/>
        <s v="2*"/>
        <s v="1*"/>
        <s v="low"/>
        <s v="mid"/>
        <s v="3*"/>
        <s v="high"/>
        <s v="4*"/>
        <s v="5*"/>
        <n v="1" u="1"/>
      </sharedItems>
    </cacheField>
    <cacheField name="Sell Drop" numFmtId="0">
      <sharedItems containsString="0" containsBlank="1" containsNumber="1" containsInteger="1" minValue="0" maxValue="13770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x v="0"/>
    <m/>
    <x v="0"/>
    <n v="912"/>
    <n v="912"/>
    <n v="0"/>
    <n v="0"/>
    <m/>
  </r>
  <r>
    <x v="0"/>
    <x v="0"/>
    <x v="1"/>
    <n v="1255"/>
    <n v="0"/>
    <x v="0"/>
    <m/>
    <x v="0"/>
    <n v="325"/>
    <n v="325"/>
    <n v="0"/>
    <n v="0"/>
    <m/>
  </r>
  <r>
    <x v="0"/>
    <x v="0"/>
    <x v="1"/>
    <n v="1668"/>
    <n v="1"/>
    <x v="1"/>
    <n v="1"/>
    <x v="1"/>
    <n v="0"/>
    <n v="0"/>
    <n v="11500"/>
    <n v="0"/>
    <m/>
  </r>
  <r>
    <x v="0"/>
    <x v="0"/>
    <x v="1"/>
    <n v="1008"/>
    <n v="0"/>
    <x v="0"/>
    <m/>
    <x v="0"/>
    <n v="325"/>
    <n v="325"/>
    <n v="0"/>
    <n v="0"/>
    <m/>
  </r>
  <r>
    <x v="0"/>
    <x v="0"/>
    <x v="1"/>
    <n v="1619"/>
    <n v="1"/>
    <x v="0"/>
    <m/>
    <x v="0"/>
    <n v="325"/>
    <n v="325"/>
    <n v="0"/>
    <n v="0"/>
    <m/>
  </r>
  <r>
    <x v="0"/>
    <x v="0"/>
    <x v="1"/>
    <n v="1152"/>
    <n v="1"/>
    <x v="0"/>
    <m/>
    <x v="0"/>
    <n v="720"/>
    <n v="720"/>
    <n v="0"/>
    <n v="0"/>
    <m/>
  </r>
  <r>
    <x v="0"/>
    <x v="0"/>
    <x v="1"/>
    <n v="1007"/>
    <n v="0"/>
    <x v="2"/>
    <n v="1"/>
    <x v="2"/>
    <n v="0"/>
    <n v="0"/>
    <n v="0"/>
    <n v="800"/>
    <m/>
  </r>
  <r>
    <x v="0"/>
    <x v="0"/>
    <x v="1"/>
    <n v="1401"/>
    <n v="0"/>
    <x v="1"/>
    <n v="1"/>
    <x v="1"/>
    <n v="0"/>
    <n v="0"/>
    <n v="11500"/>
    <n v="0"/>
    <m/>
  </r>
  <r>
    <x v="0"/>
    <x v="0"/>
    <x v="1"/>
    <n v="1705"/>
    <n v="1"/>
    <x v="2"/>
    <n v="1"/>
    <x v="2"/>
    <n v="0"/>
    <n v="0"/>
    <n v="0"/>
    <n v="800"/>
    <m/>
  </r>
  <r>
    <x v="0"/>
    <x v="0"/>
    <x v="1"/>
    <n v="1033"/>
    <n v="0"/>
    <x v="0"/>
    <m/>
    <x v="0"/>
    <n v="720"/>
    <n v="720"/>
    <n v="0"/>
    <n v="0"/>
    <m/>
  </r>
  <r>
    <x v="0"/>
    <x v="0"/>
    <x v="1"/>
    <n v="645"/>
    <n v="0"/>
    <x v="1"/>
    <n v="1"/>
    <x v="1"/>
    <n v="0"/>
    <n v="0"/>
    <n v="11500"/>
    <n v="0"/>
    <m/>
  </r>
  <r>
    <x v="0"/>
    <x v="0"/>
    <x v="1"/>
    <n v="1091"/>
    <n v="4"/>
    <x v="0"/>
    <m/>
    <x v="0"/>
    <n v="325"/>
    <n v="325"/>
    <n v="0"/>
    <n v="0"/>
    <m/>
  </r>
  <r>
    <x v="0"/>
    <x v="0"/>
    <x v="1"/>
    <n v="519"/>
    <n v="2"/>
    <x v="0"/>
    <m/>
    <x v="0"/>
    <n v="487"/>
    <n v="487"/>
    <n v="0"/>
    <n v="0"/>
    <m/>
  </r>
  <r>
    <x v="0"/>
    <x v="0"/>
    <x v="1"/>
    <n v="1378"/>
    <n v="1"/>
    <x v="0"/>
    <m/>
    <x v="0"/>
    <n v="325"/>
    <n v="325"/>
    <n v="0"/>
    <n v="0"/>
    <m/>
  </r>
  <r>
    <x v="0"/>
    <x v="0"/>
    <x v="1"/>
    <n v="1455"/>
    <n v="1"/>
    <x v="0"/>
    <m/>
    <x v="0"/>
    <n v="325"/>
    <n v="325"/>
    <n v="0"/>
    <n v="0"/>
    <m/>
  </r>
  <r>
    <x v="0"/>
    <x v="0"/>
    <x v="1"/>
    <n v="790"/>
    <n v="2"/>
    <x v="1"/>
    <n v="1"/>
    <x v="2"/>
    <n v="0"/>
    <n v="0"/>
    <n v="0"/>
    <n v="0"/>
    <m/>
  </r>
  <r>
    <x v="0"/>
    <x v="0"/>
    <x v="1"/>
    <n v="1881"/>
    <n v="2"/>
    <x v="2"/>
    <n v="1"/>
    <x v="2"/>
    <n v="0"/>
    <n v="0"/>
    <n v="0"/>
    <n v="800"/>
    <m/>
  </r>
  <r>
    <x v="0"/>
    <x v="0"/>
    <x v="1"/>
    <n v="1508"/>
    <n v="0"/>
    <x v="0"/>
    <m/>
    <x v="0"/>
    <n v="325"/>
    <n v="325"/>
    <n v="0"/>
    <n v="0"/>
    <m/>
  </r>
  <r>
    <x v="0"/>
    <x v="0"/>
    <x v="1"/>
    <n v="970"/>
    <n v="0"/>
    <x v="0"/>
    <m/>
    <x v="0"/>
    <n v="433"/>
    <n v="433"/>
    <n v="0"/>
    <n v="0"/>
    <m/>
  </r>
  <r>
    <x v="0"/>
    <x v="0"/>
    <x v="1"/>
    <n v="1863"/>
    <n v="0"/>
    <x v="0"/>
    <m/>
    <x v="0"/>
    <n v="379"/>
    <n v="379"/>
    <n v="0"/>
    <n v="0"/>
    <m/>
  </r>
  <r>
    <x v="0"/>
    <x v="0"/>
    <x v="1"/>
    <n v="1298"/>
    <n v="1"/>
    <x v="1"/>
    <n v="1"/>
    <x v="2"/>
    <n v="0"/>
    <n v="0"/>
    <n v="0"/>
    <n v="0"/>
    <m/>
  </r>
  <r>
    <x v="0"/>
    <x v="0"/>
    <x v="1"/>
    <n v="867"/>
    <n v="2"/>
    <x v="0"/>
    <m/>
    <x v="0"/>
    <n v="325"/>
    <n v="325"/>
    <n v="0"/>
    <n v="0"/>
    <m/>
  </r>
  <r>
    <x v="0"/>
    <x v="0"/>
    <x v="1"/>
    <n v="1453"/>
    <n v="1"/>
    <x v="0"/>
    <m/>
    <x v="0"/>
    <n v="325"/>
    <n v="325"/>
    <n v="0"/>
    <n v="0"/>
    <m/>
  </r>
  <r>
    <x v="0"/>
    <x v="0"/>
    <x v="1"/>
    <n v="1293"/>
    <n v="0"/>
    <x v="2"/>
    <n v="1"/>
    <x v="2"/>
    <n v="0"/>
    <n v="0"/>
    <n v="0"/>
    <n v="800"/>
    <m/>
  </r>
  <r>
    <x v="0"/>
    <x v="0"/>
    <x v="1"/>
    <n v="1406"/>
    <n v="0"/>
    <x v="0"/>
    <m/>
    <x v="0"/>
    <n v="325"/>
    <n v="325"/>
    <n v="0"/>
    <n v="0"/>
    <m/>
  </r>
  <r>
    <x v="0"/>
    <x v="0"/>
    <x v="1"/>
    <n v="1172"/>
    <n v="1"/>
    <x v="2"/>
    <n v="1"/>
    <x v="2"/>
    <n v="0"/>
    <n v="0"/>
    <n v="0"/>
    <n v="800"/>
    <m/>
  </r>
  <r>
    <x v="0"/>
    <x v="0"/>
    <x v="1"/>
    <n v="1517"/>
    <n v="2"/>
    <x v="0"/>
    <m/>
    <x v="0"/>
    <n v="325"/>
    <n v="325"/>
    <n v="0"/>
    <n v="0"/>
    <m/>
  </r>
  <r>
    <x v="0"/>
    <x v="0"/>
    <x v="1"/>
    <n v="679"/>
    <n v="0"/>
    <x v="0"/>
    <m/>
    <x v="0"/>
    <n v="379"/>
    <n v="379"/>
    <n v="0"/>
    <n v="0"/>
    <m/>
  </r>
  <r>
    <x v="0"/>
    <x v="0"/>
    <x v="1"/>
    <n v="1263"/>
    <n v="0"/>
    <x v="0"/>
    <m/>
    <x v="0"/>
    <n v="487"/>
    <n v="487"/>
    <n v="0"/>
    <n v="0"/>
    <m/>
  </r>
  <r>
    <x v="0"/>
    <x v="0"/>
    <x v="1"/>
    <n v="497"/>
    <n v="1"/>
    <x v="2"/>
    <n v="1"/>
    <x v="2"/>
    <n v="0"/>
    <n v="0"/>
    <n v="0"/>
    <n v="800"/>
    <m/>
  </r>
  <r>
    <x v="0"/>
    <x v="0"/>
    <x v="1"/>
    <n v="621"/>
    <n v="1"/>
    <x v="0"/>
    <m/>
    <x v="0"/>
    <n v="720"/>
    <n v="720"/>
    <n v="0"/>
    <n v="0"/>
    <m/>
  </r>
  <r>
    <x v="0"/>
    <x v="0"/>
    <x v="1"/>
    <n v="1165"/>
    <n v="1"/>
    <x v="0"/>
    <m/>
    <x v="0"/>
    <n v="325"/>
    <n v="325"/>
    <n v="0"/>
    <n v="0"/>
    <m/>
  </r>
  <r>
    <x v="0"/>
    <x v="0"/>
    <x v="1"/>
    <n v="1390"/>
    <n v="1"/>
    <x v="2"/>
    <n v="1"/>
    <x v="2"/>
    <n v="0"/>
    <n v="0"/>
    <n v="0"/>
    <n v="800"/>
    <m/>
  </r>
  <r>
    <x v="0"/>
    <x v="0"/>
    <x v="1"/>
    <n v="999"/>
    <n v="1"/>
    <x v="2"/>
    <n v="1"/>
    <x v="2"/>
    <n v="0"/>
    <n v="0"/>
    <n v="0"/>
    <n v="800"/>
    <m/>
  </r>
  <r>
    <x v="0"/>
    <x v="0"/>
    <x v="1"/>
    <n v="1117"/>
    <n v="2"/>
    <x v="0"/>
    <m/>
    <x v="0"/>
    <n v="325"/>
    <n v="325"/>
    <n v="0"/>
    <n v="0"/>
    <m/>
  </r>
  <r>
    <x v="0"/>
    <x v="0"/>
    <x v="1"/>
    <n v="794"/>
    <n v="1"/>
    <x v="0"/>
    <m/>
    <x v="0"/>
    <n v="325"/>
    <n v="325"/>
    <n v="0"/>
    <n v="0"/>
    <m/>
  </r>
  <r>
    <x v="0"/>
    <x v="0"/>
    <x v="1"/>
    <n v="1432"/>
    <n v="1"/>
    <x v="0"/>
    <m/>
    <x v="0"/>
    <n v="325"/>
    <n v="325"/>
    <n v="0"/>
    <n v="0"/>
    <m/>
  </r>
  <r>
    <x v="0"/>
    <x v="0"/>
    <x v="1"/>
    <n v="1485"/>
    <n v="0"/>
    <x v="0"/>
    <m/>
    <x v="0"/>
    <n v="433"/>
    <n v="433"/>
    <n v="0"/>
    <n v="0"/>
    <m/>
  </r>
  <r>
    <x v="0"/>
    <x v="0"/>
    <x v="1"/>
    <n v="1301"/>
    <n v="1"/>
    <x v="0"/>
    <m/>
    <x v="0"/>
    <n v="379"/>
    <n v="379"/>
    <n v="0"/>
    <n v="0"/>
    <m/>
  </r>
  <r>
    <x v="0"/>
    <x v="0"/>
    <x v="1"/>
    <n v="1501"/>
    <n v="0"/>
    <x v="0"/>
    <m/>
    <x v="0"/>
    <n v="720"/>
    <n v="720"/>
    <n v="0"/>
    <n v="0"/>
    <m/>
  </r>
  <r>
    <x v="0"/>
    <x v="1"/>
    <x v="1"/>
    <n v="1470"/>
    <n v="0"/>
    <x v="0"/>
    <m/>
    <x v="0"/>
    <n v="1080"/>
    <n v="1080"/>
    <n v="0"/>
    <n v="0"/>
    <m/>
  </r>
  <r>
    <x v="0"/>
    <x v="1"/>
    <x v="1"/>
    <n v="1058"/>
    <n v="1"/>
    <x v="2"/>
    <n v="2"/>
    <x v="2"/>
    <n v="0"/>
    <n v="0"/>
    <n v="0"/>
    <n v="1600"/>
    <m/>
  </r>
  <r>
    <x v="1"/>
    <x v="0"/>
    <x v="0"/>
    <n v="1552"/>
    <n v="2"/>
    <x v="0"/>
    <m/>
    <x v="0"/>
    <n v="2128"/>
    <n v="2128"/>
    <n v="0"/>
    <n v="0"/>
    <m/>
  </r>
  <r>
    <x v="1"/>
    <x v="0"/>
    <x v="0"/>
    <n v="1468"/>
    <n v="1"/>
    <x v="2"/>
    <n v="1"/>
    <x v="2"/>
    <n v="0"/>
    <n v="0"/>
    <n v="0"/>
    <n v="800"/>
    <m/>
  </r>
  <r>
    <x v="1"/>
    <x v="0"/>
    <x v="0"/>
    <n v="1481"/>
    <n v="1"/>
    <x v="0"/>
    <m/>
    <x v="0"/>
    <n v="0"/>
    <n v="0"/>
    <n v="0"/>
    <n v="0"/>
    <m/>
  </r>
  <r>
    <x v="1"/>
    <x v="0"/>
    <x v="0"/>
    <n v="1928"/>
    <n v="1"/>
    <x v="0"/>
    <m/>
    <x v="0"/>
    <n v="1824"/>
    <n v="1824"/>
    <n v="0"/>
    <n v="0"/>
    <m/>
  </r>
  <r>
    <x v="1"/>
    <x v="0"/>
    <x v="0"/>
    <n v="1273"/>
    <n v="1"/>
    <x v="0"/>
    <m/>
    <x v="0"/>
    <n v="0"/>
    <n v="0"/>
    <n v="0"/>
    <n v="0"/>
    <m/>
  </r>
  <r>
    <x v="1"/>
    <x v="0"/>
    <x v="0"/>
    <n v="698"/>
    <n v="2"/>
    <x v="0"/>
    <m/>
    <x v="0"/>
    <n v="892"/>
    <n v="892"/>
    <n v="0"/>
    <n v="0"/>
    <m/>
  </r>
  <r>
    <x v="1"/>
    <x v="0"/>
    <x v="0"/>
    <n v="1500"/>
    <n v="1"/>
    <x v="0"/>
    <m/>
    <x v="0"/>
    <n v="2128"/>
    <n v="2128"/>
    <n v="0"/>
    <n v="0"/>
    <m/>
  </r>
  <r>
    <x v="1"/>
    <x v="0"/>
    <x v="0"/>
    <n v="310"/>
    <n v="1"/>
    <x v="2"/>
    <n v="1"/>
    <x v="2"/>
    <n v="0"/>
    <n v="0"/>
    <n v="0"/>
    <n v="800"/>
    <m/>
  </r>
  <r>
    <x v="1"/>
    <x v="0"/>
    <x v="0"/>
    <n v="1386"/>
    <n v="0"/>
    <x v="0"/>
    <m/>
    <x v="0"/>
    <n v="823"/>
    <n v="823"/>
    <n v="0"/>
    <n v="0"/>
    <m/>
  </r>
  <r>
    <x v="1"/>
    <x v="0"/>
    <x v="0"/>
    <n v="1353"/>
    <n v="1"/>
    <x v="0"/>
    <m/>
    <x v="0"/>
    <n v="1824"/>
    <n v="1824"/>
    <n v="0"/>
    <n v="0"/>
    <m/>
  </r>
  <r>
    <x v="1"/>
    <x v="0"/>
    <x v="0"/>
    <n v="1480"/>
    <n v="1"/>
    <x v="2"/>
    <n v="1"/>
    <x v="2"/>
    <n v="0"/>
    <n v="0"/>
    <n v="0"/>
    <n v="800"/>
    <m/>
  </r>
  <r>
    <x v="1"/>
    <x v="0"/>
    <x v="0"/>
    <n v="1618"/>
    <n v="1"/>
    <x v="2"/>
    <n v="1"/>
    <x v="2"/>
    <n v="0"/>
    <n v="0"/>
    <n v="0"/>
    <n v="800"/>
    <m/>
  </r>
  <r>
    <x v="1"/>
    <x v="0"/>
    <x v="0"/>
    <n v="1145"/>
    <n v="3"/>
    <x v="0"/>
    <m/>
    <x v="0"/>
    <n v="1824"/>
    <n v="1824"/>
    <n v="0"/>
    <n v="0"/>
    <m/>
  </r>
  <r>
    <x v="1"/>
    <x v="0"/>
    <x v="0"/>
    <n v="1164"/>
    <n v="0"/>
    <x v="0"/>
    <m/>
    <x v="0"/>
    <n v="823"/>
    <n v="823"/>
    <n v="0"/>
    <n v="0"/>
    <m/>
  </r>
  <r>
    <x v="0"/>
    <x v="1"/>
    <x v="2"/>
    <n v="1500"/>
    <n v="1"/>
    <x v="0"/>
    <m/>
    <x v="0"/>
    <n v="1152"/>
    <n v="1152"/>
    <n v="0"/>
    <n v="0"/>
    <m/>
  </r>
  <r>
    <x v="1"/>
    <x v="0"/>
    <x v="0"/>
    <n v="1215"/>
    <n v="1"/>
    <x v="0"/>
    <m/>
    <x v="0"/>
    <n v="823"/>
    <n v="823"/>
    <n v="0"/>
    <n v="0"/>
    <m/>
  </r>
  <r>
    <x v="1"/>
    <x v="0"/>
    <x v="0"/>
    <n v="1268"/>
    <n v="2"/>
    <x v="0"/>
    <m/>
    <x v="0"/>
    <n v="1824"/>
    <n v="1824"/>
    <n v="0"/>
    <n v="0"/>
    <m/>
  </r>
  <r>
    <x v="1"/>
    <x v="0"/>
    <x v="0"/>
    <n v="1694"/>
    <n v="0"/>
    <x v="0"/>
    <m/>
    <x v="0"/>
    <n v="960"/>
    <n v="960"/>
    <n v="0"/>
    <n v="0"/>
    <m/>
  </r>
  <r>
    <x v="1"/>
    <x v="0"/>
    <x v="0"/>
    <n v="1722"/>
    <n v="1"/>
    <x v="0"/>
    <m/>
    <x v="0"/>
    <n v="1824"/>
    <n v="1824"/>
    <n v="0"/>
    <n v="0"/>
    <m/>
  </r>
  <r>
    <x v="1"/>
    <x v="0"/>
    <x v="0"/>
    <n v="852"/>
    <n v="0"/>
    <x v="0"/>
    <m/>
    <x v="0"/>
    <n v="823"/>
    <n v="823"/>
    <n v="0"/>
    <n v="0"/>
    <m/>
  </r>
  <r>
    <x v="1"/>
    <x v="0"/>
    <x v="0"/>
    <n v="1720"/>
    <n v="1"/>
    <x v="0"/>
    <m/>
    <x v="0"/>
    <n v="892"/>
    <n v="892"/>
    <n v="0"/>
    <n v="0"/>
    <m/>
  </r>
  <r>
    <x v="1"/>
    <x v="0"/>
    <x v="0"/>
    <n v="1162"/>
    <n v="1"/>
    <x v="0"/>
    <m/>
    <x v="0"/>
    <n v="823"/>
    <n v="823"/>
    <n v="0"/>
    <n v="0"/>
    <m/>
  </r>
  <r>
    <x v="1"/>
    <x v="0"/>
    <x v="0"/>
    <n v="1888"/>
    <n v="2"/>
    <x v="2"/>
    <n v="1"/>
    <x v="2"/>
    <n v="0"/>
    <n v="0"/>
    <n v="0"/>
    <n v="800"/>
    <m/>
  </r>
  <r>
    <x v="1"/>
    <x v="0"/>
    <x v="0"/>
    <n v="703"/>
    <n v="0"/>
    <x v="0"/>
    <m/>
    <x v="0"/>
    <n v="960"/>
    <n v="960"/>
    <n v="0"/>
    <n v="0"/>
    <m/>
  </r>
  <r>
    <x v="1"/>
    <x v="0"/>
    <x v="0"/>
    <n v="1958"/>
    <n v="2"/>
    <x v="2"/>
    <n v="1"/>
    <x v="2"/>
    <n v="0"/>
    <n v="0"/>
    <n v="0"/>
    <n v="800"/>
    <m/>
  </r>
  <r>
    <x v="1"/>
    <x v="0"/>
    <x v="0"/>
    <n v="1380"/>
    <n v="1"/>
    <x v="0"/>
    <m/>
    <x v="0"/>
    <n v="823"/>
    <n v="823"/>
    <n v="0"/>
    <n v="0"/>
    <m/>
  </r>
  <r>
    <x v="0"/>
    <x v="1"/>
    <x v="1"/>
    <n v="1241"/>
    <n v="0"/>
    <x v="0"/>
    <m/>
    <x v="0"/>
    <n v="720"/>
    <n v="720"/>
    <n v="0"/>
    <n v="0"/>
    <m/>
  </r>
  <r>
    <x v="0"/>
    <x v="1"/>
    <x v="1"/>
    <n v="2522"/>
    <n v="2"/>
    <x v="1"/>
    <n v="1"/>
    <x v="1"/>
    <n v="0"/>
    <n v="0"/>
    <n v="11500"/>
    <n v="0"/>
    <m/>
  </r>
  <r>
    <x v="0"/>
    <x v="1"/>
    <x v="1"/>
    <n v="1714"/>
    <n v="0"/>
    <x v="0"/>
    <m/>
    <x v="0"/>
    <n v="720"/>
    <n v="720"/>
    <n v="0"/>
    <n v="0"/>
    <m/>
  </r>
  <r>
    <x v="0"/>
    <x v="1"/>
    <x v="1"/>
    <n v="1068"/>
    <n v="0"/>
    <x v="0"/>
    <m/>
    <x v="0"/>
    <n v="720"/>
    <n v="720"/>
    <n v="0"/>
    <n v="0"/>
    <m/>
  </r>
  <r>
    <x v="0"/>
    <x v="1"/>
    <x v="1"/>
    <n v="1616"/>
    <n v="0"/>
    <x v="0"/>
    <m/>
    <x v="0"/>
    <n v="720"/>
    <n v="720"/>
    <n v="0"/>
    <n v="0"/>
    <m/>
  </r>
  <r>
    <x v="0"/>
    <x v="1"/>
    <x v="1"/>
    <n v="1019"/>
    <n v="2"/>
    <x v="1"/>
    <n v="1"/>
    <x v="1"/>
    <n v="0"/>
    <n v="0"/>
    <n v="11500"/>
    <n v="0"/>
    <m/>
  </r>
  <r>
    <x v="0"/>
    <x v="1"/>
    <x v="1"/>
    <n v="1705"/>
    <n v="1"/>
    <x v="0"/>
    <m/>
    <x v="0"/>
    <n v="1159"/>
    <n v="1159"/>
    <n v="0"/>
    <n v="0"/>
    <m/>
  </r>
  <r>
    <x v="0"/>
    <x v="1"/>
    <x v="1"/>
    <n v="1196"/>
    <n v="1"/>
    <x v="2"/>
    <n v="2"/>
    <x v="2"/>
    <n v="0"/>
    <n v="0"/>
    <n v="0"/>
    <n v="1600"/>
    <m/>
  </r>
  <r>
    <x v="0"/>
    <x v="1"/>
    <x v="1"/>
    <n v="780"/>
    <n v="1"/>
    <x v="0"/>
    <m/>
    <x v="0"/>
    <n v="720"/>
    <n v="720"/>
    <n v="0"/>
    <n v="0"/>
    <m/>
  </r>
  <r>
    <x v="0"/>
    <x v="1"/>
    <x v="1"/>
    <n v="1258"/>
    <n v="0"/>
    <x v="0"/>
    <m/>
    <x v="0"/>
    <n v="720"/>
    <n v="720"/>
    <n v="0"/>
    <n v="0"/>
    <m/>
  </r>
  <r>
    <x v="0"/>
    <x v="0"/>
    <x v="1"/>
    <n v="2183"/>
    <n v="1"/>
    <x v="2"/>
    <n v="1"/>
    <x v="2"/>
    <n v="0"/>
    <n v="0"/>
    <n v="0"/>
    <n v="800"/>
    <m/>
  </r>
  <r>
    <x v="0"/>
    <x v="0"/>
    <x v="1"/>
    <n v="985"/>
    <n v="0"/>
    <x v="0"/>
    <m/>
    <x v="0"/>
    <n v="720"/>
    <n v="720"/>
    <n v="0"/>
    <n v="0"/>
    <m/>
  </r>
  <r>
    <x v="0"/>
    <x v="1"/>
    <x v="1"/>
    <n v="1518"/>
    <n v="0"/>
    <x v="0"/>
    <m/>
    <x v="0"/>
    <n v="960"/>
    <n v="960"/>
    <n v="0"/>
    <n v="0"/>
    <m/>
  </r>
  <r>
    <x v="0"/>
    <x v="1"/>
    <x v="1"/>
    <n v="1785"/>
    <n v="3"/>
    <x v="0"/>
    <m/>
    <x v="0"/>
    <n v="1159"/>
    <n v="1159"/>
    <n v="0"/>
    <n v="0"/>
    <m/>
  </r>
  <r>
    <x v="0"/>
    <x v="1"/>
    <x v="1"/>
    <n v="1866"/>
    <n v="3"/>
    <x v="2"/>
    <n v="2"/>
    <x v="2"/>
    <n v="0"/>
    <n v="0"/>
    <n v="0"/>
    <n v="1600"/>
    <m/>
  </r>
  <r>
    <x v="0"/>
    <x v="1"/>
    <x v="1"/>
    <n v="1249"/>
    <n v="1"/>
    <x v="0"/>
    <m/>
    <x v="0"/>
    <n v="1546"/>
    <n v="1546"/>
    <n v="0"/>
    <n v="0"/>
    <m/>
  </r>
  <r>
    <x v="0"/>
    <x v="1"/>
    <x v="1"/>
    <n v="904"/>
    <n v="0"/>
    <x v="0"/>
    <m/>
    <x v="0"/>
    <n v="1159"/>
    <n v="1159"/>
    <n v="0"/>
    <n v="0"/>
    <m/>
  </r>
  <r>
    <x v="0"/>
    <x v="1"/>
    <x v="1"/>
    <n v="1447"/>
    <n v="0"/>
    <x v="2"/>
    <n v="2"/>
    <x v="2"/>
    <n v="0"/>
    <n v="0"/>
    <n v="0"/>
    <n v="1600"/>
    <m/>
  </r>
  <r>
    <x v="0"/>
    <x v="1"/>
    <x v="1"/>
    <n v="1756"/>
    <n v="2"/>
    <x v="0"/>
    <m/>
    <x v="0"/>
    <n v="720"/>
    <n v="720"/>
    <n v="0"/>
    <n v="0"/>
    <m/>
  </r>
  <r>
    <x v="0"/>
    <x v="1"/>
    <x v="1"/>
    <n v="1070"/>
    <n v="0"/>
    <x v="0"/>
    <m/>
    <x v="0"/>
    <n v="840"/>
    <n v="840"/>
    <n v="0"/>
    <n v="0"/>
    <m/>
  </r>
  <r>
    <x v="0"/>
    <x v="1"/>
    <x v="1"/>
    <n v="1710"/>
    <n v="0"/>
    <x v="2"/>
    <n v="2"/>
    <x v="2"/>
    <n v="0"/>
    <n v="0"/>
    <n v="0"/>
    <n v="1600"/>
    <m/>
  </r>
  <r>
    <x v="0"/>
    <x v="1"/>
    <x v="1"/>
    <n v="1226"/>
    <n v="0"/>
    <x v="0"/>
    <m/>
    <x v="0"/>
    <n v="1159"/>
    <n v="1159"/>
    <n v="0"/>
    <n v="0"/>
    <m/>
  </r>
  <r>
    <x v="0"/>
    <x v="1"/>
    <x v="1"/>
    <n v="1124"/>
    <n v="0"/>
    <x v="0"/>
    <m/>
    <x v="0"/>
    <n v="1159"/>
    <n v="1159"/>
    <n v="0"/>
    <n v="0"/>
    <m/>
  </r>
  <r>
    <x v="0"/>
    <x v="1"/>
    <x v="1"/>
    <n v="1725"/>
    <n v="2"/>
    <x v="2"/>
    <n v="2"/>
    <x v="2"/>
    <n v="0"/>
    <n v="0"/>
    <n v="0"/>
    <n v="1600"/>
    <m/>
  </r>
  <r>
    <x v="0"/>
    <x v="1"/>
    <x v="1"/>
    <n v="1933"/>
    <n v="1"/>
    <x v="0"/>
    <m/>
    <x v="0"/>
    <n v="720"/>
    <n v="720"/>
    <n v="0"/>
    <n v="0"/>
    <m/>
  </r>
  <r>
    <x v="0"/>
    <x v="1"/>
    <x v="1"/>
    <n v="1398"/>
    <n v="2"/>
    <x v="2"/>
    <n v="2"/>
    <x v="2"/>
    <n v="0"/>
    <n v="0"/>
    <n v="0"/>
    <n v="1600"/>
    <m/>
  </r>
  <r>
    <x v="0"/>
    <x v="1"/>
    <x v="1"/>
    <n v="1984"/>
    <n v="1"/>
    <x v="0"/>
    <m/>
    <x v="0"/>
    <n v="720"/>
    <n v="720"/>
    <n v="0"/>
    <n v="0"/>
    <m/>
  </r>
  <r>
    <x v="0"/>
    <x v="1"/>
    <x v="1"/>
    <n v="1093"/>
    <n v="0"/>
    <x v="0"/>
    <m/>
    <x v="0"/>
    <n v="720"/>
    <n v="720"/>
    <n v="0"/>
    <n v="0"/>
    <m/>
  </r>
  <r>
    <x v="0"/>
    <x v="1"/>
    <x v="1"/>
    <n v="1133"/>
    <n v="2"/>
    <x v="0"/>
    <m/>
    <x v="0"/>
    <n v="1159"/>
    <n v="1159"/>
    <n v="0"/>
    <n v="0"/>
    <m/>
  </r>
  <r>
    <x v="0"/>
    <x v="1"/>
    <x v="1"/>
    <n v="1193"/>
    <n v="2"/>
    <x v="0"/>
    <m/>
    <x v="0"/>
    <n v="1546"/>
    <n v="1546"/>
    <n v="0"/>
    <n v="0"/>
    <m/>
  </r>
  <r>
    <x v="0"/>
    <x v="1"/>
    <x v="1"/>
    <n v="1346"/>
    <n v="1"/>
    <x v="2"/>
    <n v="2"/>
    <x v="2"/>
    <n v="0"/>
    <n v="0"/>
    <n v="0"/>
    <n v="1600"/>
    <m/>
  </r>
  <r>
    <x v="1"/>
    <x v="0"/>
    <x v="0"/>
    <n v="1167"/>
    <n v="1"/>
    <x v="0"/>
    <m/>
    <x v="0"/>
    <n v="2128"/>
    <n v="2128"/>
    <n v="0"/>
    <n v="0"/>
    <m/>
  </r>
  <r>
    <x v="1"/>
    <x v="0"/>
    <x v="0"/>
    <n v="1005"/>
    <n v="0"/>
    <x v="0"/>
    <m/>
    <x v="0"/>
    <n v="1976"/>
    <n v="1976"/>
    <n v="0"/>
    <n v="0"/>
    <m/>
  </r>
  <r>
    <x v="1"/>
    <x v="0"/>
    <x v="0"/>
    <n v="1738"/>
    <n v="0"/>
    <x v="0"/>
    <m/>
    <x v="0"/>
    <n v="1824"/>
    <n v="1824"/>
    <n v="0"/>
    <n v="0"/>
    <m/>
  </r>
  <r>
    <x v="1"/>
    <x v="0"/>
    <x v="0"/>
    <n v="1440"/>
    <n v="0"/>
    <x v="0"/>
    <m/>
    <x v="0"/>
    <n v="823"/>
    <n v="823"/>
    <n v="0"/>
    <n v="0"/>
    <m/>
  </r>
  <r>
    <x v="1"/>
    <x v="0"/>
    <x v="0"/>
    <n v="632"/>
    <n v="0"/>
    <x v="0"/>
    <m/>
    <x v="0"/>
    <n v="1824"/>
    <n v="1824"/>
    <n v="0"/>
    <n v="0"/>
    <m/>
  </r>
  <r>
    <x v="1"/>
    <x v="0"/>
    <x v="0"/>
    <n v="2032"/>
    <n v="1"/>
    <x v="0"/>
    <m/>
    <x v="0"/>
    <n v="2128"/>
    <n v="2128"/>
    <n v="0"/>
    <n v="0"/>
    <m/>
  </r>
  <r>
    <x v="1"/>
    <x v="0"/>
    <x v="0"/>
    <n v="559"/>
    <n v="0"/>
    <x v="0"/>
    <m/>
    <x v="0"/>
    <n v="823"/>
    <n v="823"/>
    <n v="0"/>
    <n v="0"/>
    <m/>
  </r>
  <r>
    <x v="1"/>
    <x v="0"/>
    <x v="0"/>
    <n v="1582"/>
    <n v="0"/>
    <x v="0"/>
    <m/>
    <x v="0"/>
    <n v="1824"/>
    <n v="1824"/>
    <n v="0"/>
    <n v="0"/>
    <m/>
  </r>
  <r>
    <x v="1"/>
    <x v="0"/>
    <x v="0"/>
    <n v="1981"/>
    <n v="1"/>
    <x v="2"/>
    <n v="1"/>
    <x v="2"/>
    <n v="0"/>
    <n v="0"/>
    <n v="0"/>
    <n v="800"/>
    <m/>
  </r>
  <r>
    <x v="1"/>
    <x v="0"/>
    <x v="0"/>
    <n v="859"/>
    <n v="2"/>
    <x v="0"/>
    <m/>
    <x v="0"/>
    <n v="1824"/>
    <n v="1824"/>
    <n v="0"/>
    <n v="0"/>
    <m/>
  </r>
  <r>
    <x v="1"/>
    <x v="0"/>
    <x v="0"/>
    <n v="874"/>
    <n v="0"/>
    <x v="0"/>
    <m/>
    <x v="0"/>
    <n v="1824"/>
    <n v="1824"/>
    <n v="0"/>
    <n v="0"/>
    <m/>
  </r>
  <r>
    <x v="1"/>
    <x v="0"/>
    <x v="0"/>
    <n v="1505"/>
    <n v="0"/>
    <x v="0"/>
    <m/>
    <x v="0"/>
    <n v="960"/>
    <n v="960"/>
    <n v="0"/>
    <n v="0"/>
    <m/>
  </r>
  <r>
    <x v="1"/>
    <x v="0"/>
    <x v="0"/>
    <n v="1971"/>
    <n v="2"/>
    <x v="0"/>
    <m/>
    <x v="0"/>
    <n v="823"/>
    <n v="823"/>
    <n v="0"/>
    <n v="0"/>
    <m/>
  </r>
  <r>
    <x v="1"/>
    <x v="0"/>
    <x v="0"/>
    <n v="991"/>
    <n v="0"/>
    <x v="2"/>
    <n v="1"/>
    <x v="2"/>
    <n v="0"/>
    <n v="0"/>
    <n v="0"/>
    <n v="800"/>
    <m/>
  </r>
  <r>
    <x v="1"/>
    <x v="0"/>
    <x v="0"/>
    <n v="1762"/>
    <n v="1"/>
    <x v="0"/>
    <m/>
    <x v="0"/>
    <n v="1824"/>
    <n v="1824"/>
    <n v="0"/>
    <n v="0"/>
    <m/>
  </r>
  <r>
    <x v="1"/>
    <x v="0"/>
    <x v="0"/>
    <n v="1178"/>
    <n v="1"/>
    <x v="0"/>
    <m/>
    <x v="0"/>
    <n v="892"/>
    <n v="892"/>
    <n v="0"/>
    <n v="0"/>
    <m/>
  </r>
  <r>
    <x v="1"/>
    <x v="0"/>
    <x v="0"/>
    <n v="1010"/>
    <n v="0"/>
    <x v="2"/>
    <n v="1"/>
    <x v="2"/>
    <n v="0"/>
    <n v="0"/>
    <n v="0"/>
    <n v="800"/>
    <m/>
  </r>
  <r>
    <x v="0"/>
    <x v="1"/>
    <x v="1"/>
    <n v="961"/>
    <n v="0"/>
    <x v="0"/>
    <m/>
    <x v="0"/>
    <n v="1159"/>
    <n v="1159"/>
    <n v="0"/>
    <n v="0"/>
    <m/>
  </r>
  <r>
    <x v="2"/>
    <x v="2"/>
    <x v="1"/>
    <n v="1603"/>
    <n v="1"/>
    <x v="0"/>
    <m/>
    <x v="0"/>
    <n v="1752"/>
    <n v="1752"/>
    <n v="0"/>
    <n v="0"/>
    <m/>
  </r>
  <r>
    <x v="3"/>
    <x v="0"/>
    <x v="3"/>
    <n v="1712"/>
    <n v="2"/>
    <x v="3"/>
    <n v="2"/>
    <x v="3"/>
    <n v="0"/>
    <n v="0"/>
    <n v="0"/>
    <n v="0"/>
    <m/>
  </r>
  <r>
    <x v="0"/>
    <x v="1"/>
    <x v="1"/>
    <n v="532"/>
    <n v="2"/>
    <x v="0"/>
    <m/>
    <x v="0"/>
    <n v="720"/>
    <n v="720"/>
    <n v="0"/>
    <n v="0"/>
    <m/>
  </r>
  <r>
    <x v="0"/>
    <x v="1"/>
    <x v="1"/>
    <n v="1301"/>
    <n v="0"/>
    <x v="0"/>
    <m/>
    <x v="0"/>
    <n v="1739"/>
    <n v="1739"/>
    <n v="0"/>
    <n v="0"/>
    <m/>
  </r>
  <r>
    <x v="0"/>
    <x v="1"/>
    <x v="1"/>
    <n v="1244"/>
    <n v="0"/>
    <x v="0"/>
    <m/>
    <x v="0"/>
    <n v="840"/>
    <n v="840"/>
    <n v="0"/>
    <n v="0"/>
    <m/>
  </r>
  <r>
    <x v="0"/>
    <x v="1"/>
    <x v="1"/>
    <n v="1900"/>
    <n v="0"/>
    <x v="2"/>
    <n v="2"/>
    <x v="2"/>
    <n v="0"/>
    <n v="0"/>
    <n v="0"/>
    <n v="1600"/>
    <m/>
  </r>
  <r>
    <x v="0"/>
    <x v="1"/>
    <x v="1"/>
    <n v="621"/>
    <n v="1"/>
    <x v="2"/>
    <n v="2"/>
    <x v="2"/>
    <n v="0"/>
    <n v="0"/>
    <n v="0"/>
    <n v="1600"/>
    <m/>
  </r>
  <r>
    <x v="0"/>
    <x v="1"/>
    <x v="1"/>
    <n v="1299"/>
    <n v="0"/>
    <x v="0"/>
    <m/>
    <x v="0"/>
    <n v="1159"/>
    <n v="1159"/>
    <n v="0"/>
    <n v="0"/>
    <m/>
  </r>
  <r>
    <x v="0"/>
    <x v="1"/>
    <x v="1"/>
    <n v="1187"/>
    <n v="1"/>
    <x v="0"/>
    <m/>
    <x v="0"/>
    <n v="1159"/>
    <n v="1159"/>
    <n v="0"/>
    <n v="0"/>
    <m/>
  </r>
  <r>
    <x v="0"/>
    <x v="1"/>
    <x v="1"/>
    <n v="1395"/>
    <n v="1"/>
    <x v="0"/>
    <m/>
    <x v="0"/>
    <n v="1352"/>
    <n v="1352"/>
    <n v="0"/>
    <n v="0"/>
    <m/>
  </r>
  <r>
    <x v="0"/>
    <x v="1"/>
    <x v="1"/>
    <n v="1797"/>
    <n v="2"/>
    <x v="1"/>
    <n v="1"/>
    <x v="1"/>
    <n v="0"/>
    <n v="0"/>
    <n v="11500"/>
    <n v="0"/>
    <m/>
  </r>
  <r>
    <x v="0"/>
    <x v="1"/>
    <x v="1"/>
    <n v="1295"/>
    <n v="0"/>
    <x v="2"/>
    <n v="2"/>
    <x v="2"/>
    <n v="0"/>
    <n v="0"/>
    <n v="0"/>
    <n v="1600"/>
    <m/>
  </r>
  <r>
    <x v="0"/>
    <x v="1"/>
    <x v="1"/>
    <n v="2244"/>
    <n v="2"/>
    <x v="4"/>
    <n v="1"/>
    <x v="1"/>
    <n v="0"/>
    <n v="0"/>
    <n v="11500"/>
    <n v="0"/>
    <m/>
  </r>
  <r>
    <x v="0"/>
    <x v="1"/>
    <x v="1"/>
    <n v="1719"/>
    <n v="1"/>
    <x v="1"/>
    <n v="1"/>
    <x v="2"/>
    <n v="0"/>
    <n v="0"/>
    <n v="0"/>
    <n v="0"/>
    <m/>
  </r>
  <r>
    <x v="1"/>
    <x v="0"/>
    <x v="0"/>
    <n v="677"/>
    <n v="0"/>
    <x v="1"/>
    <n v="1"/>
    <x v="1"/>
    <n v="0"/>
    <n v="0"/>
    <n v="11500"/>
    <n v="0"/>
    <m/>
  </r>
  <r>
    <x v="1"/>
    <x v="0"/>
    <x v="0"/>
    <n v="1098"/>
    <n v="2"/>
    <x v="0"/>
    <m/>
    <x v="0"/>
    <n v="823"/>
    <n v="823"/>
    <n v="0"/>
    <n v="0"/>
    <m/>
  </r>
  <r>
    <x v="1"/>
    <x v="0"/>
    <x v="0"/>
    <n v="1357"/>
    <n v="1"/>
    <x v="2"/>
    <n v="1"/>
    <x v="2"/>
    <n v="0"/>
    <n v="0"/>
    <n v="0"/>
    <n v="800"/>
    <m/>
  </r>
  <r>
    <x v="1"/>
    <x v="0"/>
    <x v="0"/>
    <n v="871"/>
    <n v="0"/>
    <x v="0"/>
    <m/>
    <x v="0"/>
    <n v="823"/>
    <n v="823"/>
    <n v="0"/>
    <n v="0"/>
    <m/>
  </r>
  <r>
    <x v="1"/>
    <x v="0"/>
    <x v="0"/>
    <n v="1258"/>
    <n v="0"/>
    <x v="1"/>
    <n v="1"/>
    <x v="1"/>
    <n v="0"/>
    <n v="0"/>
    <n v="11500"/>
    <n v="0"/>
    <m/>
  </r>
  <r>
    <x v="1"/>
    <x v="0"/>
    <x v="0"/>
    <n v="1950"/>
    <n v="1"/>
    <x v="0"/>
    <m/>
    <x v="0"/>
    <n v="823"/>
    <n v="823"/>
    <n v="0"/>
    <n v="0"/>
    <m/>
  </r>
  <r>
    <x v="1"/>
    <x v="0"/>
    <x v="0"/>
    <n v="1467"/>
    <n v="2"/>
    <x v="0"/>
    <m/>
    <x v="0"/>
    <n v="823"/>
    <n v="823"/>
    <n v="0"/>
    <n v="0"/>
    <m/>
  </r>
  <r>
    <x v="1"/>
    <x v="0"/>
    <x v="0"/>
    <n v="2122"/>
    <n v="3"/>
    <x v="2"/>
    <n v="1"/>
    <x v="2"/>
    <n v="0"/>
    <n v="0"/>
    <n v="0"/>
    <n v="800"/>
    <m/>
  </r>
  <r>
    <x v="1"/>
    <x v="0"/>
    <x v="0"/>
    <n v="1756"/>
    <n v="0"/>
    <x v="0"/>
    <m/>
    <x v="0"/>
    <n v="1824"/>
    <n v="1824"/>
    <n v="0"/>
    <n v="0"/>
    <m/>
  </r>
  <r>
    <x v="1"/>
    <x v="0"/>
    <x v="0"/>
    <n v="1403"/>
    <n v="2"/>
    <x v="0"/>
    <m/>
    <x v="0"/>
    <n v="960"/>
    <n v="960"/>
    <n v="0"/>
    <n v="0"/>
    <m/>
  </r>
  <r>
    <x v="1"/>
    <x v="0"/>
    <x v="0"/>
    <n v="1242"/>
    <n v="0"/>
    <x v="0"/>
    <m/>
    <x v="0"/>
    <n v="823"/>
    <n v="823"/>
    <n v="0"/>
    <n v="0"/>
    <m/>
  </r>
  <r>
    <x v="1"/>
    <x v="0"/>
    <x v="0"/>
    <n v="1482"/>
    <n v="1"/>
    <x v="0"/>
    <m/>
    <x v="0"/>
    <n v="892"/>
    <n v="892"/>
    <n v="0"/>
    <n v="0"/>
    <m/>
  </r>
  <r>
    <x v="1"/>
    <x v="0"/>
    <x v="0"/>
    <n v="908"/>
    <n v="3"/>
    <x v="2"/>
    <n v="1"/>
    <x v="2"/>
    <n v="0"/>
    <n v="0"/>
    <n v="0"/>
    <n v="800"/>
    <m/>
  </r>
  <r>
    <x v="1"/>
    <x v="0"/>
    <x v="0"/>
    <n v="1969"/>
    <n v="0"/>
    <x v="0"/>
    <m/>
    <x v="0"/>
    <n v="823"/>
    <n v="823"/>
    <n v="0"/>
    <n v="0"/>
    <m/>
  </r>
  <r>
    <x v="1"/>
    <x v="0"/>
    <x v="0"/>
    <n v="1354"/>
    <n v="0"/>
    <x v="0"/>
    <m/>
    <x v="0"/>
    <n v="1824"/>
    <n v="1824"/>
    <n v="0"/>
    <n v="0"/>
    <m/>
  </r>
  <r>
    <x v="1"/>
    <x v="0"/>
    <x v="0"/>
    <n v="1568"/>
    <n v="0"/>
    <x v="0"/>
    <m/>
    <x v="0"/>
    <n v="823"/>
    <n v="823"/>
    <n v="0"/>
    <n v="0"/>
    <m/>
  </r>
  <r>
    <x v="1"/>
    <x v="0"/>
    <x v="0"/>
    <n v="1520"/>
    <n v="0"/>
    <x v="0"/>
    <m/>
    <x v="0"/>
    <n v="823"/>
    <n v="823"/>
    <n v="0"/>
    <n v="0"/>
    <m/>
  </r>
  <r>
    <x v="1"/>
    <x v="0"/>
    <x v="0"/>
    <n v="1605"/>
    <n v="0"/>
    <x v="2"/>
    <n v="1"/>
    <x v="2"/>
    <n v="0"/>
    <n v="0"/>
    <n v="0"/>
    <n v="800"/>
    <m/>
  </r>
  <r>
    <x v="1"/>
    <x v="0"/>
    <x v="0"/>
    <n v="1979"/>
    <n v="1"/>
    <x v="0"/>
    <m/>
    <x v="0"/>
    <n v="1824"/>
    <n v="1824"/>
    <n v="0"/>
    <n v="0"/>
    <m/>
  </r>
  <r>
    <x v="1"/>
    <x v="0"/>
    <x v="0"/>
    <n v="1846"/>
    <n v="1"/>
    <x v="2"/>
    <n v="1"/>
    <x v="2"/>
    <n v="0"/>
    <n v="0"/>
    <n v="0"/>
    <n v="800"/>
    <m/>
  </r>
  <r>
    <x v="1"/>
    <x v="0"/>
    <x v="0"/>
    <n v="1861"/>
    <n v="1"/>
    <x v="0"/>
    <m/>
    <x v="0"/>
    <n v="823"/>
    <n v="823"/>
    <n v="0"/>
    <n v="0"/>
    <m/>
  </r>
  <r>
    <x v="1"/>
    <x v="0"/>
    <x v="0"/>
    <n v="1519"/>
    <n v="3"/>
    <x v="2"/>
    <n v="1"/>
    <x v="2"/>
    <n v="0"/>
    <n v="0"/>
    <n v="0"/>
    <n v="800"/>
    <m/>
  </r>
  <r>
    <x v="1"/>
    <x v="0"/>
    <x v="0"/>
    <n v="1049"/>
    <n v="1"/>
    <x v="0"/>
    <m/>
    <x v="0"/>
    <n v="960"/>
    <n v="960"/>
    <n v="0"/>
    <n v="0"/>
    <m/>
  </r>
  <r>
    <x v="1"/>
    <x v="0"/>
    <x v="0"/>
    <n v="992"/>
    <n v="1"/>
    <x v="0"/>
    <m/>
    <x v="0"/>
    <n v="2128"/>
    <n v="2128"/>
    <n v="0"/>
    <n v="0"/>
    <m/>
  </r>
  <r>
    <x v="1"/>
    <x v="0"/>
    <x v="0"/>
    <n v="1441"/>
    <n v="1"/>
    <x v="2"/>
    <n v="1"/>
    <x v="2"/>
    <n v="0"/>
    <n v="0"/>
    <n v="0"/>
    <n v="800"/>
    <m/>
  </r>
  <r>
    <x v="1"/>
    <x v="0"/>
    <x v="0"/>
    <n v="1549"/>
    <n v="1"/>
    <x v="0"/>
    <m/>
    <x v="0"/>
    <n v="823"/>
    <n v="823"/>
    <n v="0"/>
    <n v="0"/>
    <m/>
  </r>
  <r>
    <x v="1"/>
    <x v="0"/>
    <x v="0"/>
    <n v="1078"/>
    <n v="0"/>
    <x v="0"/>
    <m/>
    <x v="0"/>
    <n v="1824"/>
    <n v="1824"/>
    <n v="0"/>
    <n v="0"/>
    <m/>
  </r>
  <r>
    <x v="1"/>
    <x v="0"/>
    <x v="0"/>
    <n v="1900"/>
    <n v="1"/>
    <x v="2"/>
    <n v="1"/>
    <x v="2"/>
    <n v="0"/>
    <n v="0"/>
    <n v="0"/>
    <n v="800"/>
    <m/>
  </r>
  <r>
    <x v="1"/>
    <x v="0"/>
    <x v="0"/>
    <n v="1954"/>
    <n v="1"/>
    <x v="2"/>
    <n v="1"/>
    <x v="2"/>
    <n v="0"/>
    <n v="0"/>
    <n v="0"/>
    <n v="800"/>
    <m/>
  </r>
  <r>
    <x v="1"/>
    <x v="0"/>
    <x v="0"/>
    <n v="1261"/>
    <n v="1"/>
    <x v="2"/>
    <n v="1"/>
    <x v="2"/>
    <n v="0"/>
    <n v="0"/>
    <n v="0"/>
    <n v="800"/>
    <m/>
  </r>
  <r>
    <x v="1"/>
    <x v="0"/>
    <x v="0"/>
    <n v="1559"/>
    <n v="1"/>
    <x v="1"/>
    <n v="1"/>
    <x v="1"/>
    <n v="0"/>
    <n v="0"/>
    <n v="11500"/>
    <n v="0"/>
    <m/>
  </r>
  <r>
    <x v="1"/>
    <x v="0"/>
    <x v="0"/>
    <n v="1232"/>
    <n v="0"/>
    <x v="0"/>
    <m/>
    <x v="0"/>
    <n v="892"/>
    <n v="892"/>
    <n v="0"/>
    <n v="0"/>
    <m/>
  </r>
  <r>
    <x v="1"/>
    <x v="0"/>
    <x v="0"/>
    <n v="1417"/>
    <n v="0"/>
    <x v="0"/>
    <m/>
    <x v="0"/>
    <n v="823"/>
    <n v="823"/>
    <n v="0"/>
    <n v="0"/>
    <m/>
  </r>
  <r>
    <x v="1"/>
    <x v="0"/>
    <x v="0"/>
    <n v="1648"/>
    <n v="2"/>
    <x v="2"/>
    <n v="1"/>
    <x v="2"/>
    <n v="0"/>
    <n v="0"/>
    <n v="0"/>
    <n v="800"/>
    <m/>
  </r>
  <r>
    <x v="1"/>
    <x v="0"/>
    <x v="0"/>
    <n v="1770"/>
    <n v="2"/>
    <x v="2"/>
    <n v="1"/>
    <x v="2"/>
    <n v="0"/>
    <n v="0"/>
    <n v="0"/>
    <n v="800"/>
    <m/>
  </r>
  <r>
    <x v="1"/>
    <x v="0"/>
    <x v="0"/>
    <n v="1391"/>
    <n v="1"/>
    <x v="0"/>
    <m/>
    <x v="0"/>
    <n v="823"/>
    <n v="823"/>
    <n v="0"/>
    <n v="0"/>
    <m/>
  </r>
  <r>
    <x v="1"/>
    <x v="0"/>
    <x v="0"/>
    <n v="1192"/>
    <n v="0"/>
    <x v="2"/>
    <n v="1"/>
    <x v="2"/>
    <n v="0"/>
    <n v="0"/>
    <n v="0"/>
    <n v="800"/>
    <m/>
  </r>
  <r>
    <x v="3"/>
    <x v="0"/>
    <x v="4"/>
    <n v="1346"/>
    <n v="1"/>
    <x v="3"/>
    <n v="2"/>
    <x v="3"/>
    <n v="0"/>
    <n v="0"/>
    <n v="0"/>
    <n v="0"/>
    <m/>
  </r>
  <r>
    <x v="3"/>
    <x v="0"/>
    <x v="4"/>
    <n v="1240"/>
    <n v="0"/>
    <x v="2"/>
    <n v="2"/>
    <x v="2"/>
    <n v="0"/>
    <n v="0"/>
    <n v="0"/>
    <n v="1600"/>
    <m/>
  </r>
  <r>
    <x v="3"/>
    <x v="0"/>
    <x v="4"/>
    <n v="1238"/>
    <n v="0"/>
    <x v="2"/>
    <n v="3"/>
    <x v="2"/>
    <n v="0"/>
    <n v="0"/>
    <n v="0"/>
    <n v="2400"/>
    <m/>
  </r>
  <r>
    <x v="3"/>
    <x v="0"/>
    <x v="4"/>
    <n v="1236"/>
    <n v="1"/>
    <x v="2"/>
    <n v="2"/>
    <x v="2"/>
    <n v="0"/>
    <n v="0"/>
    <n v="0"/>
    <n v="1600"/>
    <m/>
  </r>
  <r>
    <x v="3"/>
    <x v="0"/>
    <x v="4"/>
    <n v="1365"/>
    <n v="1"/>
    <x v="3"/>
    <n v="1"/>
    <x v="4"/>
    <n v="0"/>
    <n v="0"/>
    <n v="0"/>
    <n v="0"/>
    <m/>
  </r>
  <r>
    <x v="3"/>
    <x v="0"/>
    <x v="4"/>
    <n v="1240"/>
    <n v="1"/>
    <x v="2"/>
    <n v="3"/>
    <x v="2"/>
    <n v="0"/>
    <n v="0"/>
    <n v="0"/>
    <n v="2400"/>
    <m/>
  </r>
  <r>
    <x v="3"/>
    <x v="0"/>
    <x v="4"/>
    <n v="1209"/>
    <n v="1"/>
    <x v="5"/>
    <n v="2"/>
    <x v="3"/>
    <n v="0"/>
    <n v="0"/>
    <n v="0"/>
    <n v="0"/>
    <m/>
  </r>
  <r>
    <x v="0"/>
    <x v="1"/>
    <x v="1"/>
    <n v="1206"/>
    <n v="0"/>
    <x v="0"/>
    <m/>
    <x v="0"/>
    <m/>
    <n v="0"/>
    <n v="0"/>
    <n v="0"/>
    <m/>
  </r>
  <r>
    <x v="4"/>
    <x v="3"/>
    <x v="5"/>
    <n v="1192"/>
    <n v="1"/>
    <x v="4"/>
    <n v="1"/>
    <x v="1"/>
    <n v="0"/>
    <n v="0"/>
    <n v="11500"/>
    <n v="0"/>
    <m/>
  </r>
  <r>
    <x v="0"/>
    <x v="1"/>
    <x v="1"/>
    <n v="1212"/>
    <n v="2"/>
    <x v="0"/>
    <m/>
    <x v="0"/>
    <n v="1352"/>
    <n v="1352"/>
    <n v="0"/>
    <n v="0"/>
    <m/>
  </r>
  <r>
    <x v="0"/>
    <x v="1"/>
    <x v="1"/>
    <n v="564"/>
    <n v="0"/>
    <x v="1"/>
    <n v="1"/>
    <x v="1"/>
    <n v="0"/>
    <n v="0"/>
    <n v="11500"/>
    <n v="0"/>
    <m/>
  </r>
  <r>
    <x v="0"/>
    <x v="1"/>
    <x v="1"/>
    <n v="2224"/>
    <n v="2"/>
    <x v="2"/>
    <n v="2"/>
    <x v="2"/>
    <n v="0"/>
    <n v="0"/>
    <n v="0"/>
    <n v="1600"/>
    <m/>
  </r>
  <r>
    <x v="0"/>
    <x v="1"/>
    <x v="1"/>
    <n v="1341"/>
    <n v="1"/>
    <x v="1"/>
    <n v="1"/>
    <x v="2"/>
    <n v="0"/>
    <n v="0"/>
    <n v="0"/>
    <n v="0"/>
    <m/>
  </r>
  <r>
    <x v="0"/>
    <x v="1"/>
    <x v="1"/>
    <n v="1482"/>
    <n v="0"/>
    <x v="0"/>
    <m/>
    <x v="0"/>
    <n v="720"/>
    <n v="720"/>
    <n v="0"/>
    <n v="0"/>
    <m/>
  </r>
  <r>
    <x v="0"/>
    <x v="1"/>
    <x v="1"/>
    <n v="1565"/>
    <n v="0"/>
    <x v="0"/>
    <m/>
    <x v="0"/>
    <n v="720"/>
    <n v="720"/>
    <n v="0"/>
    <n v="0"/>
    <m/>
  </r>
  <r>
    <x v="0"/>
    <x v="1"/>
    <x v="1"/>
    <n v="1627"/>
    <n v="0"/>
    <x v="2"/>
    <n v="2"/>
    <x v="2"/>
    <n v="0"/>
    <n v="0"/>
    <n v="0"/>
    <n v="1600"/>
    <m/>
  </r>
  <r>
    <x v="0"/>
    <x v="3"/>
    <x v="1"/>
    <n v="1597"/>
    <n v="1"/>
    <x v="0"/>
    <m/>
    <x v="0"/>
    <n v="2067"/>
    <n v="2067"/>
    <n v="0"/>
    <n v="0"/>
    <m/>
  </r>
  <r>
    <x v="0"/>
    <x v="3"/>
    <x v="1"/>
    <n v="1772"/>
    <n v="1"/>
    <x v="0"/>
    <m/>
    <x v="0"/>
    <n v="1159"/>
    <n v="1159"/>
    <n v="0"/>
    <n v="0"/>
    <m/>
  </r>
  <r>
    <x v="5"/>
    <x v="0"/>
    <x v="0"/>
    <n v="1111"/>
    <n v="1"/>
    <x v="0"/>
    <m/>
    <x v="0"/>
    <n v="1824"/>
    <n v="1824"/>
    <n v="0"/>
    <n v="0"/>
    <m/>
  </r>
  <r>
    <x v="5"/>
    <x v="0"/>
    <x v="5"/>
    <n v="2526"/>
    <n v="0"/>
    <x v="0"/>
    <m/>
    <x v="0"/>
    <n v="866"/>
    <n v="866"/>
    <n v="0"/>
    <n v="0"/>
    <m/>
  </r>
  <r>
    <x v="5"/>
    <x v="0"/>
    <x v="1"/>
    <n v="1458"/>
    <n v="0"/>
    <x v="0"/>
    <m/>
    <x v="0"/>
    <n v="1440"/>
    <n v="1440"/>
    <n v="0"/>
    <n v="0"/>
    <m/>
  </r>
  <r>
    <x v="5"/>
    <x v="0"/>
    <x v="1"/>
    <n v="1590"/>
    <n v="0"/>
    <x v="0"/>
    <m/>
    <x v="0"/>
    <n v="1440"/>
    <n v="1440"/>
    <n v="0"/>
    <n v="0"/>
    <m/>
  </r>
  <r>
    <x v="5"/>
    <x v="0"/>
    <x v="0"/>
    <n v="1062"/>
    <n v="0"/>
    <x v="0"/>
    <m/>
    <x v="0"/>
    <n v="823"/>
    <n v="823"/>
    <n v="0"/>
    <n v="0"/>
    <m/>
  </r>
  <r>
    <x v="5"/>
    <x v="0"/>
    <x v="0"/>
    <n v="1492"/>
    <n v="1"/>
    <x v="0"/>
    <m/>
    <x v="0"/>
    <n v="1976"/>
    <n v="1976"/>
    <n v="0"/>
    <n v="0"/>
    <m/>
  </r>
  <r>
    <x v="5"/>
    <x v="0"/>
    <x v="0"/>
    <n v="1482"/>
    <n v="1"/>
    <x v="0"/>
    <m/>
    <x v="0"/>
    <n v="823"/>
    <n v="823"/>
    <n v="0"/>
    <n v="0"/>
    <m/>
  </r>
  <r>
    <x v="5"/>
    <x v="0"/>
    <x v="0"/>
    <n v="1762"/>
    <n v="0"/>
    <x v="0"/>
    <m/>
    <x v="0"/>
    <n v="823"/>
    <n v="823"/>
    <n v="0"/>
    <n v="0"/>
    <m/>
  </r>
  <r>
    <x v="5"/>
    <x v="0"/>
    <x v="0"/>
    <n v="1391"/>
    <n v="1"/>
    <x v="0"/>
    <m/>
    <x v="0"/>
    <n v="2128"/>
    <n v="2128"/>
    <n v="0"/>
    <n v="0"/>
    <m/>
  </r>
  <r>
    <x v="5"/>
    <x v="0"/>
    <x v="0"/>
    <n v="1281"/>
    <n v="1"/>
    <x v="2"/>
    <n v="1"/>
    <x v="2"/>
    <n v="0"/>
    <n v="0"/>
    <n v="0"/>
    <n v="800"/>
    <m/>
  </r>
  <r>
    <x v="5"/>
    <x v="0"/>
    <x v="0"/>
    <n v="1169"/>
    <n v="0"/>
    <x v="0"/>
    <m/>
    <x v="0"/>
    <n v="823"/>
    <n v="823"/>
    <n v="0"/>
    <n v="0"/>
    <m/>
  </r>
  <r>
    <x v="5"/>
    <x v="0"/>
    <x v="0"/>
    <n v="1657"/>
    <n v="2"/>
    <x v="0"/>
    <m/>
    <x v="0"/>
    <n v="892"/>
    <n v="892"/>
    <n v="0"/>
    <n v="0"/>
    <m/>
  </r>
  <r>
    <x v="5"/>
    <x v="0"/>
    <x v="0"/>
    <n v="1214"/>
    <n v="0"/>
    <x v="2"/>
    <n v="1"/>
    <x v="2"/>
    <n v="0"/>
    <n v="0"/>
    <n v="0"/>
    <n v="800"/>
    <m/>
  </r>
  <r>
    <x v="5"/>
    <x v="0"/>
    <x v="0"/>
    <n v="1156"/>
    <n v="0"/>
    <x v="2"/>
    <n v="1"/>
    <x v="2"/>
    <n v="0"/>
    <n v="0"/>
    <n v="0"/>
    <n v="800"/>
    <m/>
  </r>
  <r>
    <x v="5"/>
    <x v="0"/>
    <x v="0"/>
    <n v="1190"/>
    <n v="2"/>
    <x v="0"/>
    <m/>
    <x v="0"/>
    <n v="823"/>
    <n v="823"/>
    <n v="0"/>
    <n v="0"/>
    <m/>
  </r>
  <r>
    <x v="5"/>
    <x v="0"/>
    <x v="0"/>
    <n v="2017"/>
    <n v="0"/>
    <x v="0"/>
    <m/>
    <x v="0"/>
    <n v="960"/>
    <n v="960"/>
    <n v="0"/>
    <n v="0"/>
    <m/>
  </r>
  <r>
    <x v="5"/>
    <x v="0"/>
    <x v="0"/>
    <n v="1407"/>
    <n v="0"/>
    <x v="0"/>
    <m/>
    <x v="0"/>
    <n v="2128"/>
    <n v="2128"/>
    <n v="0"/>
    <n v="0"/>
    <m/>
  </r>
  <r>
    <x v="5"/>
    <x v="0"/>
    <x v="0"/>
    <n v="710"/>
    <n v="1"/>
    <x v="0"/>
    <m/>
    <x v="0"/>
    <n v="892"/>
    <n v="892"/>
    <n v="0"/>
    <n v="0"/>
    <m/>
  </r>
  <r>
    <x v="5"/>
    <x v="0"/>
    <x v="0"/>
    <n v="1242"/>
    <n v="4"/>
    <x v="0"/>
    <m/>
    <x v="0"/>
    <n v="960"/>
    <n v="960"/>
    <n v="0"/>
    <n v="0"/>
    <m/>
  </r>
  <r>
    <x v="5"/>
    <x v="0"/>
    <x v="0"/>
    <n v="1757"/>
    <n v="3"/>
    <x v="0"/>
    <m/>
    <x v="0"/>
    <n v="2280"/>
    <n v="2280"/>
    <n v="0"/>
    <n v="0"/>
    <m/>
  </r>
  <r>
    <x v="5"/>
    <x v="0"/>
    <x v="0"/>
    <n v="1460"/>
    <n v="1"/>
    <x v="0"/>
    <m/>
    <x v="0"/>
    <n v="823"/>
    <n v="823"/>
    <n v="0"/>
    <n v="0"/>
    <m/>
  </r>
  <r>
    <x v="5"/>
    <x v="0"/>
    <x v="0"/>
    <n v="1307"/>
    <n v="1"/>
    <x v="0"/>
    <m/>
    <x v="0"/>
    <n v="823"/>
    <n v="823"/>
    <n v="0"/>
    <n v="0"/>
    <m/>
  </r>
  <r>
    <x v="5"/>
    <x v="0"/>
    <x v="0"/>
    <n v="1260"/>
    <n v="1"/>
    <x v="0"/>
    <m/>
    <x v="0"/>
    <n v="892"/>
    <n v="892"/>
    <n v="0"/>
    <n v="0"/>
    <m/>
  </r>
  <r>
    <x v="5"/>
    <x v="0"/>
    <x v="0"/>
    <n v="1859"/>
    <n v="1"/>
    <x v="0"/>
    <m/>
    <x v="0"/>
    <n v="823"/>
    <n v="823"/>
    <n v="0"/>
    <n v="0"/>
    <m/>
  </r>
  <r>
    <x v="5"/>
    <x v="0"/>
    <x v="0"/>
    <n v="1744"/>
    <n v="0"/>
    <x v="0"/>
    <m/>
    <x v="0"/>
    <n v="823"/>
    <n v="823"/>
    <n v="0"/>
    <n v="0"/>
    <m/>
  </r>
  <r>
    <x v="5"/>
    <x v="0"/>
    <x v="0"/>
    <n v="1711"/>
    <n v="1"/>
    <x v="0"/>
    <m/>
    <x v="0"/>
    <n v="2280"/>
    <n v="2280"/>
    <n v="0"/>
    <n v="0"/>
    <m/>
  </r>
  <r>
    <x v="5"/>
    <x v="0"/>
    <x v="0"/>
    <n v="693"/>
    <n v="1"/>
    <x v="0"/>
    <m/>
    <x v="0"/>
    <n v="2128"/>
    <n v="2128"/>
    <n v="0"/>
    <n v="0"/>
    <m/>
  </r>
  <r>
    <x v="5"/>
    <x v="0"/>
    <x v="0"/>
    <n v="1404"/>
    <n v="0"/>
    <x v="1"/>
    <n v="1"/>
    <x v="1"/>
    <n v="0"/>
    <n v="0"/>
    <n v="11500"/>
    <n v="0"/>
    <m/>
  </r>
  <r>
    <x v="5"/>
    <x v="0"/>
    <x v="0"/>
    <n v="1291"/>
    <n v="1"/>
    <x v="2"/>
    <n v="1"/>
    <x v="2"/>
    <n v="0"/>
    <n v="0"/>
    <n v="0"/>
    <n v="800"/>
    <m/>
  </r>
  <r>
    <x v="5"/>
    <x v="0"/>
    <x v="0"/>
    <n v="1391"/>
    <n v="2"/>
    <x v="1"/>
    <n v="1"/>
    <x v="1"/>
    <n v="0"/>
    <n v="0"/>
    <n v="11500"/>
    <n v="0"/>
    <m/>
  </r>
  <r>
    <x v="5"/>
    <x v="0"/>
    <x v="0"/>
    <n v="2322"/>
    <n v="1"/>
    <x v="0"/>
    <m/>
    <x v="0"/>
    <n v="892"/>
    <n v="892"/>
    <n v="0"/>
    <n v="0"/>
    <m/>
  </r>
  <r>
    <x v="5"/>
    <x v="0"/>
    <x v="0"/>
    <n v="1538"/>
    <n v="2"/>
    <x v="0"/>
    <m/>
    <x v="0"/>
    <n v="823"/>
    <n v="823"/>
    <n v="0"/>
    <n v="0"/>
    <m/>
  </r>
  <r>
    <x v="5"/>
    <x v="0"/>
    <x v="0"/>
    <n v="686"/>
    <n v="0"/>
    <x v="0"/>
    <m/>
    <x v="0"/>
    <n v="823"/>
    <n v="823"/>
    <n v="0"/>
    <n v="0"/>
    <m/>
  </r>
  <r>
    <x v="5"/>
    <x v="0"/>
    <x v="0"/>
    <n v="1437"/>
    <n v="1"/>
    <x v="2"/>
    <n v="1"/>
    <x v="2"/>
    <n v="0"/>
    <n v="0"/>
    <n v="0"/>
    <n v="800"/>
    <m/>
  </r>
  <r>
    <x v="5"/>
    <x v="0"/>
    <x v="0"/>
    <n v="1376"/>
    <n v="1"/>
    <x v="1"/>
    <n v="1"/>
    <x v="1"/>
    <n v="0"/>
    <n v="0"/>
    <n v="11500"/>
    <n v="0"/>
    <m/>
  </r>
  <r>
    <x v="5"/>
    <x v="0"/>
    <x v="0"/>
    <n v="1953"/>
    <n v="1"/>
    <x v="0"/>
    <m/>
    <x v="0"/>
    <n v="823"/>
    <n v="823"/>
    <n v="0"/>
    <n v="0"/>
    <m/>
  </r>
  <r>
    <x v="5"/>
    <x v="0"/>
    <x v="0"/>
    <n v="1294"/>
    <n v="0"/>
    <x v="0"/>
    <m/>
    <x v="0"/>
    <n v="823"/>
    <n v="823"/>
    <n v="0"/>
    <n v="0"/>
    <m/>
  </r>
  <r>
    <x v="5"/>
    <x v="0"/>
    <x v="0"/>
    <n v="1130"/>
    <n v="2"/>
    <x v="1"/>
    <n v="1"/>
    <x v="1"/>
    <n v="0"/>
    <n v="0"/>
    <n v="11500"/>
    <n v="0"/>
    <m/>
  </r>
  <r>
    <x v="5"/>
    <x v="0"/>
    <x v="0"/>
    <n v="2414"/>
    <n v="0"/>
    <x v="1"/>
    <n v="1"/>
    <x v="1"/>
    <n v="0"/>
    <n v="0"/>
    <n v="11500"/>
    <n v="0"/>
    <m/>
  </r>
  <r>
    <x v="5"/>
    <x v="0"/>
    <x v="0"/>
    <n v="1779"/>
    <n v="1"/>
    <x v="1"/>
    <n v="1"/>
    <x v="1"/>
    <n v="0"/>
    <n v="0"/>
    <n v="11500"/>
    <n v="0"/>
    <m/>
  </r>
  <r>
    <x v="5"/>
    <x v="0"/>
    <x v="0"/>
    <n v="979"/>
    <n v="1"/>
    <x v="0"/>
    <m/>
    <x v="0"/>
    <n v="823"/>
    <n v="823"/>
    <n v="0"/>
    <n v="0"/>
    <m/>
  </r>
  <r>
    <x v="5"/>
    <x v="0"/>
    <x v="0"/>
    <n v="1775"/>
    <n v="1"/>
    <x v="0"/>
    <m/>
    <x v="0"/>
    <n v="1824"/>
    <n v="1824"/>
    <n v="0"/>
    <n v="0"/>
    <m/>
  </r>
  <r>
    <x v="5"/>
    <x v="0"/>
    <x v="0"/>
    <n v="2068"/>
    <n v="2"/>
    <x v="1"/>
    <n v="1"/>
    <x v="1"/>
    <n v="0"/>
    <n v="0"/>
    <n v="11500"/>
    <n v="0"/>
    <m/>
  </r>
  <r>
    <x v="5"/>
    <x v="0"/>
    <x v="0"/>
    <n v="1735"/>
    <n v="1"/>
    <x v="0"/>
    <m/>
    <x v="0"/>
    <n v="823"/>
    <n v="823"/>
    <n v="0"/>
    <n v="0"/>
    <m/>
  </r>
  <r>
    <x v="5"/>
    <x v="0"/>
    <x v="0"/>
    <n v="2104"/>
    <n v="4"/>
    <x v="2"/>
    <n v="1"/>
    <x v="2"/>
    <n v="0"/>
    <n v="0"/>
    <n v="0"/>
    <n v="800"/>
    <m/>
  </r>
  <r>
    <x v="5"/>
    <x v="0"/>
    <x v="0"/>
    <n v="1385"/>
    <n v="0"/>
    <x v="2"/>
    <n v="1"/>
    <x v="2"/>
    <n v="0"/>
    <n v="0"/>
    <n v="0"/>
    <n v="800"/>
    <m/>
  </r>
  <r>
    <x v="5"/>
    <x v="0"/>
    <x v="0"/>
    <n v="1562"/>
    <n v="1"/>
    <x v="2"/>
    <n v="1"/>
    <x v="2"/>
    <n v="0"/>
    <n v="0"/>
    <n v="0"/>
    <n v="800"/>
    <m/>
  </r>
  <r>
    <x v="5"/>
    <x v="0"/>
    <x v="0"/>
    <n v="1650"/>
    <n v="0"/>
    <x v="0"/>
    <m/>
    <x v="0"/>
    <n v="823"/>
    <n v="823"/>
    <n v="0"/>
    <n v="0"/>
    <m/>
  </r>
  <r>
    <x v="5"/>
    <x v="0"/>
    <x v="0"/>
    <n v="1498"/>
    <n v="1"/>
    <x v="0"/>
    <m/>
    <x v="0"/>
    <n v="0"/>
    <n v="0"/>
    <n v="0"/>
    <n v="0"/>
    <m/>
  </r>
  <r>
    <x v="5"/>
    <x v="0"/>
    <x v="0"/>
    <n v="1387"/>
    <n v="1"/>
    <x v="0"/>
    <m/>
    <x v="0"/>
    <n v="823"/>
    <n v="823"/>
    <n v="0"/>
    <n v="0"/>
    <m/>
  </r>
  <r>
    <x v="5"/>
    <x v="0"/>
    <x v="0"/>
    <n v="2065"/>
    <n v="3"/>
    <x v="0"/>
    <m/>
    <x v="0"/>
    <n v="823"/>
    <n v="823"/>
    <n v="0"/>
    <n v="0"/>
    <m/>
  </r>
  <r>
    <x v="5"/>
    <x v="0"/>
    <x v="0"/>
    <n v="1270"/>
    <n v="1"/>
    <x v="0"/>
    <m/>
    <x v="0"/>
    <n v="1824"/>
    <n v="1824"/>
    <n v="0"/>
    <n v="0"/>
    <m/>
  </r>
  <r>
    <x v="5"/>
    <x v="0"/>
    <x v="0"/>
    <n v="805"/>
    <n v="2"/>
    <x v="2"/>
    <n v="1"/>
    <x v="2"/>
    <n v="0"/>
    <n v="0"/>
    <n v="0"/>
    <n v="800"/>
    <m/>
  </r>
  <r>
    <x v="5"/>
    <x v="0"/>
    <x v="0"/>
    <n v="1426"/>
    <n v="1"/>
    <x v="0"/>
    <m/>
    <x v="0"/>
    <n v="0"/>
    <n v="0"/>
    <n v="0"/>
    <n v="0"/>
    <m/>
  </r>
  <r>
    <x v="5"/>
    <x v="0"/>
    <x v="0"/>
    <n v="1985"/>
    <n v="0"/>
    <x v="0"/>
    <m/>
    <x v="0"/>
    <n v="1824"/>
    <n v="1824"/>
    <n v="0"/>
    <n v="0"/>
    <m/>
  </r>
  <r>
    <x v="5"/>
    <x v="0"/>
    <x v="0"/>
    <n v="534"/>
    <n v="0"/>
    <x v="0"/>
    <m/>
    <x v="0"/>
    <n v="960"/>
    <n v="960"/>
    <n v="0"/>
    <n v="0"/>
    <m/>
  </r>
  <r>
    <x v="5"/>
    <x v="0"/>
    <x v="0"/>
    <n v="1771"/>
    <n v="0"/>
    <x v="0"/>
    <m/>
    <x v="0"/>
    <n v="823"/>
    <n v="823"/>
    <n v="0"/>
    <n v="0"/>
    <m/>
  </r>
  <r>
    <x v="5"/>
    <x v="0"/>
    <x v="0"/>
    <n v="1455"/>
    <n v="0"/>
    <x v="1"/>
    <n v="1"/>
    <x v="1"/>
    <n v="0"/>
    <n v="0"/>
    <n v="11500"/>
    <n v="0"/>
    <m/>
  </r>
  <r>
    <x v="5"/>
    <x v="0"/>
    <x v="0"/>
    <n v="1687"/>
    <n v="0"/>
    <x v="0"/>
    <m/>
    <x v="0"/>
    <n v="823"/>
    <n v="823"/>
    <n v="0"/>
    <n v="0"/>
    <m/>
  </r>
  <r>
    <x v="5"/>
    <x v="0"/>
    <x v="0"/>
    <n v="1486"/>
    <n v="1"/>
    <x v="0"/>
    <m/>
    <x v="0"/>
    <n v="823"/>
    <n v="823"/>
    <n v="0"/>
    <n v="0"/>
    <m/>
  </r>
  <r>
    <x v="5"/>
    <x v="0"/>
    <x v="0"/>
    <n v="1799"/>
    <n v="1"/>
    <x v="2"/>
    <n v="1"/>
    <x v="2"/>
    <n v="0"/>
    <n v="0"/>
    <n v="0"/>
    <n v="800"/>
    <m/>
  </r>
  <r>
    <x v="5"/>
    <x v="0"/>
    <x v="0"/>
    <n v="1437"/>
    <n v="0"/>
    <x v="2"/>
    <n v="1"/>
    <x v="2"/>
    <n v="0"/>
    <n v="0"/>
    <n v="0"/>
    <n v="800"/>
    <m/>
  </r>
  <r>
    <x v="5"/>
    <x v="0"/>
    <x v="0"/>
    <n v="1653"/>
    <n v="1"/>
    <x v="0"/>
    <m/>
    <x v="0"/>
    <n v="1824"/>
    <n v="1824"/>
    <n v="0"/>
    <n v="0"/>
    <m/>
  </r>
  <r>
    <x v="5"/>
    <x v="0"/>
    <x v="0"/>
    <n v="1162"/>
    <n v="1"/>
    <x v="0"/>
    <m/>
    <x v="0"/>
    <n v="823"/>
    <n v="823"/>
    <n v="0"/>
    <n v="0"/>
    <m/>
  </r>
  <r>
    <x v="5"/>
    <x v="0"/>
    <x v="0"/>
    <n v="1535"/>
    <n v="0"/>
    <x v="2"/>
    <n v="1"/>
    <x v="2"/>
    <n v="0"/>
    <n v="0"/>
    <n v="0"/>
    <n v="800"/>
    <m/>
  </r>
  <r>
    <x v="5"/>
    <x v="0"/>
    <x v="0"/>
    <n v="1913"/>
    <n v="1"/>
    <x v="2"/>
    <n v="1"/>
    <x v="2"/>
    <n v="0"/>
    <n v="0"/>
    <n v="0"/>
    <n v="800"/>
    <m/>
  </r>
  <r>
    <x v="5"/>
    <x v="0"/>
    <x v="0"/>
    <n v="2320"/>
    <n v="1"/>
    <x v="0"/>
    <m/>
    <x v="0"/>
    <n v="823"/>
    <n v="823"/>
    <n v="0"/>
    <n v="0"/>
    <m/>
  </r>
  <r>
    <x v="5"/>
    <x v="0"/>
    <x v="0"/>
    <n v="1826"/>
    <n v="1"/>
    <x v="0"/>
    <m/>
    <x v="0"/>
    <n v="823"/>
    <n v="823"/>
    <n v="0"/>
    <n v="0"/>
    <m/>
  </r>
  <r>
    <x v="5"/>
    <x v="0"/>
    <x v="0"/>
    <n v="1600"/>
    <n v="0"/>
    <x v="0"/>
    <m/>
    <x v="0"/>
    <n v="2128"/>
    <n v="2128"/>
    <n v="0"/>
    <n v="0"/>
    <m/>
  </r>
  <r>
    <x v="5"/>
    <x v="0"/>
    <x v="0"/>
    <n v="1293"/>
    <n v="1"/>
    <x v="0"/>
    <m/>
    <x v="0"/>
    <n v="892"/>
    <n v="892"/>
    <n v="0"/>
    <n v="0"/>
    <m/>
  </r>
  <r>
    <x v="5"/>
    <x v="0"/>
    <x v="0"/>
    <n v="1136"/>
    <n v="0"/>
    <x v="0"/>
    <m/>
    <x v="0"/>
    <n v="823"/>
    <n v="823"/>
    <n v="0"/>
    <n v="0"/>
    <m/>
  </r>
  <r>
    <x v="5"/>
    <x v="0"/>
    <x v="0"/>
    <n v="2791"/>
    <n v="0"/>
    <x v="0"/>
    <m/>
    <x v="0"/>
    <n v="823"/>
    <n v="823"/>
    <n v="0"/>
    <n v="0"/>
    <m/>
  </r>
  <r>
    <x v="5"/>
    <x v="0"/>
    <x v="0"/>
    <n v="3389"/>
    <n v="1"/>
    <x v="0"/>
    <m/>
    <x v="0"/>
    <n v="1976"/>
    <n v="1976"/>
    <n v="0"/>
    <n v="0"/>
    <m/>
  </r>
  <r>
    <x v="5"/>
    <x v="0"/>
    <x v="0"/>
    <n v="1297"/>
    <n v="3"/>
    <x v="0"/>
    <m/>
    <x v="0"/>
    <n v="823"/>
    <n v="823"/>
    <n v="0"/>
    <n v="0"/>
    <m/>
  </r>
  <r>
    <x v="5"/>
    <x v="0"/>
    <x v="0"/>
    <n v="1726"/>
    <n v="1"/>
    <x v="0"/>
    <m/>
    <x v="0"/>
    <n v="1824"/>
    <n v="1824"/>
    <n v="0"/>
    <n v="0"/>
    <m/>
  </r>
  <r>
    <x v="0"/>
    <x v="3"/>
    <x v="1"/>
    <n v="1484"/>
    <n v="2"/>
    <x v="0"/>
    <m/>
    <x v="0"/>
    <n v="1159"/>
    <n v="1159"/>
    <n v="0"/>
    <n v="0"/>
    <m/>
  </r>
  <r>
    <x v="0"/>
    <x v="3"/>
    <x v="1"/>
    <n v="1202"/>
    <n v="2"/>
    <x v="0"/>
    <m/>
    <x v="0"/>
    <n v="1159"/>
    <n v="1159"/>
    <n v="0"/>
    <n v="0"/>
    <m/>
  </r>
  <r>
    <x v="5"/>
    <x v="0"/>
    <x v="0"/>
    <n v="562"/>
    <n v="0"/>
    <x v="0"/>
    <m/>
    <x v="0"/>
    <n v="1824"/>
    <n v="1824"/>
    <n v="0"/>
    <n v="0"/>
    <m/>
  </r>
  <r>
    <x v="5"/>
    <x v="0"/>
    <x v="0"/>
    <n v="649"/>
    <n v="1"/>
    <x v="0"/>
    <m/>
    <x v="0"/>
    <n v="823"/>
    <n v="823"/>
    <n v="0"/>
    <n v="0"/>
    <m/>
  </r>
  <r>
    <x v="5"/>
    <x v="0"/>
    <x v="0"/>
    <n v="1241"/>
    <n v="1"/>
    <x v="2"/>
    <n v="1"/>
    <x v="2"/>
    <n v="0"/>
    <n v="0"/>
    <n v="0"/>
    <n v="800"/>
    <m/>
  </r>
  <r>
    <x v="5"/>
    <x v="0"/>
    <x v="0"/>
    <n v="1560"/>
    <n v="0"/>
    <x v="0"/>
    <m/>
    <x v="0"/>
    <n v="823"/>
    <n v="823"/>
    <n v="0"/>
    <n v="0"/>
    <d v="1899-12-30T07:56:20"/>
  </r>
  <r>
    <x v="5"/>
    <x v="0"/>
    <x v="0"/>
    <n v="1231"/>
    <n v="1"/>
    <x v="2"/>
    <n v="1"/>
    <x v="2"/>
    <n v="0"/>
    <n v="0"/>
    <n v="0"/>
    <n v="800"/>
    <d v="1899-12-30T07:59:05"/>
  </r>
  <r>
    <x v="5"/>
    <x v="0"/>
    <x v="0"/>
    <n v="566"/>
    <n v="1"/>
    <x v="0"/>
    <m/>
    <x v="0"/>
    <n v="823"/>
    <n v="823"/>
    <n v="0"/>
    <n v="0"/>
    <m/>
  </r>
  <r>
    <x v="5"/>
    <x v="0"/>
    <x v="0"/>
    <n v="723"/>
    <n v="1"/>
    <x v="2"/>
    <n v="1"/>
    <x v="2"/>
    <n v="0"/>
    <n v="0"/>
    <n v="0"/>
    <n v="800"/>
    <m/>
  </r>
  <r>
    <x v="5"/>
    <x v="0"/>
    <x v="0"/>
    <n v="1626"/>
    <n v="1"/>
    <x v="0"/>
    <m/>
    <x v="0"/>
    <n v="1824"/>
    <n v="1824"/>
    <n v="0"/>
    <n v="0"/>
    <m/>
  </r>
  <r>
    <x v="5"/>
    <x v="0"/>
    <x v="0"/>
    <n v="2033"/>
    <n v="2"/>
    <x v="2"/>
    <n v="1"/>
    <x v="2"/>
    <n v="0"/>
    <n v="0"/>
    <n v="0"/>
    <n v="800"/>
    <m/>
  </r>
  <r>
    <x v="5"/>
    <x v="0"/>
    <x v="0"/>
    <n v="1600"/>
    <n v="1"/>
    <x v="0"/>
    <m/>
    <x v="0"/>
    <n v="1824"/>
    <n v="1824"/>
    <n v="0"/>
    <n v="0"/>
    <d v="1899-12-30T08:13:20"/>
  </r>
  <r>
    <x v="5"/>
    <x v="0"/>
    <x v="0"/>
    <n v="702"/>
    <n v="0"/>
    <x v="0"/>
    <m/>
    <x v="0"/>
    <n v="1824"/>
    <n v="1824"/>
    <n v="0"/>
    <n v="0"/>
    <m/>
  </r>
  <r>
    <x v="5"/>
    <x v="0"/>
    <x v="0"/>
    <n v="1330"/>
    <n v="0"/>
    <x v="2"/>
    <n v="1"/>
    <x v="2"/>
    <n v="0"/>
    <n v="0"/>
    <n v="0"/>
    <n v="800"/>
    <m/>
  </r>
  <r>
    <x v="5"/>
    <x v="0"/>
    <x v="0"/>
    <n v="1054"/>
    <n v="0"/>
    <x v="1"/>
    <n v="1"/>
    <x v="1"/>
    <n v="0"/>
    <n v="0"/>
    <n v="11500"/>
    <n v="0"/>
    <m/>
  </r>
  <r>
    <x v="5"/>
    <x v="0"/>
    <x v="0"/>
    <n v="1391"/>
    <n v="0"/>
    <x v="0"/>
    <m/>
    <x v="0"/>
    <n v="1824"/>
    <n v="1824"/>
    <n v="0"/>
    <n v="0"/>
    <m/>
  </r>
  <r>
    <x v="5"/>
    <x v="0"/>
    <x v="0"/>
    <n v="1603"/>
    <n v="2"/>
    <x v="0"/>
    <m/>
    <x v="0"/>
    <n v="1824"/>
    <n v="1824"/>
    <n v="0"/>
    <n v="0"/>
    <m/>
  </r>
  <r>
    <x v="5"/>
    <x v="0"/>
    <x v="0"/>
    <n v="1415"/>
    <n v="0"/>
    <x v="0"/>
    <m/>
    <x v="0"/>
    <n v="960"/>
    <n v="960"/>
    <n v="0"/>
    <n v="0"/>
    <m/>
  </r>
  <r>
    <x v="5"/>
    <x v="0"/>
    <x v="0"/>
    <n v="1206"/>
    <n v="1"/>
    <x v="0"/>
    <m/>
    <x v="0"/>
    <n v="823"/>
    <n v="823"/>
    <n v="0"/>
    <n v="0"/>
    <d v="1899-12-30T08:31:40"/>
  </r>
  <r>
    <x v="1"/>
    <x v="0"/>
    <x v="0"/>
    <n v="1840"/>
    <n v="1"/>
    <x v="0"/>
    <m/>
    <x v="0"/>
    <n v="823"/>
    <n v="823"/>
    <n v="0"/>
    <n v="0"/>
    <d v="1899-12-30T08:32:00"/>
  </r>
  <r>
    <x v="1"/>
    <x v="0"/>
    <x v="0"/>
    <n v="1042"/>
    <n v="0"/>
    <x v="2"/>
    <n v="1"/>
    <x v="2"/>
    <n v="0"/>
    <n v="0"/>
    <n v="0"/>
    <n v="800"/>
    <m/>
  </r>
  <r>
    <x v="3"/>
    <x v="0"/>
    <x v="3"/>
    <n v="1500"/>
    <n v="0"/>
    <x v="3"/>
    <n v="4"/>
    <x v="3"/>
    <n v="0"/>
    <n v="0"/>
    <n v="0"/>
    <n v="0"/>
    <m/>
  </r>
  <r>
    <x v="6"/>
    <x v="0"/>
    <x v="3"/>
    <n v="1500"/>
    <n v="0"/>
    <x v="6"/>
    <n v="3"/>
    <x v="3"/>
    <n v="0"/>
    <n v="0"/>
    <n v="0"/>
    <n v="0"/>
    <m/>
  </r>
  <r>
    <x v="6"/>
    <x v="0"/>
    <x v="3"/>
    <n v="1782"/>
    <n v="0"/>
    <x v="6"/>
    <n v="2"/>
    <x v="3"/>
    <n v="0"/>
    <n v="0"/>
    <n v="0"/>
    <n v="0"/>
    <m/>
  </r>
  <r>
    <x v="6"/>
    <x v="0"/>
    <x v="3"/>
    <n v="1666"/>
    <n v="1"/>
    <x v="6"/>
    <n v="1"/>
    <x v="4"/>
    <n v="0"/>
    <n v="0"/>
    <n v="0"/>
    <n v="0"/>
    <m/>
  </r>
  <r>
    <x v="6"/>
    <x v="0"/>
    <x v="3"/>
    <n v="1556"/>
    <n v="0"/>
    <x v="6"/>
    <n v="2"/>
    <x v="3"/>
    <n v="0"/>
    <n v="0"/>
    <n v="0"/>
    <n v="0"/>
    <m/>
  </r>
  <r>
    <x v="6"/>
    <x v="0"/>
    <x v="3"/>
    <n v="2860"/>
    <n v="0"/>
    <x v="6"/>
    <n v="1"/>
    <x v="4"/>
    <n v="0"/>
    <n v="0"/>
    <n v="0"/>
    <n v="0"/>
    <m/>
  </r>
  <r>
    <x v="6"/>
    <x v="0"/>
    <x v="3"/>
    <n v="2986"/>
    <n v="0"/>
    <x v="6"/>
    <n v="2"/>
    <x v="3"/>
    <n v="0"/>
    <n v="0"/>
    <n v="0"/>
    <n v="0"/>
    <m/>
  </r>
  <r>
    <x v="6"/>
    <x v="0"/>
    <x v="3"/>
    <n v="3172"/>
    <n v="1"/>
    <x v="7"/>
    <n v="1"/>
    <x v="1"/>
    <n v="0"/>
    <n v="0"/>
    <n v="0"/>
    <n v="0"/>
    <m/>
  </r>
  <r>
    <x v="6"/>
    <x v="0"/>
    <x v="3"/>
    <n v="1420"/>
    <n v="0"/>
    <x v="6"/>
    <n v="2"/>
    <x v="4"/>
    <n v="0"/>
    <n v="0"/>
    <n v="0"/>
    <n v="0"/>
    <m/>
  </r>
  <r>
    <x v="6"/>
    <x v="0"/>
    <x v="3"/>
    <n v="1352"/>
    <n v="0"/>
    <x v="6"/>
    <n v="1"/>
    <x v="4"/>
    <n v="0"/>
    <n v="0"/>
    <n v="0"/>
    <n v="0"/>
    <m/>
  </r>
  <r>
    <x v="6"/>
    <x v="0"/>
    <x v="3"/>
    <n v="1362"/>
    <n v="0"/>
    <x v="2"/>
    <n v="4"/>
    <x v="2"/>
    <n v="0"/>
    <n v="0"/>
    <n v="0"/>
    <n v="3200"/>
    <m/>
  </r>
  <r>
    <x v="6"/>
    <x v="0"/>
    <x v="3"/>
    <n v="1428"/>
    <n v="1"/>
    <x v="8"/>
    <n v="3"/>
    <x v="5"/>
    <n v="0"/>
    <n v="0"/>
    <n v="2587.5"/>
    <n v="2686.6499999999996"/>
    <m/>
  </r>
  <r>
    <x v="6"/>
    <x v="0"/>
    <x v="3"/>
    <n v="1500"/>
    <n v="4"/>
    <x v="2"/>
    <n v="2"/>
    <x v="2"/>
    <n v="0"/>
    <n v="0"/>
    <n v="0"/>
    <n v="1600"/>
    <m/>
  </r>
  <r>
    <x v="6"/>
    <x v="0"/>
    <x v="3"/>
    <n v="1559"/>
    <n v="0"/>
    <x v="6"/>
    <n v="1"/>
    <x v="4"/>
    <n v="0"/>
    <n v="0"/>
    <n v="0"/>
    <n v="0"/>
    <m/>
  </r>
  <r>
    <x v="6"/>
    <x v="0"/>
    <x v="3"/>
    <n v="1600"/>
    <n v="0"/>
    <x v="6"/>
    <n v="3"/>
    <x v="4"/>
    <n v="0"/>
    <n v="0"/>
    <n v="0"/>
    <n v="0"/>
    <m/>
  </r>
  <r>
    <x v="6"/>
    <x v="0"/>
    <x v="3"/>
    <n v="1480"/>
    <n v="1"/>
    <x v="2"/>
    <n v="2"/>
    <x v="2"/>
    <n v="0"/>
    <n v="0"/>
    <n v="0"/>
    <n v="1600"/>
    <m/>
  </r>
  <r>
    <x v="6"/>
    <x v="0"/>
    <x v="3"/>
    <n v="1389"/>
    <n v="0"/>
    <x v="6"/>
    <n v="4"/>
    <x v="3"/>
    <n v="0"/>
    <n v="0"/>
    <n v="0"/>
    <n v="0"/>
    <m/>
  </r>
  <r>
    <x v="1"/>
    <x v="1"/>
    <x v="0"/>
    <n v="1617"/>
    <n v="1"/>
    <x v="0"/>
    <m/>
    <x v="0"/>
    <n v="1824"/>
    <n v="1824"/>
    <n v="0"/>
    <n v="0"/>
    <m/>
  </r>
  <r>
    <x v="1"/>
    <x v="1"/>
    <x v="0"/>
    <n v="1347"/>
    <n v="1"/>
    <x v="1"/>
    <n v="1"/>
    <x v="1"/>
    <n v="0"/>
    <n v="0"/>
    <n v="11500"/>
    <n v="0"/>
    <m/>
  </r>
  <r>
    <x v="1"/>
    <x v="1"/>
    <x v="0"/>
    <n v="2050"/>
    <n v="0"/>
    <x v="0"/>
    <m/>
    <x v="0"/>
    <n v="3182"/>
    <n v="3182"/>
    <n v="0"/>
    <n v="0"/>
    <m/>
  </r>
  <r>
    <x v="1"/>
    <x v="1"/>
    <x v="0"/>
    <n v="999"/>
    <n v="2"/>
    <x v="0"/>
    <m/>
    <x v="0"/>
    <n v="2937"/>
    <n v="2937"/>
    <n v="0"/>
    <n v="0"/>
    <m/>
  </r>
  <r>
    <x v="1"/>
    <x v="1"/>
    <x v="0"/>
    <n v="1097"/>
    <n v="1"/>
    <x v="0"/>
    <m/>
    <x v="0"/>
    <n v="2937"/>
    <n v="2937"/>
    <n v="0"/>
    <n v="0"/>
    <m/>
  </r>
  <r>
    <x v="1"/>
    <x v="1"/>
    <x v="0"/>
    <n v="1283"/>
    <n v="1"/>
    <x v="0"/>
    <m/>
    <x v="0"/>
    <n v="1824"/>
    <n v="1824"/>
    <n v="0"/>
    <n v="0"/>
    <m/>
  </r>
  <r>
    <x v="1"/>
    <x v="1"/>
    <x v="0"/>
    <n v="1407"/>
    <n v="0"/>
    <x v="2"/>
    <n v="2"/>
    <x v="2"/>
    <n v="0"/>
    <n v="0"/>
    <n v="0"/>
    <n v="1600"/>
    <m/>
  </r>
  <r>
    <x v="1"/>
    <x v="1"/>
    <x v="0"/>
    <n v="1280"/>
    <n v="0"/>
    <x v="0"/>
    <m/>
    <x v="0"/>
    <n v="3182"/>
    <n v="3182"/>
    <n v="0"/>
    <n v="0"/>
    <m/>
  </r>
  <r>
    <x v="1"/>
    <x v="1"/>
    <x v="0"/>
    <n v="1506"/>
    <n v="1"/>
    <x v="9"/>
    <n v="1"/>
    <x v="0"/>
    <n v="0"/>
    <n v="0"/>
    <n v="0"/>
    <n v="0"/>
    <m/>
  </r>
  <r>
    <x v="1"/>
    <x v="1"/>
    <x v="0"/>
    <n v="1513"/>
    <n v="0"/>
    <x v="1"/>
    <n v="1"/>
    <x v="5"/>
    <n v="0"/>
    <n v="0"/>
    <n v="34500"/>
    <n v="35822"/>
    <m/>
  </r>
  <r>
    <x v="1"/>
    <x v="1"/>
    <x v="0"/>
    <n v="1334"/>
    <n v="0"/>
    <x v="0"/>
    <m/>
    <x v="0"/>
    <n v="1824"/>
    <n v="1824"/>
    <n v="0"/>
    <n v="0"/>
    <m/>
  </r>
  <r>
    <x v="1"/>
    <x v="1"/>
    <x v="0"/>
    <n v="1572"/>
    <n v="0"/>
    <x v="4"/>
    <n v="1"/>
    <x v="1"/>
    <n v="0"/>
    <n v="0"/>
    <n v="11500"/>
    <n v="0"/>
    <m/>
  </r>
  <r>
    <x v="1"/>
    <x v="1"/>
    <x v="0"/>
    <n v="1645"/>
    <n v="1"/>
    <x v="0"/>
    <m/>
    <x v="0"/>
    <n v="1824"/>
    <n v="1824"/>
    <n v="0"/>
    <n v="0"/>
    <m/>
  </r>
  <r>
    <x v="1"/>
    <x v="1"/>
    <x v="0"/>
    <n v="2042"/>
    <n v="0"/>
    <x v="2"/>
    <n v="2"/>
    <x v="2"/>
    <n v="0"/>
    <n v="0"/>
    <n v="0"/>
    <n v="1600"/>
    <m/>
  </r>
  <r>
    <x v="1"/>
    <x v="1"/>
    <x v="0"/>
    <n v="1221"/>
    <n v="1"/>
    <x v="0"/>
    <m/>
    <x v="0"/>
    <n v="2937"/>
    <n v="2937"/>
    <n v="0"/>
    <n v="0"/>
    <m/>
  </r>
  <r>
    <x v="1"/>
    <x v="1"/>
    <x v="0"/>
    <n v="1320"/>
    <n v="1"/>
    <x v="0"/>
    <m/>
    <x v="0"/>
    <n v="1824"/>
    <n v="1824"/>
    <n v="0"/>
    <n v="0"/>
    <m/>
  </r>
  <r>
    <x v="1"/>
    <x v="1"/>
    <x v="0"/>
    <n v="1157"/>
    <n v="1"/>
    <x v="0"/>
    <m/>
    <x v="0"/>
    <n v="1824"/>
    <n v="1824"/>
    <n v="0"/>
    <n v="0"/>
    <m/>
  </r>
  <r>
    <x v="1"/>
    <x v="1"/>
    <x v="0"/>
    <n v="1815"/>
    <n v="0"/>
    <x v="0"/>
    <m/>
    <x v="0"/>
    <n v="2937"/>
    <n v="2937"/>
    <n v="0"/>
    <n v="0"/>
    <m/>
  </r>
  <r>
    <x v="1"/>
    <x v="1"/>
    <x v="0"/>
    <n v="1800"/>
    <n v="0"/>
    <x v="2"/>
    <n v="2"/>
    <x v="2"/>
    <n v="0"/>
    <n v="0"/>
    <n v="0"/>
    <n v="1600"/>
    <m/>
  </r>
  <r>
    <x v="1"/>
    <x v="1"/>
    <x v="0"/>
    <n v="2178"/>
    <n v="4"/>
    <x v="0"/>
    <m/>
    <x v="0"/>
    <n v="2128"/>
    <n v="2128"/>
    <n v="0"/>
    <n v="0"/>
    <m/>
  </r>
  <r>
    <x v="1"/>
    <x v="1"/>
    <x v="0"/>
    <n v="1708"/>
    <n v="1"/>
    <x v="0"/>
    <m/>
    <x v="0"/>
    <n v="1824"/>
    <n v="1824"/>
    <n v="0"/>
    <n v="0"/>
    <m/>
  </r>
  <r>
    <x v="1"/>
    <x v="1"/>
    <x v="0"/>
    <n v="1277"/>
    <n v="2"/>
    <x v="0"/>
    <m/>
    <x v="0"/>
    <n v="1824"/>
    <n v="1824"/>
    <n v="0"/>
    <n v="0"/>
    <m/>
  </r>
  <r>
    <x v="1"/>
    <x v="1"/>
    <x v="0"/>
    <n v="2156"/>
    <n v="1"/>
    <x v="0"/>
    <m/>
    <x v="0"/>
    <n v="2937"/>
    <n v="2937"/>
    <n v="0"/>
    <n v="0"/>
    <m/>
  </r>
  <r>
    <x v="1"/>
    <x v="1"/>
    <x v="0"/>
    <n v="1698"/>
    <n v="0"/>
    <x v="2"/>
    <n v="2"/>
    <x v="2"/>
    <n v="0"/>
    <n v="0"/>
    <n v="0"/>
    <n v="1600"/>
    <m/>
  </r>
  <r>
    <x v="1"/>
    <x v="1"/>
    <x v="0"/>
    <n v="783"/>
    <n v="0"/>
    <x v="0"/>
    <m/>
    <x v="0"/>
    <n v="1834"/>
    <n v="1834"/>
    <n v="0"/>
    <n v="0"/>
    <m/>
  </r>
  <r>
    <x v="1"/>
    <x v="1"/>
    <x v="0"/>
    <n v="1255"/>
    <n v="0"/>
    <x v="0"/>
    <m/>
    <x v="0"/>
    <n v="1834"/>
    <n v="1834"/>
    <n v="0"/>
    <n v="0"/>
    <m/>
  </r>
  <r>
    <x v="1"/>
    <x v="1"/>
    <x v="0"/>
    <n v="1504"/>
    <n v="1"/>
    <x v="0"/>
    <m/>
    <x v="0"/>
    <n v="2937"/>
    <n v="2937"/>
    <n v="0"/>
    <n v="0"/>
    <m/>
  </r>
  <r>
    <x v="1"/>
    <x v="1"/>
    <x v="0"/>
    <n v="1439"/>
    <n v="0"/>
    <x v="0"/>
    <m/>
    <x v="0"/>
    <n v="1834"/>
    <n v="1834"/>
    <n v="0"/>
    <n v="0"/>
    <m/>
  </r>
  <r>
    <x v="1"/>
    <x v="1"/>
    <x v="0"/>
    <n v="1508"/>
    <n v="1"/>
    <x v="1"/>
    <n v="1"/>
    <x v="1"/>
    <n v="0"/>
    <n v="0"/>
    <n v="11500"/>
    <n v="0"/>
    <m/>
  </r>
  <r>
    <x v="1"/>
    <x v="1"/>
    <x v="0"/>
    <n v="2502"/>
    <n v="2"/>
    <x v="1"/>
    <n v="1"/>
    <x v="1"/>
    <n v="0"/>
    <n v="0"/>
    <n v="11500"/>
    <n v="0"/>
    <m/>
  </r>
  <r>
    <x v="1"/>
    <x v="1"/>
    <x v="0"/>
    <n v="1786"/>
    <n v="1"/>
    <x v="0"/>
    <m/>
    <x v="0"/>
    <n v="1834"/>
    <n v="1834"/>
    <n v="0"/>
    <n v="0"/>
    <m/>
  </r>
  <r>
    <x v="1"/>
    <x v="1"/>
    <x v="0"/>
    <n v="1673"/>
    <n v="3"/>
    <x v="0"/>
    <m/>
    <x v="0"/>
    <n v="2280"/>
    <n v="2280"/>
    <n v="0"/>
    <n v="0"/>
    <m/>
  </r>
  <r>
    <x v="1"/>
    <x v="1"/>
    <x v="5"/>
    <n v="1387"/>
    <n v="1"/>
    <x v="0"/>
    <m/>
    <x v="0"/>
    <n v="2080"/>
    <n v="2080"/>
    <n v="0"/>
    <n v="0"/>
    <m/>
  </r>
  <r>
    <x v="7"/>
    <x v="0"/>
    <x v="4"/>
    <n v="1657"/>
    <n v="2"/>
    <x v="0"/>
    <m/>
    <x v="0"/>
    <n v="3168"/>
    <n v="3168"/>
    <n v="0"/>
    <n v="0"/>
    <m/>
  </r>
  <r>
    <x v="3"/>
    <x v="0"/>
    <x v="3"/>
    <n v="1000"/>
    <n v="0"/>
    <x v="3"/>
    <n v="1"/>
    <x v="4"/>
    <n v="0"/>
    <n v="0"/>
    <n v="0"/>
    <n v="0"/>
    <m/>
  </r>
  <r>
    <x v="8"/>
    <x v="0"/>
    <x v="3"/>
    <n v="1000"/>
    <n v="0"/>
    <x v="10"/>
    <n v="5"/>
    <x v="3"/>
    <n v="0"/>
    <n v="0"/>
    <n v="0"/>
    <n v="0"/>
    <m/>
  </r>
  <r>
    <x v="0"/>
    <x v="3"/>
    <x v="1"/>
    <n v="1659"/>
    <n v="4"/>
    <x v="0"/>
    <m/>
    <x v="0"/>
    <n v="2067"/>
    <n v="2067"/>
    <n v="0"/>
    <n v="0"/>
    <m/>
  </r>
  <r>
    <x v="0"/>
    <x v="3"/>
    <x v="1"/>
    <n v="1881"/>
    <n v="1"/>
    <x v="0"/>
    <m/>
    <x v="0"/>
    <n v="1159"/>
    <n v="1159"/>
    <n v="0"/>
    <n v="0"/>
    <m/>
  </r>
  <r>
    <x v="0"/>
    <x v="3"/>
    <x v="1"/>
    <n v="2446"/>
    <n v="1"/>
    <x v="0"/>
    <m/>
    <x v="0"/>
    <n v="1159"/>
    <n v="1159"/>
    <n v="0"/>
    <n v="0"/>
    <m/>
  </r>
  <r>
    <x v="0"/>
    <x v="3"/>
    <x v="1"/>
    <n v="1899"/>
    <n v="0"/>
    <x v="0"/>
    <m/>
    <x v="0"/>
    <n v="1352"/>
    <n v="1352"/>
    <n v="0"/>
    <n v="0"/>
    <m/>
  </r>
  <r>
    <x v="0"/>
    <x v="3"/>
    <x v="1"/>
    <n v="1480"/>
    <n v="1"/>
    <x v="0"/>
    <m/>
    <x v="0"/>
    <n v="1159"/>
    <n v="1159"/>
    <n v="0"/>
    <n v="0"/>
    <m/>
  </r>
  <r>
    <x v="0"/>
    <x v="3"/>
    <x v="1"/>
    <n v="1725"/>
    <n v="2"/>
    <x v="0"/>
    <m/>
    <x v="0"/>
    <n v="1159"/>
    <n v="1159"/>
    <n v="0"/>
    <n v="0"/>
    <m/>
  </r>
  <r>
    <x v="0"/>
    <x v="3"/>
    <x v="1"/>
    <n v="1343"/>
    <n v="0"/>
    <x v="2"/>
    <n v="3"/>
    <x v="2"/>
    <n v="0"/>
    <n v="0"/>
    <n v="0"/>
    <n v="2400"/>
    <m/>
  </r>
  <r>
    <x v="0"/>
    <x v="3"/>
    <x v="1"/>
    <n v="2733"/>
    <n v="0"/>
    <x v="0"/>
    <m/>
    <x v="0"/>
    <n v="1159"/>
    <n v="1159"/>
    <n v="0"/>
    <n v="0"/>
    <m/>
  </r>
  <r>
    <x v="0"/>
    <x v="3"/>
    <x v="1"/>
    <n v="2196"/>
    <n v="0"/>
    <x v="0"/>
    <m/>
    <x v="0"/>
    <n v="1159"/>
    <n v="1159"/>
    <n v="0"/>
    <n v="0"/>
    <m/>
  </r>
  <r>
    <x v="0"/>
    <x v="3"/>
    <x v="1"/>
    <n v="1326"/>
    <n v="0"/>
    <x v="0"/>
    <m/>
    <x v="0"/>
    <n v="1159"/>
    <n v="1159"/>
    <n v="0"/>
    <n v="0"/>
    <m/>
  </r>
  <r>
    <x v="0"/>
    <x v="3"/>
    <x v="1"/>
    <n v="2012"/>
    <n v="0"/>
    <x v="9"/>
    <m/>
    <x v="0"/>
    <n v="0"/>
    <n v="0"/>
    <n v="0"/>
    <n v="0"/>
    <m/>
  </r>
  <r>
    <x v="0"/>
    <x v="3"/>
    <x v="1"/>
    <n v="1970"/>
    <n v="1"/>
    <x v="0"/>
    <m/>
    <x v="0"/>
    <n v="1546"/>
    <n v="1546"/>
    <n v="0"/>
    <n v="0"/>
    <m/>
  </r>
  <r>
    <x v="0"/>
    <x v="3"/>
    <x v="1"/>
    <n v="779"/>
    <n v="1"/>
    <x v="2"/>
    <n v="3"/>
    <x v="2"/>
    <n v="0"/>
    <n v="0"/>
    <n v="0"/>
    <n v="2400"/>
    <m/>
  </r>
  <r>
    <x v="0"/>
    <x v="3"/>
    <x v="1"/>
    <n v="2074"/>
    <n v="1"/>
    <x v="0"/>
    <m/>
    <x v="0"/>
    <n v="1159"/>
    <n v="1159"/>
    <n v="0"/>
    <n v="0"/>
    <m/>
  </r>
  <r>
    <x v="0"/>
    <x v="3"/>
    <x v="1"/>
    <n v="1672"/>
    <n v="0"/>
    <x v="0"/>
    <m/>
    <x v="0"/>
    <n v="1159"/>
    <n v="1159"/>
    <n v="0"/>
    <n v="0"/>
    <m/>
  </r>
  <r>
    <x v="0"/>
    <x v="3"/>
    <x v="1"/>
    <n v="823"/>
    <n v="0"/>
    <x v="0"/>
    <m/>
    <x v="0"/>
    <n v="1159"/>
    <n v="1159"/>
    <n v="0"/>
    <n v="0"/>
    <m/>
  </r>
  <r>
    <x v="0"/>
    <x v="3"/>
    <x v="1"/>
    <n v="1454"/>
    <n v="3"/>
    <x v="0"/>
    <m/>
    <x v="0"/>
    <n v="1159"/>
    <n v="1159"/>
    <n v="0"/>
    <n v="0"/>
    <m/>
  </r>
  <r>
    <x v="0"/>
    <x v="3"/>
    <x v="1"/>
    <n v="1264"/>
    <n v="2"/>
    <x v="2"/>
    <n v="3"/>
    <x v="2"/>
    <n v="0"/>
    <n v="0"/>
    <n v="0"/>
    <n v="2400"/>
    <m/>
  </r>
  <r>
    <x v="0"/>
    <x v="3"/>
    <x v="1"/>
    <n v="1755"/>
    <n v="0"/>
    <x v="0"/>
    <m/>
    <x v="0"/>
    <n v="2757"/>
    <n v="2757"/>
    <n v="0"/>
    <n v="0"/>
    <m/>
  </r>
  <r>
    <x v="1"/>
    <x v="1"/>
    <x v="0"/>
    <n v="1277"/>
    <n v="1"/>
    <x v="0"/>
    <m/>
    <x v="0"/>
    <n v="1824"/>
    <n v="1824"/>
    <n v="0"/>
    <n v="0"/>
    <m/>
  </r>
  <r>
    <x v="1"/>
    <x v="1"/>
    <x v="0"/>
    <n v="2049"/>
    <n v="0"/>
    <x v="0"/>
    <m/>
    <x v="0"/>
    <n v="2937"/>
    <n v="2937"/>
    <n v="0"/>
    <n v="0"/>
    <m/>
  </r>
  <r>
    <x v="1"/>
    <x v="1"/>
    <x v="0"/>
    <n v="1892"/>
    <n v="1"/>
    <x v="0"/>
    <m/>
    <x v="0"/>
    <n v="3400"/>
    <n v="3400"/>
    <n v="0"/>
    <n v="0"/>
    <m/>
  </r>
  <r>
    <x v="1"/>
    <x v="1"/>
    <x v="0"/>
    <n v="2348"/>
    <n v="0"/>
    <x v="0"/>
    <m/>
    <x v="0"/>
    <n v="1824"/>
    <n v="1824"/>
    <n v="0"/>
    <n v="0"/>
    <m/>
  </r>
  <r>
    <x v="1"/>
    <x v="1"/>
    <x v="0"/>
    <n v="1998"/>
    <n v="1"/>
    <x v="2"/>
    <n v="2"/>
    <x v="2"/>
    <n v="0"/>
    <n v="0"/>
    <n v="0"/>
    <n v="1600"/>
    <m/>
  </r>
  <r>
    <x v="1"/>
    <x v="1"/>
    <x v="0"/>
    <n v="1962"/>
    <n v="1"/>
    <x v="0"/>
    <m/>
    <x v="0"/>
    <n v="1824"/>
    <n v="1824"/>
    <n v="0"/>
    <n v="0"/>
    <m/>
  </r>
  <r>
    <x v="1"/>
    <x v="1"/>
    <x v="0"/>
    <n v="2010"/>
    <n v="1"/>
    <x v="0"/>
    <m/>
    <x v="0"/>
    <n v="1824"/>
    <n v="1824"/>
    <n v="0"/>
    <n v="0"/>
    <m/>
  </r>
  <r>
    <x v="1"/>
    <x v="1"/>
    <x v="0"/>
    <n v="1676"/>
    <n v="1"/>
    <x v="0"/>
    <m/>
    <x v="0"/>
    <n v="1976"/>
    <n v="1976"/>
    <n v="0"/>
    <n v="0"/>
    <m/>
  </r>
  <r>
    <x v="1"/>
    <x v="1"/>
    <x v="0"/>
    <n v="709"/>
    <n v="0"/>
    <x v="2"/>
    <n v="2"/>
    <x v="2"/>
    <n v="0"/>
    <n v="0"/>
    <n v="0"/>
    <n v="1600"/>
    <m/>
  </r>
  <r>
    <x v="1"/>
    <x v="1"/>
    <x v="0"/>
    <n v="2619"/>
    <n v="1"/>
    <x v="0"/>
    <m/>
    <x v="0"/>
    <n v="1834"/>
    <n v="1834"/>
    <n v="0"/>
    <n v="0"/>
    <m/>
  </r>
  <r>
    <x v="1"/>
    <x v="1"/>
    <x v="0"/>
    <n v="1880"/>
    <n v="0"/>
    <x v="0"/>
    <m/>
    <x v="0"/>
    <n v="1834"/>
    <n v="1834"/>
    <n v="0"/>
    <n v="0"/>
    <m/>
  </r>
  <r>
    <x v="7"/>
    <x v="0"/>
    <x v="3"/>
    <n v="2351"/>
    <n v="2"/>
    <x v="0"/>
    <m/>
    <x v="0"/>
    <n v="3100"/>
    <n v="3100"/>
    <n v="0"/>
    <n v="0"/>
    <m/>
  </r>
  <r>
    <x v="7"/>
    <x v="0"/>
    <x v="3"/>
    <n v="2200"/>
    <n v="4"/>
    <x v="0"/>
    <m/>
    <x v="0"/>
    <n v="1300"/>
    <n v="1300"/>
    <n v="0"/>
    <n v="0"/>
    <m/>
  </r>
  <r>
    <x v="7"/>
    <x v="0"/>
    <x v="3"/>
    <n v="1737"/>
    <n v="2"/>
    <x v="0"/>
    <m/>
    <x v="0"/>
    <n v="1649"/>
    <n v="1649"/>
    <n v="0"/>
    <n v="0"/>
    <m/>
  </r>
  <r>
    <x v="7"/>
    <x v="0"/>
    <x v="3"/>
    <n v="2547"/>
    <n v="2"/>
    <x v="9"/>
    <m/>
    <x v="0"/>
    <n v="0"/>
    <n v="0"/>
    <n v="0"/>
    <n v="0"/>
    <m/>
  </r>
  <r>
    <x v="7"/>
    <x v="0"/>
    <x v="3"/>
    <n v="2230"/>
    <n v="2"/>
    <x v="2"/>
    <n v="2"/>
    <x v="2"/>
    <n v="0"/>
    <n v="0"/>
    <n v="0"/>
    <n v="1600"/>
    <m/>
  </r>
  <r>
    <x v="7"/>
    <x v="0"/>
    <x v="3"/>
    <n v="2500"/>
    <n v="2"/>
    <x v="2"/>
    <n v="3"/>
    <x v="2"/>
    <n v="0"/>
    <n v="0"/>
    <n v="0"/>
    <n v="2400"/>
    <m/>
  </r>
  <r>
    <x v="7"/>
    <x v="0"/>
    <x v="3"/>
    <n v="2677"/>
    <n v="1"/>
    <x v="0"/>
    <m/>
    <x v="0"/>
    <n v="8882"/>
    <n v="8882"/>
    <n v="0"/>
    <n v="0"/>
    <m/>
  </r>
  <r>
    <x v="7"/>
    <x v="0"/>
    <x v="3"/>
    <n v="2500"/>
    <n v="1"/>
    <x v="0"/>
    <m/>
    <x v="0"/>
    <n v="4134"/>
    <n v="4134"/>
    <n v="0"/>
    <n v="0"/>
    <m/>
  </r>
  <r>
    <x v="7"/>
    <x v="0"/>
    <x v="3"/>
    <n v="2751"/>
    <n v="0"/>
    <x v="0"/>
    <m/>
    <x v="0"/>
    <n v="6615"/>
    <n v="6615"/>
    <n v="0"/>
    <n v="0"/>
    <m/>
  </r>
  <r>
    <x v="7"/>
    <x v="0"/>
    <x v="3"/>
    <n v="2004"/>
    <n v="2"/>
    <x v="0"/>
    <m/>
    <x v="0"/>
    <n v="13770"/>
    <n v="13770"/>
    <n v="0"/>
    <n v="0"/>
    <m/>
  </r>
  <r>
    <x v="7"/>
    <x v="0"/>
    <x v="3"/>
    <n v="1787"/>
    <n v="3"/>
    <x v="0"/>
    <m/>
    <x v="0"/>
    <n v="4134"/>
    <n v="4134"/>
    <n v="0"/>
    <n v="0"/>
    <m/>
  </r>
  <r>
    <x v="7"/>
    <x v="0"/>
    <x v="3"/>
    <n v="2747"/>
    <n v="1"/>
    <x v="0"/>
    <m/>
    <x v="0"/>
    <n v="3720"/>
    <n v="3720"/>
    <n v="0"/>
    <n v="0"/>
    <m/>
  </r>
  <r>
    <x v="7"/>
    <x v="0"/>
    <x v="3"/>
    <n v="2105"/>
    <n v="0"/>
    <x v="2"/>
    <n v="3"/>
    <x v="2"/>
    <n v="0"/>
    <n v="0"/>
    <n v="0"/>
    <n v="2400"/>
    <m/>
  </r>
  <r>
    <x v="7"/>
    <x v="0"/>
    <x v="3"/>
    <n v="2230"/>
    <n v="2"/>
    <x v="0"/>
    <m/>
    <x v="0"/>
    <n v="2067"/>
    <n v="2067"/>
    <n v="0"/>
    <n v="0"/>
    <m/>
  </r>
  <r>
    <x v="7"/>
    <x v="0"/>
    <x v="3"/>
    <n v="2236"/>
    <n v="1"/>
    <x v="2"/>
    <n v="4"/>
    <x v="2"/>
    <n v="0"/>
    <n v="0"/>
    <n v="0"/>
    <n v="3200"/>
    <m/>
  </r>
  <r>
    <x v="7"/>
    <x v="0"/>
    <x v="3"/>
    <n v="2339"/>
    <n v="3"/>
    <x v="2"/>
    <n v="4"/>
    <x v="2"/>
    <n v="0"/>
    <n v="0"/>
    <n v="0"/>
    <n v="3200"/>
    <m/>
  </r>
  <r>
    <x v="0"/>
    <x v="3"/>
    <x v="1"/>
    <n v="1396"/>
    <n v="2"/>
    <x v="0"/>
    <m/>
    <x v="0"/>
    <n v="1159"/>
    <n v="1159"/>
    <n v="0"/>
    <n v="0"/>
    <m/>
  </r>
  <r>
    <x v="0"/>
    <x v="3"/>
    <x v="1"/>
    <n v="1382"/>
    <n v="1"/>
    <x v="2"/>
    <n v="3"/>
    <x v="2"/>
    <n v="0"/>
    <n v="0"/>
    <n v="0"/>
    <n v="2400"/>
    <m/>
  </r>
  <r>
    <x v="0"/>
    <x v="3"/>
    <x v="1"/>
    <n v="823"/>
    <n v="1"/>
    <x v="0"/>
    <m/>
    <x v="0"/>
    <n v="1159"/>
    <n v="1159"/>
    <n v="0"/>
    <n v="0"/>
    <m/>
  </r>
  <r>
    <x v="0"/>
    <x v="3"/>
    <x v="1"/>
    <n v="1300"/>
    <n v="2"/>
    <x v="0"/>
    <m/>
    <x v="0"/>
    <n v="1159"/>
    <n v="1159"/>
    <n v="0"/>
    <n v="0"/>
    <m/>
  </r>
  <r>
    <x v="0"/>
    <x v="3"/>
    <x v="1"/>
    <n v="1617"/>
    <n v="0"/>
    <x v="0"/>
    <m/>
    <x v="0"/>
    <n v="1159"/>
    <n v="1159"/>
    <n v="0"/>
    <n v="0"/>
    <m/>
  </r>
  <r>
    <x v="0"/>
    <x v="3"/>
    <x v="1"/>
    <n v="1669"/>
    <n v="2"/>
    <x v="0"/>
    <m/>
    <x v="0"/>
    <n v="2067"/>
    <n v="2067"/>
    <n v="0"/>
    <n v="0"/>
    <m/>
  </r>
  <r>
    <x v="0"/>
    <x v="3"/>
    <x v="1"/>
    <n v="1400"/>
    <n v="0"/>
    <x v="0"/>
    <m/>
    <x v="0"/>
    <n v="2067"/>
    <n v="2067"/>
    <n v="0"/>
    <n v="0"/>
    <m/>
  </r>
  <r>
    <x v="0"/>
    <x v="3"/>
    <x v="1"/>
    <n v="1299"/>
    <n v="1"/>
    <x v="0"/>
    <m/>
    <x v="0"/>
    <n v="1159"/>
    <n v="1159"/>
    <n v="0"/>
    <n v="0"/>
    <m/>
  </r>
  <r>
    <x v="0"/>
    <x v="3"/>
    <x v="1"/>
    <n v="1135"/>
    <n v="1"/>
    <x v="0"/>
    <m/>
    <x v="0"/>
    <n v="1159"/>
    <n v="1159"/>
    <n v="0"/>
    <n v="0"/>
    <m/>
  </r>
  <r>
    <x v="0"/>
    <x v="3"/>
    <x v="1"/>
    <n v="1659"/>
    <n v="1"/>
    <x v="0"/>
    <m/>
    <x v="0"/>
    <n v="1546"/>
    <n v="1546"/>
    <n v="0"/>
    <n v="0"/>
    <m/>
  </r>
  <r>
    <x v="0"/>
    <x v="3"/>
    <x v="1"/>
    <n v="1820"/>
    <n v="2"/>
    <x v="0"/>
    <m/>
    <x v="0"/>
    <n v="1159"/>
    <n v="1159"/>
    <n v="0"/>
    <n v="0"/>
    <m/>
  </r>
  <r>
    <x v="0"/>
    <x v="3"/>
    <x v="1"/>
    <n v="1567"/>
    <n v="1"/>
    <x v="0"/>
    <m/>
    <x v="0"/>
    <n v="1352"/>
    <n v="1352"/>
    <n v="0"/>
    <n v="0"/>
    <m/>
  </r>
  <r>
    <x v="0"/>
    <x v="3"/>
    <x v="1"/>
    <n v="1417"/>
    <n v="1"/>
    <x v="0"/>
    <m/>
    <x v="0"/>
    <n v="2067"/>
    <n v="2067"/>
    <n v="0"/>
    <n v="0"/>
    <m/>
  </r>
  <r>
    <x v="0"/>
    <x v="3"/>
    <x v="1"/>
    <n v="1149"/>
    <n v="0"/>
    <x v="0"/>
    <m/>
    <x v="0"/>
    <n v="1546"/>
    <n v="1546"/>
    <n v="0"/>
    <n v="0"/>
    <m/>
  </r>
  <r>
    <x v="0"/>
    <x v="3"/>
    <x v="1"/>
    <n v="999"/>
    <n v="2"/>
    <x v="0"/>
    <m/>
    <x v="0"/>
    <n v="2067"/>
    <n v="2067"/>
    <n v="0"/>
    <n v="0"/>
    <m/>
  </r>
  <r>
    <x v="0"/>
    <x v="3"/>
    <x v="1"/>
    <n v="1041"/>
    <n v="1"/>
    <x v="0"/>
    <m/>
    <x v="0"/>
    <n v="1159"/>
    <n v="1159"/>
    <n v="0"/>
    <n v="0"/>
    <m/>
  </r>
  <r>
    <x v="0"/>
    <x v="3"/>
    <x v="1"/>
    <n v="1428"/>
    <n v="1"/>
    <x v="0"/>
    <m/>
    <x v="0"/>
    <n v="1352"/>
    <n v="1352"/>
    <n v="0"/>
    <n v="0"/>
    <m/>
  </r>
  <r>
    <x v="0"/>
    <x v="3"/>
    <x v="1"/>
    <n v="1853"/>
    <n v="0"/>
    <x v="2"/>
    <n v="3"/>
    <x v="2"/>
    <n v="0"/>
    <n v="0"/>
    <n v="0"/>
    <n v="2400"/>
    <m/>
  </r>
  <r>
    <x v="0"/>
    <x v="3"/>
    <x v="1"/>
    <n v="2455"/>
    <n v="2"/>
    <x v="0"/>
    <m/>
    <x v="0"/>
    <n v="1159"/>
    <n v="1159"/>
    <n v="0"/>
    <n v="0"/>
    <m/>
  </r>
  <r>
    <x v="0"/>
    <x v="3"/>
    <x v="1"/>
    <n v="1681"/>
    <n v="1"/>
    <x v="0"/>
    <m/>
    <x v="0"/>
    <n v="1546"/>
    <n v="1546"/>
    <n v="0"/>
    <n v="0"/>
    <m/>
  </r>
  <r>
    <x v="0"/>
    <x v="3"/>
    <x v="1"/>
    <n v="824"/>
    <n v="0"/>
    <x v="2"/>
    <n v="3"/>
    <x v="2"/>
    <n v="0"/>
    <n v="0"/>
    <n v="0"/>
    <n v="2400"/>
    <m/>
  </r>
  <r>
    <x v="0"/>
    <x v="3"/>
    <x v="1"/>
    <n v="1214"/>
    <n v="1"/>
    <x v="0"/>
    <m/>
    <x v="0"/>
    <n v="1159"/>
    <n v="1159"/>
    <n v="0"/>
    <n v="0"/>
    <m/>
  </r>
  <r>
    <x v="0"/>
    <x v="3"/>
    <x v="1"/>
    <n v="1917"/>
    <n v="2"/>
    <x v="0"/>
    <m/>
    <x v="0"/>
    <n v="1159"/>
    <n v="1159"/>
    <n v="0"/>
    <n v="0"/>
    <m/>
  </r>
  <r>
    <x v="0"/>
    <x v="3"/>
    <x v="1"/>
    <n v="404"/>
    <n v="0"/>
    <x v="0"/>
    <m/>
    <x v="0"/>
    <n v="2067"/>
    <n v="2067"/>
    <n v="0"/>
    <n v="0"/>
    <m/>
  </r>
  <r>
    <x v="0"/>
    <x v="3"/>
    <x v="1"/>
    <n v="991"/>
    <n v="0"/>
    <x v="0"/>
    <m/>
    <x v="0"/>
    <n v="1159"/>
    <n v="1159"/>
    <n v="0"/>
    <n v="0"/>
    <m/>
  </r>
  <r>
    <x v="0"/>
    <x v="3"/>
    <x v="1"/>
    <n v="1585"/>
    <n v="0"/>
    <x v="0"/>
    <m/>
    <x v="0"/>
    <n v="1159"/>
    <n v="1159"/>
    <n v="0"/>
    <n v="0"/>
    <m/>
  </r>
  <r>
    <x v="0"/>
    <x v="3"/>
    <x v="1"/>
    <n v="1099"/>
    <n v="1"/>
    <x v="0"/>
    <m/>
    <x v="0"/>
    <n v="1352"/>
    <n v="1352"/>
    <n v="0"/>
    <n v="0"/>
    <m/>
  </r>
  <r>
    <x v="0"/>
    <x v="3"/>
    <x v="1"/>
    <n v="1444"/>
    <n v="0"/>
    <x v="0"/>
    <m/>
    <x v="0"/>
    <n v="1739"/>
    <n v="1739"/>
    <n v="0"/>
    <n v="0"/>
    <m/>
  </r>
  <r>
    <x v="0"/>
    <x v="3"/>
    <x v="1"/>
    <n v="1206"/>
    <n v="1"/>
    <x v="0"/>
    <m/>
    <x v="0"/>
    <n v="1159"/>
    <n v="1159"/>
    <n v="0"/>
    <n v="0"/>
    <m/>
  </r>
  <r>
    <x v="0"/>
    <x v="3"/>
    <x v="1"/>
    <n v="2034"/>
    <n v="3"/>
    <x v="0"/>
    <m/>
    <x v="0"/>
    <n v="1159"/>
    <n v="1159"/>
    <n v="0"/>
    <n v="0"/>
    <m/>
  </r>
  <r>
    <x v="0"/>
    <x v="3"/>
    <x v="1"/>
    <n v="2474"/>
    <n v="0"/>
    <x v="2"/>
    <n v="3"/>
    <x v="2"/>
    <n v="0"/>
    <n v="0"/>
    <n v="0"/>
    <n v="2400"/>
    <m/>
  </r>
  <r>
    <x v="0"/>
    <x v="3"/>
    <x v="1"/>
    <n v="1210"/>
    <n v="2"/>
    <x v="0"/>
    <m/>
    <x v="0"/>
    <n v="1352"/>
    <n v="1352"/>
    <n v="0"/>
    <n v="0"/>
    <m/>
  </r>
  <r>
    <x v="0"/>
    <x v="3"/>
    <x v="1"/>
    <n v="1838"/>
    <n v="0"/>
    <x v="0"/>
    <m/>
    <x v="0"/>
    <n v="1159"/>
    <n v="1159"/>
    <n v="0"/>
    <n v="0"/>
    <m/>
  </r>
  <r>
    <x v="0"/>
    <x v="3"/>
    <x v="1"/>
    <n v="1620"/>
    <n v="1"/>
    <x v="0"/>
    <m/>
    <x v="0"/>
    <n v="1159"/>
    <n v="1159"/>
    <n v="0"/>
    <n v="0"/>
    <m/>
  </r>
  <r>
    <x v="0"/>
    <x v="3"/>
    <x v="1"/>
    <n v="1629"/>
    <n v="1"/>
    <x v="0"/>
    <m/>
    <x v="0"/>
    <n v="2750"/>
    <n v="2750"/>
    <n v="0"/>
    <n v="0"/>
    <m/>
  </r>
  <r>
    <x v="0"/>
    <x v="3"/>
    <x v="1"/>
    <n v="1374"/>
    <n v="1"/>
    <x v="2"/>
    <n v="3"/>
    <x v="2"/>
    <n v="0"/>
    <n v="0"/>
    <n v="0"/>
    <n v="2400"/>
    <m/>
  </r>
  <r>
    <x v="0"/>
    <x v="3"/>
    <x v="1"/>
    <n v="1637"/>
    <n v="0"/>
    <x v="0"/>
    <m/>
    <x v="0"/>
    <n v="1352"/>
    <n v="1352"/>
    <n v="0"/>
    <n v="0"/>
    <m/>
  </r>
  <r>
    <x v="0"/>
    <x v="3"/>
    <x v="1"/>
    <n v="1846"/>
    <n v="1"/>
    <x v="0"/>
    <m/>
    <x v="0"/>
    <n v="1159"/>
    <n v="1159"/>
    <n v="0"/>
    <n v="0"/>
    <m/>
  </r>
  <r>
    <x v="0"/>
    <x v="3"/>
    <x v="1"/>
    <n v="1617"/>
    <n v="1"/>
    <x v="0"/>
    <m/>
    <x v="0"/>
    <n v="2756"/>
    <n v="2756"/>
    <n v="0"/>
    <n v="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585"/>
    <n v="0"/>
    <x v="2"/>
    <n v="3"/>
    <x v="2"/>
    <n v="0"/>
    <n v="0"/>
    <n v="0"/>
    <n v="2400"/>
    <m/>
  </r>
  <r>
    <x v="0"/>
    <x v="3"/>
    <x v="1"/>
    <n v="1990"/>
    <n v="0"/>
    <x v="0"/>
    <m/>
    <x v="0"/>
    <n v="1159"/>
    <n v="1159"/>
    <n v="0"/>
    <n v="0"/>
    <m/>
  </r>
  <r>
    <x v="0"/>
    <x v="3"/>
    <x v="1"/>
    <n v="1186"/>
    <n v="1"/>
    <x v="0"/>
    <m/>
    <x v="0"/>
    <n v="2756"/>
    <n v="2756"/>
    <n v="0"/>
    <n v="0"/>
    <m/>
  </r>
  <r>
    <x v="0"/>
    <x v="3"/>
    <x v="1"/>
    <n v="1193"/>
    <n v="2"/>
    <x v="0"/>
    <m/>
    <x v="0"/>
    <n v="1159"/>
    <n v="1159"/>
    <n v="0"/>
    <n v="0"/>
    <m/>
  </r>
  <r>
    <x v="0"/>
    <x v="3"/>
    <x v="1"/>
    <n v="1223"/>
    <n v="0"/>
    <x v="0"/>
    <m/>
    <x v="0"/>
    <n v="2067"/>
    <n v="2067"/>
    <n v="0"/>
    <n v="0"/>
    <m/>
  </r>
  <r>
    <x v="0"/>
    <x v="3"/>
    <x v="1"/>
    <n v="1833"/>
    <n v="0"/>
    <x v="0"/>
    <m/>
    <x v="0"/>
    <n v="2067"/>
    <n v="2067"/>
    <n v="0"/>
    <n v="0"/>
    <m/>
  </r>
  <r>
    <x v="0"/>
    <x v="3"/>
    <x v="1"/>
    <n v="1601"/>
    <n v="1"/>
    <x v="0"/>
    <m/>
    <x v="0"/>
    <n v="2067"/>
    <n v="2067"/>
    <n v="0"/>
    <n v="0"/>
    <m/>
  </r>
  <r>
    <x v="0"/>
    <x v="3"/>
    <x v="1"/>
    <n v="1381"/>
    <n v="0"/>
    <x v="0"/>
    <m/>
    <x v="0"/>
    <n v="2067"/>
    <n v="2067"/>
    <n v="0"/>
    <n v="0"/>
    <m/>
  </r>
  <r>
    <x v="0"/>
    <x v="3"/>
    <x v="1"/>
    <n v="1472"/>
    <n v="3"/>
    <x v="0"/>
    <m/>
    <x v="0"/>
    <n v="1159"/>
    <n v="1159"/>
    <n v="0"/>
    <n v="0"/>
    <m/>
  </r>
  <r>
    <x v="0"/>
    <x v="3"/>
    <x v="1"/>
    <n v="1210"/>
    <n v="1"/>
    <x v="0"/>
    <m/>
    <x v="0"/>
    <n v="1159"/>
    <n v="1159"/>
    <n v="0"/>
    <n v="0"/>
    <m/>
  </r>
  <r>
    <x v="0"/>
    <x v="3"/>
    <x v="1"/>
    <n v="1469"/>
    <n v="1"/>
    <x v="1"/>
    <n v="1"/>
    <x v="1"/>
    <n v="0"/>
    <n v="0"/>
    <n v="11500"/>
    <n v="0"/>
    <m/>
  </r>
  <r>
    <x v="0"/>
    <x v="3"/>
    <x v="1"/>
    <n v="1035"/>
    <n v="1"/>
    <x v="0"/>
    <m/>
    <x v="0"/>
    <n v="2067"/>
    <n v="2067"/>
    <n v="0"/>
    <n v="0"/>
    <m/>
  </r>
  <r>
    <x v="0"/>
    <x v="3"/>
    <x v="1"/>
    <n v="1877"/>
    <n v="1"/>
    <x v="2"/>
    <n v="3"/>
    <x v="2"/>
    <n v="0"/>
    <n v="0"/>
    <n v="0"/>
    <n v="2400"/>
    <m/>
  </r>
  <r>
    <x v="0"/>
    <x v="3"/>
    <x v="1"/>
    <n v="849"/>
    <n v="1"/>
    <x v="2"/>
    <n v="3"/>
    <x v="2"/>
    <n v="0"/>
    <n v="0"/>
    <n v="0"/>
    <n v="2400"/>
    <m/>
  </r>
  <r>
    <x v="0"/>
    <x v="3"/>
    <x v="1"/>
    <n v="1261"/>
    <n v="1"/>
    <x v="2"/>
    <n v="3"/>
    <x v="2"/>
    <n v="0"/>
    <n v="0"/>
    <n v="0"/>
    <n v="2400"/>
    <m/>
  </r>
  <r>
    <x v="9"/>
    <x v="0"/>
    <x v="1"/>
    <n v="1940"/>
    <n v="0"/>
    <x v="2"/>
    <n v="3"/>
    <x v="2"/>
    <n v="0"/>
    <n v="0"/>
    <n v="0"/>
    <n v="2400"/>
    <m/>
  </r>
  <r>
    <x v="0"/>
    <x v="3"/>
    <x v="1"/>
    <n v="2271"/>
    <n v="1"/>
    <x v="2"/>
    <n v="3"/>
    <x v="2"/>
    <n v="0"/>
    <n v="0"/>
    <n v="0"/>
    <n v="2400"/>
    <m/>
  </r>
  <r>
    <x v="0"/>
    <x v="3"/>
    <x v="1"/>
    <n v="1066"/>
    <n v="0"/>
    <x v="4"/>
    <n v="1"/>
    <x v="1"/>
    <n v="0"/>
    <n v="0"/>
    <n v="11500"/>
    <n v="0"/>
    <m/>
  </r>
  <r>
    <x v="0"/>
    <x v="3"/>
    <x v="1"/>
    <n v="1217"/>
    <n v="0"/>
    <x v="0"/>
    <m/>
    <x v="0"/>
    <n v="1159"/>
    <n v="1159"/>
    <n v="0"/>
    <n v="0"/>
    <m/>
  </r>
  <r>
    <x v="0"/>
    <x v="3"/>
    <x v="1"/>
    <n v="1369"/>
    <n v="0"/>
    <x v="1"/>
    <n v="1"/>
    <x v="5"/>
    <m/>
    <n v="0"/>
    <n v="34500"/>
    <n v="35822"/>
    <m/>
  </r>
  <r>
    <x v="0"/>
    <x v="3"/>
    <x v="1"/>
    <n v="1200"/>
    <n v="1"/>
    <x v="0"/>
    <m/>
    <x v="0"/>
    <n v="1546"/>
    <n v="1546"/>
    <n v="0"/>
    <n v="0"/>
    <m/>
  </r>
  <r>
    <x v="0"/>
    <x v="3"/>
    <x v="1"/>
    <n v="2084"/>
    <n v="1"/>
    <x v="0"/>
    <m/>
    <x v="0"/>
    <n v="1159"/>
    <n v="1159"/>
    <n v="0"/>
    <n v="0"/>
    <m/>
  </r>
  <r>
    <x v="0"/>
    <x v="3"/>
    <x v="1"/>
    <n v="1041"/>
    <n v="2"/>
    <x v="0"/>
    <m/>
    <x v="0"/>
    <n v="1159"/>
    <n v="1159"/>
    <n v="0"/>
    <n v="0"/>
    <m/>
  </r>
  <r>
    <x v="0"/>
    <x v="3"/>
    <x v="1"/>
    <n v="1173"/>
    <n v="0"/>
    <x v="2"/>
    <n v="3"/>
    <x v="2"/>
    <n v="0"/>
    <n v="0"/>
    <n v="0"/>
    <n v="2400"/>
    <m/>
  </r>
  <r>
    <x v="0"/>
    <x v="3"/>
    <x v="1"/>
    <n v="1203"/>
    <n v="0"/>
    <x v="0"/>
    <m/>
    <x v="0"/>
    <n v="1159"/>
    <n v="1159"/>
    <n v="0"/>
    <n v="0"/>
    <m/>
  </r>
  <r>
    <x v="0"/>
    <x v="3"/>
    <x v="1"/>
    <n v="1265"/>
    <n v="0"/>
    <x v="0"/>
    <m/>
    <x v="0"/>
    <n v="1159"/>
    <n v="1159"/>
    <n v="0"/>
    <n v="0"/>
    <m/>
  </r>
  <r>
    <x v="0"/>
    <x v="3"/>
    <x v="1"/>
    <n v="1133"/>
    <n v="0"/>
    <x v="0"/>
    <m/>
    <x v="0"/>
    <n v="1159"/>
    <n v="1159"/>
    <n v="0"/>
    <n v="0"/>
    <m/>
  </r>
  <r>
    <x v="0"/>
    <x v="3"/>
    <x v="1"/>
    <n v="967"/>
    <n v="1"/>
    <x v="1"/>
    <n v="1"/>
    <x v="2"/>
    <n v="0"/>
    <n v="0"/>
    <n v="0"/>
    <n v="0"/>
    <m/>
  </r>
  <r>
    <x v="0"/>
    <x v="3"/>
    <x v="1"/>
    <n v="2246"/>
    <n v="1"/>
    <x v="0"/>
    <m/>
    <x v="0"/>
    <n v="2067"/>
    <n v="2067"/>
    <n v="0"/>
    <n v="0"/>
    <m/>
  </r>
  <r>
    <x v="0"/>
    <x v="3"/>
    <x v="1"/>
    <n v="1423"/>
    <n v="2"/>
    <x v="0"/>
    <m/>
    <x v="0"/>
    <n v="1159"/>
    <n v="1159"/>
    <n v="0"/>
    <n v="0"/>
    <m/>
  </r>
  <r>
    <x v="0"/>
    <x v="3"/>
    <x v="1"/>
    <n v="1858"/>
    <n v="0"/>
    <x v="0"/>
    <m/>
    <x v="0"/>
    <n v="2067"/>
    <n v="2067"/>
    <n v="0"/>
    <n v="0"/>
    <m/>
  </r>
  <r>
    <x v="0"/>
    <x v="3"/>
    <x v="1"/>
    <n v="1423"/>
    <n v="1"/>
    <x v="0"/>
    <m/>
    <x v="0"/>
    <n v="1546"/>
    <n v="1546"/>
    <n v="0"/>
    <n v="0"/>
    <m/>
  </r>
  <r>
    <x v="0"/>
    <x v="3"/>
    <x v="1"/>
    <n v="2042"/>
    <n v="1"/>
    <x v="0"/>
    <m/>
    <x v="0"/>
    <n v="1159"/>
    <n v="1159"/>
    <n v="0"/>
    <n v="0"/>
    <m/>
  </r>
  <r>
    <x v="0"/>
    <x v="3"/>
    <x v="1"/>
    <n v="2001"/>
    <n v="1"/>
    <x v="1"/>
    <n v="1"/>
    <x v="2"/>
    <n v="0"/>
    <n v="0"/>
    <n v="0"/>
    <n v="0"/>
    <m/>
  </r>
  <r>
    <x v="0"/>
    <x v="3"/>
    <x v="1"/>
    <n v="1540"/>
    <n v="0"/>
    <x v="1"/>
    <n v="1"/>
    <x v="2"/>
    <n v="0"/>
    <n v="0"/>
    <n v="0"/>
    <n v="0"/>
    <m/>
  </r>
  <r>
    <x v="0"/>
    <x v="3"/>
    <x v="1"/>
    <n v="1699"/>
    <n v="1"/>
    <x v="0"/>
    <m/>
    <x v="0"/>
    <n v="2067"/>
    <n v="2067"/>
    <n v="0"/>
    <n v="0"/>
    <m/>
  </r>
  <r>
    <x v="0"/>
    <x v="3"/>
    <x v="1"/>
    <n v="1916"/>
    <n v="1"/>
    <x v="0"/>
    <m/>
    <x v="0"/>
    <n v="1159"/>
    <n v="1159"/>
    <n v="0"/>
    <n v="0"/>
    <m/>
  </r>
  <r>
    <x v="0"/>
    <x v="3"/>
    <x v="1"/>
    <n v="2501"/>
    <n v="0"/>
    <x v="0"/>
    <m/>
    <x v="0"/>
    <n v="2067"/>
    <n v="2067"/>
    <n v="0"/>
    <n v="0"/>
    <m/>
  </r>
  <r>
    <x v="0"/>
    <x v="3"/>
    <x v="1"/>
    <n v="1812"/>
    <n v="1"/>
    <x v="2"/>
    <n v="3"/>
    <x v="2"/>
    <n v="0"/>
    <n v="0"/>
    <n v="0"/>
    <n v="2400"/>
    <m/>
  </r>
  <r>
    <x v="0"/>
    <x v="3"/>
    <x v="1"/>
    <n v="1215"/>
    <n v="0"/>
    <x v="0"/>
    <m/>
    <x v="0"/>
    <n v="1159"/>
    <n v="1159"/>
    <n v="0"/>
    <n v="0"/>
    <m/>
  </r>
  <r>
    <x v="0"/>
    <x v="3"/>
    <x v="1"/>
    <n v="422"/>
    <n v="1"/>
    <x v="0"/>
    <m/>
    <x v="0"/>
    <n v="2756"/>
    <n v="2756"/>
    <n v="0"/>
    <n v="0"/>
    <m/>
  </r>
  <r>
    <x v="0"/>
    <x v="3"/>
    <x v="1"/>
    <n v="1105"/>
    <n v="0"/>
    <x v="1"/>
    <n v="1"/>
    <x v="1"/>
    <n v="0"/>
    <n v="0"/>
    <n v="11500"/>
    <n v="0"/>
    <m/>
  </r>
  <r>
    <x v="0"/>
    <x v="3"/>
    <x v="1"/>
    <n v="821"/>
    <n v="1"/>
    <x v="0"/>
    <m/>
    <x v="0"/>
    <n v="1159"/>
    <n v="1159"/>
    <n v="0"/>
    <n v="0"/>
    <m/>
  </r>
  <r>
    <x v="0"/>
    <x v="3"/>
    <x v="1"/>
    <n v="1748"/>
    <n v="1"/>
    <x v="9"/>
    <m/>
    <x v="0"/>
    <n v="0"/>
    <n v="0"/>
    <n v="0"/>
    <n v="0"/>
    <m/>
  </r>
  <r>
    <x v="0"/>
    <x v="3"/>
    <x v="1"/>
    <n v="1840"/>
    <n v="0"/>
    <x v="9"/>
    <m/>
    <x v="0"/>
    <n v="0"/>
    <n v="0"/>
    <n v="0"/>
    <n v="0"/>
    <m/>
  </r>
  <r>
    <x v="0"/>
    <x v="3"/>
    <x v="1"/>
    <n v="1395"/>
    <n v="2"/>
    <x v="0"/>
    <m/>
    <x v="0"/>
    <n v="1159"/>
    <n v="1159"/>
    <n v="0"/>
    <n v="0"/>
    <m/>
  </r>
  <r>
    <x v="0"/>
    <x v="3"/>
    <x v="1"/>
    <n v="1292"/>
    <n v="2"/>
    <x v="0"/>
    <m/>
    <x v="0"/>
    <n v="1159"/>
    <n v="1159"/>
    <n v="0"/>
    <n v="0"/>
    <m/>
  </r>
  <r>
    <x v="0"/>
    <x v="3"/>
    <x v="1"/>
    <n v="1574"/>
    <n v="0"/>
    <x v="0"/>
    <m/>
    <x v="0"/>
    <n v="1159"/>
    <n v="1159"/>
    <n v="0"/>
    <n v="0"/>
    <m/>
  </r>
  <r>
    <x v="0"/>
    <x v="3"/>
    <x v="1"/>
    <n v="1388"/>
    <n v="0"/>
    <x v="0"/>
    <m/>
    <x v="0"/>
    <n v="1159"/>
    <n v="1159"/>
    <n v="0"/>
    <n v="0"/>
    <m/>
  </r>
  <r>
    <x v="0"/>
    <x v="3"/>
    <x v="1"/>
    <n v="3326"/>
    <n v="0"/>
    <x v="2"/>
    <n v="3"/>
    <x v="2"/>
    <n v="0"/>
    <n v="0"/>
    <n v="0"/>
    <n v="2400"/>
    <m/>
  </r>
  <r>
    <x v="0"/>
    <x v="3"/>
    <x v="1"/>
    <n v="999"/>
    <n v="1"/>
    <x v="9"/>
    <m/>
    <x v="0"/>
    <n v="0"/>
    <n v="0"/>
    <n v="0"/>
    <n v="0"/>
    <m/>
  </r>
  <r>
    <x v="0"/>
    <x v="3"/>
    <x v="1"/>
    <n v="1225"/>
    <n v="0"/>
    <x v="0"/>
    <m/>
    <x v="0"/>
    <n v="2411"/>
    <n v="2411"/>
    <n v="0"/>
    <n v="0"/>
    <m/>
  </r>
  <r>
    <x v="0"/>
    <x v="3"/>
    <x v="1"/>
    <n v="1362"/>
    <n v="2"/>
    <x v="1"/>
    <n v="1"/>
    <x v="2"/>
    <m/>
    <n v="0"/>
    <n v="0"/>
    <n v="0"/>
    <m/>
  </r>
  <r>
    <x v="0"/>
    <x v="3"/>
    <x v="1"/>
    <n v="1149"/>
    <n v="2"/>
    <x v="0"/>
    <m/>
    <x v="0"/>
    <n v="1159"/>
    <n v="1159"/>
    <n v="0"/>
    <n v="0"/>
    <m/>
  </r>
  <r>
    <x v="0"/>
    <x v="3"/>
    <x v="1"/>
    <n v="1186"/>
    <n v="1"/>
    <x v="0"/>
    <m/>
    <x v="0"/>
    <n v="2067"/>
    <n v="2067"/>
    <n v="0"/>
    <n v="0"/>
    <m/>
  </r>
  <r>
    <x v="0"/>
    <x v="3"/>
    <x v="1"/>
    <n v="1366"/>
    <n v="1"/>
    <x v="0"/>
    <m/>
    <x v="0"/>
    <n v="2411"/>
    <n v="2411"/>
    <n v="0"/>
    <n v="0"/>
    <m/>
  </r>
  <r>
    <x v="0"/>
    <x v="3"/>
    <x v="1"/>
    <n v="2407"/>
    <n v="4"/>
    <x v="1"/>
    <n v="1"/>
    <x v="1"/>
    <n v="0"/>
    <n v="0"/>
    <n v="11500"/>
    <n v="0"/>
    <m/>
  </r>
  <r>
    <x v="0"/>
    <x v="3"/>
    <x v="1"/>
    <n v="2050"/>
    <n v="1"/>
    <x v="0"/>
    <m/>
    <x v="0"/>
    <n v="2067"/>
    <n v="2067"/>
    <n v="0"/>
    <n v="0"/>
    <m/>
  </r>
  <r>
    <x v="0"/>
    <x v="3"/>
    <x v="1"/>
    <n v="2063"/>
    <n v="1"/>
    <x v="1"/>
    <n v="1"/>
    <x v="2"/>
    <m/>
    <n v="0"/>
    <n v="0"/>
    <n v="0"/>
    <m/>
  </r>
  <r>
    <x v="0"/>
    <x v="3"/>
    <x v="1"/>
    <n v="1086"/>
    <n v="0"/>
    <x v="0"/>
    <m/>
    <x v="0"/>
    <n v="1546"/>
    <n v="1546"/>
    <n v="0"/>
    <n v="0"/>
    <m/>
  </r>
  <r>
    <x v="0"/>
    <x v="3"/>
    <x v="1"/>
    <n v="1248"/>
    <n v="2"/>
    <x v="2"/>
    <n v="3"/>
    <x v="2"/>
    <n v="0"/>
    <n v="0"/>
    <n v="0"/>
    <n v="2400"/>
    <m/>
  </r>
  <r>
    <x v="0"/>
    <x v="3"/>
    <x v="1"/>
    <n v="1342"/>
    <n v="1"/>
    <x v="9"/>
    <m/>
    <x v="0"/>
    <n v="0"/>
    <n v="0"/>
    <n v="0"/>
    <n v="0"/>
    <m/>
  </r>
  <r>
    <x v="0"/>
    <x v="3"/>
    <x v="1"/>
    <n v="2048"/>
    <n v="0"/>
    <x v="0"/>
    <m/>
    <x v="0"/>
    <n v="1159"/>
    <n v="1159"/>
    <n v="0"/>
    <n v="0"/>
    <m/>
  </r>
  <r>
    <x v="0"/>
    <x v="3"/>
    <x v="1"/>
    <n v="2152"/>
    <n v="2"/>
    <x v="1"/>
    <n v="1"/>
    <x v="2"/>
    <n v="0"/>
    <n v="0"/>
    <n v="0"/>
    <n v="0"/>
    <m/>
  </r>
  <r>
    <x v="0"/>
    <x v="3"/>
    <x v="1"/>
    <n v="1171"/>
    <n v="1"/>
    <x v="0"/>
    <m/>
    <x v="0"/>
    <n v="2067"/>
    <n v="2067"/>
    <n v="0"/>
    <n v="0"/>
    <m/>
  </r>
  <r>
    <x v="0"/>
    <x v="3"/>
    <x v="1"/>
    <n v="2951"/>
    <n v="2"/>
    <x v="0"/>
    <m/>
    <x v="0"/>
    <n v="2411"/>
    <n v="2411"/>
    <n v="0"/>
    <n v="0"/>
    <m/>
  </r>
  <r>
    <x v="0"/>
    <x v="3"/>
    <x v="1"/>
    <n v="1340"/>
    <n v="0"/>
    <x v="0"/>
    <m/>
    <x v="0"/>
    <n v="1159"/>
    <n v="1159"/>
    <n v="0"/>
    <n v="0"/>
    <m/>
  </r>
  <r>
    <x v="0"/>
    <x v="3"/>
    <x v="1"/>
    <n v="1120"/>
    <n v="1"/>
    <x v="0"/>
    <m/>
    <x v="0"/>
    <n v="1546"/>
    <n v="1546"/>
    <n v="0"/>
    <n v="0"/>
    <m/>
  </r>
  <r>
    <x v="0"/>
    <x v="3"/>
    <x v="1"/>
    <n v="805"/>
    <n v="1"/>
    <x v="0"/>
    <m/>
    <x v="0"/>
    <n v="2067"/>
    <n v="2067"/>
    <n v="0"/>
    <n v="0"/>
    <m/>
  </r>
  <r>
    <x v="0"/>
    <x v="3"/>
    <x v="1"/>
    <n v="1611"/>
    <n v="3"/>
    <x v="0"/>
    <m/>
    <x v="0"/>
    <n v="1159"/>
    <n v="1159"/>
    <n v="0"/>
    <n v="0"/>
    <m/>
  </r>
  <r>
    <x v="0"/>
    <x v="3"/>
    <x v="1"/>
    <n v="1332"/>
    <n v="0"/>
    <x v="0"/>
    <m/>
    <x v="0"/>
    <n v="1159"/>
    <n v="1159"/>
    <n v="0"/>
    <n v="0"/>
    <m/>
  </r>
  <r>
    <x v="0"/>
    <x v="3"/>
    <x v="1"/>
    <n v="1613"/>
    <n v="1"/>
    <x v="0"/>
    <m/>
    <x v="0"/>
    <n v="2411"/>
    <n v="2411"/>
    <n v="0"/>
    <n v="0"/>
    <m/>
  </r>
  <r>
    <x v="0"/>
    <x v="3"/>
    <x v="1"/>
    <n v="1375"/>
    <n v="1"/>
    <x v="0"/>
    <m/>
    <x v="0"/>
    <n v="1159"/>
    <n v="1159"/>
    <n v="0"/>
    <n v="0"/>
    <m/>
  </r>
  <r>
    <x v="0"/>
    <x v="3"/>
    <x v="1"/>
    <n v="1277"/>
    <n v="1"/>
    <x v="0"/>
    <m/>
    <x v="0"/>
    <n v="1159"/>
    <n v="1159"/>
    <n v="0"/>
    <n v="0"/>
    <m/>
  </r>
  <r>
    <x v="0"/>
    <x v="3"/>
    <x v="1"/>
    <n v="1167"/>
    <n v="0"/>
    <x v="0"/>
    <m/>
    <x v="0"/>
    <n v="2067"/>
    <n v="2067"/>
    <n v="0"/>
    <n v="0"/>
    <m/>
  </r>
  <r>
    <x v="0"/>
    <x v="3"/>
    <x v="1"/>
    <n v="1156"/>
    <n v="2"/>
    <x v="0"/>
    <m/>
    <x v="0"/>
    <n v="1352"/>
    <n v="1352"/>
    <n v="0"/>
    <n v="0"/>
    <m/>
  </r>
  <r>
    <x v="0"/>
    <x v="3"/>
    <x v="1"/>
    <n v="1404"/>
    <n v="0"/>
    <x v="1"/>
    <n v="1"/>
    <x v="5"/>
    <n v="0"/>
    <n v="0"/>
    <n v="34500"/>
    <n v="35822"/>
    <m/>
  </r>
  <r>
    <x v="0"/>
    <x v="3"/>
    <x v="1"/>
    <n v="1462"/>
    <n v="0"/>
    <x v="0"/>
    <m/>
    <x v="0"/>
    <n v="1159"/>
    <n v="1159"/>
    <n v="0"/>
    <n v="0"/>
    <m/>
  </r>
  <r>
    <x v="0"/>
    <x v="3"/>
    <x v="1"/>
    <n v="1957"/>
    <n v="2"/>
    <x v="9"/>
    <m/>
    <x v="0"/>
    <n v="0"/>
    <n v="0"/>
    <n v="0"/>
    <n v="0"/>
    <m/>
  </r>
  <r>
    <x v="0"/>
    <x v="3"/>
    <x v="1"/>
    <n v="1051"/>
    <n v="0"/>
    <x v="0"/>
    <m/>
    <x v="0"/>
    <n v="2411"/>
    <n v="2411"/>
    <n v="0"/>
    <n v="0"/>
    <m/>
  </r>
  <r>
    <x v="0"/>
    <x v="3"/>
    <x v="1"/>
    <n v="1187"/>
    <n v="2"/>
    <x v="0"/>
    <m/>
    <x v="0"/>
    <n v="1159"/>
    <n v="1159"/>
    <n v="0"/>
    <n v="0"/>
    <m/>
  </r>
  <r>
    <x v="0"/>
    <x v="3"/>
    <x v="1"/>
    <n v="1798"/>
    <n v="2"/>
    <x v="2"/>
    <n v="3"/>
    <x v="2"/>
    <n v="0"/>
    <n v="0"/>
    <n v="0"/>
    <n v="2400"/>
    <m/>
  </r>
  <r>
    <x v="0"/>
    <x v="3"/>
    <x v="1"/>
    <n v="1909"/>
    <n v="3"/>
    <x v="0"/>
    <m/>
    <x v="0"/>
    <n v="1159"/>
    <n v="1159"/>
    <n v="0"/>
    <n v="0"/>
    <m/>
  </r>
  <r>
    <x v="0"/>
    <x v="3"/>
    <x v="1"/>
    <n v="829"/>
    <n v="2"/>
    <x v="0"/>
    <m/>
    <x v="0"/>
    <n v="1159"/>
    <n v="1159"/>
    <n v="0"/>
    <n v="0"/>
    <m/>
  </r>
  <r>
    <x v="0"/>
    <x v="3"/>
    <x v="1"/>
    <n v="1201"/>
    <n v="2"/>
    <x v="2"/>
    <n v="3"/>
    <x v="2"/>
    <n v="0"/>
    <n v="0"/>
    <n v="0"/>
    <n v="2400"/>
    <m/>
  </r>
  <r>
    <x v="0"/>
    <x v="3"/>
    <x v="1"/>
    <n v="1770"/>
    <n v="0"/>
    <x v="0"/>
    <m/>
    <x v="0"/>
    <n v="1159"/>
    <n v="1159"/>
    <n v="0"/>
    <n v="0"/>
    <m/>
  </r>
  <r>
    <x v="0"/>
    <x v="3"/>
    <x v="1"/>
    <n v="1190"/>
    <n v="0"/>
    <x v="0"/>
    <m/>
    <x v="0"/>
    <n v="1739"/>
    <n v="1739"/>
    <n v="0"/>
    <n v="0"/>
    <m/>
  </r>
  <r>
    <x v="5"/>
    <x v="0"/>
    <x v="0"/>
    <n v="849"/>
    <n v="2"/>
    <x v="0"/>
    <m/>
    <x v="0"/>
    <n v="823"/>
    <n v="823"/>
    <n v="0"/>
    <n v="0"/>
    <m/>
  </r>
  <r>
    <x v="5"/>
    <x v="0"/>
    <x v="0"/>
    <n v="1244"/>
    <n v="2"/>
    <x v="0"/>
    <m/>
    <x v="0"/>
    <n v="1976"/>
    <n v="1976"/>
    <n v="0"/>
    <n v="0"/>
    <m/>
  </r>
  <r>
    <x v="5"/>
    <x v="0"/>
    <x v="0"/>
    <n v="1902"/>
    <n v="2"/>
    <x v="2"/>
    <n v="1"/>
    <x v="2"/>
    <n v="0"/>
    <n v="0"/>
    <n v="0"/>
    <n v="800"/>
    <m/>
  </r>
  <r>
    <x v="5"/>
    <x v="0"/>
    <x v="0"/>
    <n v="1295"/>
    <n v="0"/>
    <x v="0"/>
    <m/>
    <x v="0"/>
    <n v="1976"/>
    <n v="1976"/>
    <n v="0"/>
    <n v="0"/>
    <m/>
  </r>
  <r>
    <x v="5"/>
    <x v="0"/>
    <x v="0"/>
    <n v="993"/>
    <n v="0"/>
    <x v="2"/>
    <n v="1"/>
    <x v="2"/>
    <n v="0"/>
    <n v="0"/>
    <n v="0"/>
    <n v="800"/>
    <m/>
  </r>
  <r>
    <x v="5"/>
    <x v="0"/>
    <x v="0"/>
    <n v="1238"/>
    <n v="0"/>
    <x v="0"/>
    <m/>
    <x v="0"/>
    <n v="892"/>
    <n v="892"/>
    <n v="0"/>
    <n v="0"/>
    <m/>
  </r>
  <r>
    <x v="5"/>
    <x v="0"/>
    <x v="0"/>
    <n v="1277"/>
    <n v="0"/>
    <x v="2"/>
    <n v="1"/>
    <x v="2"/>
    <n v="0"/>
    <n v="0"/>
    <n v="0"/>
    <n v="800"/>
    <m/>
  </r>
  <r>
    <x v="0"/>
    <x v="1"/>
    <x v="1"/>
    <n v="2474"/>
    <n v="3"/>
    <x v="2"/>
    <n v="2"/>
    <x v="2"/>
    <n v="0"/>
    <n v="0"/>
    <n v="0"/>
    <n v="1600"/>
    <m/>
  </r>
  <r>
    <x v="0"/>
    <x v="3"/>
    <x v="1"/>
    <n v="920"/>
    <n v="2"/>
    <x v="2"/>
    <n v="3"/>
    <x v="2"/>
    <n v="0"/>
    <n v="0"/>
    <n v="0"/>
    <n v="2400"/>
    <m/>
  </r>
  <r>
    <x v="0"/>
    <x v="3"/>
    <x v="1"/>
    <n v="1475"/>
    <n v="3"/>
    <x v="0"/>
    <m/>
    <x v="0"/>
    <n v="2756"/>
    <n v="2756"/>
    <n v="0"/>
    <n v="0"/>
    <m/>
  </r>
  <r>
    <x v="0"/>
    <x v="3"/>
    <x v="1"/>
    <n v="1500"/>
    <n v="3"/>
    <x v="1"/>
    <n v="1"/>
    <x v="5"/>
    <n v="0"/>
    <n v="0"/>
    <n v="34500"/>
    <n v="35822"/>
    <m/>
  </r>
  <r>
    <x v="0"/>
    <x v="3"/>
    <x v="1"/>
    <n v="2329"/>
    <n v="2"/>
    <x v="0"/>
    <m/>
    <x v="0"/>
    <n v="2067"/>
    <n v="2067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340"/>
    <n v="0"/>
    <x v="3"/>
    <n v="1"/>
    <x v="4"/>
    <n v="0"/>
    <n v="0"/>
    <n v="0"/>
    <n v="0"/>
    <m/>
  </r>
  <r>
    <x v="3"/>
    <x v="0"/>
    <x v="6"/>
    <n v="2182"/>
    <n v="0"/>
    <x v="3"/>
    <n v="4"/>
    <x v="3"/>
    <n v="0"/>
    <n v="0"/>
    <n v="0"/>
    <n v="0"/>
    <m/>
  </r>
  <r>
    <x v="7"/>
    <x v="0"/>
    <x v="2"/>
    <n v="2090"/>
    <n v="2"/>
    <x v="0"/>
    <m/>
    <x v="0"/>
    <n v="1971"/>
    <n v="1971"/>
    <n v="0"/>
    <n v="0"/>
    <m/>
  </r>
  <r>
    <x v="7"/>
    <x v="0"/>
    <x v="2"/>
    <n v="2783"/>
    <n v="2"/>
    <x v="2"/>
    <n v="3"/>
    <x v="2"/>
    <n v="0"/>
    <n v="0"/>
    <n v="0"/>
    <n v="2400"/>
    <m/>
  </r>
  <r>
    <x v="7"/>
    <x v="0"/>
    <x v="2"/>
    <n v="2090"/>
    <n v="0"/>
    <x v="0"/>
    <m/>
    <x v="0"/>
    <n v="12000"/>
    <n v="12000"/>
    <n v="0"/>
    <n v="0"/>
    <m/>
  </r>
  <r>
    <x v="7"/>
    <x v="0"/>
    <x v="2"/>
    <n v="2367"/>
    <n v="0"/>
    <x v="4"/>
    <n v="1"/>
    <x v="1"/>
    <n v="0"/>
    <n v="0"/>
    <n v="11500"/>
    <n v="0"/>
    <m/>
  </r>
  <r>
    <x v="7"/>
    <x v="0"/>
    <x v="2"/>
    <n v="3236"/>
    <n v="1"/>
    <x v="0"/>
    <m/>
    <x v="0"/>
    <n v="1236"/>
    <n v="1236"/>
    <n v="0"/>
    <n v="0"/>
    <m/>
  </r>
  <r>
    <x v="7"/>
    <x v="0"/>
    <x v="2"/>
    <n v="2638"/>
    <n v="0"/>
    <x v="9"/>
    <m/>
    <x v="0"/>
    <n v="0"/>
    <n v="0"/>
    <n v="0"/>
    <n v="0"/>
    <m/>
  </r>
  <r>
    <x v="7"/>
    <x v="0"/>
    <x v="2"/>
    <n v="2603"/>
    <n v="0"/>
    <x v="2"/>
    <n v="4"/>
    <x v="2"/>
    <n v="0"/>
    <n v="0"/>
    <n v="0"/>
    <n v="3200"/>
    <m/>
  </r>
  <r>
    <x v="7"/>
    <x v="0"/>
    <x v="2"/>
    <n v="2600"/>
    <n v="2"/>
    <x v="0"/>
    <m/>
    <x v="0"/>
    <n v="3916"/>
    <n v="3916"/>
    <n v="0"/>
    <n v="0"/>
    <m/>
  </r>
  <r>
    <x v="7"/>
    <x v="0"/>
    <x v="2"/>
    <n v="2913"/>
    <n v="0"/>
    <x v="0"/>
    <m/>
    <x v="0"/>
    <n v="3789"/>
    <n v="3789"/>
    <n v="0"/>
    <n v="0"/>
    <m/>
  </r>
  <r>
    <x v="7"/>
    <x v="0"/>
    <x v="2"/>
    <n v="2460"/>
    <n v="1"/>
    <x v="2"/>
    <n v="4"/>
    <x v="2"/>
    <n v="0"/>
    <n v="0"/>
    <n v="0"/>
    <n v="3200"/>
    <m/>
  </r>
  <r>
    <x v="10"/>
    <x v="0"/>
    <x v="7"/>
    <n v="2498"/>
    <n v="2"/>
    <x v="5"/>
    <n v="3"/>
    <x v="3"/>
    <n v="0"/>
    <n v="0"/>
    <n v="0"/>
    <n v="0"/>
    <m/>
  </r>
  <r>
    <x v="10"/>
    <x v="0"/>
    <x v="6"/>
    <n v="2073"/>
    <n v="0"/>
    <x v="5"/>
    <n v="1"/>
    <x v="4"/>
    <n v="0"/>
    <n v="0"/>
    <n v="0"/>
    <n v="0"/>
    <m/>
  </r>
  <r>
    <x v="10"/>
    <x v="0"/>
    <x v="6"/>
    <n v="2143"/>
    <n v="0"/>
    <x v="5"/>
    <n v="3"/>
    <x v="3"/>
    <n v="0"/>
    <n v="0"/>
    <n v="0"/>
    <n v="0"/>
    <m/>
  </r>
  <r>
    <x v="10"/>
    <x v="0"/>
    <x v="6"/>
    <n v="1852"/>
    <n v="1"/>
    <x v="5"/>
    <n v="1"/>
    <x v="4"/>
    <n v="0"/>
    <n v="0"/>
    <n v="0"/>
    <n v="0"/>
    <m/>
  </r>
  <r>
    <x v="10"/>
    <x v="0"/>
    <x v="6"/>
    <n v="2417"/>
    <n v="0"/>
    <x v="8"/>
    <n v="1"/>
    <x v="5"/>
    <n v="0"/>
    <n v="0"/>
    <n v="862.5"/>
    <n v="895.55"/>
    <m/>
  </r>
  <r>
    <x v="10"/>
    <x v="0"/>
    <x v="7"/>
    <n v="2146"/>
    <n v="0"/>
    <x v="5"/>
    <n v="2"/>
    <x v="4"/>
    <n v="0"/>
    <n v="0"/>
    <n v="0"/>
    <n v="0"/>
    <m/>
  </r>
  <r>
    <x v="10"/>
    <x v="0"/>
    <x v="7"/>
    <n v="2968"/>
    <n v="0"/>
    <x v="2"/>
    <n v="4"/>
    <x v="2"/>
    <n v="0"/>
    <n v="0"/>
    <n v="0"/>
    <n v="3200"/>
    <m/>
  </r>
  <r>
    <x v="10"/>
    <x v="0"/>
    <x v="7"/>
    <n v="2237"/>
    <n v="0"/>
    <x v="2"/>
    <n v="4"/>
    <x v="2"/>
    <n v="0"/>
    <n v="0"/>
    <n v="0"/>
    <n v="3200"/>
    <m/>
  </r>
  <r>
    <x v="10"/>
    <x v="0"/>
    <x v="7"/>
    <n v="2223"/>
    <n v="1"/>
    <x v="5"/>
    <n v="5"/>
    <x v="3"/>
    <n v="0"/>
    <n v="0"/>
    <n v="0"/>
    <n v="0"/>
    <m/>
  </r>
  <r>
    <x v="10"/>
    <x v="0"/>
    <x v="7"/>
    <n v="2246"/>
    <n v="2"/>
    <x v="2"/>
    <n v="4"/>
    <x v="2"/>
    <n v="0"/>
    <n v="0"/>
    <n v="0"/>
    <n v="3200"/>
    <m/>
  </r>
  <r>
    <x v="10"/>
    <x v="0"/>
    <x v="7"/>
    <n v="1945"/>
    <n v="0"/>
    <x v="2"/>
    <n v="4"/>
    <x v="2"/>
    <n v="0"/>
    <n v="0"/>
    <n v="0"/>
    <n v="3200"/>
    <m/>
  </r>
  <r>
    <x v="10"/>
    <x v="0"/>
    <x v="7"/>
    <n v="2404"/>
    <n v="1"/>
    <x v="5"/>
    <n v="4"/>
    <x v="3"/>
    <n v="0"/>
    <n v="0"/>
    <n v="0"/>
    <n v="0"/>
    <m/>
  </r>
  <r>
    <x v="10"/>
    <x v="0"/>
    <x v="7"/>
    <n v="3017"/>
    <n v="1"/>
    <x v="5"/>
    <n v="4"/>
    <x v="3"/>
    <n v="0"/>
    <n v="0"/>
    <n v="0"/>
    <n v="0"/>
    <m/>
  </r>
  <r>
    <x v="10"/>
    <x v="0"/>
    <x v="7"/>
    <n v="2175"/>
    <n v="0"/>
    <x v="9"/>
    <n v="1"/>
    <x v="0"/>
    <n v="0"/>
    <n v="0"/>
    <n v="0"/>
    <n v="0"/>
    <m/>
  </r>
  <r>
    <x v="10"/>
    <x v="0"/>
    <x v="7"/>
    <n v="2276"/>
    <n v="0"/>
    <x v="5"/>
    <n v="4"/>
    <x v="3"/>
    <n v="0"/>
    <n v="0"/>
    <n v="0"/>
    <n v="0"/>
    <m/>
  </r>
  <r>
    <x v="10"/>
    <x v="0"/>
    <x v="7"/>
    <n v="2576"/>
    <n v="3"/>
    <x v="5"/>
    <n v="4"/>
    <x v="3"/>
    <n v="0"/>
    <n v="0"/>
    <n v="0"/>
    <n v="0"/>
    <m/>
  </r>
  <r>
    <x v="10"/>
    <x v="0"/>
    <x v="7"/>
    <n v="2058"/>
    <n v="1"/>
    <x v="5"/>
    <n v="5"/>
    <x v="3"/>
    <n v="0"/>
    <n v="0"/>
    <n v="0"/>
    <n v="0"/>
    <m/>
  </r>
  <r>
    <x v="10"/>
    <x v="0"/>
    <x v="7"/>
    <n v="2086"/>
    <n v="1"/>
    <x v="2"/>
    <n v="4"/>
    <x v="2"/>
    <n v="0"/>
    <n v="0"/>
    <n v="0"/>
    <n v="3200"/>
    <m/>
  </r>
  <r>
    <x v="10"/>
    <x v="0"/>
    <x v="7"/>
    <n v="2586"/>
    <n v="3"/>
    <x v="2"/>
    <n v="4"/>
    <x v="2"/>
    <n v="0"/>
    <n v="0"/>
    <n v="0"/>
    <n v="3200"/>
    <m/>
  </r>
  <r>
    <x v="10"/>
    <x v="0"/>
    <x v="7"/>
    <n v="2500"/>
    <n v="1"/>
    <x v="2"/>
    <n v="5"/>
    <x v="2"/>
    <n v="0"/>
    <n v="0"/>
    <n v="0"/>
    <n v="4000"/>
    <m/>
  </r>
  <r>
    <x v="10"/>
    <x v="0"/>
    <x v="7"/>
    <n v="2526"/>
    <n v="0"/>
    <x v="5"/>
    <n v="1"/>
    <x v="6"/>
    <n v="0"/>
    <n v="0"/>
    <n v="0"/>
    <n v="0"/>
    <m/>
  </r>
  <r>
    <x v="10"/>
    <x v="0"/>
    <x v="7"/>
    <n v="2483"/>
    <n v="3"/>
    <x v="5"/>
    <n v="1"/>
    <x v="6"/>
    <n v="0"/>
    <n v="0"/>
    <n v="0"/>
    <n v="0"/>
    <m/>
  </r>
  <r>
    <x v="10"/>
    <x v="0"/>
    <x v="7"/>
    <n v="2491"/>
    <n v="0"/>
    <x v="11"/>
    <s v="Bearman"/>
    <x v="5"/>
    <n v="0"/>
    <n v="0"/>
    <n v="0"/>
    <n v="0"/>
    <m/>
  </r>
  <r>
    <x v="10"/>
    <x v="0"/>
    <x v="7"/>
    <n v="2730"/>
    <n v="0"/>
    <x v="2"/>
    <n v="4"/>
    <x v="2"/>
    <n v="0"/>
    <n v="0"/>
    <n v="0"/>
    <n v="3200"/>
    <m/>
  </r>
  <r>
    <x v="10"/>
    <x v="0"/>
    <x v="7"/>
    <n v="2671"/>
    <n v="2"/>
    <x v="5"/>
    <n v="4"/>
    <x v="3"/>
    <n v="0"/>
    <n v="0"/>
    <n v="0"/>
    <n v="0"/>
    <m/>
  </r>
  <r>
    <x v="10"/>
    <x v="0"/>
    <x v="7"/>
    <n v="2186"/>
    <n v="1"/>
    <x v="12"/>
    <n v="1"/>
    <x v="2"/>
    <n v="0"/>
    <n v="0"/>
    <n v="0"/>
    <n v="0"/>
    <m/>
  </r>
  <r>
    <x v="10"/>
    <x v="0"/>
    <x v="7"/>
    <n v="2316"/>
    <n v="0"/>
    <x v="5"/>
    <n v="3"/>
    <x v="3"/>
    <n v="0"/>
    <n v="0"/>
    <n v="0"/>
    <n v="0"/>
    <m/>
  </r>
  <r>
    <x v="10"/>
    <x v="0"/>
    <x v="7"/>
    <n v="2046"/>
    <n v="1"/>
    <x v="5"/>
    <n v="4"/>
    <x v="3"/>
    <n v="0"/>
    <n v="0"/>
    <n v="0"/>
    <n v="0"/>
    <m/>
  </r>
  <r>
    <x v="10"/>
    <x v="0"/>
    <x v="7"/>
    <n v="2303"/>
    <n v="3"/>
    <x v="5"/>
    <n v="1"/>
    <x v="4"/>
    <n v="0"/>
    <n v="0"/>
    <n v="0"/>
    <n v="0"/>
    <m/>
  </r>
  <r>
    <x v="10"/>
    <x v="0"/>
    <x v="7"/>
    <n v="2396"/>
    <n v="1"/>
    <x v="5"/>
    <n v="1"/>
    <x v="4"/>
    <n v="0"/>
    <n v="0"/>
    <n v="0"/>
    <n v="0"/>
    <m/>
  </r>
  <r>
    <x v="10"/>
    <x v="0"/>
    <x v="7"/>
    <n v="2325"/>
    <n v="1"/>
    <x v="5"/>
    <n v="2"/>
    <x v="6"/>
    <n v="0"/>
    <n v="0"/>
    <n v="0"/>
    <n v="0"/>
    <m/>
  </r>
  <r>
    <x v="10"/>
    <x v="0"/>
    <x v="7"/>
    <n v="2398"/>
    <n v="1"/>
    <x v="5"/>
    <n v="3"/>
    <x v="3"/>
    <n v="0"/>
    <n v="0"/>
    <n v="0"/>
    <n v="0"/>
    <m/>
  </r>
  <r>
    <x v="10"/>
    <x v="0"/>
    <x v="7"/>
    <n v="2668"/>
    <n v="0"/>
    <x v="5"/>
    <n v="3"/>
    <x v="6"/>
    <n v="0"/>
    <n v="0"/>
    <n v="0"/>
    <n v="0"/>
    <m/>
  </r>
  <r>
    <x v="3"/>
    <x v="0"/>
    <x v="6"/>
    <n v="3002"/>
    <n v="2"/>
    <x v="3"/>
    <n v="2"/>
    <x v="4"/>
    <n v="0"/>
    <n v="0"/>
    <n v="0"/>
    <n v="0"/>
    <m/>
  </r>
  <r>
    <x v="3"/>
    <x v="0"/>
    <x v="6"/>
    <n v="2021"/>
    <n v="1"/>
    <x v="3"/>
    <n v="1"/>
    <x v="4"/>
    <n v="0"/>
    <n v="0"/>
    <n v="0"/>
    <n v="0"/>
    <m/>
  </r>
  <r>
    <x v="3"/>
    <x v="0"/>
    <x v="6"/>
    <n v="2168"/>
    <n v="0"/>
    <x v="3"/>
    <n v="4"/>
    <x v="3"/>
    <n v="0"/>
    <n v="0"/>
    <n v="0"/>
    <n v="0"/>
    <m/>
  </r>
  <r>
    <x v="3"/>
    <x v="0"/>
    <x v="6"/>
    <n v="2540"/>
    <n v="3"/>
    <x v="3"/>
    <n v="1"/>
    <x v="4"/>
    <n v="0"/>
    <n v="0"/>
    <n v="0"/>
    <n v="0"/>
    <m/>
  </r>
  <r>
    <x v="3"/>
    <x v="0"/>
    <x v="6"/>
    <n v="2251"/>
    <n v="1"/>
    <x v="3"/>
    <n v="1"/>
    <x v="4"/>
    <n v="0"/>
    <n v="0"/>
    <n v="0"/>
    <n v="0"/>
    <m/>
  </r>
  <r>
    <x v="3"/>
    <x v="0"/>
    <x v="6"/>
    <n v="2591"/>
    <n v="1"/>
    <x v="3"/>
    <n v="4"/>
    <x v="3"/>
    <n v="0"/>
    <n v="0"/>
    <n v="0"/>
    <n v="0"/>
    <m/>
  </r>
  <r>
    <x v="3"/>
    <x v="0"/>
    <x v="6"/>
    <n v="2238"/>
    <n v="1"/>
    <x v="3"/>
    <n v="3"/>
    <x v="4"/>
    <n v="0"/>
    <n v="0"/>
    <n v="0"/>
    <n v="0"/>
    <m/>
  </r>
  <r>
    <x v="3"/>
    <x v="0"/>
    <x v="6"/>
    <n v="2506"/>
    <n v="0"/>
    <x v="3"/>
    <n v="3"/>
    <x v="4"/>
    <n v="0"/>
    <n v="0"/>
    <n v="0"/>
    <n v="0"/>
    <m/>
  </r>
  <r>
    <x v="3"/>
    <x v="0"/>
    <x v="6"/>
    <n v="2339"/>
    <n v="0"/>
    <x v="3"/>
    <n v="4"/>
    <x v="3"/>
    <n v="0"/>
    <n v="0"/>
    <n v="0"/>
    <n v="0"/>
    <m/>
  </r>
  <r>
    <x v="3"/>
    <x v="0"/>
    <x v="6"/>
    <n v="2207"/>
    <n v="1"/>
    <x v="3"/>
    <n v="3"/>
    <x v="3"/>
    <n v="0"/>
    <n v="0"/>
    <n v="0"/>
    <n v="0"/>
    <m/>
  </r>
  <r>
    <x v="3"/>
    <x v="0"/>
    <x v="6"/>
    <n v="1988"/>
    <n v="0"/>
    <x v="5"/>
    <n v="3"/>
    <x v="3"/>
    <n v="0"/>
    <n v="0"/>
    <n v="0"/>
    <n v="0"/>
    <m/>
  </r>
  <r>
    <x v="3"/>
    <x v="0"/>
    <x v="6"/>
    <n v="2659"/>
    <n v="0"/>
    <x v="3"/>
    <n v="5"/>
    <x v="3"/>
    <n v="0"/>
    <n v="0"/>
    <n v="0"/>
    <n v="0"/>
    <m/>
  </r>
  <r>
    <x v="3"/>
    <x v="0"/>
    <x v="6"/>
    <n v="2237"/>
    <n v="0"/>
    <x v="2"/>
    <n v="4"/>
    <x v="2"/>
    <n v="0"/>
    <n v="0"/>
    <n v="0"/>
    <n v="3200"/>
    <m/>
  </r>
  <r>
    <x v="3"/>
    <x v="0"/>
    <x v="6"/>
    <n v="2137"/>
    <n v="1"/>
    <x v="9"/>
    <n v="1"/>
    <x v="0"/>
    <n v="0"/>
    <n v="0"/>
    <n v="0"/>
    <n v="0"/>
    <m/>
  </r>
  <r>
    <x v="3"/>
    <x v="0"/>
    <x v="6"/>
    <n v="2588"/>
    <n v="1"/>
    <x v="3"/>
    <n v="3"/>
    <x v="3"/>
    <n v="0"/>
    <n v="0"/>
    <n v="0"/>
    <n v="0"/>
    <m/>
  </r>
  <r>
    <x v="3"/>
    <x v="0"/>
    <x v="6"/>
    <n v="2248"/>
    <n v="1"/>
    <x v="3"/>
    <n v="2"/>
    <x v="6"/>
    <n v="0"/>
    <n v="0"/>
    <n v="0"/>
    <n v="0"/>
    <m/>
  </r>
  <r>
    <x v="7"/>
    <x v="0"/>
    <x v="2"/>
    <n v="2097"/>
    <n v="2"/>
    <x v="13"/>
    <n v="1"/>
    <x v="7"/>
    <n v="3307"/>
    <n v="3307"/>
    <n v="0"/>
    <n v="0"/>
    <m/>
  </r>
  <r>
    <x v="1"/>
    <x v="1"/>
    <x v="8"/>
    <n v="707"/>
    <n v="1"/>
    <x v="0"/>
    <m/>
    <x v="0"/>
    <n v="1824"/>
    <n v="1824"/>
    <n v="0"/>
    <n v="0"/>
    <m/>
  </r>
  <r>
    <x v="1"/>
    <x v="1"/>
    <x v="8"/>
    <n v="1504"/>
    <n v="1"/>
    <x v="1"/>
    <n v="1"/>
    <x v="1"/>
    <n v="0"/>
    <n v="0"/>
    <n v="11500"/>
    <n v="0"/>
    <m/>
  </r>
  <r>
    <x v="1"/>
    <x v="1"/>
    <x v="8"/>
    <n v="1442"/>
    <n v="1"/>
    <x v="1"/>
    <n v="1"/>
    <x v="1"/>
    <n v="0"/>
    <n v="0"/>
    <n v="11500"/>
    <n v="0"/>
    <m/>
  </r>
  <r>
    <x v="1"/>
    <x v="1"/>
    <x v="8"/>
    <n v="1510"/>
    <n v="0"/>
    <x v="0"/>
    <m/>
    <x v="0"/>
    <n v="1824"/>
    <n v="1824"/>
    <n v="0"/>
    <n v="0"/>
    <m/>
  </r>
  <r>
    <x v="1"/>
    <x v="1"/>
    <x v="8"/>
    <n v="1606"/>
    <n v="0"/>
    <x v="2"/>
    <n v="2"/>
    <x v="2"/>
    <n v="0"/>
    <n v="0"/>
    <n v="0"/>
    <n v="1600"/>
    <m/>
  </r>
  <r>
    <x v="1"/>
    <x v="1"/>
    <x v="8"/>
    <n v="1532"/>
    <n v="1"/>
    <x v="2"/>
    <n v="2"/>
    <x v="2"/>
    <n v="0"/>
    <n v="0"/>
    <n v="0"/>
    <n v="1600"/>
    <m/>
  </r>
  <r>
    <x v="1"/>
    <x v="1"/>
    <x v="8"/>
    <n v="1918"/>
    <n v="0"/>
    <x v="0"/>
    <m/>
    <x v="0"/>
    <n v="1824"/>
    <n v="1824"/>
    <n v="0"/>
    <n v="0"/>
    <m/>
  </r>
  <r>
    <x v="1"/>
    <x v="1"/>
    <x v="8"/>
    <n v="2175"/>
    <n v="2"/>
    <x v="2"/>
    <n v="2"/>
    <x v="2"/>
    <n v="0"/>
    <n v="0"/>
    <n v="0"/>
    <n v="1600"/>
    <m/>
  </r>
  <r>
    <x v="1"/>
    <x v="1"/>
    <x v="8"/>
    <n v="1952"/>
    <n v="2"/>
    <x v="0"/>
    <m/>
    <x v="0"/>
    <n v="3182"/>
    <n v="3182"/>
    <n v="0"/>
    <n v="0"/>
    <m/>
  </r>
  <r>
    <x v="1"/>
    <x v="1"/>
    <x v="8"/>
    <n v="2050"/>
    <n v="0"/>
    <x v="0"/>
    <m/>
    <x v="0"/>
    <n v="3427"/>
    <n v="3427"/>
    <n v="0"/>
    <n v="0"/>
    <m/>
  </r>
  <r>
    <x v="1"/>
    <x v="1"/>
    <x v="8"/>
    <n v="1235"/>
    <n v="0"/>
    <x v="0"/>
    <m/>
    <x v="0"/>
    <n v="1824"/>
    <n v="1824"/>
    <n v="0"/>
    <n v="0"/>
    <m/>
  </r>
  <r>
    <x v="1"/>
    <x v="1"/>
    <x v="8"/>
    <n v="1960"/>
    <n v="0"/>
    <x v="0"/>
    <m/>
    <x v="0"/>
    <n v="1824"/>
    <n v="1824"/>
    <n v="0"/>
    <n v="0"/>
    <m/>
  </r>
  <r>
    <x v="1"/>
    <x v="1"/>
    <x v="8"/>
    <n v="1632"/>
    <n v="0"/>
    <x v="0"/>
    <m/>
    <x v="0"/>
    <n v="1824"/>
    <n v="1824"/>
    <n v="0"/>
    <n v="0"/>
    <m/>
  </r>
  <r>
    <x v="1"/>
    <x v="1"/>
    <x v="8"/>
    <n v="1128"/>
    <n v="0"/>
    <x v="0"/>
    <m/>
    <x v="0"/>
    <n v="1824"/>
    <n v="1824"/>
    <n v="0"/>
    <n v="0"/>
    <m/>
  </r>
  <r>
    <x v="1"/>
    <x v="1"/>
    <x v="8"/>
    <n v="1864"/>
    <n v="1"/>
    <x v="2"/>
    <n v="2"/>
    <x v="2"/>
    <n v="0"/>
    <n v="0"/>
    <n v="0"/>
    <n v="1600"/>
    <m/>
  </r>
  <r>
    <x v="1"/>
    <x v="1"/>
    <x v="8"/>
    <n v="1372"/>
    <n v="0"/>
    <x v="0"/>
    <m/>
    <x v="0"/>
    <n v="2280"/>
    <n v="2280"/>
    <n v="0"/>
    <n v="0"/>
    <m/>
  </r>
  <r>
    <x v="1"/>
    <x v="1"/>
    <x v="8"/>
    <n v="1560"/>
    <n v="3"/>
    <x v="0"/>
    <m/>
    <x v="0"/>
    <n v="1824"/>
    <n v="1824"/>
    <n v="0"/>
    <n v="0"/>
    <m/>
  </r>
  <r>
    <x v="1"/>
    <x v="1"/>
    <x v="8"/>
    <n v="971"/>
    <n v="1"/>
    <x v="0"/>
    <m/>
    <x v="0"/>
    <n v="1824"/>
    <n v="1824"/>
    <n v="0"/>
    <n v="0"/>
    <m/>
  </r>
  <r>
    <x v="1"/>
    <x v="1"/>
    <x v="8"/>
    <n v="1750"/>
    <n v="2"/>
    <x v="0"/>
    <m/>
    <x v="0"/>
    <n v="2128"/>
    <n v="2128"/>
    <n v="0"/>
    <n v="0"/>
    <m/>
  </r>
  <r>
    <x v="1"/>
    <x v="1"/>
    <x v="8"/>
    <n v="586"/>
    <n v="1"/>
    <x v="1"/>
    <n v="1"/>
    <x v="1"/>
    <n v="0"/>
    <n v="0"/>
    <n v="11500"/>
    <n v="0"/>
    <m/>
  </r>
  <r>
    <x v="1"/>
    <x v="1"/>
    <x v="8"/>
    <n v="1287"/>
    <n v="4"/>
    <x v="2"/>
    <n v="2"/>
    <x v="2"/>
    <n v="0"/>
    <n v="0"/>
    <n v="0"/>
    <n v="1600"/>
    <m/>
  </r>
  <r>
    <x v="1"/>
    <x v="1"/>
    <x v="8"/>
    <n v="1485"/>
    <n v="1"/>
    <x v="2"/>
    <n v="2"/>
    <x v="2"/>
    <n v="0"/>
    <n v="0"/>
    <n v="0"/>
    <n v="1600"/>
    <m/>
  </r>
  <r>
    <x v="1"/>
    <x v="1"/>
    <x v="8"/>
    <n v="2328"/>
    <n v="2"/>
    <x v="0"/>
    <m/>
    <x v="0"/>
    <n v="1824"/>
    <n v="1824"/>
    <n v="0"/>
    <n v="0"/>
    <m/>
  </r>
  <r>
    <x v="1"/>
    <x v="1"/>
    <x v="8"/>
    <n v="1784"/>
    <n v="1"/>
    <x v="2"/>
    <n v="2"/>
    <x v="2"/>
    <n v="0"/>
    <n v="0"/>
    <n v="0"/>
    <n v="1600"/>
    <m/>
  </r>
  <r>
    <x v="1"/>
    <x v="1"/>
    <x v="8"/>
    <n v="2122"/>
    <n v="2"/>
    <x v="0"/>
    <m/>
    <x v="0"/>
    <n v="1976"/>
    <n v="1976"/>
    <n v="0"/>
    <n v="0"/>
    <m/>
  </r>
  <r>
    <x v="1"/>
    <x v="1"/>
    <x v="8"/>
    <n v="1311"/>
    <n v="0"/>
    <x v="0"/>
    <m/>
    <x v="0"/>
    <n v="1824"/>
    <n v="1824"/>
    <n v="0"/>
    <n v="0"/>
    <m/>
  </r>
  <r>
    <x v="1"/>
    <x v="1"/>
    <x v="8"/>
    <n v="1185"/>
    <n v="0"/>
    <x v="1"/>
    <n v="1"/>
    <x v="1"/>
    <n v="0"/>
    <n v="0"/>
    <n v="11500"/>
    <n v="0"/>
    <m/>
  </r>
  <r>
    <x v="1"/>
    <x v="1"/>
    <x v="8"/>
    <n v="1211"/>
    <n v="1"/>
    <x v="0"/>
    <m/>
    <x v="0"/>
    <n v="2937"/>
    <n v="2937"/>
    <n v="0"/>
    <n v="0"/>
    <m/>
  </r>
  <r>
    <x v="1"/>
    <x v="1"/>
    <x v="8"/>
    <n v="1078"/>
    <n v="1"/>
    <x v="0"/>
    <m/>
    <x v="0"/>
    <n v="1824"/>
    <n v="1824"/>
    <n v="0"/>
    <n v="0"/>
    <m/>
  </r>
  <r>
    <x v="1"/>
    <x v="1"/>
    <x v="8"/>
    <n v="1832"/>
    <n v="1"/>
    <x v="0"/>
    <m/>
    <x v="0"/>
    <n v="1824"/>
    <n v="1824"/>
    <n v="0"/>
    <n v="0"/>
    <m/>
  </r>
  <r>
    <x v="1"/>
    <x v="1"/>
    <x v="8"/>
    <n v="1974"/>
    <n v="1"/>
    <x v="0"/>
    <m/>
    <x v="0"/>
    <n v="3427"/>
    <n v="3427"/>
    <n v="0"/>
    <n v="0"/>
    <m/>
  </r>
  <r>
    <x v="0"/>
    <x v="3"/>
    <x v="1"/>
    <n v="1628"/>
    <n v="2"/>
    <x v="0"/>
    <m/>
    <x v="0"/>
    <n v="1159"/>
    <n v="1159"/>
    <n v="0"/>
    <n v="0"/>
    <m/>
  </r>
  <r>
    <x v="0"/>
    <x v="3"/>
    <x v="1"/>
    <n v="1636"/>
    <n v="2"/>
    <x v="0"/>
    <m/>
    <x v="0"/>
    <n v="1159"/>
    <n v="1159"/>
    <n v="0"/>
    <n v="0"/>
    <m/>
  </r>
  <r>
    <x v="0"/>
    <x v="3"/>
    <x v="1"/>
    <n v="2219"/>
    <n v="0"/>
    <x v="0"/>
    <m/>
    <x v="0"/>
    <n v="1159"/>
    <n v="1159"/>
    <n v="0"/>
    <n v="0"/>
    <m/>
  </r>
  <r>
    <x v="1"/>
    <x v="1"/>
    <x v="8"/>
    <n v="2000"/>
    <n v="2"/>
    <x v="2"/>
    <n v="2"/>
    <x v="2"/>
    <n v="0"/>
    <n v="0"/>
    <n v="0"/>
    <n v="1600"/>
    <m/>
  </r>
  <r>
    <x v="1"/>
    <x v="1"/>
    <x v="8"/>
    <n v="1918"/>
    <n v="0"/>
    <x v="2"/>
    <n v="2"/>
    <x v="2"/>
    <n v="0"/>
    <n v="0"/>
    <n v="0"/>
    <n v="1600"/>
    <m/>
  </r>
  <r>
    <x v="1"/>
    <x v="1"/>
    <x v="8"/>
    <n v="1961"/>
    <n v="1"/>
    <x v="2"/>
    <n v="2"/>
    <x v="2"/>
    <n v="0"/>
    <n v="0"/>
    <n v="0"/>
    <n v="1600"/>
    <m/>
  </r>
  <r>
    <x v="1"/>
    <x v="1"/>
    <x v="8"/>
    <n v="1686"/>
    <n v="1"/>
    <x v="0"/>
    <m/>
    <x v="0"/>
    <n v="1824"/>
    <n v="1824"/>
    <n v="0"/>
    <n v="0"/>
    <m/>
  </r>
  <r>
    <x v="1"/>
    <x v="1"/>
    <x v="8"/>
    <n v="1336"/>
    <n v="1"/>
    <x v="0"/>
    <m/>
    <x v="0"/>
    <n v="1976"/>
    <n v="1976"/>
    <n v="0"/>
    <n v="0"/>
    <m/>
  </r>
  <r>
    <x v="1"/>
    <x v="1"/>
    <x v="8"/>
    <n v="2019"/>
    <n v="2"/>
    <x v="0"/>
    <m/>
    <x v="0"/>
    <n v="1976"/>
    <n v="1976"/>
    <n v="0"/>
    <n v="0"/>
    <m/>
  </r>
  <r>
    <x v="1"/>
    <x v="1"/>
    <x v="8"/>
    <n v="2327"/>
    <n v="1"/>
    <x v="0"/>
    <m/>
    <x v="0"/>
    <n v="1824"/>
    <n v="1824"/>
    <n v="0"/>
    <n v="0"/>
    <m/>
  </r>
  <r>
    <x v="1"/>
    <x v="1"/>
    <x v="8"/>
    <n v="1196"/>
    <n v="0"/>
    <x v="0"/>
    <m/>
    <x v="0"/>
    <n v="1824"/>
    <n v="1824"/>
    <n v="0"/>
    <n v="0"/>
    <m/>
  </r>
  <r>
    <x v="1"/>
    <x v="1"/>
    <x v="8"/>
    <n v="1637"/>
    <n v="0"/>
    <x v="0"/>
    <m/>
    <x v="0"/>
    <n v="2937"/>
    <n v="2937"/>
    <n v="0"/>
    <n v="0"/>
    <m/>
  </r>
  <r>
    <x v="1"/>
    <x v="1"/>
    <x v="8"/>
    <n v="1391"/>
    <n v="2"/>
    <x v="0"/>
    <m/>
    <x v="0"/>
    <n v="1824"/>
    <n v="1824"/>
    <n v="0"/>
    <n v="0"/>
    <m/>
  </r>
  <r>
    <x v="1"/>
    <x v="1"/>
    <x v="8"/>
    <n v="895"/>
    <n v="0"/>
    <x v="0"/>
    <m/>
    <x v="0"/>
    <n v="1824"/>
    <n v="1824"/>
    <n v="0"/>
    <n v="0"/>
    <m/>
  </r>
  <r>
    <x v="1"/>
    <x v="1"/>
    <x v="8"/>
    <n v="1297"/>
    <n v="0"/>
    <x v="0"/>
    <m/>
    <x v="0"/>
    <n v="1824"/>
    <n v="1824"/>
    <n v="0"/>
    <n v="0"/>
    <m/>
  </r>
  <r>
    <x v="1"/>
    <x v="1"/>
    <x v="8"/>
    <n v="1906"/>
    <n v="1"/>
    <x v="0"/>
    <m/>
    <x v="0"/>
    <n v="1824"/>
    <n v="1824"/>
    <n v="0"/>
    <n v="0"/>
    <m/>
  </r>
  <r>
    <x v="1"/>
    <x v="1"/>
    <x v="8"/>
    <n v="1554"/>
    <n v="0"/>
    <x v="0"/>
    <m/>
    <x v="0"/>
    <n v="2937"/>
    <n v="2937"/>
    <n v="0"/>
    <n v="0"/>
    <m/>
  </r>
  <r>
    <x v="1"/>
    <x v="1"/>
    <x v="8"/>
    <n v="1561"/>
    <n v="0"/>
    <x v="0"/>
    <m/>
    <x v="0"/>
    <n v="3182"/>
    <n v="3182"/>
    <n v="0"/>
    <n v="0"/>
    <m/>
  </r>
  <r>
    <x v="1"/>
    <x v="1"/>
    <x v="8"/>
    <n v="1059"/>
    <n v="0"/>
    <x v="0"/>
    <m/>
    <x v="0"/>
    <n v="2128"/>
    <n v="2128"/>
    <n v="0"/>
    <n v="0"/>
    <m/>
  </r>
  <r>
    <x v="1"/>
    <x v="1"/>
    <x v="8"/>
    <n v="1954"/>
    <n v="0"/>
    <x v="2"/>
    <n v="2"/>
    <x v="2"/>
    <n v="0"/>
    <n v="0"/>
    <n v="0"/>
    <n v="1600"/>
    <m/>
  </r>
  <r>
    <x v="0"/>
    <x v="3"/>
    <x v="9"/>
    <n v="1836"/>
    <n v="1"/>
    <x v="0"/>
    <m/>
    <x v="0"/>
    <n v="1352"/>
    <n v="1352"/>
    <n v="0"/>
    <n v="0"/>
    <m/>
  </r>
  <r>
    <x v="0"/>
    <x v="3"/>
    <x v="9"/>
    <n v="1596"/>
    <n v="1"/>
    <x v="2"/>
    <n v="3"/>
    <x v="2"/>
    <n v="0"/>
    <n v="0"/>
    <n v="0"/>
    <n v="2400"/>
    <m/>
  </r>
  <r>
    <x v="0"/>
    <x v="3"/>
    <x v="9"/>
    <n v="1249"/>
    <n v="1"/>
    <x v="0"/>
    <m/>
    <x v="0"/>
    <n v="1352"/>
    <n v="1352"/>
    <n v="0"/>
    <n v="0"/>
    <m/>
  </r>
  <r>
    <x v="0"/>
    <x v="3"/>
    <x v="9"/>
    <n v="1211"/>
    <n v="1"/>
    <x v="0"/>
    <m/>
    <x v="0"/>
    <n v="1352"/>
    <n v="1352"/>
    <n v="0"/>
    <n v="0"/>
    <m/>
  </r>
  <r>
    <x v="0"/>
    <x v="3"/>
    <x v="9"/>
    <n v="1264"/>
    <n v="2"/>
    <x v="0"/>
    <m/>
    <x v="0"/>
    <n v="2411"/>
    <n v="2411"/>
    <n v="0"/>
    <n v="0"/>
    <m/>
  </r>
  <r>
    <x v="0"/>
    <x v="3"/>
    <x v="9"/>
    <n v="2595"/>
    <n v="0"/>
    <x v="0"/>
    <m/>
    <x v="0"/>
    <n v="2067"/>
    <n v="2067"/>
    <n v="0"/>
    <n v="0"/>
    <m/>
  </r>
  <r>
    <x v="0"/>
    <x v="3"/>
    <x v="9"/>
    <n v="1424"/>
    <n v="2"/>
    <x v="0"/>
    <m/>
    <x v="0"/>
    <n v="1159"/>
    <n v="1159"/>
    <n v="0"/>
    <n v="0"/>
    <m/>
  </r>
  <r>
    <x v="0"/>
    <x v="3"/>
    <x v="9"/>
    <n v="1971"/>
    <n v="1"/>
    <x v="0"/>
    <m/>
    <x v="0"/>
    <n v="1159"/>
    <n v="1159"/>
    <n v="0"/>
    <n v="0"/>
    <m/>
  </r>
  <r>
    <x v="0"/>
    <x v="3"/>
    <x v="9"/>
    <n v="2145"/>
    <n v="0"/>
    <x v="0"/>
    <m/>
    <x v="0"/>
    <n v="2067"/>
    <n v="2067"/>
    <n v="0"/>
    <n v="0"/>
    <m/>
  </r>
  <r>
    <x v="0"/>
    <x v="3"/>
    <x v="9"/>
    <n v="2223"/>
    <n v="0"/>
    <x v="0"/>
    <m/>
    <x v="0"/>
    <n v="1546"/>
    <n v="1546"/>
    <n v="0"/>
    <n v="0"/>
    <m/>
  </r>
  <r>
    <x v="0"/>
    <x v="3"/>
    <x v="9"/>
    <n v="2364"/>
    <n v="1"/>
    <x v="0"/>
    <m/>
    <x v="0"/>
    <n v="1159"/>
    <n v="1159"/>
    <n v="0"/>
    <n v="0"/>
    <m/>
  </r>
  <r>
    <x v="0"/>
    <x v="3"/>
    <x v="9"/>
    <n v="781"/>
    <n v="0"/>
    <x v="0"/>
    <m/>
    <x v="0"/>
    <n v="2067"/>
    <n v="2067"/>
    <n v="0"/>
    <n v="0"/>
    <m/>
  </r>
  <r>
    <x v="0"/>
    <x v="3"/>
    <x v="9"/>
    <n v="904"/>
    <n v="2"/>
    <x v="2"/>
    <n v="3"/>
    <x v="2"/>
    <n v="0"/>
    <n v="0"/>
    <n v="0"/>
    <n v="2400"/>
    <m/>
  </r>
  <r>
    <x v="0"/>
    <x v="3"/>
    <x v="9"/>
    <n v="1500"/>
    <n v="0"/>
    <x v="0"/>
    <m/>
    <x v="0"/>
    <n v="1159"/>
    <n v="1159"/>
    <n v="0"/>
    <n v="0"/>
    <m/>
  </r>
  <r>
    <x v="0"/>
    <x v="3"/>
    <x v="9"/>
    <n v="1071"/>
    <n v="0"/>
    <x v="0"/>
    <m/>
    <x v="0"/>
    <n v="1159"/>
    <n v="1159"/>
    <n v="0"/>
    <n v="0"/>
    <m/>
  </r>
  <r>
    <x v="0"/>
    <x v="3"/>
    <x v="9"/>
    <n v="1683"/>
    <n v="2"/>
    <x v="0"/>
    <m/>
    <x v="0"/>
    <n v="1159"/>
    <n v="1159"/>
    <n v="0"/>
    <n v="0"/>
    <m/>
  </r>
  <r>
    <x v="0"/>
    <x v="3"/>
    <x v="9"/>
    <n v="1102"/>
    <n v="0"/>
    <x v="0"/>
    <m/>
    <x v="0"/>
    <n v="1159"/>
    <n v="1159"/>
    <n v="0"/>
    <n v="0"/>
    <m/>
  </r>
  <r>
    <x v="0"/>
    <x v="3"/>
    <x v="9"/>
    <n v="1495"/>
    <n v="1"/>
    <x v="2"/>
    <n v="3"/>
    <x v="2"/>
    <n v="0"/>
    <n v="0"/>
    <n v="0"/>
    <n v="2400"/>
    <n v="92"/>
  </r>
  <r>
    <x v="1"/>
    <x v="1"/>
    <x v="8"/>
    <n v="946"/>
    <n v="0"/>
    <x v="0"/>
    <m/>
    <x v="0"/>
    <n v="1824"/>
    <n v="1824"/>
    <n v="0"/>
    <n v="0"/>
    <m/>
  </r>
  <r>
    <x v="3"/>
    <x v="0"/>
    <x v="6"/>
    <n v="2381"/>
    <n v="2"/>
    <x v="3"/>
    <n v="4"/>
    <x v="3"/>
    <n v="0"/>
    <n v="0"/>
    <n v="0"/>
    <n v="0"/>
    <m/>
  </r>
  <r>
    <x v="3"/>
    <x v="0"/>
    <x v="6"/>
    <n v="2191"/>
    <n v="1"/>
    <x v="3"/>
    <n v="1"/>
    <x v="6"/>
    <n v="0"/>
    <n v="0"/>
    <n v="0"/>
    <n v="0"/>
    <m/>
  </r>
  <r>
    <x v="3"/>
    <x v="0"/>
    <x v="6"/>
    <n v="2209"/>
    <n v="0"/>
    <x v="3"/>
    <n v="1"/>
    <x v="4"/>
    <n v="0"/>
    <n v="0"/>
    <n v="0"/>
    <n v="0"/>
    <m/>
  </r>
  <r>
    <x v="3"/>
    <x v="0"/>
    <x v="6"/>
    <n v="2202"/>
    <n v="1"/>
    <x v="5"/>
    <n v="1"/>
    <x v="4"/>
    <n v="0"/>
    <n v="0"/>
    <n v="0"/>
    <n v="0"/>
    <m/>
  </r>
  <r>
    <x v="3"/>
    <x v="0"/>
    <x v="6"/>
    <n v="2118"/>
    <n v="0"/>
    <x v="2"/>
    <n v="4"/>
    <x v="2"/>
    <n v="0"/>
    <n v="0"/>
    <n v="0"/>
    <n v="3200"/>
    <m/>
  </r>
  <r>
    <x v="3"/>
    <x v="0"/>
    <x v="6"/>
    <n v="2413"/>
    <n v="1"/>
    <x v="3"/>
    <n v="1"/>
    <x v="4"/>
    <n v="0"/>
    <n v="0"/>
    <n v="0"/>
    <n v="0"/>
    <m/>
  </r>
  <r>
    <x v="3"/>
    <x v="0"/>
    <x v="6"/>
    <n v="2546"/>
    <n v="2"/>
    <x v="2"/>
    <n v="4"/>
    <x v="2"/>
    <n v="0"/>
    <n v="0"/>
    <n v="0"/>
    <n v="3200"/>
    <m/>
  </r>
  <r>
    <x v="3"/>
    <x v="0"/>
    <x v="6"/>
    <n v="1950"/>
    <n v="0"/>
    <x v="3"/>
    <n v="1"/>
    <x v="4"/>
    <n v="0"/>
    <n v="0"/>
    <n v="0"/>
    <n v="0"/>
    <m/>
  </r>
  <r>
    <x v="3"/>
    <x v="0"/>
    <x v="6"/>
    <n v="2444"/>
    <n v="1"/>
    <x v="3"/>
    <n v="5"/>
    <x v="3"/>
    <n v="0"/>
    <n v="0"/>
    <n v="0"/>
    <n v="0"/>
    <m/>
  </r>
  <r>
    <x v="3"/>
    <x v="0"/>
    <x v="6"/>
    <n v="2293"/>
    <n v="1"/>
    <x v="3"/>
    <n v="4"/>
    <x v="3"/>
    <n v="0"/>
    <n v="0"/>
    <n v="0"/>
    <n v="0"/>
    <m/>
  </r>
  <r>
    <x v="3"/>
    <x v="0"/>
    <x v="6"/>
    <n v="2100"/>
    <n v="0"/>
    <x v="3"/>
    <n v="2"/>
    <x v="4"/>
    <n v="0"/>
    <n v="0"/>
    <n v="0"/>
    <n v="0"/>
    <m/>
  </r>
  <r>
    <x v="3"/>
    <x v="0"/>
    <x v="6"/>
    <n v="2235"/>
    <n v="1"/>
    <x v="3"/>
    <n v="1"/>
    <x v="4"/>
    <n v="0"/>
    <n v="0"/>
    <n v="0"/>
    <n v="0"/>
    <m/>
  </r>
  <r>
    <x v="3"/>
    <x v="0"/>
    <x v="6"/>
    <n v="2213"/>
    <n v="0"/>
    <x v="3"/>
    <n v="3"/>
    <x v="3"/>
    <n v="0"/>
    <n v="0"/>
    <n v="0"/>
    <n v="0"/>
    <m/>
  </r>
  <r>
    <x v="3"/>
    <x v="0"/>
    <x v="6"/>
    <n v="2376"/>
    <n v="1"/>
    <x v="14"/>
    <n v="1"/>
    <x v="4"/>
    <n v="0"/>
    <n v="0"/>
    <n v="0"/>
    <n v="0"/>
    <m/>
  </r>
  <r>
    <x v="3"/>
    <x v="0"/>
    <x v="6"/>
    <n v="2190"/>
    <n v="0"/>
    <x v="14"/>
    <n v="2"/>
    <x v="4"/>
    <n v="0"/>
    <n v="0"/>
    <n v="0"/>
    <n v="0"/>
    <m/>
  </r>
  <r>
    <x v="3"/>
    <x v="0"/>
    <x v="6"/>
    <n v="2435"/>
    <n v="1"/>
    <x v="3"/>
    <n v="5"/>
    <x v="3"/>
    <n v="0"/>
    <n v="0"/>
    <n v="0"/>
    <n v="0"/>
    <m/>
  </r>
  <r>
    <x v="3"/>
    <x v="0"/>
    <x v="6"/>
    <n v="2777"/>
    <n v="0"/>
    <x v="4"/>
    <n v="1"/>
    <x v="1"/>
    <n v="0"/>
    <n v="0"/>
    <n v="11500"/>
    <n v="0"/>
    <m/>
  </r>
  <r>
    <x v="3"/>
    <x v="0"/>
    <x v="6"/>
    <n v="2127"/>
    <n v="0"/>
    <x v="3"/>
    <n v="3"/>
    <x v="3"/>
    <n v="0"/>
    <n v="0"/>
    <n v="0"/>
    <n v="0"/>
    <m/>
  </r>
  <r>
    <x v="3"/>
    <x v="0"/>
    <x v="6"/>
    <n v="2217"/>
    <n v="1"/>
    <x v="3"/>
    <n v="4"/>
    <x v="3"/>
    <n v="0"/>
    <n v="0"/>
    <n v="0"/>
    <n v="0"/>
    <m/>
  </r>
  <r>
    <x v="3"/>
    <x v="0"/>
    <x v="6"/>
    <n v="2126"/>
    <n v="0"/>
    <x v="14"/>
    <n v="3"/>
    <x v="4"/>
    <n v="0"/>
    <n v="0"/>
    <n v="0"/>
    <n v="0"/>
    <m/>
  </r>
  <r>
    <x v="3"/>
    <x v="0"/>
    <x v="6"/>
    <n v="2061"/>
    <n v="0"/>
    <x v="3"/>
    <n v="5"/>
    <x v="3"/>
    <n v="0"/>
    <n v="0"/>
    <n v="0"/>
    <n v="0"/>
    <m/>
  </r>
  <r>
    <x v="3"/>
    <x v="0"/>
    <x v="6"/>
    <n v="1946"/>
    <n v="0"/>
    <x v="15"/>
    <n v="2"/>
    <x v="6"/>
    <n v="0"/>
    <n v="0"/>
    <n v="0"/>
    <n v="0"/>
    <m/>
  </r>
  <r>
    <x v="3"/>
    <x v="0"/>
    <x v="6"/>
    <n v="2497"/>
    <n v="1"/>
    <x v="3"/>
    <n v="5"/>
    <x v="3"/>
    <n v="0"/>
    <n v="0"/>
    <n v="0"/>
    <n v="0"/>
    <m/>
  </r>
  <r>
    <x v="3"/>
    <x v="0"/>
    <x v="6"/>
    <n v="1941"/>
    <n v="0"/>
    <x v="14"/>
    <n v="1"/>
    <x v="4"/>
    <n v="0"/>
    <n v="0"/>
    <n v="0"/>
    <n v="0"/>
    <m/>
  </r>
  <r>
    <x v="7"/>
    <x v="0"/>
    <x v="7"/>
    <n v="3681"/>
    <n v="1"/>
    <x v="13"/>
    <n v="1"/>
    <x v="7"/>
    <n v="3300"/>
    <n v="3300"/>
    <n v="0"/>
    <n v="0"/>
    <m/>
  </r>
  <r>
    <x v="5"/>
    <x v="1"/>
    <x v="0"/>
    <n v="830"/>
    <n v="0"/>
    <x v="0"/>
    <m/>
    <x v="0"/>
    <n v="1824"/>
    <n v="1824"/>
    <n v="0"/>
    <n v="0"/>
    <m/>
  </r>
  <r>
    <x v="5"/>
    <x v="1"/>
    <x v="0"/>
    <n v="1949"/>
    <n v="4"/>
    <x v="0"/>
    <m/>
    <x v="0"/>
    <n v="1824"/>
    <n v="1824"/>
    <n v="0"/>
    <n v="0"/>
    <m/>
  </r>
  <r>
    <x v="5"/>
    <x v="1"/>
    <x v="0"/>
    <n v="1975"/>
    <n v="1"/>
    <x v="0"/>
    <m/>
    <x v="0"/>
    <n v="1824"/>
    <n v="1824"/>
    <n v="0"/>
    <n v="0"/>
    <m/>
  </r>
  <r>
    <x v="5"/>
    <x v="1"/>
    <x v="0"/>
    <n v="1446"/>
    <n v="0"/>
    <x v="0"/>
    <m/>
    <x v="0"/>
    <n v="1824"/>
    <n v="1824"/>
    <n v="0"/>
    <n v="0"/>
    <m/>
  </r>
  <r>
    <x v="5"/>
    <x v="1"/>
    <x v="0"/>
    <n v="891"/>
    <n v="2"/>
    <x v="0"/>
    <m/>
    <x v="0"/>
    <n v="1824"/>
    <n v="1824"/>
    <n v="0"/>
    <n v="0"/>
    <m/>
  </r>
  <r>
    <x v="5"/>
    <x v="1"/>
    <x v="0"/>
    <n v="1724"/>
    <n v="1"/>
    <x v="0"/>
    <m/>
    <x v="0"/>
    <n v="2128"/>
    <n v="2128"/>
    <n v="0"/>
    <n v="0"/>
    <m/>
  </r>
  <r>
    <x v="5"/>
    <x v="1"/>
    <x v="0"/>
    <n v="1612"/>
    <n v="1"/>
    <x v="0"/>
    <m/>
    <x v="0"/>
    <n v="1824"/>
    <n v="1824"/>
    <n v="0"/>
    <n v="0"/>
    <m/>
  </r>
  <r>
    <x v="5"/>
    <x v="1"/>
    <x v="0"/>
    <n v="1367"/>
    <n v="1"/>
    <x v="0"/>
    <m/>
    <x v="0"/>
    <n v="1824"/>
    <n v="1824"/>
    <n v="0"/>
    <n v="0"/>
    <m/>
  </r>
  <r>
    <x v="5"/>
    <x v="1"/>
    <x v="0"/>
    <n v="1529"/>
    <n v="0"/>
    <x v="0"/>
    <m/>
    <x v="0"/>
    <n v="2937"/>
    <n v="2937"/>
    <n v="0"/>
    <n v="0"/>
    <m/>
  </r>
  <r>
    <x v="3"/>
    <x v="0"/>
    <x v="6"/>
    <n v="2489"/>
    <n v="0"/>
    <x v="2"/>
    <n v="4"/>
    <x v="2"/>
    <n v="0"/>
    <n v="0"/>
    <n v="0"/>
    <n v="3200"/>
    <m/>
  </r>
  <r>
    <x v="3"/>
    <x v="0"/>
    <x v="6"/>
    <n v="2683"/>
    <n v="0"/>
    <x v="3"/>
    <n v="1"/>
    <x v="4"/>
    <n v="0"/>
    <n v="0"/>
    <n v="0"/>
    <n v="0"/>
    <m/>
  </r>
  <r>
    <x v="3"/>
    <x v="0"/>
    <x v="6"/>
    <n v="2361"/>
    <n v="3"/>
    <x v="3"/>
    <n v="1"/>
    <x v="6"/>
    <n v="0"/>
    <n v="0"/>
    <n v="0"/>
    <n v="0"/>
    <m/>
  </r>
  <r>
    <x v="3"/>
    <x v="0"/>
    <x v="6"/>
    <n v="2012"/>
    <n v="1"/>
    <x v="3"/>
    <n v="1"/>
    <x v="4"/>
    <n v="0"/>
    <n v="0"/>
    <n v="0"/>
    <n v="0"/>
    <m/>
  </r>
  <r>
    <x v="3"/>
    <x v="0"/>
    <x v="6"/>
    <n v="2525"/>
    <n v="0"/>
    <x v="14"/>
    <n v="1"/>
    <x v="4"/>
    <n v="0"/>
    <n v="0"/>
    <n v="0"/>
    <n v="0"/>
    <m/>
  </r>
  <r>
    <x v="3"/>
    <x v="0"/>
    <x v="6"/>
    <n v="2271"/>
    <n v="0"/>
    <x v="3"/>
    <n v="4"/>
    <x v="3"/>
    <n v="0"/>
    <n v="0"/>
    <n v="0"/>
    <n v="0"/>
    <m/>
  </r>
  <r>
    <x v="3"/>
    <x v="0"/>
    <x v="6"/>
    <n v="2602"/>
    <n v="1"/>
    <x v="15"/>
    <n v="1"/>
    <x v="6"/>
    <n v="0"/>
    <n v="0"/>
    <n v="0"/>
    <n v="0"/>
    <m/>
  </r>
  <r>
    <x v="3"/>
    <x v="0"/>
    <x v="6"/>
    <n v="2453"/>
    <n v="0"/>
    <x v="3"/>
    <n v="1"/>
    <x v="4"/>
    <n v="0"/>
    <n v="0"/>
    <n v="0"/>
    <n v="0"/>
    <m/>
  </r>
  <r>
    <x v="3"/>
    <x v="0"/>
    <x v="6"/>
    <n v="2244"/>
    <n v="0"/>
    <x v="3"/>
    <n v="5"/>
    <x v="3"/>
    <n v="0"/>
    <n v="0"/>
    <n v="0"/>
    <n v="0"/>
    <m/>
  </r>
  <r>
    <x v="3"/>
    <x v="0"/>
    <x v="6"/>
    <n v="2817"/>
    <n v="0"/>
    <x v="3"/>
    <n v="1"/>
    <x v="6"/>
    <n v="0"/>
    <n v="0"/>
    <n v="0"/>
    <n v="0"/>
    <m/>
  </r>
  <r>
    <x v="3"/>
    <x v="0"/>
    <x v="6"/>
    <n v="2234"/>
    <n v="1"/>
    <x v="3"/>
    <n v="3"/>
    <x v="3"/>
    <n v="0"/>
    <n v="0"/>
    <n v="0"/>
    <n v="0"/>
    <m/>
  </r>
  <r>
    <x v="3"/>
    <x v="0"/>
    <x v="6"/>
    <n v="2463"/>
    <n v="0"/>
    <x v="2"/>
    <n v="4"/>
    <x v="2"/>
    <n v="0"/>
    <n v="0"/>
    <n v="0"/>
    <n v="3200"/>
    <m/>
  </r>
  <r>
    <x v="3"/>
    <x v="0"/>
    <x v="6"/>
    <n v="2474"/>
    <n v="0"/>
    <x v="3"/>
    <n v="5"/>
    <x v="3"/>
    <n v="0"/>
    <n v="0"/>
    <n v="0"/>
    <n v="0"/>
    <m/>
  </r>
  <r>
    <x v="3"/>
    <x v="0"/>
    <x v="6"/>
    <n v="2455"/>
    <n v="0"/>
    <x v="3"/>
    <n v="1"/>
    <x v="4"/>
    <n v="0"/>
    <n v="0"/>
    <n v="0"/>
    <n v="0"/>
    <m/>
  </r>
  <r>
    <x v="3"/>
    <x v="0"/>
    <x v="6"/>
    <n v="2373"/>
    <n v="1"/>
    <x v="3"/>
    <n v="1"/>
    <x v="6"/>
    <n v="0"/>
    <n v="0"/>
    <n v="0"/>
    <n v="0"/>
    <m/>
  </r>
  <r>
    <x v="3"/>
    <x v="0"/>
    <x v="6"/>
    <n v="2131"/>
    <n v="1"/>
    <x v="3"/>
    <n v="1"/>
    <x v="4"/>
    <n v="0"/>
    <n v="0"/>
    <n v="0"/>
    <n v="0"/>
    <m/>
  </r>
  <r>
    <x v="3"/>
    <x v="0"/>
    <x v="6"/>
    <n v="2300"/>
    <n v="0"/>
    <x v="2"/>
    <n v="4"/>
    <x v="2"/>
    <n v="0"/>
    <n v="0"/>
    <n v="0"/>
    <n v="3200"/>
    <m/>
  </r>
  <r>
    <x v="3"/>
    <x v="0"/>
    <x v="6"/>
    <n v="2089"/>
    <n v="0"/>
    <x v="3"/>
    <n v="3"/>
    <x v="3"/>
    <n v="0"/>
    <n v="0"/>
    <n v="0"/>
    <n v="0"/>
    <m/>
  </r>
  <r>
    <x v="3"/>
    <x v="0"/>
    <x v="6"/>
    <n v="2291"/>
    <n v="1"/>
    <x v="3"/>
    <n v="4"/>
    <x v="3"/>
    <n v="0"/>
    <n v="0"/>
    <n v="0"/>
    <n v="0"/>
    <m/>
  </r>
  <r>
    <x v="8"/>
    <x v="0"/>
    <x v="6"/>
    <n v="2217"/>
    <n v="0"/>
    <x v="10"/>
    <n v="2"/>
    <x v="4"/>
    <n v="0"/>
    <n v="0"/>
    <n v="0"/>
    <n v="0"/>
    <m/>
  </r>
  <r>
    <x v="8"/>
    <x v="0"/>
    <x v="7"/>
    <n v="2635"/>
    <n v="0"/>
    <x v="2"/>
    <n v="5"/>
    <x v="2"/>
    <n v="0"/>
    <n v="0"/>
    <n v="0"/>
    <n v="4000"/>
    <m/>
  </r>
  <r>
    <x v="8"/>
    <x v="0"/>
    <x v="7"/>
    <n v="2286"/>
    <n v="0"/>
    <x v="10"/>
    <n v="2"/>
    <x v="4"/>
    <n v="0"/>
    <n v="0"/>
    <n v="0"/>
    <n v="0"/>
    <m/>
  </r>
  <r>
    <x v="8"/>
    <x v="0"/>
    <x v="7"/>
    <n v="2828"/>
    <n v="0"/>
    <x v="10"/>
    <n v="1"/>
    <x v="4"/>
    <n v="0"/>
    <n v="0"/>
    <n v="0"/>
    <n v="0"/>
    <m/>
  </r>
  <r>
    <x v="8"/>
    <x v="0"/>
    <x v="10"/>
    <n v="2917"/>
    <n v="2"/>
    <x v="10"/>
    <n v="3"/>
    <x v="4"/>
    <n v="0"/>
    <n v="0"/>
    <n v="0"/>
    <n v="0"/>
    <m/>
  </r>
  <r>
    <x v="8"/>
    <x v="0"/>
    <x v="11"/>
    <n v="2771"/>
    <n v="0"/>
    <x v="10"/>
    <n v="1"/>
    <x v="4"/>
    <n v="0"/>
    <n v="0"/>
    <n v="0"/>
    <n v="0"/>
    <m/>
  </r>
  <r>
    <x v="8"/>
    <x v="0"/>
    <x v="11"/>
    <n v="3158"/>
    <n v="1"/>
    <x v="10"/>
    <n v="3"/>
    <x v="6"/>
    <n v="0"/>
    <n v="0"/>
    <n v="0"/>
    <n v="0"/>
    <m/>
  </r>
  <r>
    <x v="8"/>
    <x v="0"/>
    <x v="11"/>
    <n v="3080"/>
    <n v="0"/>
    <x v="10"/>
    <n v="5"/>
    <x v="3"/>
    <n v="0"/>
    <n v="0"/>
    <n v="0"/>
    <n v="0"/>
    <m/>
  </r>
  <r>
    <x v="8"/>
    <x v="0"/>
    <x v="11"/>
    <n v="3091"/>
    <n v="2"/>
    <x v="10"/>
    <n v="5"/>
    <x v="3"/>
    <n v="0"/>
    <n v="0"/>
    <n v="0"/>
    <n v="0"/>
    <m/>
  </r>
  <r>
    <x v="3"/>
    <x v="0"/>
    <x v="10"/>
    <n v="2945"/>
    <n v="1"/>
    <x v="3"/>
    <n v="2"/>
    <x v="6"/>
    <n v="0"/>
    <n v="0"/>
    <n v="0"/>
    <n v="0"/>
    <m/>
  </r>
  <r>
    <x v="3"/>
    <x v="0"/>
    <x v="10"/>
    <n v="2556"/>
    <n v="1"/>
    <x v="3"/>
    <n v="1"/>
    <x v="4"/>
    <n v="0"/>
    <n v="0"/>
    <n v="0"/>
    <n v="0"/>
    <m/>
  </r>
  <r>
    <x v="3"/>
    <x v="0"/>
    <x v="10"/>
    <n v="2925"/>
    <n v="0"/>
    <x v="3"/>
    <n v="5"/>
    <x v="3"/>
    <n v="0"/>
    <n v="0"/>
    <n v="0"/>
    <n v="0"/>
    <m/>
  </r>
  <r>
    <x v="3"/>
    <x v="0"/>
    <x v="10"/>
    <n v="2776"/>
    <n v="1"/>
    <x v="3"/>
    <n v="5"/>
    <x v="3"/>
    <n v="0"/>
    <n v="0"/>
    <n v="0"/>
    <n v="0"/>
    <m/>
  </r>
  <r>
    <x v="3"/>
    <x v="0"/>
    <x v="10"/>
    <n v="2669"/>
    <n v="0"/>
    <x v="3"/>
    <n v="1"/>
    <x v="4"/>
    <n v="0"/>
    <n v="0"/>
    <n v="0"/>
    <n v="0"/>
    <m/>
  </r>
  <r>
    <x v="3"/>
    <x v="0"/>
    <x v="10"/>
    <n v="2813"/>
    <n v="1"/>
    <x v="3"/>
    <n v="5"/>
    <x v="3"/>
    <n v="0"/>
    <n v="0"/>
    <n v="0"/>
    <n v="0"/>
    <m/>
  </r>
  <r>
    <x v="3"/>
    <x v="0"/>
    <x v="10"/>
    <n v="2871"/>
    <n v="0"/>
    <x v="3"/>
    <n v="2"/>
    <x v="4"/>
    <n v="0"/>
    <n v="0"/>
    <n v="0"/>
    <n v="0"/>
    <m/>
  </r>
  <r>
    <x v="3"/>
    <x v="0"/>
    <x v="10"/>
    <n v="2829"/>
    <n v="0"/>
    <x v="3"/>
    <n v="3"/>
    <x v="3"/>
    <n v="0"/>
    <n v="0"/>
    <n v="0"/>
    <n v="0"/>
    <m/>
  </r>
  <r>
    <x v="3"/>
    <x v="0"/>
    <x v="10"/>
    <n v="2312"/>
    <n v="1"/>
    <x v="4"/>
    <n v="1"/>
    <x v="1"/>
    <n v="0"/>
    <n v="0"/>
    <n v="11500"/>
    <n v="0"/>
    <m/>
  </r>
  <r>
    <x v="7"/>
    <x v="0"/>
    <x v="7"/>
    <n v="3502"/>
    <n v="1"/>
    <x v="13"/>
    <n v="1"/>
    <x v="8"/>
    <n v="0"/>
    <n v="0"/>
    <n v="0"/>
    <n v="0"/>
    <m/>
  </r>
  <r>
    <x v="3"/>
    <x v="0"/>
    <x v="10"/>
    <n v="0"/>
    <n v="0"/>
    <x v="0"/>
    <n v="0"/>
    <x v="0"/>
    <n v="0"/>
    <n v="0"/>
    <n v="0"/>
    <n v="0"/>
    <s v="Y"/>
  </r>
  <r>
    <x v="3"/>
    <x v="0"/>
    <x v="10"/>
    <n v="2382"/>
    <n v="0"/>
    <x v="3"/>
    <n v="1"/>
    <x v="6"/>
    <n v="0"/>
    <n v="0"/>
    <n v="0"/>
    <n v="0"/>
    <m/>
  </r>
  <r>
    <x v="3"/>
    <x v="0"/>
    <x v="10"/>
    <n v="2958"/>
    <n v="0"/>
    <x v="4"/>
    <n v="1"/>
    <x v="1"/>
    <n v="0"/>
    <n v="0"/>
    <n v="11500"/>
    <n v="0"/>
    <m/>
  </r>
  <r>
    <x v="3"/>
    <x v="0"/>
    <x v="10"/>
    <n v="2545"/>
    <n v="2"/>
    <x v="3"/>
    <n v="3"/>
    <x v="4"/>
    <n v="0"/>
    <n v="0"/>
    <n v="0"/>
    <n v="0"/>
    <m/>
  </r>
  <r>
    <x v="3"/>
    <x v="0"/>
    <x v="10"/>
    <n v="2649"/>
    <n v="3"/>
    <x v="5"/>
    <n v="2"/>
    <x v="4"/>
    <n v="0"/>
    <n v="0"/>
    <n v="0"/>
    <n v="0"/>
    <m/>
  </r>
  <r>
    <x v="3"/>
    <x v="0"/>
    <x v="10"/>
    <n v="2432"/>
    <n v="0"/>
    <x v="5"/>
    <n v="4"/>
    <x v="3"/>
    <n v="0"/>
    <n v="0"/>
    <n v="0"/>
    <n v="0"/>
    <m/>
  </r>
  <r>
    <x v="3"/>
    <x v="0"/>
    <x v="10"/>
    <n v="2881"/>
    <n v="0"/>
    <x v="3"/>
    <n v="1"/>
    <x v="6"/>
    <n v="0"/>
    <n v="0"/>
    <n v="0"/>
    <n v="0"/>
    <m/>
  </r>
  <r>
    <x v="1"/>
    <x v="1"/>
    <x v="8"/>
    <n v="1977"/>
    <n v="0"/>
    <x v="1"/>
    <n v="1"/>
    <x v="5"/>
    <n v="0"/>
    <n v="0"/>
    <n v="34500"/>
    <n v="35822"/>
    <m/>
  </r>
  <r>
    <x v="1"/>
    <x v="1"/>
    <x v="8"/>
    <n v="1544"/>
    <n v="0"/>
    <x v="0"/>
    <m/>
    <x v="0"/>
    <n v="1824"/>
    <n v="1824"/>
    <n v="0"/>
    <n v="0"/>
    <m/>
  </r>
  <r>
    <x v="1"/>
    <x v="1"/>
    <x v="8"/>
    <n v="1273"/>
    <n v="1"/>
    <x v="0"/>
    <m/>
    <x v="0"/>
    <n v="1824"/>
    <n v="1824"/>
    <n v="0"/>
    <n v="0"/>
    <m/>
  </r>
  <r>
    <x v="1"/>
    <x v="1"/>
    <x v="8"/>
    <n v="1536"/>
    <n v="1"/>
    <x v="0"/>
    <m/>
    <x v="0"/>
    <n v="1824"/>
    <n v="1824"/>
    <n v="0"/>
    <n v="0"/>
    <m/>
  </r>
  <r>
    <x v="1"/>
    <x v="1"/>
    <x v="8"/>
    <n v="1739"/>
    <n v="0"/>
    <x v="2"/>
    <n v="2"/>
    <x v="2"/>
    <n v="0"/>
    <n v="0"/>
    <n v="0"/>
    <n v="1600"/>
    <m/>
  </r>
  <r>
    <x v="1"/>
    <x v="1"/>
    <x v="8"/>
    <n v="620"/>
    <n v="1"/>
    <x v="0"/>
    <m/>
    <x v="0"/>
    <n v="2937"/>
    <n v="2937"/>
    <n v="0"/>
    <n v="0"/>
    <m/>
  </r>
  <r>
    <x v="1"/>
    <x v="1"/>
    <x v="8"/>
    <n v="1447"/>
    <n v="4"/>
    <x v="0"/>
    <m/>
    <x v="0"/>
    <n v="2937"/>
    <n v="2937"/>
    <n v="0"/>
    <n v="0"/>
    <m/>
  </r>
  <r>
    <x v="1"/>
    <x v="1"/>
    <x v="8"/>
    <n v="1494"/>
    <n v="1"/>
    <x v="0"/>
    <m/>
    <x v="0"/>
    <n v="1824"/>
    <n v="1824"/>
    <n v="0"/>
    <n v="0"/>
    <m/>
  </r>
  <r>
    <x v="1"/>
    <x v="1"/>
    <x v="8"/>
    <n v="1163"/>
    <n v="1"/>
    <x v="0"/>
    <m/>
    <x v="0"/>
    <n v="2937"/>
    <n v="2937"/>
    <n v="0"/>
    <n v="0"/>
    <m/>
  </r>
  <r>
    <x v="1"/>
    <x v="1"/>
    <x v="8"/>
    <n v="1028"/>
    <n v="0"/>
    <x v="0"/>
    <m/>
    <x v="0"/>
    <n v="1824"/>
    <n v="1824"/>
    <n v="0"/>
    <n v="0"/>
    <m/>
  </r>
  <r>
    <x v="5"/>
    <x v="1"/>
    <x v="8"/>
    <n v="1925"/>
    <n v="1"/>
    <x v="0"/>
    <m/>
    <x v="0"/>
    <n v="1824"/>
    <n v="1824"/>
    <n v="0"/>
    <n v="0"/>
    <m/>
  </r>
  <r>
    <x v="5"/>
    <x v="1"/>
    <x v="8"/>
    <n v="2937"/>
    <n v="0"/>
    <x v="4"/>
    <n v="1"/>
    <x v="1"/>
    <m/>
    <n v="0"/>
    <n v="11500"/>
    <n v="0"/>
    <m/>
  </r>
  <r>
    <x v="5"/>
    <x v="1"/>
    <x v="8"/>
    <n v="1819"/>
    <n v="0"/>
    <x v="1"/>
    <n v="1"/>
    <x v="1"/>
    <m/>
    <n v="0"/>
    <n v="11500"/>
    <n v="0"/>
    <m/>
  </r>
  <r>
    <x v="5"/>
    <x v="1"/>
    <x v="8"/>
    <n v="1020"/>
    <n v="0"/>
    <x v="0"/>
    <m/>
    <x v="0"/>
    <n v="2937"/>
    <n v="2937"/>
    <n v="0"/>
    <n v="0"/>
    <m/>
  </r>
  <r>
    <x v="5"/>
    <x v="1"/>
    <x v="8"/>
    <n v="968"/>
    <n v="1"/>
    <x v="0"/>
    <m/>
    <x v="0"/>
    <n v="2280"/>
    <n v="2280"/>
    <n v="0"/>
    <n v="0"/>
    <m/>
  </r>
  <r>
    <x v="5"/>
    <x v="1"/>
    <x v="8"/>
    <n v="2391"/>
    <n v="1"/>
    <x v="0"/>
    <m/>
    <x v="0"/>
    <n v="2937"/>
    <n v="2937"/>
    <n v="0"/>
    <n v="0"/>
    <m/>
  </r>
  <r>
    <x v="5"/>
    <x v="1"/>
    <x v="8"/>
    <n v="1248"/>
    <n v="1"/>
    <x v="0"/>
    <m/>
    <x v="0"/>
    <n v="1824"/>
    <n v="1824"/>
    <n v="0"/>
    <n v="0"/>
    <m/>
  </r>
  <r>
    <x v="5"/>
    <x v="1"/>
    <x v="8"/>
    <n v="616"/>
    <n v="0"/>
    <x v="0"/>
    <m/>
    <x v="0"/>
    <n v="1824"/>
    <n v="1824"/>
    <n v="0"/>
    <n v="0"/>
    <m/>
  </r>
  <r>
    <x v="5"/>
    <x v="1"/>
    <x v="8"/>
    <n v="864"/>
    <n v="0"/>
    <x v="0"/>
    <m/>
    <x v="0"/>
    <n v="2937"/>
    <n v="2937"/>
    <n v="0"/>
    <n v="0"/>
    <m/>
  </r>
  <r>
    <x v="1"/>
    <x v="1"/>
    <x v="8"/>
    <n v="1402"/>
    <n v="1"/>
    <x v="0"/>
    <m/>
    <x v="0"/>
    <n v="1824"/>
    <n v="1824"/>
    <n v="0"/>
    <n v="0"/>
    <m/>
  </r>
  <r>
    <x v="1"/>
    <x v="1"/>
    <x v="8"/>
    <n v="1500"/>
    <n v="0"/>
    <x v="0"/>
    <m/>
    <x v="0"/>
    <n v="2937"/>
    <n v="2937"/>
    <n v="0"/>
    <n v="0"/>
    <m/>
  </r>
  <r>
    <x v="7"/>
    <x v="0"/>
    <x v="7"/>
    <n v="3665"/>
    <n v="1"/>
    <x v="13"/>
    <n v="1"/>
    <x v="7"/>
    <n v="3307"/>
    <n v="3307"/>
    <n v="0"/>
    <n v="0"/>
    <m/>
  </r>
  <r>
    <x v="3"/>
    <x v="0"/>
    <x v="10"/>
    <n v="2824"/>
    <n v="1"/>
    <x v="3"/>
    <n v="1"/>
    <x v="4"/>
    <n v="0"/>
    <n v="0"/>
    <n v="0"/>
    <n v="0"/>
    <m/>
  </r>
  <r>
    <x v="3"/>
    <x v="0"/>
    <x v="10"/>
    <n v="2951"/>
    <n v="3"/>
    <x v="3"/>
    <n v="2"/>
    <x v="4"/>
    <n v="0"/>
    <n v="0"/>
    <n v="0"/>
    <n v="0"/>
    <m/>
  </r>
  <r>
    <x v="3"/>
    <x v="0"/>
    <x v="10"/>
    <n v="2543"/>
    <n v="1"/>
    <x v="3"/>
    <n v="4"/>
    <x v="3"/>
    <n v="0"/>
    <n v="0"/>
    <n v="0"/>
    <n v="0"/>
    <m/>
  </r>
  <r>
    <x v="3"/>
    <x v="0"/>
    <x v="10"/>
    <n v="2872"/>
    <n v="1"/>
    <x v="3"/>
    <n v="1"/>
    <x v="6"/>
    <n v="0"/>
    <n v="0"/>
    <n v="0"/>
    <n v="0"/>
    <m/>
  </r>
  <r>
    <x v="3"/>
    <x v="0"/>
    <x v="10"/>
    <n v="2837"/>
    <n v="1"/>
    <x v="2"/>
    <n v="4"/>
    <x v="2"/>
    <n v="0"/>
    <n v="0"/>
    <n v="0"/>
    <n v="3200"/>
    <m/>
  </r>
  <r>
    <x v="11"/>
    <x v="0"/>
    <x v="10"/>
    <n v="2891"/>
    <n v="0"/>
    <x v="2"/>
    <n v="4"/>
    <x v="2"/>
    <n v="0"/>
    <n v="0"/>
    <n v="0"/>
    <n v="3200"/>
    <m/>
  </r>
  <r>
    <x v="11"/>
    <x v="0"/>
    <x v="10"/>
    <n v="2801"/>
    <n v="0"/>
    <x v="15"/>
    <n v="4"/>
    <x v="3"/>
    <n v="0"/>
    <n v="0"/>
    <n v="0"/>
    <n v="0"/>
    <m/>
  </r>
  <r>
    <x v="11"/>
    <x v="0"/>
    <x v="10"/>
    <n v="2407"/>
    <n v="0"/>
    <x v="15"/>
    <n v="1"/>
    <x v="4"/>
    <n v="0"/>
    <n v="0"/>
    <n v="0"/>
    <n v="0"/>
    <m/>
  </r>
  <r>
    <x v="11"/>
    <x v="0"/>
    <x v="10"/>
    <n v="2748"/>
    <n v="0"/>
    <x v="0"/>
    <m/>
    <x v="0"/>
    <n v="0"/>
    <n v="0"/>
    <n v="0"/>
    <n v="0"/>
    <m/>
  </r>
  <r>
    <x v="11"/>
    <x v="0"/>
    <x v="10"/>
    <n v="2679"/>
    <n v="1"/>
    <x v="4"/>
    <n v="1"/>
    <x v="1"/>
    <n v="0"/>
    <n v="0"/>
    <n v="11500"/>
    <n v="0"/>
    <m/>
  </r>
  <r>
    <x v="11"/>
    <x v="0"/>
    <x v="11"/>
    <n v="2720"/>
    <n v="0"/>
    <x v="15"/>
    <n v="1"/>
    <x v="4"/>
    <n v="0"/>
    <n v="0"/>
    <n v="0"/>
    <n v="0"/>
    <m/>
  </r>
  <r>
    <x v="11"/>
    <x v="0"/>
    <x v="11"/>
    <n v="0"/>
    <n v="0"/>
    <x v="0"/>
    <m/>
    <x v="0"/>
    <n v="0"/>
    <n v="0"/>
    <n v="0"/>
    <n v="0"/>
    <s v="Y"/>
  </r>
  <r>
    <x v="11"/>
    <x v="0"/>
    <x v="10"/>
    <n v="2875"/>
    <n v="0"/>
    <x v="12"/>
    <n v="1"/>
    <x v="2"/>
    <n v="0"/>
    <n v="0"/>
    <n v="0"/>
    <n v="0"/>
    <m/>
  </r>
  <r>
    <x v="11"/>
    <x v="0"/>
    <x v="10"/>
    <n v="2734"/>
    <n v="0"/>
    <x v="15"/>
    <n v="3"/>
    <x v="6"/>
    <n v="0"/>
    <n v="0"/>
    <n v="0"/>
    <n v="0"/>
    <m/>
  </r>
  <r>
    <x v="11"/>
    <x v="0"/>
    <x v="10"/>
    <n v="3073"/>
    <n v="0"/>
    <x v="15"/>
    <n v="2"/>
    <x v="4"/>
    <n v="0"/>
    <n v="0"/>
    <n v="0"/>
    <n v="0"/>
    <m/>
  </r>
  <r>
    <x v="11"/>
    <x v="0"/>
    <x v="10"/>
    <n v="2813"/>
    <n v="0"/>
    <x v="15"/>
    <n v="2"/>
    <x v="4"/>
    <n v="0"/>
    <n v="0"/>
    <n v="0"/>
    <n v="0"/>
    <m/>
  </r>
  <r>
    <x v="11"/>
    <x v="0"/>
    <x v="10"/>
    <n v="2758"/>
    <n v="0"/>
    <x v="16"/>
    <n v="3"/>
    <x v="0"/>
    <n v="0"/>
    <n v="0"/>
    <n v="0"/>
    <n v="0"/>
    <m/>
  </r>
  <r>
    <x v="11"/>
    <x v="0"/>
    <x v="10"/>
    <n v="2313"/>
    <n v="1"/>
    <x v="15"/>
    <n v="3"/>
    <x v="4"/>
    <n v="0"/>
    <n v="0"/>
    <n v="0"/>
    <n v="0"/>
    <m/>
  </r>
  <r>
    <x v="11"/>
    <x v="0"/>
    <x v="10"/>
    <n v="2625"/>
    <n v="1"/>
    <x v="15"/>
    <n v="3"/>
    <x v="4"/>
    <n v="0"/>
    <n v="0"/>
    <n v="0"/>
    <n v="0"/>
    <m/>
  </r>
  <r>
    <x v="11"/>
    <x v="0"/>
    <x v="10"/>
    <n v="2515"/>
    <n v="0"/>
    <x v="15"/>
    <n v="1"/>
    <x v="6"/>
    <n v="0"/>
    <n v="0"/>
    <n v="0"/>
    <n v="0"/>
    <m/>
  </r>
  <r>
    <x v="11"/>
    <x v="0"/>
    <x v="10"/>
    <n v="2516"/>
    <n v="1"/>
    <x v="16"/>
    <n v="1"/>
    <x v="0"/>
    <n v="0"/>
    <n v="0"/>
    <n v="0"/>
    <n v="0"/>
    <m/>
  </r>
  <r>
    <x v="11"/>
    <x v="0"/>
    <x v="10"/>
    <n v="2850"/>
    <n v="2"/>
    <x v="17"/>
    <n v="3"/>
    <x v="3"/>
    <n v="0"/>
    <n v="0"/>
    <n v="0"/>
    <n v="0"/>
    <m/>
  </r>
  <r>
    <x v="3"/>
    <x v="0"/>
    <x v="10"/>
    <n v="2559"/>
    <n v="3"/>
    <x v="3"/>
    <n v="3"/>
    <x v="4"/>
    <n v="0"/>
    <n v="0"/>
    <n v="0"/>
    <n v="0"/>
    <m/>
  </r>
  <r>
    <x v="7"/>
    <x v="0"/>
    <x v="7"/>
    <n v="3425"/>
    <n v="0"/>
    <x v="13"/>
    <n v="1"/>
    <x v="7"/>
    <n v="3445"/>
    <n v="3445"/>
    <n v="0"/>
    <n v="0"/>
    <m/>
  </r>
  <r>
    <x v="11"/>
    <x v="0"/>
    <x v="10"/>
    <n v="2517"/>
    <n v="0"/>
    <x v="16"/>
    <n v="2"/>
    <x v="0"/>
    <n v="0"/>
    <n v="0"/>
    <n v="0"/>
    <n v="0"/>
    <m/>
  </r>
  <r>
    <x v="11"/>
    <x v="0"/>
    <x v="10"/>
    <n v="2615"/>
    <n v="2"/>
    <x v="15"/>
    <n v="2"/>
    <x v="6"/>
    <n v="0"/>
    <n v="0"/>
    <n v="0"/>
    <n v="0"/>
    <m/>
  </r>
  <r>
    <x v="11"/>
    <x v="0"/>
    <x v="10"/>
    <n v="2798"/>
    <n v="2"/>
    <x v="4"/>
    <n v="1"/>
    <x v="1"/>
    <n v="0"/>
    <n v="0"/>
    <n v="11500"/>
    <n v="0"/>
    <m/>
  </r>
  <r>
    <x v="11"/>
    <x v="0"/>
    <x v="10"/>
    <n v="2602"/>
    <n v="0"/>
    <x v="15"/>
    <n v="3"/>
    <x v="4"/>
    <n v="0"/>
    <n v="0"/>
    <n v="0"/>
    <n v="0"/>
    <m/>
  </r>
  <r>
    <x v="11"/>
    <x v="0"/>
    <x v="10"/>
    <n v="2901"/>
    <n v="1"/>
    <x v="15"/>
    <n v="1"/>
    <x v="4"/>
    <n v="0"/>
    <n v="0"/>
    <n v="0"/>
    <n v="0"/>
    <m/>
  </r>
  <r>
    <x v="11"/>
    <x v="0"/>
    <x v="10"/>
    <n v="540"/>
    <n v="0"/>
    <x v="0"/>
    <m/>
    <x v="0"/>
    <n v="0"/>
    <n v="0"/>
    <n v="0"/>
    <n v="0"/>
    <s v="Y"/>
  </r>
  <r>
    <x v="11"/>
    <x v="0"/>
    <x v="10"/>
    <n v="3199"/>
    <n v="0"/>
    <x v="15"/>
    <n v="1"/>
    <x v="4"/>
    <n v="0"/>
    <n v="0"/>
    <n v="0"/>
    <n v="0"/>
    <m/>
  </r>
  <r>
    <x v="11"/>
    <x v="0"/>
    <x v="10"/>
    <n v="2926"/>
    <n v="1"/>
    <x v="15"/>
    <n v="1"/>
    <x v="4"/>
    <n v="0"/>
    <n v="0"/>
    <n v="0"/>
    <n v="0"/>
    <m/>
  </r>
  <r>
    <x v="11"/>
    <x v="0"/>
    <x v="10"/>
    <n v="2560"/>
    <n v="1"/>
    <x v="15"/>
    <n v="4"/>
    <x v="3"/>
    <n v="0"/>
    <n v="0"/>
    <n v="0"/>
    <n v="0"/>
    <m/>
  </r>
  <r>
    <x v="11"/>
    <x v="0"/>
    <x v="10"/>
    <n v="2313"/>
    <n v="1"/>
    <x v="15"/>
    <n v="4"/>
    <x v="3"/>
    <n v="0"/>
    <n v="0"/>
    <n v="0"/>
    <n v="0"/>
    <m/>
  </r>
  <r>
    <x v="11"/>
    <x v="0"/>
    <x v="10"/>
    <n v="3329"/>
    <n v="2"/>
    <x v="15"/>
    <n v="3"/>
    <x v="3"/>
    <n v="0"/>
    <n v="0"/>
    <n v="0"/>
    <n v="0"/>
    <m/>
  </r>
  <r>
    <x v="1"/>
    <x v="1"/>
    <x v="8"/>
    <n v="1441"/>
    <n v="1"/>
    <x v="0"/>
    <m/>
    <x v="0"/>
    <n v="1824"/>
    <n v="1824"/>
    <n v="0"/>
    <n v="0"/>
    <m/>
  </r>
  <r>
    <x v="1"/>
    <x v="1"/>
    <x v="8"/>
    <n v="1339"/>
    <n v="0"/>
    <x v="0"/>
    <m/>
    <x v="0"/>
    <n v="2937"/>
    <n v="2937"/>
    <n v="0"/>
    <n v="0"/>
    <m/>
  </r>
  <r>
    <x v="1"/>
    <x v="1"/>
    <x v="8"/>
    <n v="1126"/>
    <n v="0"/>
    <x v="2"/>
    <n v="2"/>
    <x v="2"/>
    <n v="0"/>
    <n v="0"/>
    <n v="0"/>
    <n v="1600"/>
    <m/>
  </r>
  <r>
    <x v="1"/>
    <x v="1"/>
    <x v="8"/>
    <n v="1647"/>
    <n v="1"/>
    <x v="0"/>
    <m/>
    <x v="0"/>
    <n v="2128"/>
    <n v="2128"/>
    <n v="0"/>
    <n v="0"/>
    <m/>
  </r>
  <r>
    <x v="1"/>
    <x v="1"/>
    <x v="8"/>
    <n v="1802"/>
    <n v="2"/>
    <x v="0"/>
    <m/>
    <x v="0"/>
    <n v="1824"/>
    <n v="1824"/>
    <n v="0"/>
    <n v="0"/>
    <m/>
  </r>
  <r>
    <x v="1"/>
    <x v="1"/>
    <x v="8"/>
    <n v="1433"/>
    <n v="1"/>
    <x v="0"/>
    <m/>
    <x v="0"/>
    <n v="1824"/>
    <n v="1824"/>
    <n v="0"/>
    <n v="0"/>
    <m/>
  </r>
  <r>
    <x v="1"/>
    <x v="1"/>
    <x v="8"/>
    <n v="977"/>
    <n v="1"/>
    <x v="0"/>
    <m/>
    <x v="0"/>
    <n v="0"/>
    <n v="0"/>
    <n v="0"/>
    <n v="0"/>
    <m/>
  </r>
  <r>
    <x v="1"/>
    <x v="1"/>
    <x v="8"/>
    <n v="1909"/>
    <n v="2"/>
    <x v="16"/>
    <n v="1"/>
    <x v="0"/>
    <n v="0"/>
    <n v="0"/>
    <n v="0"/>
    <n v="0"/>
    <m/>
  </r>
  <r>
    <x v="1"/>
    <x v="1"/>
    <x v="8"/>
    <n v="1110"/>
    <n v="2"/>
    <x v="2"/>
    <n v="2"/>
    <x v="2"/>
    <n v="0"/>
    <n v="0"/>
    <n v="0"/>
    <n v="1600"/>
    <m/>
  </r>
  <r>
    <x v="1"/>
    <x v="1"/>
    <x v="8"/>
    <n v="2608"/>
    <n v="1"/>
    <x v="0"/>
    <m/>
    <x v="0"/>
    <n v="1824"/>
    <n v="1824"/>
    <n v="0"/>
    <n v="0"/>
    <m/>
  </r>
  <r>
    <x v="1"/>
    <x v="1"/>
    <x v="8"/>
    <n v="1725"/>
    <n v="3"/>
    <x v="2"/>
    <n v="2"/>
    <x v="2"/>
    <n v="0"/>
    <n v="0"/>
    <n v="0"/>
    <n v="1600"/>
    <m/>
  </r>
  <r>
    <x v="1"/>
    <x v="1"/>
    <x v="8"/>
    <n v="2220"/>
    <n v="2"/>
    <x v="0"/>
    <m/>
    <x v="0"/>
    <n v="3427"/>
    <n v="3427"/>
    <n v="0"/>
    <n v="0"/>
    <m/>
  </r>
  <r>
    <x v="5"/>
    <x v="1"/>
    <x v="8"/>
    <n v="1644"/>
    <n v="0"/>
    <x v="0"/>
    <m/>
    <x v="0"/>
    <n v="2128"/>
    <n v="2128"/>
    <n v="0"/>
    <n v="0"/>
    <m/>
  </r>
  <r>
    <x v="5"/>
    <x v="1"/>
    <x v="8"/>
    <n v="1132"/>
    <n v="0"/>
    <x v="0"/>
    <m/>
    <x v="0"/>
    <n v="2937"/>
    <n v="2937"/>
    <n v="0"/>
    <n v="0"/>
    <m/>
  </r>
  <r>
    <x v="5"/>
    <x v="1"/>
    <x v="8"/>
    <n v="1791"/>
    <n v="1"/>
    <x v="0"/>
    <m/>
    <x v="0"/>
    <n v="2128"/>
    <n v="2128"/>
    <n v="0"/>
    <n v="0"/>
    <m/>
  </r>
  <r>
    <x v="5"/>
    <x v="1"/>
    <x v="8"/>
    <n v="1710"/>
    <n v="3"/>
    <x v="0"/>
    <m/>
    <x v="0"/>
    <n v="2937"/>
    <n v="2937"/>
    <n v="0"/>
    <n v="0"/>
    <m/>
  </r>
  <r>
    <x v="5"/>
    <x v="1"/>
    <x v="8"/>
    <n v="2253"/>
    <n v="1"/>
    <x v="0"/>
    <m/>
    <x v="0"/>
    <n v="2937"/>
    <n v="2937"/>
    <n v="0"/>
    <n v="0"/>
    <m/>
  </r>
  <r>
    <x v="5"/>
    <x v="1"/>
    <x v="8"/>
    <n v="1001"/>
    <n v="0"/>
    <x v="0"/>
    <m/>
    <x v="0"/>
    <n v="2937"/>
    <n v="2937"/>
    <n v="0"/>
    <n v="0"/>
    <m/>
  </r>
  <r>
    <x v="5"/>
    <x v="1"/>
    <x v="8"/>
    <n v="1203"/>
    <n v="1"/>
    <x v="2"/>
    <n v="2"/>
    <x v="2"/>
    <n v="0"/>
    <n v="0"/>
    <n v="0"/>
    <n v="1600"/>
    <m/>
  </r>
  <r>
    <x v="5"/>
    <x v="1"/>
    <x v="8"/>
    <n v="1620"/>
    <n v="2"/>
    <x v="0"/>
    <m/>
    <x v="0"/>
    <n v="1824"/>
    <n v="1824"/>
    <n v="0"/>
    <n v="0"/>
    <m/>
  </r>
  <r>
    <x v="5"/>
    <x v="1"/>
    <x v="8"/>
    <n v="1772"/>
    <n v="1"/>
    <x v="2"/>
    <n v="2"/>
    <x v="2"/>
    <n v="0"/>
    <n v="0"/>
    <n v="0"/>
    <n v="1600"/>
    <m/>
  </r>
  <r>
    <x v="11"/>
    <x v="0"/>
    <x v="10"/>
    <n v="2634"/>
    <n v="1"/>
    <x v="15"/>
    <n v="1"/>
    <x v="0"/>
    <n v="0"/>
    <n v="0"/>
    <n v="0"/>
    <n v="0"/>
    <m/>
  </r>
  <r>
    <x v="7"/>
    <x v="0"/>
    <x v="7"/>
    <n v="3118"/>
    <n v="0"/>
    <x v="13"/>
    <n v="1"/>
    <x v="8"/>
    <n v="8500"/>
    <n v="8500"/>
    <n v="0"/>
    <n v="0"/>
    <m/>
  </r>
  <r>
    <x v="7"/>
    <x v="0"/>
    <x v="7"/>
    <n v="3166"/>
    <n v="3"/>
    <x v="2"/>
    <n v="5"/>
    <x v="2"/>
    <n v="0"/>
    <n v="0"/>
    <n v="0"/>
    <n v="4000"/>
    <m/>
  </r>
  <r>
    <x v="7"/>
    <x v="0"/>
    <x v="7"/>
    <n v="3825"/>
    <n v="1"/>
    <x v="16"/>
    <n v="1"/>
    <x v="0"/>
    <n v="0"/>
    <n v="0"/>
    <n v="0"/>
    <n v="0"/>
    <m/>
  </r>
  <r>
    <x v="7"/>
    <x v="0"/>
    <x v="7"/>
    <n v="3553"/>
    <n v="0"/>
    <x v="13"/>
    <n v="1"/>
    <x v="8"/>
    <n v="8500"/>
    <n v="8500"/>
    <n v="0"/>
    <n v="0"/>
    <m/>
  </r>
  <r>
    <x v="7"/>
    <x v="0"/>
    <x v="7"/>
    <n v="3574"/>
    <n v="1"/>
    <x v="18"/>
    <n v="1"/>
    <x v="7"/>
    <n v="4134"/>
    <n v="4134"/>
    <n v="0"/>
    <n v="0"/>
    <m/>
  </r>
  <r>
    <x v="7"/>
    <x v="0"/>
    <x v="7"/>
    <n v="3456"/>
    <n v="3"/>
    <x v="13"/>
    <n v="1"/>
    <x v="7"/>
    <n v="2411"/>
    <n v="2411"/>
    <n v="0"/>
    <n v="0"/>
    <m/>
  </r>
  <r>
    <x v="7"/>
    <x v="0"/>
    <x v="7"/>
    <n v="3185"/>
    <n v="0"/>
    <x v="13"/>
    <n v="1"/>
    <x v="8"/>
    <n v="6502"/>
    <n v="6502"/>
    <n v="0"/>
    <n v="0"/>
    <m/>
  </r>
  <r>
    <x v="7"/>
    <x v="0"/>
    <x v="7"/>
    <n v="3742"/>
    <n v="4"/>
    <x v="13"/>
    <n v="1"/>
    <x v="7"/>
    <n v="4593"/>
    <n v="4593"/>
    <n v="0"/>
    <n v="0"/>
    <m/>
  </r>
  <r>
    <x v="10"/>
    <x v="0"/>
    <x v="10"/>
    <n v="2924"/>
    <n v="1"/>
    <x v="5"/>
    <n v="1"/>
    <x v="4"/>
    <n v="0"/>
    <n v="0"/>
    <n v="0"/>
    <n v="0"/>
    <m/>
  </r>
  <r>
    <x v="10"/>
    <x v="0"/>
    <x v="10"/>
    <n v="3192"/>
    <n v="2"/>
    <x v="5"/>
    <n v="2"/>
    <x v="4"/>
    <n v="0"/>
    <n v="0"/>
    <n v="0"/>
    <n v="0"/>
    <m/>
  </r>
  <r>
    <x v="10"/>
    <x v="0"/>
    <x v="10"/>
    <n v="2967"/>
    <n v="1"/>
    <x v="5"/>
    <n v="2"/>
    <x v="4"/>
    <n v="0"/>
    <n v="0"/>
    <n v="0"/>
    <n v="0"/>
    <m/>
  </r>
  <r>
    <x v="10"/>
    <x v="0"/>
    <x v="10"/>
    <n v="2926"/>
    <n v="0"/>
    <x v="5"/>
    <n v="3"/>
    <x v="3"/>
    <n v="0"/>
    <n v="0"/>
    <n v="0"/>
    <n v="0"/>
    <m/>
  </r>
  <r>
    <x v="10"/>
    <x v="0"/>
    <x v="10"/>
    <n v="2801"/>
    <n v="1"/>
    <x v="5"/>
    <n v="3"/>
    <x v="3"/>
    <n v="0"/>
    <n v="0"/>
    <n v="0"/>
    <n v="0"/>
    <m/>
  </r>
  <r>
    <x v="10"/>
    <x v="0"/>
    <x v="10"/>
    <n v="2800"/>
    <n v="0"/>
    <x v="11"/>
    <s v="Vagabond"/>
    <x v="1"/>
    <n v="0"/>
    <n v="0"/>
    <n v="0"/>
    <n v="0"/>
    <m/>
  </r>
  <r>
    <x v="10"/>
    <x v="0"/>
    <x v="10"/>
    <n v="2913"/>
    <n v="0"/>
    <x v="5"/>
    <n v="1"/>
    <x v="6"/>
    <n v="0"/>
    <n v="0"/>
    <n v="0"/>
    <n v="0"/>
    <m/>
  </r>
  <r>
    <x v="10"/>
    <x v="0"/>
    <x v="10"/>
    <n v="2812"/>
    <n v="1"/>
    <x v="5"/>
    <n v="1"/>
    <x v="4"/>
    <n v="0"/>
    <n v="0"/>
    <n v="0"/>
    <n v="0"/>
    <m/>
  </r>
  <r>
    <x v="10"/>
    <x v="0"/>
    <x v="10"/>
    <n v="2449"/>
    <n v="0"/>
    <x v="4"/>
    <n v="1"/>
    <x v="1"/>
    <n v="0"/>
    <n v="0"/>
    <n v="11500"/>
    <n v="0"/>
    <m/>
  </r>
  <r>
    <x v="10"/>
    <x v="0"/>
    <x v="10"/>
    <n v="2754"/>
    <n v="1"/>
    <x v="19"/>
    <n v="1"/>
    <x v="2"/>
    <n v="0"/>
    <n v="120000"/>
    <n v="0"/>
    <n v="0"/>
    <m/>
  </r>
  <r>
    <x v="10"/>
    <x v="0"/>
    <x v="10"/>
    <n v="2824"/>
    <n v="1"/>
    <x v="11"/>
    <s v="Pixie"/>
    <x v="1"/>
    <n v="0"/>
    <n v="0"/>
    <n v="0"/>
    <n v="0"/>
    <m/>
  </r>
  <r>
    <x v="10"/>
    <x v="0"/>
    <x v="10"/>
    <n v="2980"/>
    <n v="0"/>
    <x v="5"/>
    <n v="1"/>
    <x v="4"/>
    <n v="0"/>
    <n v="0"/>
    <n v="0"/>
    <n v="0"/>
    <m/>
  </r>
  <r>
    <x v="10"/>
    <x v="0"/>
    <x v="10"/>
    <n v="2957"/>
    <n v="0"/>
    <x v="12"/>
    <n v="1"/>
    <x v="2"/>
    <n v="0"/>
    <n v="0"/>
    <n v="0"/>
    <n v="0"/>
    <m/>
  </r>
  <r>
    <x v="10"/>
    <x v="0"/>
    <x v="10"/>
    <n v="2417"/>
    <n v="0"/>
    <x v="2"/>
    <n v="4"/>
    <x v="2"/>
    <n v="0"/>
    <n v="0"/>
    <n v="0"/>
    <n v="3200"/>
    <m/>
  </r>
  <r>
    <x v="10"/>
    <x v="0"/>
    <x v="10"/>
    <n v="2671"/>
    <n v="0"/>
    <x v="5"/>
    <n v="5"/>
    <x v="3"/>
    <n v="0"/>
    <n v="0"/>
    <n v="0"/>
    <n v="0"/>
    <m/>
  </r>
  <r>
    <x v="10"/>
    <x v="0"/>
    <x v="10"/>
    <n v="2947"/>
    <n v="1"/>
    <x v="5"/>
    <n v="1"/>
    <x v="6"/>
    <n v="0"/>
    <n v="0"/>
    <n v="0"/>
    <n v="0"/>
    <m/>
  </r>
  <r>
    <x v="10"/>
    <x v="0"/>
    <x v="10"/>
    <n v="3358"/>
    <n v="1"/>
    <x v="2"/>
    <n v="4"/>
    <x v="2"/>
    <n v="0"/>
    <n v="0"/>
    <n v="0"/>
    <n v="3200"/>
    <m/>
  </r>
  <r>
    <x v="10"/>
    <x v="0"/>
    <x v="10"/>
    <n v="2184"/>
    <n v="0"/>
    <x v="5"/>
    <n v="4"/>
    <x v="3"/>
    <n v="0"/>
    <n v="0"/>
    <n v="0"/>
    <n v="0"/>
    <m/>
  </r>
  <r>
    <x v="10"/>
    <x v="0"/>
    <x v="10"/>
    <n v="2654"/>
    <n v="3"/>
    <x v="5"/>
    <n v="1"/>
    <x v="4"/>
    <n v="0"/>
    <n v="0"/>
    <n v="0"/>
    <n v="0"/>
    <m/>
  </r>
  <r>
    <x v="10"/>
    <x v="0"/>
    <x v="10"/>
    <n v="2592"/>
    <n v="1"/>
    <x v="5"/>
    <n v="1"/>
    <x v="4"/>
    <n v="0"/>
    <n v="0"/>
    <n v="0"/>
    <n v="0"/>
    <m/>
  </r>
  <r>
    <x v="10"/>
    <x v="0"/>
    <x v="10"/>
    <n v="2625"/>
    <n v="0"/>
    <x v="5"/>
    <n v="1"/>
    <x v="6"/>
    <n v="0"/>
    <n v="0"/>
    <n v="0"/>
    <n v="0"/>
    <m/>
  </r>
  <r>
    <x v="10"/>
    <x v="0"/>
    <x v="10"/>
    <n v="3029"/>
    <n v="0"/>
    <x v="5"/>
    <n v="1"/>
    <x v="4"/>
    <n v="0"/>
    <n v="0"/>
    <n v="0"/>
    <n v="0"/>
    <m/>
  </r>
  <r>
    <x v="10"/>
    <x v="0"/>
    <x v="10"/>
    <n v="2865"/>
    <n v="1"/>
    <x v="5"/>
    <n v="1"/>
    <x v="4"/>
    <n v="0"/>
    <n v="0"/>
    <n v="0"/>
    <n v="0"/>
    <m/>
  </r>
  <r>
    <x v="10"/>
    <x v="0"/>
    <x v="10"/>
    <n v="3075"/>
    <n v="3"/>
    <x v="5"/>
    <n v="5"/>
    <x v="3"/>
    <n v="0"/>
    <n v="0"/>
    <n v="0"/>
    <n v="0"/>
    <m/>
  </r>
  <r>
    <x v="10"/>
    <x v="0"/>
    <x v="10"/>
    <n v="3767"/>
    <n v="2"/>
    <x v="5"/>
    <n v="4"/>
    <x v="3"/>
    <n v="0"/>
    <n v="0"/>
    <n v="0"/>
    <n v="0"/>
    <m/>
  </r>
  <r>
    <x v="10"/>
    <x v="0"/>
    <x v="10"/>
    <n v="3007"/>
    <n v="2"/>
    <x v="5"/>
    <n v="3"/>
    <x v="4"/>
    <n v="0"/>
    <n v="0"/>
    <n v="0"/>
    <n v="0"/>
    <m/>
  </r>
  <r>
    <x v="10"/>
    <x v="0"/>
    <x v="10"/>
    <n v="2942"/>
    <n v="0"/>
    <x v="5"/>
    <n v="1"/>
    <x v="4"/>
    <n v="0"/>
    <n v="0"/>
    <n v="0"/>
    <n v="0"/>
    <m/>
  </r>
  <r>
    <x v="10"/>
    <x v="0"/>
    <x v="10"/>
    <n v="2701"/>
    <n v="0"/>
    <x v="5"/>
    <n v="5"/>
    <x v="3"/>
    <n v="0"/>
    <n v="0"/>
    <n v="0"/>
    <n v="0"/>
    <m/>
  </r>
  <r>
    <x v="10"/>
    <x v="0"/>
    <x v="10"/>
    <n v="3320"/>
    <n v="0"/>
    <x v="5"/>
    <n v="3"/>
    <x v="6"/>
    <n v="0"/>
    <n v="0"/>
    <n v="0"/>
    <n v="0"/>
    <m/>
  </r>
  <r>
    <x v="10"/>
    <x v="0"/>
    <x v="10"/>
    <n v="2890"/>
    <n v="2"/>
    <x v="5"/>
    <n v="3"/>
    <x v="3"/>
    <n v="0"/>
    <n v="0"/>
    <n v="0"/>
    <n v="0"/>
    <m/>
  </r>
  <r>
    <x v="10"/>
    <x v="0"/>
    <x v="10"/>
    <n v="3274"/>
    <n v="1"/>
    <x v="5"/>
    <n v="2"/>
    <x v="6"/>
    <n v="0"/>
    <n v="0"/>
    <n v="0"/>
    <n v="0"/>
    <m/>
  </r>
  <r>
    <x v="10"/>
    <x v="0"/>
    <x v="10"/>
    <n v="2847"/>
    <n v="1"/>
    <x v="5"/>
    <n v="1"/>
    <x v="6"/>
    <n v="0"/>
    <n v="0"/>
    <n v="0"/>
    <n v="0"/>
    <m/>
  </r>
  <r>
    <x v="10"/>
    <x v="0"/>
    <x v="10"/>
    <n v="2602"/>
    <n v="0"/>
    <x v="5"/>
    <n v="4"/>
    <x v="3"/>
    <n v="0"/>
    <n v="0"/>
    <n v="0"/>
    <n v="0"/>
    <m/>
  </r>
  <r>
    <x v="10"/>
    <x v="0"/>
    <x v="10"/>
    <n v="2901"/>
    <n v="1"/>
    <x v="11"/>
    <s v="Golem"/>
    <x v="5"/>
    <n v="0"/>
    <n v="0"/>
    <n v="0"/>
    <n v="0"/>
    <m/>
  </r>
  <r>
    <x v="10"/>
    <x v="0"/>
    <x v="10"/>
    <n v="2768"/>
    <n v="0"/>
    <x v="5"/>
    <n v="5"/>
    <x v="3"/>
    <n v="0"/>
    <n v="0"/>
    <n v="0"/>
    <n v="0"/>
    <m/>
  </r>
  <r>
    <x v="10"/>
    <x v="0"/>
    <x v="10"/>
    <n v="2401"/>
    <n v="1"/>
    <x v="5"/>
    <n v="1"/>
    <x v="4"/>
    <n v="0"/>
    <n v="0"/>
    <n v="0"/>
    <n v="0"/>
    <m/>
  </r>
  <r>
    <x v="10"/>
    <x v="0"/>
    <x v="10"/>
    <n v="2915"/>
    <n v="0"/>
    <x v="8"/>
    <n v="3"/>
    <x v="5"/>
    <n v="0"/>
    <n v="0"/>
    <n v="2587.5"/>
    <n v="2686.6499999999996"/>
    <m/>
  </r>
  <r>
    <x v="10"/>
    <x v="0"/>
    <x v="10"/>
    <n v="2978"/>
    <n v="0"/>
    <x v="5"/>
    <n v="4"/>
    <x v="3"/>
    <n v="0"/>
    <n v="0"/>
    <n v="0"/>
    <n v="0"/>
    <m/>
  </r>
  <r>
    <x v="10"/>
    <x v="0"/>
    <x v="10"/>
    <n v="2956"/>
    <n v="0"/>
    <x v="5"/>
    <n v="5"/>
    <x v="3"/>
    <n v="0"/>
    <n v="0"/>
    <n v="0"/>
    <n v="0"/>
    <m/>
  </r>
  <r>
    <x v="10"/>
    <x v="0"/>
    <x v="10"/>
    <n v="2657"/>
    <n v="1"/>
    <x v="5"/>
    <n v="5"/>
    <x v="3"/>
    <n v="0"/>
    <n v="0"/>
    <n v="0"/>
    <n v="0"/>
    <m/>
  </r>
  <r>
    <x v="10"/>
    <x v="0"/>
    <x v="10"/>
    <n v="2789"/>
    <n v="0"/>
    <x v="12"/>
    <n v="1"/>
    <x v="2"/>
    <n v="0"/>
    <n v="0"/>
    <n v="0"/>
    <n v="0"/>
    <m/>
  </r>
  <r>
    <x v="10"/>
    <x v="0"/>
    <x v="10"/>
    <n v="2793"/>
    <n v="1"/>
    <x v="5"/>
    <n v="5"/>
    <x v="3"/>
    <n v="0"/>
    <n v="0"/>
    <n v="0"/>
    <n v="0"/>
    <m/>
  </r>
  <r>
    <x v="10"/>
    <x v="0"/>
    <x v="10"/>
    <n v="2869"/>
    <n v="2"/>
    <x v="5"/>
    <n v="4"/>
    <x v="3"/>
    <n v="0"/>
    <n v="0"/>
    <n v="0"/>
    <n v="0"/>
    <m/>
  </r>
  <r>
    <x v="10"/>
    <x v="0"/>
    <x v="10"/>
    <n v="2638"/>
    <n v="1"/>
    <x v="12"/>
    <n v="1"/>
    <x v="2"/>
    <n v="0"/>
    <n v="0"/>
    <n v="0"/>
    <n v="0"/>
    <m/>
  </r>
  <r>
    <x v="10"/>
    <x v="0"/>
    <x v="10"/>
    <n v="2929"/>
    <n v="1"/>
    <x v="5"/>
    <n v="1"/>
    <x v="4"/>
    <n v="0"/>
    <n v="0"/>
    <n v="0"/>
    <n v="0"/>
    <m/>
  </r>
  <r>
    <x v="10"/>
    <x v="0"/>
    <x v="10"/>
    <n v="2423"/>
    <n v="1"/>
    <x v="5"/>
    <n v="3"/>
    <x v="3"/>
    <n v="0"/>
    <n v="0"/>
    <n v="0"/>
    <n v="0"/>
    <m/>
  </r>
  <r>
    <x v="10"/>
    <x v="0"/>
    <x v="10"/>
    <n v="2881"/>
    <n v="0"/>
    <x v="5"/>
    <n v="5"/>
    <x v="3"/>
    <n v="0"/>
    <n v="0"/>
    <n v="0"/>
    <n v="0"/>
    <m/>
  </r>
  <r>
    <x v="10"/>
    <x v="0"/>
    <x v="10"/>
    <n v="3128"/>
    <n v="1"/>
    <x v="5"/>
    <n v="4"/>
    <x v="3"/>
    <n v="0"/>
    <n v="0"/>
    <n v="0"/>
    <n v="0"/>
    <m/>
  </r>
  <r>
    <x v="10"/>
    <x v="0"/>
    <x v="10"/>
    <n v="3042"/>
    <n v="0"/>
    <x v="5"/>
    <n v="3"/>
    <x v="6"/>
    <n v="0"/>
    <n v="0"/>
    <n v="0"/>
    <n v="0"/>
    <m/>
  </r>
  <r>
    <x v="10"/>
    <x v="0"/>
    <x v="10"/>
    <n v="2846"/>
    <n v="1"/>
    <x v="5"/>
    <n v="1"/>
    <x v="6"/>
    <n v="0"/>
    <n v="0"/>
    <n v="0"/>
    <n v="0"/>
    <m/>
  </r>
  <r>
    <x v="10"/>
    <x v="0"/>
    <x v="10"/>
    <n v="3112"/>
    <n v="1"/>
    <x v="5"/>
    <n v="1"/>
    <x v="6"/>
    <n v="0"/>
    <n v="0"/>
    <n v="0"/>
    <n v="0"/>
    <m/>
  </r>
  <r>
    <x v="10"/>
    <x v="0"/>
    <x v="10"/>
    <n v="2928"/>
    <n v="1"/>
    <x v="5"/>
    <n v="4"/>
    <x v="3"/>
    <n v="0"/>
    <n v="0"/>
    <n v="0"/>
    <n v="0"/>
    <m/>
  </r>
  <r>
    <x v="10"/>
    <x v="0"/>
    <x v="10"/>
    <n v="2702"/>
    <n v="1"/>
    <x v="5"/>
    <n v="2"/>
    <x v="4"/>
    <n v="0"/>
    <n v="0"/>
    <n v="0"/>
    <n v="0"/>
    <m/>
  </r>
  <r>
    <x v="12"/>
    <x v="0"/>
    <x v="12"/>
    <n v="6071"/>
    <n v="0"/>
    <x v="8"/>
    <n v="4"/>
    <x v="5"/>
    <n v="0"/>
    <n v="0"/>
    <n v="3450"/>
    <n v="3582.2"/>
    <m/>
  </r>
  <r>
    <x v="12"/>
    <x v="0"/>
    <x v="12"/>
    <n v="5719"/>
    <n v="0"/>
    <x v="8"/>
    <n v="4"/>
    <x v="5"/>
    <n v="0"/>
    <n v="0"/>
    <n v="3450"/>
    <n v="3582.2"/>
    <m/>
  </r>
  <r>
    <x v="12"/>
    <x v="0"/>
    <x v="12"/>
    <n v="5444"/>
    <n v="0"/>
    <x v="8"/>
    <n v="4"/>
    <x v="5"/>
    <n v="0"/>
    <n v="0"/>
    <n v="3450"/>
    <n v="3582.2"/>
    <m/>
  </r>
  <r>
    <x v="12"/>
    <x v="0"/>
    <x v="12"/>
    <n v="5741"/>
    <n v="0"/>
    <x v="8"/>
    <n v="4"/>
    <x v="5"/>
    <n v="0"/>
    <n v="0"/>
    <n v="3450"/>
    <n v="3582.2"/>
    <m/>
  </r>
  <r>
    <x v="12"/>
    <x v="0"/>
    <x v="12"/>
    <n v="6031"/>
    <n v="0"/>
    <x v="8"/>
    <n v="4"/>
    <x v="5"/>
    <n v="0"/>
    <n v="0"/>
    <n v="3450"/>
    <n v="3582.2"/>
    <m/>
  </r>
  <r>
    <x v="12"/>
    <x v="0"/>
    <x v="12"/>
    <n v="5574"/>
    <n v="0"/>
    <x v="8"/>
    <n v="4"/>
    <x v="5"/>
    <n v="0"/>
    <n v="0"/>
    <n v="3450"/>
    <n v="3582.2"/>
    <m/>
  </r>
  <r>
    <x v="12"/>
    <x v="0"/>
    <x v="12"/>
    <n v="6065"/>
    <n v="0"/>
    <x v="8"/>
    <n v="4"/>
    <x v="5"/>
    <n v="0"/>
    <n v="0"/>
    <n v="3450"/>
    <n v="3582.2"/>
    <m/>
  </r>
  <r>
    <x v="12"/>
    <x v="0"/>
    <x v="12"/>
    <n v="5631"/>
    <n v="0"/>
    <x v="8"/>
    <n v="4"/>
    <x v="5"/>
    <n v="0"/>
    <n v="0"/>
    <n v="3450"/>
    <n v="3582.2"/>
    <m/>
  </r>
  <r>
    <x v="10"/>
    <x v="0"/>
    <x v="10"/>
    <n v="2671"/>
    <n v="0"/>
    <x v="5"/>
    <n v="1"/>
    <x v="4"/>
    <n v="0"/>
    <n v="0"/>
    <n v="0"/>
    <n v="0"/>
    <m/>
  </r>
  <r>
    <x v="10"/>
    <x v="0"/>
    <x v="10"/>
    <n v="2940"/>
    <n v="0"/>
    <x v="5"/>
    <n v="1"/>
    <x v="6"/>
    <n v="0"/>
    <n v="0"/>
    <n v="0"/>
    <n v="0"/>
    <m/>
  </r>
  <r>
    <x v="10"/>
    <x v="0"/>
    <x v="10"/>
    <n v="2643"/>
    <n v="2"/>
    <x v="5"/>
    <n v="1"/>
    <x v="6"/>
    <n v="0"/>
    <n v="0"/>
    <n v="0"/>
    <n v="0"/>
    <m/>
  </r>
  <r>
    <x v="10"/>
    <x v="0"/>
    <x v="10"/>
    <n v="2968"/>
    <n v="0"/>
    <x v="5"/>
    <n v="3"/>
    <x v="4"/>
    <n v="0"/>
    <n v="0"/>
    <n v="0"/>
    <n v="0"/>
    <m/>
  </r>
  <r>
    <x v="10"/>
    <x v="0"/>
    <x v="10"/>
    <n v="2502"/>
    <n v="2"/>
    <x v="5"/>
    <n v="2"/>
    <x v="4"/>
    <n v="0"/>
    <n v="0"/>
    <n v="0"/>
    <n v="0"/>
    <m/>
  </r>
  <r>
    <x v="10"/>
    <x v="0"/>
    <x v="10"/>
    <n v="2719"/>
    <n v="3"/>
    <x v="11"/>
    <s v="Serpent"/>
    <x v="5"/>
    <n v="0"/>
    <n v="0"/>
    <n v="0"/>
    <n v="0"/>
    <m/>
  </r>
  <r>
    <x v="10"/>
    <x v="0"/>
    <x v="10"/>
    <n v="2733"/>
    <n v="1"/>
    <x v="5"/>
    <n v="1"/>
    <x v="4"/>
    <n v="0"/>
    <n v="0"/>
    <n v="0"/>
    <n v="0"/>
    <m/>
  </r>
  <r>
    <x v="10"/>
    <x v="0"/>
    <x v="10"/>
    <n v="2917"/>
    <n v="1"/>
    <x v="5"/>
    <n v="1"/>
    <x v="4"/>
    <n v="0"/>
    <n v="0"/>
    <n v="0"/>
    <n v="0"/>
    <m/>
  </r>
  <r>
    <x v="10"/>
    <x v="0"/>
    <x v="10"/>
    <n v="2662"/>
    <n v="0"/>
    <x v="5"/>
    <n v="3"/>
    <x v="6"/>
    <n v="0"/>
    <n v="0"/>
    <n v="0"/>
    <n v="0"/>
    <m/>
  </r>
  <r>
    <x v="10"/>
    <x v="0"/>
    <x v="10"/>
    <n v="2980"/>
    <n v="1"/>
    <x v="5"/>
    <n v="2"/>
    <x v="4"/>
    <n v="0"/>
    <n v="0"/>
    <n v="0"/>
    <n v="0"/>
    <m/>
  </r>
  <r>
    <x v="10"/>
    <x v="0"/>
    <x v="10"/>
    <n v="2778"/>
    <n v="0"/>
    <x v="4"/>
    <n v="1"/>
    <x v="5"/>
    <n v="0"/>
    <n v="0"/>
    <n v="34500"/>
    <n v="118004"/>
    <m/>
  </r>
  <r>
    <x v="10"/>
    <x v="0"/>
    <x v="10"/>
    <n v="2383"/>
    <n v="0"/>
    <x v="2"/>
    <n v="5"/>
    <x v="2"/>
    <n v="0"/>
    <n v="0"/>
    <n v="0"/>
    <n v="4000"/>
    <m/>
  </r>
  <r>
    <x v="10"/>
    <x v="0"/>
    <x v="10"/>
    <n v="2705"/>
    <n v="1"/>
    <x v="5"/>
    <n v="1"/>
    <x v="6"/>
    <n v="0"/>
    <n v="0"/>
    <n v="0"/>
    <n v="0"/>
    <m/>
  </r>
  <r>
    <x v="10"/>
    <x v="0"/>
    <x v="10"/>
    <n v="2769"/>
    <n v="1"/>
    <x v="5"/>
    <n v="1"/>
    <x v="6"/>
    <n v="0"/>
    <n v="0"/>
    <n v="0"/>
    <n v="0"/>
    <m/>
  </r>
  <r>
    <x v="3"/>
    <x v="0"/>
    <x v="10"/>
    <n v="2432"/>
    <n v="1"/>
    <x v="3"/>
    <n v="5"/>
    <x v="3"/>
    <n v="0"/>
    <n v="0"/>
    <n v="0"/>
    <n v="0"/>
    <m/>
  </r>
  <r>
    <x v="13"/>
    <x v="0"/>
    <x v="10"/>
    <n v="2838"/>
    <n v="0"/>
    <x v="14"/>
    <n v="4"/>
    <x v="3"/>
    <n v="0"/>
    <n v="0"/>
    <n v="0"/>
    <n v="0"/>
    <m/>
  </r>
  <r>
    <x v="13"/>
    <x v="0"/>
    <x v="10"/>
    <n v="2427"/>
    <n v="1"/>
    <x v="16"/>
    <n v="3"/>
    <x v="0"/>
    <n v="0"/>
    <n v="0"/>
    <n v="0"/>
    <n v="0"/>
    <m/>
  </r>
  <r>
    <x v="13"/>
    <x v="0"/>
    <x v="10"/>
    <n v="3047"/>
    <n v="2"/>
    <x v="14"/>
    <n v="1"/>
    <x v="4"/>
    <n v="0"/>
    <n v="0"/>
    <n v="0"/>
    <n v="0"/>
    <m/>
  </r>
  <r>
    <x v="13"/>
    <x v="0"/>
    <x v="10"/>
    <n v="2866"/>
    <n v="1"/>
    <x v="12"/>
    <n v="1"/>
    <x v="2"/>
    <n v="0"/>
    <n v="0"/>
    <n v="0"/>
    <n v="0"/>
    <m/>
  </r>
  <r>
    <x v="13"/>
    <x v="0"/>
    <x v="10"/>
    <n v="2763"/>
    <n v="0"/>
    <x v="16"/>
    <n v="2"/>
    <x v="0"/>
    <n v="0"/>
    <n v="0"/>
    <n v="0"/>
    <n v="0"/>
    <m/>
  </r>
  <r>
    <x v="13"/>
    <x v="0"/>
    <x v="10"/>
    <n v="3056"/>
    <n v="1"/>
    <x v="16"/>
    <n v="1"/>
    <x v="0"/>
    <n v="0"/>
    <n v="0"/>
    <n v="0"/>
    <n v="0"/>
    <m/>
  </r>
  <r>
    <x v="13"/>
    <x v="0"/>
    <x v="10"/>
    <n v="2719"/>
    <n v="0"/>
    <x v="14"/>
    <n v="5"/>
    <x v="3"/>
    <n v="0"/>
    <n v="0"/>
    <n v="0"/>
    <n v="0"/>
    <m/>
  </r>
  <r>
    <x v="13"/>
    <x v="0"/>
    <x v="10"/>
    <n v="2911"/>
    <n v="1"/>
    <x v="14"/>
    <n v="5"/>
    <x v="3"/>
    <n v="0"/>
    <n v="0"/>
    <n v="0"/>
    <n v="0"/>
    <m/>
  </r>
  <r>
    <x v="13"/>
    <x v="0"/>
    <x v="10"/>
    <n v="2858"/>
    <n v="0"/>
    <x v="14"/>
    <n v="1"/>
    <x v="4"/>
    <n v="0"/>
    <n v="0"/>
    <n v="0"/>
    <n v="0"/>
    <m/>
  </r>
  <r>
    <x v="13"/>
    <x v="0"/>
    <x v="10"/>
    <n v="2965"/>
    <n v="1"/>
    <x v="14"/>
    <n v="3"/>
    <x v="4"/>
    <n v="0"/>
    <n v="0"/>
    <n v="0"/>
    <n v="0"/>
    <m/>
  </r>
  <r>
    <x v="13"/>
    <x v="0"/>
    <x v="10"/>
    <n v="3486"/>
    <n v="1"/>
    <x v="12"/>
    <n v="1"/>
    <x v="2"/>
    <n v="0"/>
    <n v="0"/>
    <n v="0"/>
    <n v="0"/>
    <m/>
  </r>
  <r>
    <x v="13"/>
    <x v="0"/>
    <x v="10"/>
    <n v="2992"/>
    <n v="0"/>
    <x v="4"/>
    <n v="1"/>
    <x v="5"/>
    <n v="0"/>
    <n v="0"/>
    <n v="34500"/>
    <n v="118004"/>
    <m/>
  </r>
  <r>
    <x v="13"/>
    <x v="0"/>
    <x v="10"/>
    <n v="2961"/>
    <n v="1"/>
    <x v="2"/>
    <n v="5"/>
    <x v="2"/>
    <n v="0"/>
    <n v="0"/>
    <n v="0"/>
    <n v="4000"/>
    <m/>
  </r>
  <r>
    <x v="13"/>
    <x v="0"/>
    <x v="10"/>
    <n v="2744"/>
    <n v="1"/>
    <x v="14"/>
    <n v="1"/>
    <x v="6"/>
    <n v="0"/>
    <n v="0"/>
    <n v="0"/>
    <n v="0"/>
    <m/>
  </r>
  <r>
    <x v="13"/>
    <x v="0"/>
    <x v="10"/>
    <n v="2564"/>
    <n v="0"/>
    <x v="14"/>
    <n v="5"/>
    <x v="3"/>
    <n v="0"/>
    <n v="0"/>
    <n v="0"/>
    <n v="0"/>
    <m/>
  </r>
  <r>
    <x v="13"/>
    <x v="0"/>
    <x v="10"/>
    <n v="2876"/>
    <n v="2"/>
    <x v="4"/>
    <n v="1"/>
    <x v="5"/>
    <n v="0"/>
    <n v="0"/>
    <n v="34500"/>
    <n v="118004"/>
    <m/>
  </r>
  <r>
    <x v="13"/>
    <x v="0"/>
    <x v="10"/>
    <n v="2779"/>
    <n v="0"/>
    <x v="16"/>
    <n v="2"/>
    <x v="0"/>
    <n v="0"/>
    <n v="0"/>
    <n v="0"/>
    <n v="0"/>
    <m/>
  </r>
  <r>
    <x v="3"/>
    <x v="0"/>
    <x v="10"/>
    <n v="3024"/>
    <n v="1"/>
    <x v="3"/>
    <n v="3"/>
    <x v="4"/>
    <n v="0"/>
    <n v="0"/>
    <n v="0"/>
    <n v="0"/>
    <m/>
  </r>
  <r>
    <x v="13"/>
    <x v="0"/>
    <x v="10"/>
    <n v="3032"/>
    <n v="0"/>
    <x v="14"/>
    <n v="5"/>
    <x v="3"/>
    <n v="0"/>
    <n v="0"/>
    <n v="0"/>
    <n v="0"/>
    <m/>
  </r>
  <r>
    <x v="13"/>
    <x v="0"/>
    <x v="10"/>
    <n v="2865"/>
    <n v="1"/>
    <x v="4"/>
    <n v="1"/>
    <x v="5"/>
    <n v="0"/>
    <n v="0"/>
    <n v="34500"/>
    <n v="118004"/>
    <m/>
  </r>
  <r>
    <x v="13"/>
    <x v="0"/>
    <x v="10"/>
    <n v="2891"/>
    <n v="2"/>
    <x v="14"/>
    <n v="1"/>
    <x v="4"/>
    <n v="0"/>
    <n v="0"/>
    <n v="0"/>
    <n v="0"/>
    <m/>
  </r>
  <r>
    <x v="13"/>
    <x v="0"/>
    <x v="10"/>
    <n v="2799"/>
    <n v="0"/>
    <x v="14"/>
    <n v="2"/>
    <x v="4"/>
    <n v="0"/>
    <n v="0"/>
    <n v="0"/>
    <n v="0"/>
    <m/>
  </r>
  <r>
    <x v="13"/>
    <x v="0"/>
    <x v="10"/>
    <n v="3197"/>
    <n v="1"/>
    <x v="14"/>
    <n v="2"/>
    <x v="4"/>
    <n v="0"/>
    <n v="0"/>
    <n v="0"/>
    <n v="0"/>
    <m/>
  </r>
  <r>
    <x v="13"/>
    <x v="0"/>
    <x v="10"/>
    <n v="3013"/>
    <n v="0"/>
    <x v="14"/>
    <n v="4"/>
    <x v="3"/>
    <n v="0"/>
    <n v="0"/>
    <n v="0"/>
    <n v="0"/>
    <m/>
  </r>
  <r>
    <x v="13"/>
    <x v="0"/>
    <x v="10"/>
    <n v="3393"/>
    <n v="1"/>
    <x v="14"/>
    <n v="4"/>
    <x v="3"/>
    <n v="0"/>
    <n v="0"/>
    <n v="0"/>
    <n v="0"/>
    <m/>
  </r>
  <r>
    <x v="13"/>
    <x v="0"/>
    <x v="10"/>
    <n v="3290"/>
    <n v="0"/>
    <x v="19"/>
    <n v="1"/>
    <x v="2"/>
    <n v="0"/>
    <n v="120000"/>
    <n v="0"/>
    <n v="0"/>
    <m/>
  </r>
  <r>
    <x v="14"/>
    <x v="3"/>
    <x v="3"/>
    <n v="1311"/>
    <n v="0"/>
    <x v="0"/>
    <m/>
    <x v="0"/>
    <n v="1236"/>
    <n v="1236"/>
    <n v="0"/>
    <n v="0"/>
    <m/>
  </r>
  <r>
    <x v="13"/>
    <x v="0"/>
    <x v="10"/>
    <n v="2551"/>
    <n v="1"/>
    <x v="11"/>
    <s v="Yeti"/>
    <x v="1"/>
    <n v="0"/>
    <n v="0"/>
    <n v="0"/>
    <n v="0"/>
    <m/>
  </r>
  <r>
    <x v="13"/>
    <x v="0"/>
    <x v="10"/>
    <n v="2856"/>
    <n v="0"/>
    <x v="14"/>
    <n v="1"/>
    <x v="6"/>
    <n v="0"/>
    <n v="0"/>
    <n v="0"/>
    <n v="0"/>
    <m/>
  </r>
  <r>
    <x v="13"/>
    <x v="0"/>
    <x v="10"/>
    <n v="2488"/>
    <n v="1"/>
    <x v="14"/>
    <n v="3"/>
    <x v="4"/>
    <n v="0"/>
    <n v="0"/>
    <n v="0"/>
    <n v="0"/>
    <m/>
  </r>
  <r>
    <x v="13"/>
    <x v="0"/>
    <x v="10"/>
    <n v="2583"/>
    <n v="0"/>
    <x v="14"/>
    <n v="5"/>
    <x v="3"/>
    <n v="0"/>
    <n v="0"/>
    <n v="0"/>
    <n v="0"/>
    <m/>
  </r>
  <r>
    <x v="13"/>
    <x v="0"/>
    <x v="10"/>
    <n v="2394"/>
    <n v="0"/>
    <x v="14"/>
    <n v="4"/>
    <x v="3"/>
    <n v="0"/>
    <n v="0"/>
    <n v="0"/>
    <n v="0"/>
    <m/>
  </r>
  <r>
    <x v="13"/>
    <x v="0"/>
    <x v="10"/>
    <n v="2703"/>
    <n v="0"/>
    <x v="14"/>
    <n v="1"/>
    <x v="6"/>
    <n v="0"/>
    <n v="0"/>
    <n v="0"/>
    <n v="0"/>
    <m/>
  </r>
  <r>
    <x v="13"/>
    <x v="0"/>
    <x v="10"/>
    <n v="2880"/>
    <n v="1"/>
    <x v="14"/>
    <n v="4"/>
    <x v="3"/>
    <n v="0"/>
    <n v="0"/>
    <n v="0"/>
    <n v="0"/>
    <m/>
  </r>
  <r>
    <x v="13"/>
    <x v="0"/>
    <x v="10"/>
    <n v="2802"/>
    <n v="0"/>
    <x v="14"/>
    <n v="3"/>
    <x v="4"/>
    <n v="0"/>
    <n v="0"/>
    <n v="0"/>
    <n v="0"/>
    <m/>
  </r>
  <r>
    <x v="13"/>
    <x v="0"/>
    <x v="10"/>
    <n v="2784"/>
    <n v="2"/>
    <x v="16"/>
    <n v="2"/>
    <x v="0"/>
    <n v="0"/>
    <n v="0"/>
    <n v="0"/>
    <n v="0"/>
    <m/>
  </r>
  <r>
    <x v="13"/>
    <x v="0"/>
    <x v="10"/>
    <n v="2856"/>
    <n v="0"/>
    <x v="14"/>
    <n v="3"/>
    <x v="4"/>
    <n v="0"/>
    <n v="0"/>
    <n v="0"/>
    <n v="0"/>
    <m/>
  </r>
  <r>
    <x v="13"/>
    <x v="0"/>
    <x v="10"/>
    <n v="3481"/>
    <n v="0"/>
    <x v="14"/>
    <n v="4"/>
    <x v="3"/>
    <n v="0"/>
    <n v="0"/>
    <n v="0"/>
    <n v="0"/>
    <m/>
  </r>
  <r>
    <x v="13"/>
    <x v="0"/>
    <x v="10"/>
    <n v="2701"/>
    <n v="0"/>
    <x v="4"/>
    <s v="2*"/>
    <x v="0"/>
    <n v="0"/>
    <n v="0"/>
    <n v="0"/>
    <n v="0"/>
    <m/>
  </r>
  <r>
    <x v="13"/>
    <x v="0"/>
    <x v="10"/>
    <n v="2809"/>
    <n v="1"/>
    <x v="12"/>
    <s v="1*"/>
    <x v="0"/>
    <n v="0"/>
    <n v="0"/>
    <n v="0"/>
    <n v="0"/>
    <m/>
  </r>
  <r>
    <x v="13"/>
    <x v="0"/>
    <x v="10"/>
    <n v="2999"/>
    <n v="0"/>
    <x v="14"/>
    <n v="5"/>
    <x v="3"/>
    <n v="0"/>
    <n v="0"/>
    <n v="0"/>
    <n v="0"/>
    <m/>
  </r>
  <r>
    <x v="13"/>
    <x v="0"/>
    <x v="10"/>
    <n v="2639"/>
    <n v="1"/>
    <x v="14"/>
    <n v="2"/>
    <x v="4"/>
    <n v="0"/>
    <n v="0"/>
    <n v="0"/>
    <n v="0"/>
    <m/>
  </r>
  <r>
    <x v="13"/>
    <x v="0"/>
    <x v="10"/>
    <n v="2853"/>
    <n v="0"/>
    <x v="14"/>
    <n v="2"/>
    <x v="6"/>
    <n v="0"/>
    <n v="0"/>
    <n v="0"/>
    <n v="0"/>
    <m/>
  </r>
  <r>
    <x v="13"/>
    <x v="0"/>
    <x v="10"/>
    <n v="3206"/>
    <n v="1"/>
    <x v="14"/>
    <n v="4"/>
    <x v="3"/>
    <n v="0"/>
    <n v="0"/>
    <n v="0"/>
    <n v="0"/>
    <m/>
  </r>
  <r>
    <x v="13"/>
    <x v="0"/>
    <x v="10"/>
    <n v="3218"/>
    <n v="0"/>
    <x v="14"/>
    <n v="3"/>
    <x v="4"/>
    <n v="0"/>
    <n v="0"/>
    <n v="0"/>
    <n v="0"/>
    <m/>
  </r>
  <r>
    <x v="13"/>
    <x v="0"/>
    <x v="10"/>
    <n v="2853"/>
    <n v="2"/>
    <x v="14"/>
    <n v="3"/>
    <x v="6"/>
    <n v="0"/>
    <n v="0"/>
    <n v="0"/>
    <n v="0"/>
    <m/>
  </r>
  <r>
    <x v="13"/>
    <x v="0"/>
    <x v="10"/>
    <n v="2921"/>
    <n v="0"/>
    <x v="14"/>
    <n v="1"/>
    <x v="6"/>
    <n v="0"/>
    <n v="0"/>
    <n v="0"/>
    <n v="0"/>
    <m/>
  </r>
  <r>
    <x v="13"/>
    <x v="0"/>
    <x v="10"/>
    <n v="2840"/>
    <n v="0"/>
    <x v="12"/>
    <s v="1*"/>
    <x v="0"/>
    <n v="0"/>
    <n v="0"/>
    <n v="0"/>
    <n v="0"/>
    <m/>
  </r>
  <r>
    <x v="13"/>
    <x v="0"/>
    <x v="10"/>
    <n v="3444"/>
    <n v="0"/>
    <x v="16"/>
    <n v="1"/>
    <x v="0"/>
    <n v="0"/>
    <n v="0"/>
    <n v="0"/>
    <n v="0"/>
    <m/>
  </r>
  <r>
    <x v="13"/>
    <x v="0"/>
    <x v="10"/>
    <n v="2844"/>
    <n v="0"/>
    <x v="14"/>
    <n v="2"/>
    <x v="4"/>
    <n v="0"/>
    <n v="0"/>
    <n v="0"/>
    <n v="0"/>
    <m/>
  </r>
  <r>
    <x v="13"/>
    <x v="0"/>
    <x v="10"/>
    <n v="2720"/>
    <n v="0"/>
    <x v="14"/>
    <n v="4"/>
    <x v="3"/>
    <n v="0"/>
    <n v="0"/>
    <n v="0"/>
    <n v="0"/>
    <m/>
  </r>
  <r>
    <x v="13"/>
    <x v="0"/>
    <x v="10"/>
    <n v="2990"/>
    <n v="1"/>
    <x v="14"/>
    <n v="4"/>
    <x v="3"/>
    <n v="0"/>
    <n v="0"/>
    <n v="0"/>
    <n v="0"/>
    <m/>
  </r>
  <r>
    <x v="13"/>
    <x v="0"/>
    <x v="10"/>
    <n v="2846"/>
    <n v="4"/>
    <x v="14"/>
    <n v="1"/>
    <x v="4"/>
    <n v="0"/>
    <n v="0"/>
    <n v="0"/>
    <n v="0"/>
    <m/>
  </r>
  <r>
    <x v="13"/>
    <x v="0"/>
    <x v="10"/>
    <n v="2740"/>
    <n v="1"/>
    <x v="16"/>
    <n v="1"/>
    <x v="0"/>
    <n v="0"/>
    <n v="0"/>
    <n v="0"/>
    <n v="0"/>
    <m/>
  </r>
  <r>
    <x v="13"/>
    <x v="0"/>
    <x v="10"/>
    <n v="2619"/>
    <n v="2"/>
    <x v="14"/>
    <n v="1"/>
    <x v="4"/>
    <n v="0"/>
    <n v="0"/>
    <n v="0"/>
    <n v="0"/>
    <m/>
  </r>
  <r>
    <x v="13"/>
    <x v="0"/>
    <x v="10"/>
    <n v="3000"/>
    <n v="1"/>
    <x v="14"/>
    <n v="2"/>
    <x v="4"/>
    <n v="0"/>
    <n v="0"/>
    <n v="0"/>
    <n v="0"/>
    <m/>
  </r>
  <r>
    <x v="13"/>
    <x v="0"/>
    <x v="10"/>
    <n v="2846"/>
    <n v="3"/>
    <x v="14"/>
    <n v="4"/>
    <x v="3"/>
    <n v="0"/>
    <n v="0"/>
    <n v="0"/>
    <n v="0"/>
    <m/>
  </r>
  <r>
    <x v="13"/>
    <x v="0"/>
    <x v="10"/>
    <n v="2824"/>
    <n v="2"/>
    <x v="16"/>
    <n v="3"/>
    <x v="0"/>
    <n v="0"/>
    <n v="0"/>
    <n v="0"/>
    <n v="0"/>
    <m/>
  </r>
  <r>
    <x v="13"/>
    <x v="0"/>
    <x v="10"/>
    <n v="3201"/>
    <n v="0"/>
    <x v="14"/>
    <n v="5"/>
    <x v="3"/>
    <n v="0"/>
    <n v="0"/>
    <n v="0"/>
    <n v="0"/>
    <m/>
  </r>
  <r>
    <x v="13"/>
    <x v="0"/>
    <x v="10"/>
    <n v="2638"/>
    <n v="0"/>
    <x v="14"/>
    <n v="3"/>
    <x v="3"/>
    <n v="0"/>
    <n v="0"/>
    <n v="0"/>
    <n v="0"/>
    <m/>
  </r>
  <r>
    <x v="13"/>
    <x v="0"/>
    <x v="10"/>
    <n v="2887"/>
    <n v="1"/>
    <x v="2"/>
    <n v="4"/>
    <x v="2"/>
    <n v="0"/>
    <n v="0"/>
    <n v="0"/>
    <n v="3200"/>
    <m/>
  </r>
  <r>
    <x v="13"/>
    <x v="0"/>
    <x v="10"/>
    <n v="2399"/>
    <n v="0"/>
    <x v="14"/>
    <n v="3"/>
    <x v="6"/>
    <n v="0"/>
    <n v="0"/>
    <n v="0"/>
    <n v="0"/>
    <m/>
  </r>
  <r>
    <x v="13"/>
    <x v="0"/>
    <x v="10"/>
    <n v="3055"/>
    <n v="1"/>
    <x v="14"/>
    <n v="1"/>
    <x v="4"/>
    <n v="0"/>
    <n v="0"/>
    <n v="0"/>
    <n v="0"/>
    <m/>
  </r>
  <r>
    <x v="13"/>
    <x v="0"/>
    <x v="10"/>
    <n v="2841"/>
    <n v="0"/>
    <x v="14"/>
    <n v="5"/>
    <x v="3"/>
    <n v="0"/>
    <n v="0"/>
    <n v="0"/>
    <n v="0"/>
    <m/>
  </r>
  <r>
    <x v="13"/>
    <x v="0"/>
    <x v="10"/>
    <n v="2937"/>
    <n v="0"/>
    <x v="11"/>
    <s v="2*"/>
    <x v="0"/>
    <n v="0"/>
    <n v="0"/>
    <n v="0"/>
    <n v="0"/>
    <m/>
  </r>
  <r>
    <x v="13"/>
    <x v="0"/>
    <x v="10"/>
    <n v="2426"/>
    <n v="0"/>
    <x v="14"/>
    <n v="1"/>
    <x v="6"/>
    <n v="0"/>
    <n v="0"/>
    <n v="0"/>
    <n v="0"/>
    <m/>
  </r>
  <r>
    <x v="13"/>
    <x v="0"/>
    <x v="10"/>
    <n v="2552"/>
    <n v="1"/>
    <x v="14"/>
    <n v="3"/>
    <x v="4"/>
    <n v="0"/>
    <n v="0"/>
    <n v="0"/>
    <n v="0"/>
    <m/>
  </r>
  <r>
    <x v="13"/>
    <x v="0"/>
    <x v="10"/>
    <n v="2771"/>
    <n v="2"/>
    <x v="14"/>
    <n v="1"/>
    <x v="4"/>
    <n v="0"/>
    <n v="0"/>
    <n v="0"/>
    <n v="0"/>
    <m/>
  </r>
  <r>
    <x v="13"/>
    <x v="0"/>
    <x v="10"/>
    <n v="2652"/>
    <n v="2"/>
    <x v="14"/>
    <n v="4"/>
    <x v="3"/>
    <n v="0"/>
    <n v="0"/>
    <n v="0"/>
    <n v="0"/>
    <m/>
  </r>
  <r>
    <x v="13"/>
    <x v="0"/>
    <x v="10"/>
    <n v="2708"/>
    <n v="0"/>
    <x v="14"/>
    <n v="1"/>
    <x v="6"/>
    <n v="0"/>
    <n v="0"/>
    <n v="0"/>
    <n v="0"/>
    <m/>
  </r>
  <r>
    <x v="13"/>
    <x v="0"/>
    <x v="10"/>
    <n v="2684"/>
    <n v="1"/>
    <x v="14"/>
    <n v="1"/>
    <x v="6"/>
    <n v="0"/>
    <n v="0"/>
    <n v="0"/>
    <n v="0"/>
    <m/>
  </r>
  <r>
    <x v="13"/>
    <x v="0"/>
    <x v="10"/>
    <n v="3108"/>
    <n v="3"/>
    <x v="14"/>
    <n v="4"/>
    <x v="3"/>
    <n v="0"/>
    <n v="0"/>
    <n v="0"/>
    <n v="0"/>
    <m/>
  </r>
  <r>
    <x v="13"/>
    <x v="0"/>
    <x v="10"/>
    <n v="2839"/>
    <n v="1"/>
    <x v="14"/>
    <n v="1"/>
    <x v="6"/>
    <n v="0"/>
    <n v="0"/>
    <n v="0"/>
    <n v="0"/>
    <m/>
  </r>
  <r>
    <x v="5"/>
    <x v="1"/>
    <x v="8"/>
    <n v="1670"/>
    <n v="1"/>
    <x v="0"/>
    <m/>
    <x v="0"/>
    <n v="1976"/>
    <n v="1976"/>
    <n v="0"/>
    <n v="0"/>
    <m/>
  </r>
  <r>
    <x v="5"/>
    <x v="1"/>
    <x v="8"/>
    <n v="2097"/>
    <n v="1"/>
    <x v="0"/>
    <m/>
    <x v="0"/>
    <n v="1824"/>
    <n v="1824"/>
    <n v="0"/>
    <n v="0"/>
    <m/>
  </r>
  <r>
    <x v="5"/>
    <x v="1"/>
    <x v="8"/>
    <n v="2652"/>
    <n v="0"/>
    <x v="0"/>
    <m/>
    <x v="0"/>
    <n v="1976"/>
    <n v="1976"/>
    <n v="0"/>
    <n v="0"/>
    <m/>
  </r>
  <r>
    <x v="5"/>
    <x v="1"/>
    <x v="8"/>
    <n v="1719"/>
    <n v="2"/>
    <x v="0"/>
    <m/>
    <x v="0"/>
    <n v="1824"/>
    <n v="1824"/>
    <n v="0"/>
    <n v="0"/>
    <m/>
  </r>
  <r>
    <x v="5"/>
    <x v="1"/>
    <x v="8"/>
    <n v="1304"/>
    <n v="1"/>
    <x v="2"/>
    <n v="2"/>
    <x v="2"/>
    <n v="0"/>
    <n v="0"/>
    <n v="0"/>
    <n v="1600"/>
    <m/>
  </r>
  <r>
    <x v="5"/>
    <x v="1"/>
    <x v="8"/>
    <n v="1662"/>
    <n v="2"/>
    <x v="0"/>
    <m/>
    <x v="0"/>
    <n v="1976"/>
    <n v="1976"/>
    <n v="0"/>
    <n v="0"/>
    <m/>
  </r>
  <r>
    <x v="5"/>
    <x v="1"/>
    <x v="8"/>
    <n v="1385"/>
    <n v="0"/>
    <x v="0"/>
    <m/>
    <x v="0"/>
    <n v="2937"/>
    <n v="2937"/>
    <n v="0"/>
    <n v="0"/>
    <m/>
  </r>
  <r>
    <x v="5"/>
    <x v="1"/>
    <x v="8"/>
    <n v="1707"/>
    <n v="1"/>
    <x v="0"/>
    <m/>
    <x v="0"/>
    <n v="1824"/>
    <n v="1824"/>
    <n v="0"/>
    <n v="0"/>
    <m/>
  </r>
  <r>
    <x v="5"/>
    <x v="1"/>
    <x v="8"/>
    <n v="1589"/>
    <n v="1"/>
    <x v="2"/>
    <n v="2"/>
    <x v="2"/>
    <n v="0"/>
    <n v="0"/>
    <n v="0"/>
    <n v="1600"/>
    <m/>
  </r>
  <r>
    <x v="5"/>
    <x v="1"/>
    <x v="8"/>
    <n v="1796"/>
    <n v="2"/>
    <x v="2"/>
    <n v="2"/>
    <x v="2"/>
    <n v="0"/>
    <n v="0"/>
    <n v="0"/>
    <n v="1600"/>
    <m/>
  </r>
  <r>
    <x v="1"/>
    <x v="1"/>
    <x v="8"/>
    <n v="2028"/>
    <n v="0"/>
    <x v="2"/>
    <n v="2"/>
    <x v="2"/>
    <n v="0"/>
    <n v="0"/>
    <n v="0"/>
    <n v="1600"/>
    <m/>
  </r>
  <r>
    <x v="1"/>
    <x v="1"/>
    <x v="8"/>
    <n v="1671"/>
    <n v="0"/>
    <x v="0"/>
    <m/>
    <x v="0"/>
    <n v="1824"/>
    <n v="1824"/>
    <n v="0"/>
    <n v="0"/>
    <m/>
  </r>
  <r>
    <x v="1"/>
    <x v="1"/>
    <x v="8"/>
    <n v="777"/>
    <n v="3"/>
    <x v="0"/>
    <m/>
    <x v="0"/>
    <n v="2128"/>
    <n v="2128"/>
    <n v="0"/>
    <n v="0"/>
    <m/>
  </r>
  <r>
    <x v="1"/>
    <x v="1"/>
    <x v="8"/>
    <n v="2328"/>
    <n v="1"/>
    <x v="2"/>
    <n v="2"/>
    <x v="2"/>
    <n v="0"/>
    <n v="0"/>
    <n v="0"/>
    <n v="1600"/>
    <m/>
  </r>
  <r>
    <x v="1"/>
    <x v="1"/>
    <x v="8"/>
    <n v="1762"/>
    <n v="2"/>
    <x v="0"/>
    <m/>
    <x v="0"/>
    <n v="1976"/>
    <n v="1976"/>
    <n v="0"/>
    <n v="0"/>
    <m/>
  </r>
  <r>
    <x v="1"/>
    <x v="1"/>
    <x v="8"/>
    <n v="1553"/>
    <n v="1"/>
    <x v="0"/>
    <m/>
    <x v="0"/>
    <n v="2937"/>
    <n v="2937"/>
    <n v="0"/>
    <n v="0"/>
    <m/>
  </r>
  <r>
    <x v="1"/>
    <x v="1"/>
    <x v="8"/>
    <n v="1066"/>
    <n v="1"/>
    <x v="2"/>
    <n v="2"/>
    <x v="2"/>
    <n v="0"/>
    <n v="0"/>
    <n v="0"/>
    <n v="1600"/>
    <m/>
  </r>
  <r>
    <x v="1"/>
    <x v="1"/>
    <x v="8"/>
    <n v="1654"/>
    <n v="0"/>
    <x v="0"/>
    <m/>
    <x v="0"/>
    <n v="2937"/>
    <n v="2937"/>
    <n v="0"/>
    <n v="0"/>
    <m/>
  </r>
  <r>
    <x v="5"/>
    <x v="1"/>
    <x v="8"/>
    <n v="2758"/>
    <n v="0"/>
    <x v="2"/>
    <n v="2"/>
    <x v="2"/>
    <n v="0"/>
    <n v="0"/>
    <n v="0"/>
    <n v="1600"/>
    <m/>
  </r>
  <r>
    <x v="3"/>
    <x v="0"/>
    <x v="10"/>
    <n v="3008"/>
    <n v="1"/>
    <x v="3"/>
    <n v="5"/>
    <x v="3"/>
    <m/>
    <n v="0"/>
    <n v="0"/>
    <n v="0"/>
    <m/>
  </r>
  <r>
    <x v="7"/>
    <x v="0"/>
    <x v="6"/>
    <n v="2997"/>
    <n v="0"/>
    <x v="2"/>
    <n v="4"/>
    <x v="2"/>
    <n v="0"/>
    <n v="0"/>
    <n v="0"/>
    <n v="3200"/>
    <m/>
  </r>
  <r>
    <x v="7"/>
    <x v="0"/>
    <x v="6"/>
    <n v="3403"/>
    <n v="3"/>
    <x v="13"/>
    <n v="1"/>
    <x v="7"/>
    <n v="3307"/>
    <n v="3307"/>
    <n v="0"/>
    <n v="0"/>
    <m/>
  </r>
  <r>
    <x v="7"/>
    <x v="0"/>
    <x v="6"/>
    <n v="3941"/>
    <n v="1"/>
    <x v="2"/>
    <n v="3"/>
    <x v="2"/>
    <n v="0"/>
    <n v="0"/>
    <n v="0"/>
    <n v="2400"/>
    <m/>
  </r>
  <r>
    <x v="7"/>
    <x v="0"/>
    <x v="6"/>
    <n v="2787"/>
    <n v="1"/>
    <x v="13"/>
    <n v="1"/>
    <x v="7"/>
    <n v="5512"/>
    <n v="5512"/>
    <n v="0"/>
    <n v="0"/>
    <m/>
  </r>
  <r>
    <x v="7"/>
    <x v="0"/>
    <x v="6"/>
    <n v="3709"/>
    <n v="1"/>
    <x v="2"/>
    <n v="3"/>
    <x v="2"/>
    <n v="0"/>
    <n v="0"/>
    <n v="0"/>
    <n v="2400"/>
    <m/>
  </r>
  <r>
    <x v="7"/>
    <x v="0"/>
    <x v="6"/>
    <n v="3276"/>
    <n v="4"/>
    <x v="13"/>
    <n v="1"/>
    <x v="7"/>
    <n v="2411"/>
    <n v="2411"/>
    <n v="0"/>
    <n v="0"/>
    <m/>
  </r>
  <r>
    <x v="7"/>
    <x v="0"/>
    <x v="6"/>
    <n v="2942"/>
    <n v="1"/>
    <x v="2"/>
    <n v="4"/>
    <x v="2"/>
    <n v="0"/>
    <n v="0"/>
    <n v="0"/>
    <n v="3200"/>
    <m/>
  </r>
  <r>
    <x v="7"/>
    <x v="0"/>
    <x v="6"/>
    <n v="3049"/>
    <n v="1"/>
    <x v="13"/>
    <n v="1"/>
    <x v="7"/>
    <n v="3927"/>
    <n v="3927"/>
    <n v="0"/>
    <n v="0"/>
    <m/>
  </r>
  <r>
    <x v="7"/>
    <x v="0"/>
    <x v="6"/>
    <n v="2793"/>
    <n v="0"/>
    <x v="20"/>
    <n v="1"/>
    <x v="5"/>
    <n v="1971"/>
    <n v="1971"/>
    <n v="0"/>
    <n v="0"/>
    <m/>
  </r>
  <r>
    <x v="7"/>
    <x v="0"/>
    <x v="6"/>
    <n v="3111"/>
    <n v="1"/>
    <x v="20"/>
    <n v="1"/>
    <x v="7"/>
    <n v="3720"/>
    <n v="3720"/>
    <n v="0"/>
    <n v="0"/>
    <m/>
  </r>
  <r>
    <x v="7"/>
    <x v="0"/>
    <x v="6"/>
    <n v="2990"/>
    <n v="0"/>
    <x v="13"/>
    <n v="1"/>
    <x v="7"/>
    <n v="4134"/>
    <n v="4134"/>
    <n v="0"/>
    <n v="0"/>
    <m/>
  </r>
  <r>
    <x v="7"/>
    <x v="0"/>
    <x v="6"/>
    <n v="3378"/>
    <n v="1"/>
    <x v="13"/>
    <n v="1"/>
    <x v="7"/>
    <n v="4134"/>
    <n v="4134"/>
    <n v="0"/>
    <n v="0"/>
    <m/>
  </r>
  <r>
    <x v="7"/>
    <x v="0"/>
    <x v="6"/>
    <n v="2940"/>
    <n v="3"/>
    <x v="20"/>
    <n v="1"/>
    <x v="7"/>
    <n v="4042"/>
    <n v="4042"/>
    <n v="0"/>
    <n v="0"/>
    <m/>
  </r>
  <r>
    <x v="7"/>
    <x v="0"/>
    <x v="6"/>
    <n v="3698"/>
    <n v="3"/>
    <x v="13"/>
    <n v="1"/>
    <x v="8"/>
    <n v="8500"/>
    <n v="8500"/>
    <n v="0"/>
    <n v="0"/>
    <m/>
  </r>
  <r>
    <x v="7"/>
    <x v="0"/>
    <x v="6"/>
    <n v="3224"/>
    <n v="0"/>
    <x v="2"/>
    <n v="3"/>
    <x v="2"/>
    <n v="0"/>
    <n v="0"/>
    <n v="0"/>
    <n v="2400"/>
    <m/>
  </r>
  <r>
    <x v="7"/>
    <x v="0"/>
    <x v="6"/>
    <n v="2991"/>
    <n v="3"/>
    <x v="2"/>
    <n v="3"/>
    <x v="2"/>
    <n v="0"/>
    <n v="0"/>
    <n v="0"/>
    <n v="2400"/>
    <m/>
  </r>
  <r>
    <x v="7"/>
    <x v="0"/>
    <x v="6"/>
    <n v="3535"/>
    <n v="2"/>
    <x v="13"/>
    <n v="1"/>
    <x v="8"/>
    <n v="5057"/>
    <n v="5057"/>
    <n v="0"/>
    <n v="0"/>
    <m/>
  </r>
  <r>
    <x v="7"/>
    <x v="0"/>
    <x v="6"/>
    <n v="3010"/>
    <n v="1"/>
    <x v="13"/>
    <n v="1"/>
    <x v="8"/>
    <n v="6800"/>
    <n v="6800"/>
    <n v="0"/>
    <n v="0"/>
    <m/>
  </r>
  <r>
    <x v="7"/>
    <x v="0"/>
    <x v="6"/>
    <n v="3005"/>
    <n v="2"/>
    <x v="13"/>
    <n v="1"/>
    <x v="7"/>
    <n v="7028"/>
    <n v="7028"/>
    <n v="0"/>
    <n v="0"/>
    <m/>
  </r>
  <r>
    <x v="7"/>
    <x v="0"/>
    <x v="6"/>
    <n v="2684"/>
    <n v="1"/>
    <x v="2"/>
    <n v="4"/>
    <x v="2"/>
    <n v="0"/>
    <n v="0"/>
    <n v="0"/>
    <n v="3200"/>
    <m/>
  </r>
  <r>
    <x v="7"/>
    <x v="0"/>
    <x v="6"/>
    <n v="3225"/>
    <n v="0"/>
    <x v="20"/>
    <n v="1"/>
    <x v="7"/>
    <n v="4295"/>
    <n v="4295"/>
    <n v="0"/>
    <n v="0"/>
    <m/>
  </r>
  <r>
    <x v="7"/>
    <x v="0"/>
    <x v="6"/>
    <n v="3020"/>
    <n v="1"/>
    <x v="13"/>
    <n v="1"/>
    <x v="7"/>
    <n v="4134"/>
    <n v="4134"/>
    <n v="0"/>
    <n v="0"/>
    <m/>
  </r>
  <r>
    <x v="7"/>
    <x v="0"/>
    <x v="6"/>
    <n v="2530"/>
    <n v="1"/>
    <x v="13"/>
    <n v="1"/>
    <x v="7"/>
    <n v="4134"/>
    <n v="4134"/>
    <n v="0"/>
    <n v="0"/>
    <m/>
  </r>
  <r>
    <x v="7"/>
    <x v="0"/>
    <x v="6"/>
    <n v="3259"/>
    <n v="1"/>
    <x v="20"/>
    <n v="1"/>
    <x v="7"/>
    <n v="3675"/>
    <n v="3675"/>
    <n v="0"/>
    <n v="0"/>
    <m/>
  </r>
  <r>
    <x v="7"/>
    <x v="0"/>
    <x v="6"/>
    <n v="2913"/>
    <n v="1"/>
    <x v="20"/>
    <n v="1"/>
    <x v="7"/>
    <n v="3675"/>
    <n v="3675"/>
    <n v="0"/>
    <n v="0"/>
    <m/>
  </r>
  <r>
    <x v="7"/>
    <x v="0"/>
    <x v="6"/>
    <n v="2901"/>
    <n v="0"/>
    <x v="20"/>
    <n v="1"/>
    <x v="5"/>
    <n v="2319"/>
    <n v="2319"/>
    <n v="0"/>
    <n v="0"/>
    <m/>
  </r>
  <r>
    <x v="7"/>
    <x v="0"/>
    <x v="6"/>
    <n v="3437"/>
    <n v="2"/>
    <x v="13"/>
    <n v="1"/>
    <x v="7"/>
    <n v="2411"/>
    <n v="2411"/>
    <n v="0"/>
    <n v="0"/>
    <m/>
  </r>
  <r>
    <x v="7"/>
    <x v="0"/>
    <x v="6"/>
    <n v="2966"/>
    <n v="2"/>
    <x v="8"/>
    <n v="2"/>
    <x v="5"/>
    <n v="0"/>
    <n v="0"/>
    <n v="1725"/>
    <n v="1791.1"/>
    <m/>
  </r>
  <r>
    <x v="7"/>
    <x v="0"/>
    <x v="6"/>
    <n v="3352"/>
    <n v="1"/>
    <x v="20"/>
    <n v="1"/>
    <x v="7"/>
    <n v="6615"/>
    <n v="6615"/>
    <n v="0"/>
    <n v="0"/>
    <m/>
  </r>
  <r>
    <x v="7"/>
    <x v="0"/>
    <x v="6"/>
    <n v="2869"/>
    <n v="1"/>
    <x v="2"/>
    <n v="4"/>
    <x v="2"/>
    <n v="0"/>
    <n v="0"/>
    <n v="0"/>
    <n v="3200"/>
    <m/>
  </r>
  <r>
    <x v="7"/>
    <x v="0"/>
    <x v="6"/>
    <n v="2535"/>
    <n v="1"/>
    <x v="13"/>
    <n v="1"/>
    <x v="7"/>
    <n v="3307"/>
    <n v="3307"/>
    <n v="0"/>
    <n v="0"/>
    <m/>
  </r>
  <r>
    <x v="7"/>
    <x v="0"/>
    <x v="6"/>
    <n v="3507"/>
    <n v="0"/>
    <x v="4"/>
    <n v="1"/>
    <x v="1"/>
    <n v="0"/>
    <n v="0"/>
    <n v="11500"/>
    <n v="0"/>
    <m/>
  </r>
  <r>
    <x v="7"/>
    <x v="0"/>
    <x v="6"/>
    <n v="2571"/>
    <n v="0"/>
    <x v="2"/>
    <n v="3"/>
    <x v="2"/>
    <n v="0"/>
    <n v="0"/>
    <n v="0"/>
    <n v="2400"/>
    <m/>
  </r>
  <r>
    <x v="7"/>
    <x v="0"/>
    <x v="6"/>
    <n v="3364"/>
    <n v="1"/>
    <x v="13"/>
    <n v="1"/>
    <x v="7"/>
    <n v="2205"/>
    <n v="2205"/>
    <n v="0"/>
    <n v="0"/>
    <m/>
  </r>
  <r>
    <x v="7"/>
    <x v="0"/>
    <x v="6"/>
    <n v="3190"/>
    <n v="1"/>
    <x v="2"/>
    <n v="3"/>
    <x v="2"/>
    <n v="0"/>
    <n v="0"/>
    <n v="0"/>
    <n v="2400"/>
    <m/>
  </r>
  <r>
    <x v="7"/>
    <x v="0"/>
    <x v="6"/>
    <n v="3129"/>
    <n v="0"/>
    <x v="2"/>
    <n v="4"/>
    <x v="2"/>
    <n v="0"/>
    <n v="0"/>
    <n v="0"/>
    <n v="3200"/>
    <m/>
  </r>
  <r>
    <x v="7"/>
    <x v="0"/>
    <x v="6"/>
    <n v="3416"/>
    <n v="0"/>
    <x v="13"/>
    <n v="1"/>
    <x v="7"/>
    <n v="2894"/>
    <n v="2894"/>
    <n v="0"/>
    <n v="0"/>
    <m/>
  </r>
  <r>
    <x v="7"/>
    <x v="0"/>
    <x v="6"/>
    <n v="2949"/>
    <n v="2"/>
    <x v="13"/>
    <n v="1"/>
    <x v="8"/>
    <n v="5355"/>
    <n v="5355"/>
    <n v="0"/>
    <n v="0"/>
    <m/>
  </r>
  <r>
    <x v="7"/>
    <x v="0"/>
    <x v="6"/>
    <n v="2714"/>
    <n v="2"/>
    <x v="2"/>
    <n v="3"/>
    <x v="2"/>
    <n v="0"/>
    <n v="0"/>
    <n v="0"/>
    <n v="2400"/>
    <m/>
  </r>
  <r>
    <x v="7"/>
    <x v="0"/>
    <x v="6"/>
    <n v="2949"/>
    <n v="1"/>
    <x v="2"/>
    <n v="4"/>
    <x v="2"/>
    <n v="0"/>
    <n v="0"/>
    <n v="0"/>
    <n v="3200"/>
    <m/>
  </r>
  <r>
    <x v="7"/>
    <x v="0"/>
    <x v="6"/>
    <n v="3175"/>
    <n v="0"/>
    <x v="2"/>
    <n v="3"/>
    <x v="2"/>
    <n v="0"/>
    <n v="0"/>
    <n v="0"/>
    <n v="2400"/>
    <m/>
  </r>
  <r>
    <x v="7"/>
    <x v="0"/>
    <x v="6"/>
    <n v="3045"/>
    <n v="0"/>
    <x v="13"/>
    <n v="1"/>
    <x v="7"/>
    <n v="3514"/>
    <n v="3514"/>
    <n v="0"/>
    <n v="0"/>
    <m/>
  </r>
  <r>
    <x v="7"/>
    <x v="0"/>
    <x v="6"/>
    <n v="3609"/>
    <n v="1"/>
    <x v="2"/>
    <n v="3"/>
    <x v="2"/>
    <n v="0"/>
    <n v="0"/>
    <n v="0"/>
    <n v="2400"/>
    <m/>
  </r>
  <r>
    <x v="7"/>
    <x v="0"/>
    <x v="6"/>
    <n v="2795"/>
    <n v="1"/>
    <x v="13"/>
    <n v="1"/>
    <x v="7"/>
    <n v="3675"/>
    <n v="3675"/>
    <n v="0"/>
    <n v="0"/>
    <m/>
  </r>
  <r>
    <x v="7"/>
    <x v="0"/>
    <x v="6"/>
    <n v="3324"/>
    <n v="0"/>
    <x v="13"/>
    <n v="1"/>
    <x v="7"/>
    <n v="2205"/>
    <n v="2205"/>
    <n v="0"/>
    <n v="0"/>
    <m/>
  </r>
  <r>
    <x v="7"/>
    <x v="0"/>
    <x v="6"/>
    <n v="2600"/>
    <n v="0"/>
    <x v="2"/>
    <n v="3"/>
    <x v="2"/>
    <n v="0"/>
    <n v="0"/>
    <n v="0"/>
    <n v="2400"/>
    <m/>
  </r>
  <r>
    <x v="7"/>
    <x v="0"/>
    <x v="6"/>
    <n v="2789"/>
    <n v="1"/>
    <x v="20"/>
    <n v="1"/>
    <x v="7"/>
    <n v="3675"/>
    <n v="3675"/>
    <n v="0"/>
    <n v="0"/>
    <m/>
  </r>
  <r>
    <x v="7"/>
    <x v="0"/>
    <x v="6"/>
    <n v="3263"/>
    <n v="1"/>
    <x v="20"/>
    <n v="1"/>
    <x v="8"/>
    <n v="13005"/>
    <n v="13005"/>
    <n v="0"/>
    <n v="0"/>
    <m/>
  </r>
  <r>
    <x v="7"/>
    <x v="0"/>
    <x v="6"/>
    <n v="3037"/>
    <n v="2"/>
    <x v="2"/>
    <n v="3"/>
    <x v="2"/>
    <n v="0"/>
    <n v="0"/>
    <n v="0"/>
    <n v="2400"/>
    <m/>
  </r>
  <r>
    <x v="7"/>
    <x v="0"/>
    <x v="6"/>
    <n v="1028"/>
    <n v="2"/>
    <x v="0"/>
    <m/>
    <x v="0"/>
    <n v="0"/>
    <n v="0"/>
    <n v="0"/>
    <n v="0"/>
    <s v="Y"/>
  </r>
  <r>
    <x v="7"/>
    <x v="0"/>
    <x v="7"/>
    <n v="3555"/>
    <n v="0"/>
    <x v="2"/>
    <n v="5"/>
    <x v="2"/>
    <n v="0"/>
    <n v="0"/>
    <n v="0"/>
    <n v="4000"/>
    <m/>
  </r>
  <r>
    <x v="7"/>
    <x v="0"/>
    <x v="7"/>
    <n v="3633"/>
    <n v="0"/>
    <x v="2"/>
    <n v="4"/>
    <x v="2"/>
    <n v="0"/>
    <n v="0"/>
    <n v="0"/>
    <n v="3200"/>
    <m/>
  </r>
  <r>
    <x v="7"/>
    <x v="0"/>
    <x v="7"/>
    <n v="3251"/>
    <n v="1"/>
    <x v="20"/>
    <n v="1"/>
    <x v="7"/>
    <n v="4134"/>
    <n v="4134"/>
    <n v="0"/>
    <n v="0"/>
    <m/>
  </r>
  <r>
    <x v="7"/>
    <x v="0"/>
    <x v="7"/>
    <n v="3614"/>
    <n v="1"/>
    <x v="20"/>
    <n v="1"/>
    <x v="8"/>
    <n v="7947"/>
    <n v="7947"/>
    <n v="0"/>
    <n v="0"/>
    <m/>
  </r>
  <r>
    <x v="7"/>
    <x v="0"/>
    <x v="7"/>
    <n v="3238"/>
    <n v="1"/>
    <x v="13"/>
    <n v="1"/>
    <x v="7"/>
    <n v="4134"/>
    <n v="4134"/>
    <n v="0"/>
    <n v="0"/>
    <m/>
  </r>
  <r>
    <x v="7"/>
    <x v="0"/>
    <x v="7"/>
    <n v="3097"/>
    <n v="0"/>
    <x v="13"/>
    <n v="1"/>
    <x v="7"/>
    <n v="3054"/>
    <n v="3054"/>
    <n v="0"/>
    <n v="0"/>
    <m/>
  </r>
  <r>
    <x v="7"/>
    <x v="0"/>
    <x v="7"/>
    <n v="2801"/>
    <n v="0"/>
    <x v="13"/>
    <n v="1"/>
    <x v="7"/>
    <n v="2618"/>
    <n v="2618"/>
    <n v="0"/>
    <n v="0"/>
    <m/>
  </r>
  <r>
    <x v="7"/>
    <x v="0"/>
    <x v="7"/>
    <n v="3150"/>
    <n v="0"/>
    <x v="13"/>
    <n v="1"/>
    <x v="8"/>
    <n v="5440"/>
    <n v="5440"/>
    <n v="0"/>
    <n v="0"/>
    <m/>
  </r>
  <r>
    <x v="7"/>
    <x v="0"/>
    <x v="7"/>
    <n v="3588"/>
    <n v="1"/>
    <x v="13"/>
    <n v="1"/>
    <x v="8"/>
    <n v="6800"/>
    <n v="6800"/>
    <n v="0"/>
    <n v="0"/>
    <m/>
  </r>
  <r>
    <x v="7"/>
    <x v="0"/>
    <x v="7"/>
    <n v="3318"/>
    <n v="1"/>
    <x v="2"/>
    <n v="1"/>
    <x v="7"/>
    <n v="0"/>
    <n v="0"/>
    <n v="0"/>
    <n v="0"/>
    <m/>
  </r>
  <r>
    <x v="7"/>
    <x v="0"/>
    <x v="7"/>
    <n v="3137"/>
    <n v="0"/>
    <x v="20"/>
    <n v="1"/>
    <x v="7"/>
    <n v="3491"/>
    <n v="3491"/>
    <n v="0"/>
    <n v="0"/>
    <m/>
  </r>
  <r>
    <x v="7"/>
    <x v="0"/>
    <x v="7"/>
    <n v="3409"/>
    <n v="0"/>
    <x v="2"/>
    <n v="5"/>
    <x v="2"/>
    <n v="0"/>
    <n v="0"/>
    <n v="0"/>
    <n v="4000"/>
    <m/>
  </r>
  <r>
    <x v="7"/>
    <x v="0"/>
    <x v="7"/>
    <n v="3479"/>
    <n v="1"/>
    <x v="13"/>
    <n v="1"/>
    <x v="7"/>
    <n v="2411"/>
    <n v="2411"/>
    <n v="0"/>
    <n v="0"/>
    <m/>
  </r>
  <r>
    <x v="7"/>
    <x v="0"/>
    <x v="7"/>
    <n v="3505"/>
    <n v="2"/>
    <x v="20"/>
    <n v="1"/>
    <x v="8"/>
    <n v="7650"/>
    <n v="7650"/>
    <n v="0"/>
    <n v="0"/>
    <m/>
  </r>
  <r>
    <x v="7"/>
    <x v="0"/>
    <x v="7"/>
    <n v="3378"/>
    <n v="1"/>
    <x v="13"/>
    <n v="1"/>
    <x v="7"/>
    <n v="3675"/>
    <n v="3675"/>
    <n v="0"/>
    <n v="0"/>
    <m/>
  </r>
  <r>
    <x v="7"/>
    <x v="0"/>
    <x v="7"/>
    <n v="3978"/>
    <n v="2"/>
    <x v="2"/>
    <n v="5"/>
    <x v="2"/>
    <n v="0"/>
    <n v="0"/>
    <n v="0"/>
    <n v="4000"/>
    <m/>
  </r>
  <r>
    <x v="7"/>
    <x v="0"/>
    <x v="7"/>
    <n v="4035"/>
    <n v="0"/>
    <x v="2"/>
    <n v="5"/>
    <x v="2"/>
    <n v="0"/>
    <n v="0"/>
    <n v="0"/>
    <n v="4000"/>
    <m/>
  </r>
  <r>
    <x v="7"/>
    <x v="0"/>
    <x v="7"/>
    <n v="3616"/>
    <n v="1"/>
    <x v="2"/>
    <n v="5"/>
    <x v="2"/>
    <n v="0"/>
    <n v="0"/>
    <n v="0"/>
    <n v="4000"/>
    <m/>
  </r>
  <r>
    <x v="7"/>
    <x v="0"/>
    <x v="7"/>
    <n v="3217"/>
    <n v="0"/>
    <x v="13"/>
    <n v="1"/>
    <x v="8"/>
    <n v="5440"/>
    <n v="5440"/>
    <n v="0"/>
    <n v="0"/>
    <m/>
  </r>
  <r>
    <x v="7"/>
    <x v="0"/>
    <x v="7"/>
    <n v="3453"/>
    <n v="0"/>
    <x v="13"/>
    <n v="1"/>
    <x v="8"/>
    <n v="4080"/>
    <n v="4080"/>
    <n v="0"/>
    <n v="0"/>
    <m/>
  </r>
  <r>
    <x v="7"/>
    <x v="0"/>
    <x v="7"/>
    <n v="3773"/>
    <n v="1"/>
    <x v="20"/>
    <n v="1"/>
    <x v="7"/>
    <n v="4547"/>
    <n v="4547"/>
    <n v="0"/>
    <n v="0"/>
    <m/>
  </r>
  <r>
    <x v="7"/>
    <x v="0"/>
    <x v="7"/>
    <n v="3152"/>
    <n v="2"/>
    <x v="13"/>
    <n v="1"/>
    <x v="7"/>
    <n v="3100"/>
    <n v="3100"/>
    <n v="0"/>
    <n v="0"/>
    <m/>
  </r>
  <r>
    <x v="7"/>
    <x v="0"/>
    <x v="7"/>
    <n v="3199"/>
    <n v="2"/>
    <x v="2"/>
    <n v="4"/>
    <x v="2"/>
    <n v="0"/>
    <n v="0"/>
    <n v="0"/>
    <n v="3200"/>
    <m/>
  </r>
  <r>
    <x v="7"/>
    <x v="0"/>
    <x v="7"/>
    <n v="3391"/>
    <n v="1"/>
    <x v="21"/>
    <n v="1"/>
    <x v="7"/>
    <n v="5512"/>
    <n v="5512"/>
    <n v="0"/>
    <n v="0"/>
    <m/>
  </r>
  <r>
    <x v="7"/>
    <x v="0"/>
    <x v="7"/>
    <n v="3826"/>
    <n v="0"/>
    <x v="13"/>
    <n v="1"/>
    <x v="8"/>
    <n v="6885"/>
    <n v="6885"/>
    <n v="0"/>
    <n v="0"/>
    <m/>
  </r>
  <r>
    <x v="14"/>
    <x v="3"/>
    <x v="3"/>
    <n v="2208"/>
    <n v="2"/>
    <x v="0"/>
    <m/>
    <x v="0"/>
    <n v="1236"/>
    <n v="1236"/>
    <n v="0"/>
    <n v="0"/>
    <m/>
  </r>
  <r>
    <x v="14"/>
    <x v="3"/>
    <x v="3"/>
    <n v="2585"/>
    <n v="2"/>
    <x v="0"/>
    <m/>
    <x v="0"/>
    <n v="2205"/>
    <n v="2205"/>
    <n v="0"/>
    <n v="0"/>
    <m/>
  </r>
  <r>
    <x v="14"/>
    <x v="3"/>
    <x v="3"/>
    <n v="2501"/>
    <n v="0"/>
    <x v="0"/>
    <m/>
    <x v="0"/>
    <n v="1236"/>
    <n v="1236"/>
    <n v="0"/>
    <n v="0"/>
    <m/>
  </r>
  <r>
    <x v="14"/>
    <x v="3"/>
    <x v="3"/>
    <n v="1564"/>
    <n v="1"/>
    <x v="0"/>
    <m/>
    <x v="0"/>
    <n v="1236"/>
    <n v="1236"/>
    <n v="0"/>
    <n v="0"/>
    <m/>
  </r>
  <r>
    <x v="14"/>
    <x v="3"/>
    <x v="3"/>
    <n v="1352"/>
    <n v="0"/>
    <x v="0"/>
    <m/>
    <x v="0"/>
    <n v="2205"/>
    <n v="2205"/>
    <n v="0"/>
    <n v="0"/>
    <m/>
  </r>
  <r>
    <x v="14"/>
    <x v="3"/>
    <x v="3"/>
    <n v="828"/>
    <n v="0"/>
    <x v="0"/>
    <m/>
    <x v="0"/>
    <n v="1236"/>
    <n v="1236"/>
    <n v="0"/>
    <n v="0"/>
    <m/>
  </r>
  <r>
    <x v="14"/>
    <x v="3"/>
    <x v="3"/>
    <n v="1020"/>
    <n v="1"/>
    <x v="16"/>
    <n v="2"/>
    <x v="0"/>
    <n v="0"/>
    <n v="0"/>
    <n v="0"/>
    <n v="0"/>
    <m/>
  </r>
  <r>
    <x v="14"/>
    <x v="3"/>
    <x v="3"/>
    <n v="1937"/>
    <n v="1"/>
    <x v="16"/>
    <n v="3"/>
    <x v="0"/>
    <n v="0"/>
    <n v="0"/>
    <n v="0"/>
    <n v="0"/>
    <m/>
  </r>
  <r>
    <x v="14"/>
    <x v="3"/>
    <x v="3"/>
    <n v="2126"/>
    <n v="1"/>
    <x v="0"/>
    <m/>
    <x v="0"/>
    <n v="1443"/>
    <n v="1443"/>
    <n v="0"/>
    <n v="0"/>
    <m/>
  </r>
  <r>
    <x v="14"/>
    <x v="3"/>
    <x v="3"/>
    <n v="1860"/>
    <n v="1"/>
    <x v="0"/>
    <m/>
    <x v="0"/>
    <n v="1236"/>
    <n v="1236"/>
    <n v="0"/>
    <n v="0"/>
    <m/>
  </r>
  <r>
    <x v="14"/>
    <x v="3"/>
    <x v="3"/>
    <n v="1824"/>
    <n v="1"/>
    <x v="0"/>
    <m/>
    <x v="0"/>
    <n v="1236"/>
    <n v="1236"/>
    <n v="0"/>
    <n v="0"/>
    <m/>
  </r>
  <r>
    <x v="14"/>
    <x v="3"/>
    <x v="3"/>
    <n v="1625"/>
    <n v="2"/>
    <x v="0"/>
    <m/>
    <x v="0"/>
    <n v="1236"/>
    <n v="1236"/>
    <n v="0"/>
    <n v="0"/>
    <m/>
  </r>
  <r>
    <x v="1"/>
    <x v="1"/>
    <x v="8"/>
    <n v="1233"/>
    <n v="2"/>
    <x v="0"/>
    <m/>
    <x v="0"/>
    <n v="1824"/>
    <n v="1824"/>
    <n v="0"/>
    <n v="0"/>
    <m/>
  </r>
  <r>
    <x v="1"/>
    <x v="1"/>
    <x v="8"/>
    <n v="910"/>
    <n v="1"/>
    <x v="0"/>
    <m/>
    <x v="0"/>
    <n v="1824"/>
    <n v="1824"/>
    <n v="0"/>
    <n v="0"/>
    <m/>
  </r>
  <r>
    <x v="1"/>
    <x v="1"/>
    <x v="8"/>
    <n v="2073"/>
    <n v="0"/>
    <x v="0"/>
    <m/>
    <x v="0"/>
    <n v="1976"/>
    <n v="1976"/>
    <n v="0"/>
    <n v="0"/>
    <m/>
  </r>
  <r>
    <x v="1"/>
    <x v="1"/>
    <x v="8"/>
    <n v="1466"/>
    <n v="0"/>
    <x v="0"/>
    <m/>
    <x v="0"/>
    <n v="1976"/>
    <n v="1976"/>
    <n v="0"/>
    <n v="0"/>
    <m/>
  </r>
  <r>
    <x v="1"/>
    <x v="1"/>
    <x v="8"/>
    <n v="1067"/>
    <n v="3"/>
    <x v="1"/>
    <n v="1"/>
    <x v="1"/>
    <n v="0"/>
    <n v="0"/>
    <n v="11500"/>
    <n v="0"/>
    <m/>
  </r>
  <r>
    <x v="1"/>
    <x v="1"/>
    <x v="8"/>
    <n v="1973"/>
    <n v="1"/>
    <x v="0"/>
    <m/>
    <x v="0"/>
    <n v="2937"/>
    <n v="2937"/>
    <n v="0"/>
    <n v="0"/>
    <m/>
  </r>
  <r>
    <x v="15"/>
    <x v="1"/>
    <x v="0"/>
    <n v="1544"/>
    <n v="0"/>
    <x v="0"/>
    <m/>
    <x v="0"/>
    <n v="1824"/>
    <n v="1824"/>
    <n v="0"/>
    <n v="0"/>
    <m/>
  </r>
  <r>
    <x v="15"/>
    <x v="1"/>
    <x v="0"/>
    <n v="1180"/>
    <n v="0"/>
    <x v="0"/>
    <m/>
    <x v="0"/>
    <n v="1976"/>
    <n v="1976"/>
    <n v="0"/>
    <n v="0"/>
    <m/>
  </r>
  <r>
    <x v="15"/>
    <x v="1"/>
    <x v="0"/>
    <n v="1734"/>
    <n v="4"/>
    <x v="0"/>
    <m/>
    <x v="0"/>
    <n v="1824"/>
    <n v="1824"/>
    <n v="0"/>
    <n v="0"/>
    <m/>
  </r>
  <r>
    <x v="15"/>
    <x v="1"/>
    <x v="0"/>
    <n v="1594"/>
    <n v="0"/>
    <x v="0"/>
    <m/>
    <x v="0"/>
    <n v="2128"/>
    <n v="2128"/>
    <n v="0"/>
    <n v="0"/>
    <m/>
  </r>
  <r>
    <x v="15"/>
    <x v="1"/>
    <x v="0"/>
    <n v="1672"/>
    <n v="0"/>
    <x v="0"/>
    <m/>
    <x v="0"/>
    <n v="1824"/>
    <n v="1824"/>
    <n v="0"/>
    <n v="0"/>
    <m/>
  </r>
  <r>
    <x v="15"/>
    <x v="1"/>
    <x v="0"/>
    <n v="1879"/>
    <n v="1"/>
    <x v="0"/>
    <m/>
    <x v="0"/>
    <n v="1824"/>
    <n v="1824"/>
    <n v="0"/>
    <n v="0"/>
    <m/>
  </r>
  <r>
    <x v="15"/>
    <x v="1"/>
    <x v="0"/>
    <n v="1455"/>
    <n v="1"/>
    <x v="0"/>
    <m/>
    <x v="0"/>
    <n v="2280"/>
    <n v="2280"/>
    <n v="0"/>
    <n v="0"/>
    <m/>
  </r>
  <r>
    <x v="15"/>
    <x v="1"/>
    <x v="0"/>
    <n v="1898"/>
    <n v="1"/>
    <x v="0"/>
    <m/>
    <x v="0"/>
    <n v="1824"/>
    <n v="1824"/>
    <n v="0"/>
    <n v="0"/>
    <m/>
  </r>
  <r>
    <x v="14"/>
    <x v="3"/>
    <x v="3"/>
    <n v="1959"/>
    <n v="1"/>
    <x v="0"/>
    <m/>
    <x v="0"/>
    <n v="2205"/>
    <n v="2205"/>
    <n v="0"/>
    <n v="0"/>
    <m/>
  </r>
  <r>
    <x v="14"/>
    <x v="3"/>
    <x v="3"/>
    <n v="1626"/>
    <n v="0"/>
    <x v="0"/>
    <m/>
    <x v="0"/>
    <n v="1236"/>
    <n v="1236"/>
    <n v="0"/>
    <n v="0"/>
    <m/>
  </r>
  <r>
    <x v="14"/>
    <x v="3"/>
    <x v="3"/>
    <n v="2155"/>
    <n v="0"/>
    <x v="0"/>
    <m/>
    <x v="0"/>
    <n v="1236"/>
    <n v="1236"/>
    <n v="0"/>
    <n v="0"/>
    <m/>
  </r>
  <r>
    <x v="14"/>
    <x v="3"/>
    <x v="3"/>
    <n v="1844"/>
    <n v="1"/>
    <x v="0"/>
    <m/>
    <x v="0"/>
    <n v="2205"/>
    <n v="2205"/>
    <n v="0"/>
    <n v="0"/>
    <m/>
  </r>
  <r>
    <x v="14"/>
    <x v="3"/>
    <x v="3"/>
    <n v="645"/>
    <n v="2"/>
    <x v="2"/>
    <n v="3"/>
    <x v="0"/>
    <n v="0"/>
    <n v="0"/>
    <n v="0"/>
    <n v="0"/>
    <m/>
  </r>
  <r>
    <x v="14"/>
    <x v="3"/>
    <x v="3"/>
    <n v="623"/>
    <n v="1"/>
    <x v="0"/>
    <m/>
    <x v="0"/>
    <n v="2205"/>
    <n v="2205"/>
    <n v="0"/>
    <n v="0"/>
    <m/>
  </r>
  <r>
    <x v="14"/>
    <x v="3"/>
    <x v="3"/>
    <n v="1484"/>
    <n v="2"/>
    <x v="0"/>
    <m/>
    <x v="0"/>
    <n v="2205"/>
    <n v="2205"/>
    <n v="0"/>
    <n v="0"/>
    <m/>
  </r>
  <r>
    <x v="14"/>
    <x v="3"/>
    <x v="3"/>
    <n v="1281"/>
    <n v="0"/>
    <x v="0"/>
    <m/>
    <x v="0"/>
    <n v="2572"/>
    <n v="2572"/>
    <n v="0"/>
    <n v="0"/>
    <m/>
  </r>
  <r>
    <x v="14"/>
    <x v="3"/>
    <x v="3"/>
    <n v="839"/>
    <n v="1"/>
    <x v="0"/>
    <m/>
    <x v="0"/>
    <n v="2940"/>
    <n v="2940"/>
    <n v="0"/>
    <n v="0"/>
    <m/>
  </r>
  <r>
    <x v="14"/>
    <x v="3"/>
    <x v="3"/>
    <n v="1785"/>
    <n v="2"/>
    <x v="0"/>
    <m/>
    <x v="0"/>
    <n v="1824"/>
    <n v="1824"/>
    <n v="0"/>
    <n v="0"/>
    <m/>
  </r>
  <r>
    <x v="14"/>
    <x v="3"/>
    <x v="3"/>
    <n v="1214"/>
    <n v="0"/>
    <x v="0"/>
    <m/>
    <x v="0"/>
    <n v="1236"/>
    <n v="1236"/>
    <n v="0"/>
    <n v="0"/>
    <m/>
  </r>
  <r>
    <x v="14"/>
    <x v="3"/>
    <x v="3"/>
    <n v="1200"/>
    <n v="0"/>
    <x v="0"/>
    <m/>
    <x v="0"/>
    <n v="1236"/>
    <n v="1236"/>
    <n v="0"/>
    <n v="0"/>
    <m/>
  </r>
  <r>
    <x v="14"/>
    <x v="3"/>
    <x v="3"/>
    <n v="1357"/>
    <n v="2"/>
    <x v="1"/>
    <n v="1"/>
    <x v="2"/>
    <n v="0"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  <r>
    <x v="16"/>
    <x v="2"/>
    <x v="13"/>
    <m/>
    <m/>
    <x v="0"/>
    <m/>
    <x v="0"/>
    <m/>
    <n v="0"/>
    <n v="0"/>
    <n v="0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Tabela przestawna7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0">
        <item x="6"/>
        <item x="3"/>
        <item h="1" x="0"/>
        <item h="1" x="1"/>
        <item h="1" x="2"/>
        <item h="1" x="5"/>
        <item h="1" x="7"/>
        <item h="1" x="8"/>
        <item h="1" m="1" x="9"/>
        <item x="4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42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38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9"/>
    <dataField name="Licznik z Drop" fld="5" subtotal="count" baseField="0" baseItem="0"/>
  </dataFields>
  <formats count="2">
    <format dxfId="7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3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13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2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2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17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16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15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14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P11" totalsRowShown="0">
  <autoFilter ref="L2:P11"/>
  <tableColumns count="5">
    <tableColumn id="1" name="Kolumna1"/>
    <tableColumn id="2" name="Missing"/>
    <tableColumn id="3" name="Done"/>
    <tableColumn id="5" name="Zapas" dataDxfId="84">
      <calculatedColumnFormula>MAXA(-(4*M1-Tabela6[[#This Row],[Done]]),0)</calculatedColumnFormula>
    </tableColumn>
    <tableColumn id="4" name="XP to gain" dataDxfId="8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82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81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80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79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78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77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76">
      <calculatedColumnFormula>4*LocFeatures[[#This Row],[XP Gain per member]]</calculatedColumnFormula>
    </tableColumn>
    <tableColumn id="11" name="XP Train Gain"/>
    <tableColumn id="22" name="XP drop" dataDxfId="75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74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73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72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69" tableBorderDxfId="68">
  <autoFilter ref="Q3:W6"/>
  <tableColumns count="7">
    <tableColumn id="1" name="Kolumna1">
      <calculatedColumnFormula>G5</calculatedColumnFormula>
    </tableColumn>
    <tableColumn id="2" name="4" dataDxfId="67"/>
    <tableColumn id="3" name="5" dataDxfId="66"/>
    <tableColumn id="4" name="7" dataDxfId="65"/>
    <tableColumn id="5" name="8" dataDxfId="64"/>
    <tableColumn id="6" name="9" dataDxfId="63"/>
    <tableColumn id="7" name="10" dataDxfId="62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61">
  <autoFilter ref="X1:AB5"/>
  <tableColumns count="5">
    <tableColumn id="1" name="Set Name" dataDxfId="60"/>
    <tableColumn id="2" name="Attack" dataDxfId="59"/>
    <tableColumn id="3" name="Crit.Dmg" dataDxfId="58"/>
    <tableColumn id="4" name="Crit.Cha" dataDxfId="57"/>
    <tableColumn id="5" name="Speed" dataDxfId="56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3" name="Tabela13" displayName="Tabela13" ref="AD6:AH17" totalsRowShown="0">
  <autoFilter ref="AD6:AH17"/>
  <tableColumns count="5">
    <tableColumn id="1" name="Grade"/>
    <tableColumn id="2" name="Type"/>
    <tableColumn id="3" name="Atk"/>
    <tableColumn id="4" name="Crit D"/>
    <tableColumn id="5" name="Crit C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4" name="Tabela14" displayName="Tabela14" ref="A1:U39" totalsRowShown="0" headerRowDxfId="55" dataDxfId="54" tableBorderDxfId="53">
  <autoFilter ref="A1:U39"/>
  <tableColumns count="21">
    <tableColumn id="1" name="Set" dataDxfId="52"/>
    <tableColumn id="2" name="Runes" dataDxfId="51"/>
    <tableColumn id="3" name="Fatal Nbr" dataDxfId="50"/>
    <tableColumn id="4" name="Rage Nbr" dataDxfId="49"/>
    <tableColumn id="5" name="Blade Nbr" dataDxfId="48"/>
    <tableColumn id="6" name="Atk Mult" dataDxfId="47"/>
    <tableColumn id="7" name="CritD" dataDxfId="46"/>
    <tableColumn id="8" name="Atk % from subs" dataDxfId="45"/>
    <tableColumn id="9" name="Crit D % from subs" dataDxfId="44"/>
    <tableColumn id="10" name="% of Crit C from subs" dataDxfId="43"/>
    <tableColumn id="11" name="Nbr of Atk rune" dataDxfId="42"/>
    <tableColumn id="12" name="Nbr of Crit D rune" dataDxfId="41"/>
    <tableColumn id="13" name="Nbr of Crit C rune" dataDxfId="40"/>
    <tableColumn id="14" name="Atk" dataDxfId="39"/>
    <tableColumn id="15" name="Dmg" dataDxfId="38"/>
    <tableColumn id="16" name="DmgC" dataDxfId="37"/>
    <tableColumn id="17" name="Crit Chance Basic" dataDxfId="36"/>
    <tableColumn id="18" name="Final Crit Chance" dataDxfId="35"/>
    <tableColumn id="19" name="AvgDmg" dataDxfId="34"/>
    <tableColumn id="20" name="AvgDmg Basic" dataDxfId="33"/>
    <tableColumn id="21" name="% change to basic" dataDxfId="32"/>
  </tableColumns>
  <tableStyleInfo name="TableStyleMedium23" showFirstColumn="0" showLastColumn="0" showRowStripes="1" showColumnStripes="0"/>
</table>
</file>

<file path=xl/tables/table13.xml><?xml version="1.0" encoding="utf-8"?>
<table xmlns="http://schemas.openxmlformats.org/spreadsheetml/2006/main" id="15" name="Tabela15" displayName="Tabela15" ref="W20:AF42" totalsRowShown="0" headerRowDxfId="31">
  <autoFilter ref="W20:AF42"/>
  <tableColumns count="10">
    <tableColumn id="1" name="Crit C" dataDxfId="30"/>
    <tableColumn id="2" name="Crit D" dataDxfId="29"/>
    <tableColumn id="3" name="Atk " dataDxfId="28"/>
    <tableColumn id="4" name="Set1" dataDxfId="27"/>
    <tableColumn id="5" name="Set2" dataDxfId="26"/>
    <tableColumn id="6" name="Rune1" dataDxfId="25"/>
    <tableColumn id="7" name="NBR R1"/>
    <tableColumn id="8" name="Rune2" dataDxfId="24"/>
    <tableColumn id="9" name="NBR R2"/>
    <tableColumn id="10" name="DPS Rank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23"/>
    <tableColumn id="5" name="HP"/>
    <tableColumn id="6" name="Acc%"/>
    <tableColumn id="7" name="SPD"/>
    <tableColumn id="8" name="Crit Rate%" dataDxfId="22"/>
    <tableColumn id="9" name="Crit DMG%" dataDxfId="21"/>
    <tableColumn id="10" name="Att%" dataDxfId="20"/>
    <tableColumn id="16" name="Att"/>
    <tableColumn id="11" name="Def%" dataDxfId="19"/>
    <tableColumn id="14" name="Def"/>
    <tableColumn id="12" name="Res%" dataDxfId="18"/>
    <tableColumn id="13" name="Enchant2"/>
    <tableColumn id="19" name="GO to 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6" name="Tabela16" displayName="Tabela16" ref="A6:R38" totalsRowShown="0" headerRowDxfId="10">
  <autoFilter ref="A6:R38"/>
  <tableColumns count="18">
    <tableColumn id="1" name="Scenario"/>
    <tableColumn id="2" name="XP" dataDxfId="9">
      <calculatedColumnFormula>(2*$J7+$K7)/($R7-$Q7)*O7</calculatedColumnFormula>
    </tableColumn>
    <tableColumn id="3" name="Gold" dataDxfId="8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7"/>
    <tableColumn id="11" name="Ene normal" dataDxfId="6"/>
    <tableColumn id="12" name="Location" dataDxfId="5"/>
    <tableColumn id="13" name="LVL" dataDxfId="4"/>
    <tableColumn id="14" name="Stage" dataDxfId="3"/>
    <tableColumn id="15" name="XP Gain">
      <calculatedColumnFormula>SUMIFS(LocFeatures[[#All],[XP Train Gain]],LocFeatures[[#All],[Location]],Summary!$L7,LocFeatures[[#All],[LVL]],Summary!$M7,LocFeatures[[#All],[Stage]],Summary!$N7)</calculatedColumnFormula>
    </tableColumn>
    <tableColumn id="16" name="Mana Gain">
      <calculatedColumnFormula>SUMIFS(LocFeatures[[#All],[Drop worth gain]],LocFeatures[[#All],[Location]],Summary!$L7,LocFeatures[[#All],[LVL]],Summary!$M7,LocFeatures[[#All],[Stage]],Summary!$N7)</calculatedColumnFormula>
    </tableColumn>
    <tableColumn id="17" name="Energy Gain">
      <calculatedColumnFormula>SUMIFS(LocFeatures[[#All],[Energy gain]],LocFeatures[[#All],[Location]],Summary!$L7,LocFeatures[[#All],[LVL]],Summary!$M7,LocFeatures[[#All],[Stage]],Summary!$N7)</calculatedColumnFormula>
    </tableColumn>
    <tableColumn id="18" name="Energy Cost">
      <calculatedColumnFormula>SUMIFS(LocFeatures[[#All],[E. Cost]],LocFeatures[[#All],[Location]],Summary!$L7,LocFeatures[[#All],[LVL]],Summary!$M7,LocFeatures[[#All],[Stage]],Summary!$N7)</calculatedColumnFormula>
    </tableColumn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2">
      <calculatedColumnFormula>FLOOR((J$17+J$18*(Tabela1318[[#This Row],[Type]]-1))*1.2,1)</calculatedColumnFormula>
    </tableColumn>
    <tableColumn id="9" name="Att" dataDxfId="1">
      <calculatedColumnFormula>FLOOR((K$17+K$18*(Tabela1318[[#This Row],[Type]]-1))*1.2,1)</calculatedColumnFormula>
    </tableColumn>
    <tableColumn id="10" name="Def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4" Type="http://schemas.openxmlformats.org/officeDocument/2006/relationships/table" Target="../tables/table1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41"/>
  <sheetViews>
    <sheetView tabSelected="1" workbookViewId="0">
      <selection activeCell="N9" sqref="N9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5" width="12.375" bestFit="1" customWidth="1"/>
    <col min="16" max="16" width="11.875" bestFit="1" customWidth="1"/>
    <col min="22" max="22" width="10.75" bestFit="1" customWidth="1"/>
    <col min="23" max="23" width="10.75" customWidth="1"/>
    <col min="24" max="24" width="7.875" bestFit="1" customWidth="1"/>
  </cols>
  <sheetData>
    <row r="1" spans="1:26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R1" t="s">
        <v>72</v>
      </c>
      <c r="S1" t="s">
        <v>73</v>
      </c>
      <c r="T1" t="s">
        <v>74</v>
      </c>
      <c r="U1" t="s">
        <v>14</v>
      </c>
      <c r="V1" t="s">
        <v>76</v>
      </c>
      <c r="W1" t="s">
        <v>148</v>
      </c>
      <c r="X1" t="s">
        <v>75</v>
      </c>
      <c r="Y1" t="s">
        <v>77</v>
      </c>
    </row>
    <row r="2" spans="1:26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123</v>
      </c>
      <c r="N2" t="s">
        <v>124</v>
      </c>
      <c r="O2" t="s">
        <v>347</v>
      </c>
      <c r="P2" t="s">
        <v>127</v>
      </c>
      <c r="S2" t="s">
        <v>17</v>
      </c>
      <c r="T2">
        <v>150</v>
      </c>
      <c r="U2" t="s">
        <v>17</v>
      </c>
      <c r="V2">
        <f>Tabela3[[#This Row],[2*]]+0.401*F3</f>
        <v>800.21900000000005</v>
      </c>
      <c r="W2" s="17">
        <f>$T2*$B$2/$V2</f>
        <v>2834.2241311440989</v>
      </c>
      <c r="X2" s="17">
        <v>1600</v>
      </c>
      <c r="Y2" s="17">
        <f t="shared" ref="Y2:Y8" si="0">V2/T2</f>
        <v>5.3347933333333337</v>
      </c>
      <c r="Z2">
        <f>$B$2/V2</f>
        <v>18.894827540960662</v>
      </c>
    </row>
    <row r="3" spans="1:26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125</v>
      </c>
      <c r="M3">
        <f>10-Tabela6[[#This Row],[Done]]</f>
        <v>5</v>
      </c>
      <c r="N3">
        <v>5</v>
      </c>
      <c r="O3" s="43">
        <v>0</v>
      </c>
      <c r="P3" s="1">
        <v>0</v>
      </c>
      <c r="Q3">
        <v>0</v>
      </c>
      <c r="S3" t="s">
        <v>12</v>
      </c>
      <c r="T3">
        <v>500</v>
      </c>
      <c r="U3" t="s">
        <v>12</v>
      </c>
      <c r="V3">
        <f>F2+Tabela3[[#This Row],[2*]]+0.847*F4</f>
        <v>1759.665</v>
      </c>
      <c r="W3" s="17">
        <f>$T3*$B$3/$V3</f>
        <v>10178.641957418031</v>
      </c>
      <c r="X3" s="17">
        <v>4000</v>
      </c>
      <c r="Y3" s="17">
        <f t="shared" si="0"/>
        <v>3.5193300000000001</v>
      </c>
      <c r="Z3">
        <f>$B$3/V3</f>
        <v>20.357283914836064</v>
      </c>
    </row>
    <row r="4" spans="1:26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0</v>
      </c>
      <c r="N4">
        <v>5</v>
      </c>
      <c r="O4" s="43">
        <v>0</v>
      </c>
      <c r="P4" s="1">
        <f>M4*$B$5</f>
        <v>0</v>
      </c>
      <c r="Q4">
        <v>3</v>
      </c>
      <c r="S4" t="s">
        <v>12</v>
      </c>
      <c r="T4">
        <v>300</v>
      </c>
      <c r="U4" t="s">
        <v>17</v>
      </c>
      <c r="V4">
        <f>Tabela3[[#This Row],[2*]]+0.401*F5</f>
        <v>1007.379</v>
      </c>
      <c r="W4" s="17">
        <f>$T4*$B$3/$V4</f>
        <v>10667.881700928845</v>
      </c>
      <c r="X4" s="17">
        <v>4000</v>
      </c>
      <c r="Y4" s="17">
        <f t="shared" si="0"/>
        <v>3.3579300000000001</v>
      </c>
      <c r="Z4">
        <f>$B$3/V4</f>
        <v>35.559605669762817</v>
      </c>
    </row>
    <row r="5" spans="1:26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20</v>
      </c>
      <c r="N5">
        <v>0</v>
      </c>
      <c r="O5" s="43">
        <f>MAXA(-(4*M3-Tabela6[[#This Row],[Done]])-M4,0)</f>
        <v>0</v>
      </c>
      <c r="P5" s="1"/>
      <c r="Q5">
        <v>13</v>
      </c>
      <c r="S5" t="s">
        <v>12</v>
      </c>
      <c r="T5">
        <v>500</v>
      </c>
      <c r="U5" t="s">
        <v>12</v>
      </c>
      <c r="V5">
        <f>F4+Tabela3[[#This Row],[2*]]+0.847*F6</f>
        <v>2215.125</v>
      </c>
      <c r="W5" s="17">
        <f>$T5*$B$3/$V5</f>
        <v>8085.7739405225439</v>
      </c>
      <c r="X5" s="17">
        <v>4000</v>
      </c>
      <c r="Y5" s="17">
        <f t="shared" si="0"/>
        <v>4.43025</v>
      </c>
      <c r="Z5">
        <f>$B$3/V5</f>
        <v>16.171547881045086</v>
      </c>
    </row>
    <row r="6" spans="1:26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20</v>
      </c>
      <c r="O6" s="43">
        <f>MAXA(-(M5+M4-O5-Tabela6[[#This Row],[Done]]),0)</f>
        <v>0</v>
      </c>
      <c r="P6" s="1">
        <f>M6*$B$4</f>
        <v>0</v>
      </c>
      <c r="Q6">
        <v>0</v>
      </c>
      <c r="S6" t="s">
        <v>26</v>
      </c>
      <c r="T6">
        <v>450</v>
      </c>
      <c r="U6" t="s">
        <v>17</v>
      </c>
      <c r="V6">
        <f>G4+0.186*G5</f>
        <v>1008.096</v>
      </c>
      <c r="W6" s="17">
        <f>$T6*$B$4/$V6</f>
        <v>36684.899057232644</v>
      </c>
      <c r="X6" s="17">
        <v>9600</v>
      </c>
      <c r="Y6" s="17">
        <f t="shared" si="0"/>
        <v>2.2402133333333332</v>
      </c>
      <c r="Z6">
        <f>$B$4/V6</f>
        <v>81.521997904961438</v>
      </c>
    </row>
    <row r="7" spans="1:26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60</v>
      </c>
      <c r="N7">
        <v>0</v>
      </c>
      <c r="O7" s="43">
        <f>MAXA(-3*(M4+M5-O5)+Tabela6[[#This Row],[Done]],0)</f>
        <v>0</v>
      </c>
      <c r="P7" s="1"/>
      <c r="Q7">
        <v>9</v>
      </c>
      <c r="S7" t="s">
        <v>26</v>
      </c>
      <c r="T7">
        <v>750</v>
      </c>
      <c r="U7" t="s">
        <v>12</v>
      </c>
      <c r="V7">
        <f>G4+G5+0.489*G6</f>
        <v>2282.9610000000002</v>
      </c>
      <c r="W7" s="17">
        <f>$T7*$B$4/$V7</f>
        <v>26998.490118753667</v>
      </c>
      <c r="X7" s="17">
        <v>9600</v>
      </c>
      <c r="Y7" s="17">
        <f t="shared" si="0"/>
        <v>3.0439480000000003</v>
      </c>
      <c r="Z7">
        <f>$B$4/V7</f>
        <v>35.997986825004894</v>
      </c>
    </row>
    <row r="8" spans="1:26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126</v>
      </c>
      <c r="M8">
        <f>MAXA(M7+M6-O7-Tabela6[[#This Row],[Done]],0)</f>
        <v>60</v>
      </c>
      <c r="N8">
        <v>0</v>
      </c>
      <c r="O8" s="43">
        <f>MAXA(-(M7+M6-O7-Tabela6[[#This Row],[Done]]),0)</f>
        <v>0</v>
      </c>
      <c r="P8" s="1">
        <f>M8*$B$3</f>
        <v>2149320</v>
      </c>
      <c r="Q8">
        <v>3</v>
      </c>
      <c r="S8" t="s">
        <v>27</v>
      </c>
      <c r="T8">
        <v>600</v>
      </c>
      <c r="U8" t="s">
        <v>17</v>
      </c>
      <c r="V8">
        <f>V4</f>
        <v>1007.379</v>
      </c>
      <c r="W8" s="17">
        <f>$T8*$B$5/$V8</f>
        <v>113016.05453359659</v>
      </c>
      <c r="X8" s="17">
        <v>22300</v>
      </c>
      <c r="Y8" s="17">
        <f t="shared" si="0"/>
        <v>1.678965</v>
      </c>
      <c r="Z8">
        <f>$B$5/V8</f>
        <v>188.36009088932764</v>
      </c>
    </row>
    <row r="9" spans="1:26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129</v>
      </c>
      <c r="M9" s="6">
        <f>MAXA(2*(M7+M6-O7)-Tabela6[[#This Row],[Done]],0)</f>
        <v>120</v>
      </c>
      <c r="N9">
        <v>0</v>
      </c>
      <c r="O9" s="43">
        <f>MAXA(-(4*M7-Tabela6[[#This Row],[Done]])-M8,0)</f>
        <v>0</v>
      </c>
      <c r="P9" s="39"/>
      <c r="Q9">
        <v>28</v>
      </c>
    </row>
    <row r="10" spans="1:26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168</v>
      </c>
      <c r="M10">
        <v>0</v>
      </c>
      <c r="N10">
        <v>0</v>
      </c>
      <c r="O10" s="43"/>
      <c r="P10" s="46">
        <f>Tabela6[[#This Row],[Missing]]*$B$2</f>
        <v>0</v>
      </c>
      <c r="Q10">
        <v>0</v>
      </c>
    </row>
    <row r="11" spans="1:26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169</v>
      </c>
      <c r="M11" s="6">
        <f>MAXA(2*M10-Tabela6[[#This Row],[Done]],0)</f>
        <v>0</v>
      </c>
      <c r="N11">
        <v>300</v>
      </c>
      <c r="O11" s="43"/>
      <c r="P11" s="39"/>
      <c r="Q11">
        <v>0</v>
      </c>
    </row>
    <row r="12" spans="1:26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128</v>
      </c>
      <c r="O12" s="38">
        <f>SUM(Tabela6[XP to gain])</f>
        <v>2149320</v>
      </c>
    </row>
    <row r="13" spans="1:26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6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123</v>
      </c>
      <c r="N14" t="s">
        <v>124</v>
      </c>
      <c r="O14" t="s">
        <v>127</v>
      </c>
      <c r="P14" t="s">
        <v>35</v>
      </c>
    </row>
    <row r="15" spans="1:26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125</v>
      </c>
      <c r="M15">
        <v>0</v>
      </c>
      <c r="N15">
        <v>0</v>
      </c>
      <c r="O15" s="1">
        <v>0</v>
      </c>
    </row>
    <row r="16" spans="1:26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0</v>
      </c>
      <c r="N16">
        <v>0</v>
      </c>
      <c r="O16" s="1">
        <f>M16*$B$5</f>
        <v>0</v>
      </c>
      <c r="Q16" s="15"/>
      <c r="R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4</v>
      </c>
      <c r="N17">
        <v>0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4</v>
      </c>
      <c r="N18">
        <v>0</v>
      </c>
      <c r="O18" s="1">
        <f>M18*$B$4</f>
        <v>328728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12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126</v>
      </c>
      <c r="M20">
        <f>MAXA(M19+M18-Tabela66[[#This Row],[Done]],0)</f>
        <v>16</v>
      </c>
      <c r="N20">
        <v>0</v>
      </c>
      <c r="O20" s="1">
        <f>M20*$B$3</f>
        <v>573152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129</v>
      </c>
      <c r="M21" s="6">
        <f>2*(M19+M18)-Tabela66[[#This Row],[Done]]</f>
        <v>32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168</v>
      </c>
      <c r="M22">
        <f>MAXA((M21+M20)-Tabela66[[#This Row],[Done]],0)</f>
        <v>48</v>
      </c>
      <c r="N22">
        <v>0</v>
      </c>
      <c r="O22" s="46">
        <f>Tabela66[[#This Row],[Missing]]*$B$2</f>
        <v>725760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169</v>
      </c>
      <c r="M23" s="6">
        <f>MAXA(2*M22-Tabela66[[#This Row],[Done]],0)</f>
        <v>96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128</v>
      </c>
      <c r="O24" s="38">
        <f>SUM(Tabela66[XP to gain])</f>
        <v>1627640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240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123</v>
      </c>
      <c r="N27" t="s">
        <v>124</v>
      </c>
      <c r="O27" t="s">
        <v>127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348</v>
      </c>
      <c r="M28">
        <f>4-Tabela610[[#This Row],[Done]]</f>
        <v>2</v>
      </c>
      <c r="N28">
        <v>2</v>
      </c>
      <c r="O28" s="1">
        <f>Tabela610[[#This Row],[Missing]]*$B$6</f>
        <v>893294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2</v>
      </c>
      <c r="N29">
        <v>14</v>
      </c>
      <c r="O29" s="1">
        <f>M29*$B$5</f>
        <v>379500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f>MAXA(4*M28-Tabela610[[#This Row],[Done]],0)</f>
        <v>0</v>
      </c>
      <c r="N30">
        <v>14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v>10</v>
      </c>
      <c r="O31" s="1">
        <f>M31*$B$4</f>
        <v>0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v>14</v>
      </c>
      <c r="O32" s="1"/>
    </row>
    <row r="33" spans="4:15">
      <c r="D33">
        <v>32</v>
      </c>
      <c r="I33">
        <v>43048</v>
      </c>
      <c r="J33">
        <v>51990</v>
      </c>
      <c r="L33" t="s">
        <v>126</v>
      </c>
      <c r="M33">
        <f>MAXA(3+M32-Tabela610[[#This Row],[Done]],0)</f>
        <v>3</v>
      </c>
      <c r="N33">
        <v>0</v>
      </c>
      <c r="O33" s="1">
        <f>M33*$B$3</f>
        <v>107466</v>
      </c>
    </row>
    <row r="34" spans="4:15">
      <c r="D34">
        <v>33</v>
      </c>
      <c r="I34">
        <v>49617</v>
      </c>
      <c r="J34">
        <v>59924</v>
      </c>
      <c r="L34" s="6" t="s">
        <v>129</v>
      </c>
      <c r="M34" s="6">
        <f>MAXA(2*(M31+M32-10)-Tabela610[[#This Row],[Done]],0)</f>
        <v>0</v>
      </c>
      <c r="N34">
        <v>0</v>
      </c>
      <c r="O34" s="39"/>
    </row>
    <row r="35" spans="4:15">
      <c r="D35">
        <v>34</v>
      </c>
      <c r="I35">
        <v>57188</v>
      </c>
      <c r="J35">
        <v>69068</v>
      </c>
      <c r="L35" t="s">
        <v>168</v>
      </c>
      <c r="M35">
        <v>0</v>
      </c>
      <c r="N35">
        <v>0</v>
      </c>
      <c r="O35" s="46">
        <f>Tabela610[[#This Row],[Missing]]*$B$2</f>
        <v>0</v>
      </c>
    </row>
    <row r="36" spans="4:15">
      <c r="D36">
        <v>35</v>
      </c>
      <c r="J36">
        <v>76085</v>
      </c>
      <c r="L36" s="6" t="s">
        <v>169</v>
      </c>
      <c r="M36" s="6">
        <f>MAXA(2*M35-Tabela610[[#This Row],[Done]],0)</f>
        <v>0</v>
      </c>
      <c r="N36">
        <v>500</v>
      </c>
      <c r="O36" s="39"/>
    </row>
    <row r="37" spans="4:15" ht="15">
      <c r="D37">
        <v>36</v>
      </c>
      <c r="J37">
        <v>83816</v>
      </c>
      <c r="N37" t="s">
        <v>128</v>
      </c>
      <c r="O37" s="38">
        <f>SUM(Tabela610[XP to gain])</f>
        <v>1380260</v>
      </c>
    </row>
    <row r="38" spans="4:15">
      <c r="D38">
        <v>37</v>
      </c>
      <c r="J38">
        <v>92332</v>
      </c>
    </row>
    <row r="39" spans="4:15">
      <c r="D39">
        <v>38</v>
      </c>
      <c r="J39">
        <v>101712</v>
      </c>
    </row>
    <row r="40" spans="4:15">
      <c r="D40">
        <v>39</v>
      </c>
      <c r="J40">
        <v>112046</v>
      </c>
    </row>
    <row r="41" spans="4:15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T2000"/>
  <sheetViews>
    <sheetView zoomScale="85" zoomScaleNormal="85" workbookViewId="0">
      <pane ySplit="1" topLeftCell="A1083" activePane="bottomLeft" state="frozen"/>
      <selection pane="bottomLeft" activeCell="A1126" sqref="A1126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209</v>
      </c>
      <c r="I1" t="s">
        <v>182</v>
      </c>
      <c r="J1" t="s">
        <v>181</v>
      </c>
      <c r="K1" t="s">
        <v>188</v>
      </c>
      <c r="L1" t="s">
        <v>186</v>
      </c>
      <c r="M1" t="s">
        <v>280</v>
      </c>
      <c r="O1" t="s">
        <v>11</v>
      </c>
      <c r="P1" t="s">
        <v>209</v>
      </c>
      <c r="Q1" t="s">
        <v>181</v>
      </c>
      <c r="R1" t="s">
        <v>188</v>
      </c>
      <c r="S1" t="s">
        <v>186</v>
      </c>
      <c r="T1" t="s">
        <v>308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0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307</v>
      </c>
      <c r="P7" t="s">
        <v>17</v>
      </c>
      <c r="Q7" s="1">
        <v>120000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212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271</v>
      </c>
      <c r="G120">
        <v>2</v>
      </c>
      <c r="H120" t="s">
        <v>289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0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271</v>
      </c>
      <c r="G170">
        <v>2</v>
      </c>
      <c r="H170" t="s">
        <v>289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271</v>
      </c>
      <c r="G174">
        <v>1</v>
      </c>
      <c r="H174" t="s">
        <v>311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268</v>
      </c>
      <c r="G176">
        <v>2</v>
      </c>
      <c r="H176" t="s">
        <v>289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0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271</v>
      </c>
      <c r="G284">
        <v>4</v>
      </c>
      <c r="H284" t="s">
        <v>289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146</v>
      </c>
      <c r="B285" t="s">
        <v>9</v>
      </c>
      <c r="C285">
        <v>5</v>
      </c>
      <c r="D285">
        <v>1500</v>
      </c>
      <c r="E285">
        <v>0</v>
      </c>
      <c r="F285" t="s">
        <v>291</v>
      </c>
      <c r="G285">
        <v>3</v>
      </c>
      <c r="H285" t="s">
        <v>289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146</v>
      </c>
      <c r="B286" t="s">
        <v>9</v>
      </c>
      <c r="C286">
        <v>5</v>
      </c>
      <c r="D286">
        <v>1782</v>
      </c>
      <c r="E286">
        <v>0</v>
      </c>
      <c r="F286" t="s">
        <v>291</v>
      </c>
      <c r="G286">
        <v>2</v>
      </c>
      <c r="H286" t="s">
        <v>289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146</v>
      </c>
      <c r="B287" t="s">
        <v>9</v>
      </c>
      <c r="C287">
        <v>5</v>
      </c>
      <c r="D287">
        <v>1666</v>
      </c>
      <c r="E287">
        <v>1</v>
      </c>
      <c r="F287" t="s">
        <v>291</v>
      </c>
      <c r="G287">
        <v>1</v>
      </c>
      <c r="H287" t="s">
        <v>311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146</v>
      </c>
      <c r="B288" t="s">
        <v>9</v>
      </c>
      <c r="C288">
        <v>5</v>
      </c>
      <c r="D288">
        <v>1556</v>
      </c>
      <c r="E288">
        <v>0</v>
      </c>
      <c r="F288" t="s">
        <v>291</v>
      </c>
      <c r="G288">
        <v>2</v>
      </c>
      <c r="H288" t="s">
        <v>289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146</v>
      </c>
      <c r="B289" t="s">
        <v>9</v>
      </c>
      <c r="C289">
        <v>5</v>
      </c>
      <c r="D289">
        <v>2860</v>
      </c>
      <c r="E289">
        <v>0</v>
      </c>
      <c r="F289" t="s">
        <v>291</v>
      </c>
      <c r="G289">
        <v>1</v>
      </c>
      <c r="H289" t="s">
        <v>311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146</v>
      </c>
      <c r="B290" t="s">
        <v>9</v>
      </c>
      <c r="C290">
        <v>5</v>
      </c>
      <c r="D290">
        <v>2986</v>
      </c>
      <c r="E290">
        <v>0</v>
      </c>
      <c r="F290" t="s">
        <v>291</v>
      </c>
      <c r="G290">
        <v>2</v>
      </c>
      <c r="H290" t="s">
        <v>289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146</v>
      </c>
      <c r="B291" t="s">
        <v>9</v>
      </c>
      <c r="C291">
        <v>5</v>
      </c>
      <c r="D291">
        <v>3172</v>
      </c>
      <c r="E291">
        <v>1</v>
      </c>
      <c r="F291" t="s">
        <v>147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146</v>
      </c>
      <c r="B292" t="s">
        <v>9</v>
      </c>
      <c r="C292">
        <v>5</v>
      </c>
      <c r="D292">
        <v>1420</v>
      </c>
      <c r="E292">
        <v>0</v>
      </c>
      <c r="F292" t="s">
        <v>291</v>
      </c>
      <c r="G292">
        <v>2</v>
      </c>
      <c r="H292" t="s">
        <v>311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146</v>
      </c>
      <c r="B293" t="s">
        <v>9</v>
      </c>
      <c r="C293">
        <v>5</v>
      </c>
      <c r="D293">
        <v>1352</v>
      </c>
      <c r="E293">
        <v>0</v>
      </c>
      <c r="F293" t="s">
        <v>291</v>
      </c>
      <c r="G293">
        <v>1</v>
      </c>
      <c r="H293" t="s">
        <v>311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146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146</v>
      </c>
      <c r="B295" t="s">
        <v>9</v>
      </c>
      <c r="C295">
        <v>5</v>
      </c>
      <c r="D295">
        <v>1428</v>
      </c>
      <c r="E295">
        <v>1</v>
      </c>
      <c r="F295" t="s">
        <v>212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146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146</v>
      </c>
      <c r="B297" t="s">
        <v>9</v>
      </c>
      <c r="C297">
        <v>5</v>
      </c>
      <c r="D297">
        <v>1559</v>
      </c>
      <c r="E297">
        <v>0</v>
      </c>
      <c r="F297" t="s">
        <v>291</v>
      </c>
      <c r="G297">
        <v>1</v>
      </c>
      <c r="H297" t="s">
        <v>311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146</v>
      </c>
      <c r="B298" t="s">
        <v>9</v>
      </c>
      <c r="C298">
        <v>5</v>
      </c>
      <c r="D298">
        <v>1600</v>
      </c>
      <c r="E298">
        <v>0</v>
      </c>
      <c r="F298" t="s">
        <v>291</v>
      </c>
      <c r="G298">
        <v>3</v>
      </c>
      <c r="H298" t="s">
        <v>311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146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146</v>
      </c>
      <c r="B300" t="s">
        <v>9</v>
      </c>
      <c r="C300">
        <v>5</v>
      </c>
      <c r="D300">
        <v>1389</v>
      </c>
      <c r="E300">
        <v>0</v>
      </c>
      <c r="F300" t="s">
        <v>291</v>
      </c>
      <c r="G300">
        <v>4</v>
      </c>
      <c r="H300" t="s">
        <v>289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150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0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179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271</v>
      </c>
      <c r="G335">
        <v>1</v>
      </c>
      <c r="H335" t="s">
        <v>311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180</v>
      </c>
      <c r="B336" t="s">
        <v>9</v>
      </c>
      <c r="C336">
        <v>5</v>
      </c>
      <c r="D336">
        <v>1000</v>
      </c>
      <c r="E336">
        <v>0</v>
      </c>
      <c r="F336" t="s">
        <v>270</v>
      </c>
      <c r="G336">
        <v>5</v>
      </c>
      <c r="H336" t="s">
        <v>289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150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179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179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179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179</v>
      </c>
      <c r="B370" t="s">
        <v>9</v>
      </c>
      <c r="C370">
        <v>5</v>
      </c>
      <c r="D370">
        <v>2547</v>
      </c>
      <c r="E370">
        <v>2</v>
      </c>
      <c r="F370" t="s">
        <v>150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179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179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179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179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179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179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179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179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179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179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179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179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185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0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150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150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150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150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150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271</v>
      </c>
      <c r="G522">
        <v>1</v>
      </c>
      <c r="H522" t="s">
        <v>311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271</v>
      </c>
      <c r="G523">
        <v>1</v>
      </c>
      <c r="H523" t="s">
        <v>311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271</v>
      </c>
      <c r="G524">
        <v>4</v>
      </c>
      <c r="H524" t="s">
        <v>289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179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179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179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179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0</v>
      </c>
    </row>
    <row r="529" spans="1:12">
      <c r="A529" s="10" t="s">
        <v>179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179</v>
      </c>
      <c r="B530" t="s">
        <v>9</v>
      </c>
      <c r="C530">
        <v>6</v>
      </c>
      <c r="D530">
        <v>2638</v>
      </c>
      <c r="E530">
        <v>0</v>
      </c>
      <c r="F530" t="s">
        <v>150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179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179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179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179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214</v>
      </c>
      <c r="B535" t="s">
        <v>9</v>
      </c>
      <c r="C535">
        <v>8</v>
      </c>
      <c r="D535">
        <v>2498</v>
      </c>
      <c r="E535">
        <v>2</v>
      </c>
      <c r="F535" t="s">
        <v>268</v>
      </c>
      <c r="G535">
        <v>3</v>
      </c>
      <c r="H535" t="s">
        <v>289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214</v>
      </c>
      <c r="B536" t="s">
        <v>9</v>
      </c>
      <c r="C536">
        <v>7</v>
      </c>
      <c r="D536">
        <v>2073</v>
      </c>
      <c r="E536">
        <v>0</v>
      </c>
      <c r="F536" t="s">
        <v>268</v>
      </c>
      <c r="G536">
        <v>1</v>
      </c>
      <c r="H536" t="s">
        <v>311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214</v>
      </c>
      <c r="B537" t="s">
        <v>9</v>
      </c>
      <c r="C537">
        <v>7</v>
      </c>
      <c r="D537">
        <v>2143</v>
      </c>
      <c r="E537">
        <v>0</v>
      </c>
      <c r="F537" t="s">
        <v>268</v>
      </c>
      <c r="G537">
        <v>3</v>
      </c>
      <c r="H537" t="s">
        <v>289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214</v>
      </c>
      <c r="B538" t="s">
        <v>9</v>
      </c>
      <c r="C538">
        <v>7</v>
      </c>
      <c r="D538">
        <v>1852</v>
      </c>
      <c r="E538">
        <v>1</v>
      </c>
      <c r="F538" t="s">
        <v>268</v>
      </c>
      <c r="G538">
        <v>1</v>
      </c>
      <c r="H538" t="s">
        <v>311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214</v>
      </c>
      <c r="B539" t="s">
        <v>9</v>
      </c>
      <c r="C539">
        <v>7</v>
      </c>
      <c r="D539">
        <v>2417</v>
      </c>
      <c r="E539">
        <v>0</v>
      </c>
      <c r="F539" t="s">
        <v>212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214</v>
      </c>
      <c r="B540" t="s">
        <v>9</v>
      </c>
      <c r="C540">
        <v>8</v>
      </c>
      <c r="D540">
        <v>2146</v>
      </c>
      <c r="E540">
        <v>0</v>
      </c>
      <c r="F540" t="s">
        <v>268</v>
      </c>
      <c r="G540">
        <v>2</v>
      </c>
      <c r="H540" t="s">
        <v>311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214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214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214</v>
      </c>
      <c r="B543" t="s">
        <v>9</v>
      </c>
      <c r="C543">
        <v>8</v>
      </c>
      <c r="D543">
        <v>2223</v>
      </c>
      <c r="E543">
        <v>1</v>
      </c>
      <c r="F543" t="s">
        <v>268</v>
      </c>
      <c r="G543">
        <v>5</v>
      </c>
      <c r="H543" t="s">
        <v>289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214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214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214</v>
      </c>
      <c r="B546" t="s">
        <v>9</v>
      </c>
      <c r="C546">
        <v>8</v>
      </c>
      <c r="D546">
        <v>2404</v>
      </c>
      <c r="E546">
        <v>1</v>
      </c>
      <c r="F546" t="s">
        <v>268</v>
      </c>
      <c r="G546">
        <v>4</v>
      </c>
      <c r="H546" t="s">
        <v>289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214</v>
      </c>
      <c r="B547" t="s">
        <v>9</v>
      </c>
      <c r="C547">
        <v>8</v>
      </c>
      <c r="D547">
        <v>3017</v>
      </c>
      <c r="E547">
        <v>1</v>
      </c>
      <c r="F547" t="s">
        <v>268</v>
      </c>
      <c r="G547">
        <v>4</v>
      </c>
      <c r="H547" t="s">
        <v>289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214</v>
      </c>
      <c r="B548" t="s">
        <v>9</v>
      </c>
      <c r="C548">
        <v>8</v>
      </c>
      <c r="D548">
        <v>2175</v>
      </c>
      <c r="E548">
        <v>0</v>
      </c>
      <c r="F548" t="s">
        <v>150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214</v>
      </c>
      <c r="B549" t="s">
        <v>9</v>
      </c>
      <c r="C549">
        <v>8</v>
      </c>
      <c r="D549">
        <v>2276</v>
      </c>
      <c r="E549">
        <v>0</v>
      </c>
      <c r="F549" t="s">
        <v>268</v>
      </c>
      <c r="G549">
        <v>4</v>
      </c>
      <c r="H549" t="s">
        <v>289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214</v>
      </c>
      <c r="B550" t="s">
        <v>9</v>
      </c>
      <c r="C550">
        <v>8</v>
      </c>
      <c r="D550">
        <v>2576</v>
      </c>
      <c r="E550">
        <v>3</v>
      </c>
      <c r="F550" t="s">
        <v>268</v>
      </c>
      <c r="G550">
        <v>4</v>
      </c>
      <c r="H550" t="s">
        <v>289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214</v>
      </c>
      <c r="B551" t="s">
        <v>9</v>
      </c>
      <c r="C551">
        <v>8</v>
      </c>
      <c r="D551">
        <v>2058</v>
      </c>
      <c r="E551">
        <v>1</v>
      </c>
      <c r="F551" t="s">
        <v>268</v>
      </c>
      <c r="G551">
        <v>5</v>
      </c>
      <c r="H551" t="s">
        <v>289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214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214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214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214</v>
      </c>
      <c r="B555" t="s">
        <v>9</v>
      </c>
      <c r="C555">
        <v>8</v>
      </c>
      <c r="D555">
        <v>2526</v>
      </c>
      <c r="E555">
        <v>0</v>
      </c>
      <c r="F555" t="s">
        <v>268</v>
      </c>
      <c r="G555">
        <v>1</v>
      </c>
      <c r="H555" t="s">
        <v>290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214</v>
      </c>
      <c r="B556" t="s">
        <v>9</v>
      </c>
      <c r="C556">
        <v>8</v>
      </c>
      <c r="D556">
        <v>2483</v>
      </c>
      <c r="E556">
        <v>3</v>
      </c>
      <c r="F556" t="s">
        <v>268</v>
      </c>
      <c r="G556">
        <v>1</v>
      </c>
      <c r="H556" t="s">
        <v>290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214</v>
      </c>
      <c r="B557" t="s">
        <v>9</v>
      </c>
      <c r="C557">
        <v>8</v>
      </c>
      <c r="D557">
        <v>2491</v>
      </c>
      <c r="E557">
        <v>0</v>
      </c>
      <c r="F557" t="s">
        <v>234</v>
      </c>
      <c r="G557" t="s">
        <v>309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214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214</v>
      </c>
      <c r="B559" t="s">
        <v>9</v>
      </c>
      <c r="C559">
        <v>8</v>
      </c>
      <c r="D559">
        <v>2671</v>
      </c>
      <c r="E559">
        <v>2</v>
      </c>
      <c r="F559" t="s">
        <v>268</v>
      </c>
      <c r="G559">
        <v>4</v>
      </c>
      <c r="H559" t="s">
        <v>289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214</v>
      </c>
      <c r="B560" t="s">
        <v>9</v>
      </c>
      <c r="C560">
        <v>8</v>
      </c>
      <c r="D560">
        <v>2186</v>
      </c>
      <c r="E560">
        <v>1</v>
      </c>
      <c r="F560" t="s">
        <v>213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214</v>
      </c>
      <c r="B561" t="s">
        <v>9</v>
      </c>
      <c r="C561">
        <v>8</v>
      </c>
      <c r="D561">
        <v>2316</v>
      </c>
      <c r="E561">
        <v>0</v>
      </c>
      <c r="F561" t="s">
        <v>268</v>
      </c>
      <c r="G561">
        <v>3</v>
      </c>
      <c r="H561" t="s">
        <v>289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214</v>
      </c>
      <c r="B562" t="s">
        <v>9</v>
      </c>
      <c r="C562">
        <v>8</v>
      </c>
      <c r="D562">
        <v>2046</v>
      </c>
      <c r="E562">
        <v>1</v>
      </c>
      <c r="F562" t="s">
        <v>268</v>
      </c>
      <c r="G562">
        <v>4</v>
      </c>
      <c r="H562" t="s">
        <v>289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214</v>
      </c>
      <c r="B563" t="s">
        <v>9</v>
      </c>
      <c r="C563">
        <v>8</v>
      </c>
      <c r="D563">
        <v>2303</v>
      </c>
      <c r="E563">
        <v>3</v>
      </c>
      <c r="F563" t="s">
        <v>268</v>
      </c>
      <c r="G563">
        <v>1</v>
      </c>
      <c r="H563" t="s">
        <v>311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214</v>
      </c>
      <c r="B564" t="s">
        <v>9</v>
      </c>
      <c r="C564">
        <v>8</v>
      </c>
      <c r="D564">
        <v>2396</v>
      </c>
      <c r="E564">
        <v>1</v>
      </c>
      <c r="F564" t="s">
        <v>268</v>
      </c>
      <c r="G564">
        <v>1</v>
      </c>
      <c r="H564" t="s">
        <v>311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214</v>
      </c>
      <c r="B565" t="s">
        <v>9</v>
      </c>
      <c r="C565">
        <v>8</v>
      </c>
      <c r="D565">
        <v>2325</v>
      </c>
      <c r="E565">
        <v>1</v>
      </c>
      <c r="F565" t="s">
        <v>268</v>
      </c>
      <c r="G565">
        <v>2</v>
      </c>
      <c r="H565" t="s">
        <v>290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214</v>
      </c>
      <c r="B566" t="s">
        <v>9</v>
      </c>
      <c r="C566">
        <v>8</v>
      </c>
      <c r="D566">
        <v>2398</v>
      </c>
      <c r="E566">
        <v>1</v>
      </c>
      <c r="F566" t="s">
        <v>268</v>
      </c>
      <c r="G566">
        <v>3</v>
      </c>
      <c r="H566" t="s">
        <v>289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214</v>
      </c>
      <c r="B567" t="s">
        <v>9</v>
      </c>
      <c r="C567">
        <v>8</v>
      </c>
      <c r="D567">
        <v>2668</v>
      </c>
      <c r="E567">
        <v>0</v>
      </c>
      <c r="F567" t="s">
        <v>268</v>
      </c>
      <c r="G567">
        <v>3</v>
      </c>
      <c r="H567" t="s">
        <v>290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271</v>
      </c>
      <c r="G568">
        <v>2</v>
      </c>
      <c r="H568" t="s">
        <v>311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271</v>
      </c>
      <c r="G569">
        <v>1</v>
      </c>
      <c r="H569" t="s">
        <v>311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271</v>
      </c>
      <c r="G570">
        <v>4</v>
      </c>
      <c r="H570" t="s">
        <v>289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271</v>
      </c>
      <c r="G571">
        <v>1</v>
      </c>
      <c r="H571" t="s">
        <v>311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271</v>
      </c>
      <c r="G572">
        <v>1</v>
      </c>
      <c r="H572" t="s">
        <v>311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271</v>
      </c>
      <c r="G573">
        <v>4</v>
      </c>
      <c r="H573" t="s">
        <v>289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271</v>
      </c>
      <c r="G574">
        <v>3</v>
      </c>
      <c r="H574" t="s">
        <v>311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271</v>
      </c>
      <c r="G575">
        <v>3</v>
      </c>
      <c r="H575" t="s">
        <v>311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271</v>
      </c>
      <c r="G576">
        <v>4</v>
      </c>
      <c r="H576" t="s">
        <v>289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271</v>
      </c>
      <c r="G577">
        <v>3</v>
      </c>
      <c r="H577" t="s">
        <v>289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268</v>
      </c>
      <c r="G578">
        <v>3</v>
      </c>
      <c r="H578" t="s">
        <v>289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271</v>
      </c>
      <c r="G579">
        <v>5</v>
      </c>
      <c r="H579" t="s">
        <v>289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150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271</v>
      </c>
      <c r="G582">
        <v>3</v>
      </c>
      <c r="H582" t="s">
        <v>289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271</v>
      </c>
      <c r="G583">
        <v>2</v>
      </c>
      <c r="H583" t="s">
        <v>290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179</v>
      </c>
      <c r="B584" t="s">
        <v>9</v>
      </c>
      <c r="C584">
        <v>6</v>
      </c>
      <c r="D584">
        <v>2097</v>
      </c>
      <c r="E584">
        <v>2</v>
      </c>
      <c r="F584" t="s">
        <v>277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271</v>
      </c>
      <c r="G655">
        <v>4</v>
      </c>
      <c r="H655" t="s">
        <v>289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271</v>
      </c>
      <c r="G656">
        <v>1</v>
      </c>
      <c r="H656" t="s">
        <v>290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271</v>
      </c>
      <c r="G657">
        <v>1</v>
      </c>
      <c r="H657" t="s">
        <v>311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268</v>
      </c>
      <c r="G658">
        <v>1</v>
      </c>
      <c r="H658" t="s">
        <v>311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271</v>
      </c>
      <c r="G660">
        <v>1</v>
      </c>
      <c r="H660" t="s">
        <v>311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271</v>
      </c>
      <c r="G662">
        <v>1</v>
      </c>
      <c r="H662" t="s">
        <v>311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271</v>
      </c>
      <c r="G663">
        <v>5</v>
      </c>
      <c r="H663" t="s">
        <v>289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271</v>
      </c>
      <c r="G664">
        <v>4</v>
      </c>
      <c r="H664" t="s">
        <v>289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271</v>
      </c>
      <c r="G665">
        <v>2</v>
      </c>
      <c r="H665" t="s">
        <v>311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271</v>
      </c>
      <c r="G666">
        <v>1</v>
      </c>
      <c r="H666" t="s">
        <v>311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271</v>
      </c>
      <c r="G667">
        <v>3</v>
      </c>
      <c r="H667" t="s">
        <v>289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269</v>
      </c>
      <c r="G668">
        <v>1</v>
      </c>
      <c r="H668" t="s">
        <v>311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269</v>
      </c>
      <c r="G669">
        <v>2</v>
      </c>
      <c r="H669" t="s">
        <v>311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271</v>
      </c>
      <c r="G670">
        <v>5</v>
      </c>
      <c r="H670" t="s">
        <v>289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0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271</v>
      </c>
      <c r="G672">
        <v>3</v>
      </c>
      <c r="H672" t="s">
        <v>289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271</v>
      </c>
      <c r="G673">
        <v>4</v>
      </c>
      <c r="H673" t="s">
        <v>289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269</v>
      </c>
      <c r="G674">
        <v>3</v>
      </c>
      <c r="H674" t="s">
        <v>311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271</v>
      </c>
      <c r="G675">
        <v>5</v>
      </c>
      <c r="H675" t="s">
        <v>289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290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271</v>
      </c>
      <c r="G677">
        <v>5</v>
      </c>
      <c r="H677" t="s">
        <v>289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269</v>
      </c>
      <c r="G678">
        <v>1</v>
      </c>
      <c r="H678" t="s">
        <v>311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179</v>
      </c>
      <c r="B679" t="s">
        <v>9</v>
      </c>
      <c r="C679">
        <v>8</v>
      </c>
      <c r="D679">
        <v>3681</v>
      </c>
      <c r="E679">
        <v>1</v>
      </c>
      <c r="F679" t="s">
        <v>277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271</v>
      </c>
      <c r="G690">
        <v>1</v>
      </c>
      <c r="H690" t="s">
        <v>311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271</v>
      </c>
      <c r="G691">
        <v>1</v>
      </c>
      <c r="H691" t="s">
        <v>290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271</v>
      </c>
      <c r="G692">
        <v>1</v>
      </c>
      <c r="H692" t="s">
        <v>311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269</v>
      </c>
      <c r="G693">
        <v>1</v>
      </c>
      <c r="H693" t="s">
        <v>311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271</v>
      </c>
      <c r="G694">
        <v>4</v>
      </c>
      <c r="H694" t="s">
        <v>289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290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271</v>
      </c>
      <c r="G696">
        <v>1</v>
      </c>
      <c r="H696" t="s">
        <v>311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271</v>
      </c>
      <c r="G697">
        <v>5</v>
      </c>
      <c r="H697" t="s">
        <v>289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271</v>
      </c>
      <c r="G698">
        <v>1</v>
      </c>
      <c r="H698" t="s">
        <v>290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271</v>
      </c>
      <c r="G699">
        <v>3</v>
      </c>
      <c r="H699" t="s">
        <v>289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271</v>
      </c>
      <c r="G701">
        <v>5</v>
      </c>
      <c r="H701" t="s">
        <v>289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271</v>
      </c>
      <c r="G702">
        <v>1</v>
      </c>
      <c r="H702" t="s">
        <v>311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271</v>
      </c>
      <c r="G703">
        <v>1</v>
      </c>
      <c r="H703" t="s">
        <v>290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271</v>
      </c>
      <c r="G704">
        <v>1</v>
      </c>
      <c r="H704" t="s">
        <v>311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271</v>
      </c>
      <c r="G706">
        <v>3</v>
      </c>
      <c r="H706" t="s">
        <v>289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271</v>
      </c>
      <c r="G707">
        <v>4</v>
      </c>
      <c r="H707" t="s">
        <v>289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180</v>
      </c>
      <c r="B708" t="s">
        <v>9</v>
      </c>
      <c r="C708">
        <v>7</v>
      </c>
      <c r="D708">
        <v>2217</v>
      </c>
      <c r="E708">
        <v>0</v>
      </c>
      <c r="F708" t="s">
        <v>270</v>
      </c>
      <c r="G708">
        <v>2</v>
      </c>
      <c r="H708" t="s">
        <v>311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180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180</v>
      </c>
      <c r="B710" t="s">
        <v>9</v>
      </c>
      <c r="C710">
        <v>8</v>
      </c>
      <c r="D710">
        <v>2286</v>
      </c>
      <c r="E710">
        <v>0</v>
      </c>
      <c r="F710" t="s">
        <v>270</v>
      </c>
      <c r="G710">
        <v>2</v>
      </c>
      <c r="H710" t="s">
        <v>311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180</v>
      </c>
      <c r="B711" t="s">
        <v>9</v>
      </c>
      <c r="C711">
        <v>8</v>
      </c>
      <c r="D711">
        <v>2828</v>
      </c>
      <c r="E711">
        <v>0</v>
      </c>
      <c r="F711" t="s">
        <v>270</v>
      </c>
      <c r="G711">
        <v>1</v>
      </c>
      <c r="H711" t="s">
        <v>311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180</v>
      </c>
      <c r="B712" t="s">
        <v>9</v>
      </c>
      <c r="C712">
        <v>9</v>
      </c>
      <c r="D712">
        <v>2917</v>
      </c>
      <c r="E712">
        <v>2</v>
      </c>
      <c r="F712" t="s">
        <v>270</v>
      </c>
      <c r="G712">
        <v>3</v>
      </c>
      <c r="H712" t="s">
        <v>311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180</v>
      </c>
      <c r="B713" t="s">
        <v>9</v>
      </c>
      <c r="C713">
        <v>10</v>
      </c>
      <c r="D713">
        <v>2771</v>
      </c>
      <c r="E713">
        <v>0</v>
      </c>
      <c r="F713" t="s">
        <v>270</v>
      </c>
      <c r="G713">
        <v>1</v>
      </c>
      <c r="H713" t="s">
        <v>311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180</v>
      </c>
      <c r="B714" t="s">
        <v>9</v>
      </c>
      <c r="C714">
        <v>10</v>
      </c>
      <c r="D714">
        <v>3158</v>
      </c>
      <c r="E714">
        <v>1</v>
      </c>
      <c r="F714" t="s">
        <v>270</v>
      </c>
      <c r="G714">
        <v>3</v>
      </c>
      <c r="H714" t="s">
        <v>290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180</v>
      </c>
      <c r="B715" t="s">
        <v>9</v>
      </c>
      <c r="C715">
        <v>10</v>
      </c>
      <c r="D715">
        <v>3080</v>
      </c>
      <c r="E715">
        <v>0</v>
      </c>
      <c r="F715" t="s">
        <v>270</v>
      </c>
      <c r="G715">
        <v>5</v>
      </c>
      <c r="H715" t="s">
        <v>289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180</v>
      </c>
      <c r="B716" t="s">
        <v>9</v>
      </c>
      <c r="C716">
        <v>10</v>
      </c>
      <c r="D716">
        <v>3091</v>
      </c>
      <c r="E716">
        <v>2</v>
      </c>
      <c r="F716" t="s">
        <v>270</v>
      </c>
      <c r="G716">
        <v>5</v>
      </c>
      <c r="H716" t="s">
        <v>289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271</v>
      </c>
      <c r="G717">
        <v>2</v>
      </c>
      <c r="H717" t="s">
        <v>290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271</v>
      </c>
      <c r="G718">
        <v>1</v>
      </c>
      <c r="H718" t="s">
        <v>311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271</v>
      </c>
      <c r="G719">
        <v>5</v>
      </c>
      <c r="H719" t="s">
        <v>289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271</v>
      </c>
      <c r="G720">
        <v>5</v>
      </c>
      <c r="H720" t="s">
        <v>289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271</v>
      </c>
      <c r="G721">
        <v>1</v>
      </c>
      <c r="H721" t="s">
        <v>311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271</v>
      </c>
      <c r="G722">
        <v>5</v>
      </c>
      <c r="H722" t="s">
        <v>289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271</v>
      </c>
      <c r="G723">
        <v>2</v>
      </c>
      <c r="H723" t="s">
        <v>311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271</v>
      </c>
      <c r="G724">
        <v>3</v>
      </c>
      <c r="H724" t="s">
        <v>289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0</v>
      </c>
    </row>
    <row r="726" spans="1:13">
      <c r="A726" t="s">
        <v>179</v>
      </c>
      <c r="B726" t="s">
        <v>9</v>
      </c>
      <c r="C726">
        <v>8</v>
      </c>
      <c r="D726">
        <v>3502</v>
      </c>
      <c r="E726">
        <v>1</v>
      </c>
      <c r="F726" t="s">
        <v>277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211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271</v>
      </c>
      <c r="G728">
        <v>1</v>
      </c>
      <c r="H728" t="s">
        <v>290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0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271</v>
      </c>
      <c r="G730">
        <v>3</v>
      </c>
      <c r="H730" t="s">
        <v>311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268</v>
      </c>
      <c r="G731">
        <v>2</v>
      </c>
      <c r="H731" t="s">
        <v>311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268</v>
      </c>
      <c r="G732">
        <v>4</v>
      </c>
      <c r="H732" t="s">
        <v>289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271</v>
      </c>
      <c r="G733">
        <v>1</v>
      </c>
      <c r="H733" t="s">
        <v>290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0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81">
        <f>IFERROR(SUMIFS(Tabela10[Fod Worth],Tabela10[Drop],DropAnalityka[[#This Row],[Drop]],Tabela10[Grade],DropAnalityka[[#This Row],[Grade]])*DropAnalityka[[#This Row],[Quality/Quantity]],0)</f>
        <v>0</v>
      </c>
      <c r="L752" s="81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179</v>
      </c>
      <c r="B755" t="s">
        <v>9</v>
      </c>
      <c r="C755">
        <v>8</v>
      </c>
      <c r="D755">
        <v>3665</v>
      </c>
      <c r="E755">
        <v>1</v>
      </c>
      <c r="F755" t="s">
        <v>277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271</v>
      </c>
      <c r="G756">
        <v>1</v>
      </c>
      <c r="H756" t="s">
        <v>311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271</v>
      </c>
      <c r="G757">
        <v>2</v>
      </c>
      <c r="H757" t="s">
        <v>311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271</v>
      </c>
      <c r="G758">
        <v>4</v>
      </c>
      <c r="H758" t="s">
        <v>289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271</v>
      </c>
      <c r="G759">
        <v>1</v>
      </c>
      <c r="H759" t="s">
        <v>290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281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281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289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281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311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281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281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0</v>
      </c>
    </row>
    <row r="766" spans="1:13">
      <c r="A766" t="s">
        <v>281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311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281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211</v>
      </c>
    </row>
    <row r="768" spans="1:13">
      <c r="A768" t="s">
        <v>281</v>
      </c>
      <c r="B768" t="s">
        <v>9</v>
      </c>
      <c r="C768">
        <v>9</v>
      </c>
      <c r="D768">
        <v>2875</v>
      </c>
      <c r="E768">
        <v>0</v>
      </c>
      <c r="F768" t="s">
        <v>213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281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290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281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311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281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311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281</v>
      </c>
      <c r="B772" t="s">
        <v>9</v>
      </c>
      <c r="C772">
        <v>9</v>
      </c>
      <c r="D772">
        <v>2758</v>
      </c>
      <c r="E772">
        <v>0</v>
      </c>
      <c r="F772" t="s">
        <v>283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281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311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281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311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281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290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281</v>
      </c>
      <c r="B776" t="s">
        <v>9</v>
      </c>
      <c r="C776">
        <v>9</v>
      </c>
      <c r="D776">
        <v>2516</v>
      </c>
      <c r="E776">
        <v>1</v>
      </c>
      <c r="F776" t="s">
        <v>283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281</v>
      </c>
      <c r="B777" t="s">
        <v>9</v>
      </c>
      <c r="C777">
        <v>9</v>
      </c>
      <c r="D777">
        <v>2850</v>
      </c>
      <c r="E777">
        <v>2</v>
      </c>
      <c r="F777" t="s">
        <v>282</v>
      </c>
      <c r="G777">
        <v>3</v>
      </c>
      <c r="H777" t="s">
        <v>289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271</v>
      </c>
      <c r="G778">
        <v>3</v>
      </c>
      <c r="H778" t="s">
        <v>311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179</v>
      </c>
      <c r="B779" t="s">
        <v>9</v>
      </c>
      <c r="C779">
        <v>8</v>
      </c>
      <c r="D779">
        <v>3425</v>
      </c>
      <c r="E779">
        <v>0</v>
      </c>
      <c r="F779" t="s">
        <v>284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281</v>
      </c>
      <c r="B780" t="s">
        <v>9</v>
      </c>
      <c r="C780">
        <v>9</v>
      </c>
      <c r="D780">
        <v>2517</v>
      </c>
      <c r="E780">
        <v>0</v>
      </c>
      <c r="F780" t="s">
        <v>283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281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290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281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0</v>
      </c>
    </row>
    <row r="783" spans="1:12">
      <c r="A783" t="s">
        <v>281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311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281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311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281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211</v>
      </c>
    </row>
    <row r="786" spans="1:13">
      <c r="A786" t="s">
        <v>281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311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281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311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281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289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281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289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281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289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283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81">
        <f>IFERROR(SUMIFS(Tabela10[Fod Worth],Tabela10[Drop],DropAnalityka[[#This Row],[Drop]],Tabela10[Grade],DropAnalityka[[#This Row],[Grade]])*DropAnalityka[[#This Row],[Quality/Quantity]],0)</f>
        <v>0</v>
      </c>
      <c r="L802" s="81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281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179</v>
      </c>
      <c r="B813" t="s">
        <v>9</v>
      </c>
      <c r="C813">
        <v>8</v>
      </c>
      <c r="D813">
        <v>3118</v>
      </c>
      <c r="E813">
        <v>0</v>
      </c>
      <c r="F813" t="s">
        <v>277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179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179</v>
      </c>
      <c r="B815" t="s">
        <v>9</v>
      </c>
      <c r="C815">
        <v>8</v>
      </c>
      <c r="D815">
        <v>3825</v>
      </c>
      <c r="E815">
        <v>1</v>
      </c>
      <c r="F815" t="s">
        <v>283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179</v>
      </c>
      <c r="B816" t="s">
        <v>9</v>
      </c>
      <c r="C816">
        <v>8</v>
      </c>
      <c r="D816">
        <v>3553</v>
      </c>
      <c r="E816">
        <v>0</v>
      </c>
      <c r="F816" t="s">
        <v>277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179</v>
      </c>
      <c r="B817" t="s">
        <v>9</v>
      </c>
      <c r="C817">
        <v>8</v>
      </c>
      <c r="D817">
        <v>3574</v>
      </c>
      <c r="E817">
        <v>1</v>
      </c>
      <c r="F817" t="s">
        <v>285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179</v>
      </c>
      <c r="B818" t="s">
        <v>9</v>
      </c>
      <c r="C818">
        <v>8</v>
      </c>
      <c r="D818">
        <v>3456</v>
      </c>
      <c r="E818">
        <v>3</v>
      </c>
      <c r="F818" t="s">
        <v>277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179</v>
      </c>
      <c r="B819" t="s">
        <v>9</v>
      </c>
      <c r="C819">
        <v>8</v>
      </c>
      <c r="D819">
        <v>3185</v>
      </c>
      <c r="E819">
        <v>0</v>
      </c>
      <c r="F819" t="s">
        <v>277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179</v>
      </c>
      <c r="B820" t="s">
        <v>9</v>
      </c>
      <c r="C820">
        <v>8</v>
      </c>
      <c r="D820">
        <v>3742</v>
      </c>
      <c r="E820">
        <v>4</v>
      </c>
      <c r="F820" t="s">
        <v>277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214</v>
      </c>
      <c r="B821" t="s">
        <v>9</v>
      </c>
      <c r="C821">
        <v>9</v>
      </c>
      <c r="D821">
        <v>2924</v>
      </c>
      <c r="E821">
        <v>1</v>
      </c>
      <c r="F821" t="s">
        <v>268</v>
      </c>
      <c r="G821">
        <v>1</v>
      </c>
      <c r="H821" t="s">
        <v>311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214</v>
      </c>
      <c r="B822" t="s">
        <v>9</v>
      </c>
      <c r="C822">
        <v>9</v>
      </c>
      <c r="D822">
        <v>3192</v>
      </c>
      <c r="E822">
        <v>2</v>
      </c>
      <c r="F822" t="s">
        <v>268</v>
      </c>
      <c r="G822">
        <v>2</v>
      </c>
      <c r="H822" t="s">
        <v>311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214</v>
      </c>
      <c r="B823" t="s">
        <v>9</v>
      </c>
      <c r="C823">
        <v>9</v>
      </c>
      <c r="D823">
        <v>2967</v>
      </c>
      <c r="E823">
        <v>1</v>
      </c>
      <c r="F823" t="s">
        <v>268</v>
      </c>
      <c r="G823">
        <v>2</v>
      </c>
      <c r="H823" t="s">
        <v>311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214</v>
      </c>
      <c r="B824" t="s">
        <v>9</v>
      </c>
      <c r="C824">
        <v>9</v>
      </c>
      <c r="D824">
        <v>2926</v>
      </c>
      <c r="E824">
        <v>0</v>
      </c>
      <c r="F824" t="s">
        <v>268</v>
      </c>
      <c r="G824">
        <v>3</v>
      </c>
      <c r="H824" t="s">
        <v>289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214</v>
      </c>
      <c r="B825" t="s">
        <v>9</v>
      </c>
      <c r="C825">
        <v>9</v>
      </c>
      <c r="D825">
        <v>2801</v>
      </c>
      <c r="E825">
        <v>1</v>
      </c>
      <c r="F825" t="s">
        <v>268</v>
      </c>
      <c r="G825">
        <v>3</v>
      </c>
      <c r="H825" t="s">
        <v>289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214</v>
      </c>
      <c r="B826" t="s">
        <v>9</v>
      </c>
      <c r="C826">
        <v>9</v>
      </c>
      <c r="D826">
        <v>2800</v>
      </c>
      <c r="E826">
        <v>0</v>
      </c>
      <c r="F826" t="s">
        <v>234</v>
      </c>
      <c r="G826" t="s">
        <v>286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214</v>
      </c>
      <c r="B827" t="s">
        <v>9</v>
      </c>
      <c r="C827">
        <v>9</v>
      </c>
      <c r="D827">
        <v>2913</v>
      </c>
      <c r="E827">
        <v>0</v>
      </c>
      <c r="F827" t="s">
        <v>268</v>
      </c>
      <c r="G827">
        <v>1</v>
      </c>
      <c r="H827" t="s">
        <v>290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214</v>
      </c>
      <c r="B828" t="s">
        <v>9</v>
      </c>
      <c r="C828">
        <v>9</v>
      </c>
      <c r="D828">
        <v>2812</v>
      </c>
      <c r="E828">
        <v>1</v>
      </c>
      <c r="F828" t="s">
        <v>268</v>
      </c>
      <c r="G828">
        <v>1</v>
      </c>
      <c r="H828" t="s">
        <v>311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214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0</v>
      </c>
    </row>
    <row r="830" spans="1:12">
      <c r="A830" t="s">
        <v>214</v>
      </c>
      <c r="B830" t="s">
        <v>9</v>
      </c>
      <c r="C830">
        <v>9</v>
      </c>
      <c r="D830">
        <v>2754</v>
      </c>
      <c r="E830">
        <v>1</v>
      </c>
      <c r="F830" t="s">
        <v>307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214</v>
      </c>
      <c r="B831" t="s">
        <v>9</v>
      </c>
      <c r="C831">
        <v>9</v>
      </c>
      <c r="D831">
        <v>2824</v>
      </c>
      <c r="E831">
        <v>1</v>
      </c>
      <c r="F831" t="s">
        <v>234</v>
      </c>
      <c r="G831" t="s">
        <v>287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214</v>
      </c>
      <c r="B832" t="s">
        <v>9</v>
      </c>
      <c r="C832">
        <v>9</v>
      </c>
      <c r="D832">
        <v>2980</v>
      </c>
      <c r="E832">
        <v>0</v>
      </c>
      <c r="F832" t="s">
        <v>268</v>
      </c>
      <c r="G832">
        <v>1</v>
      </c>
      <c r="H832" t="s">
        <v>311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214</v>
      </c>
      <c r="B833" t="s">
        <v>9</v>
      </c>
      <c r="C833">
        <v>9</v>
      </c>
      <c r="D833">
        <v>2957</v>
      </c>
      <c r="E833">
        <v>0</v>
      </c>
      <c r="F833" t="s">
        <v>213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214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214</v>
      </c>
      <c r="B835" t="s">
        <v>9</v>
      </c>
      <c r="C835">
        <v>9</v>
      </c>
      <c r="D835">
        <v>2671</v>
      </c>
      <c r="E835">
        <v>0</v>
      </c>
      <c r="F835" t="s">
        <v>268</v>
      </c>
      <c r="G835">
        <v>5</v>
      </c>
      <c r="H835" t="s">
        <v>289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214</v>
      </c>
      <c r="B836" t="s">
        <v>9</v>
      </c>
      <c r="C836">
        <v>9</v>
      </c>
      <c r="D836">
        <v>2947</v>
      </c>
      <c r="E836">
        <v>1</v>
      </c>
      <c r="F836" t="s">
        <v>268</v>
      </c>
      <c r="G836">
        <v>1</v>
      </c>
      <c r="H836" t="s">
        <v>290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214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214</v>
      </c>
      <c r="B838" t="s">
        <v>9</v>
      </c>
      <c r="C838">
        <v>9</v>
      </c>
      <c r="D838">
        <v>2184</v>
      </c>
      <c r="E838">
        <v>0</v>
      </c>
      <c r="F838" t="s">
        <v>268</v>
      </c>
      <c r="G838">
        <v>4</v>
      </c>
      <c r="H838" t="s">
        <v>289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214</v>
      </c>
      <c r="B839" t="s">
        <v>9</v>
      </c>
      <c r="C839">
        <v>9</v>
      </c>
      <c r="D839">
        <v>2654</v>
      </c>
      <c r="E839">
        <v>3</v>
      </c>
      <c r="F839" t="s">
        <v>268</v>
      </c>
      <c r="G839">
        <v>1</v>
      </c>
      <c r="H839" t="s">
        <v>311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214</v>
      </c>
      <c r="B840" t="s">
        <v>9</v>
      </c>
      <c r="C840">
        <v>9</v>
      </c>
      <c r="D840">
        <v>2592</v>
      </c>
      <c r="E840">
        <v>1</v>
      </c>
      <c r="F840" t="s">
        <v>268</v>
      </c>
      <c r="G840">
        <v>1</v>
      </c>
      <c r="H840" t="s">
        <v>311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214</v>
      </c>
      <c r="B841" t="s">
        <v>9</v>
      </c>
      <c r="C841">
        <v>9</v>
      </c>
      <c r="D841">
        <v>2625</v>
      </c>
      <c r="E841">
        <v>0</v>
      </c>
      <c r="F841" t="s">
        <v>268</v>
      </c>
      <c r="G841">
        <v>1</v>
      </c>
      <c r="H841" t="s">
        <v>290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214</v>
      </c>
      <c r="B842" t="s">
        <v>9</v>
      </c>
      <c r="C842">
        <v>9</v>
      </c>
      <c r="D842">
        <v>3029</v>
      </c>
      <c r="E842">
        <v>0</v>
      </c>
      <c r="F842" t="s">
        <v>268</v>
      </c>
      <c r="G842">
        <v>1</v>
      </c>
      <c r="H842" t="s">
        <v>311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214</v>
      </c>
      <c r="B843" t="s">
        <v>9</v>
      </c>
      <c r="C843">
        <v>9</v>
      </c>
      <c r="D843">
        <v>2865</v>
      </c>
      <c r="E843">
        <v>1</v>
      </c>
      <c r="F843" t="s">
        <v>268</v>
      </c>
      <c r="G843">
        <v>1</v>
      </c>
      <c r="H843" t="s">
        <v>311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214</v>
      </c>
      <c r="B844" t="s">
        <v>9</v>
      </c>
      <c r="C844">
        <v>9</v>
      </c>
      <c r="D844">
        <v>3075</v>
      </c>
      <c r="E844">
        <v>3</v>
      </c>
      <c r="F844" t="s">
        <v>268</v>
      </c>
      <c r="G844">
        <v>5</v>
      </c>
      <c r="H844" t="s">
        <v>289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214</v>
      </c>
      <c r="B845" t="s">
        <v>9</v>
      </c>
      <c r="C845">
        <v>9</v>
      </c>
      <c r="D845">
        <v>3767</v>
      </c>
      <c r="E845">
        <v>2</v>
      </c>
      <c r="F845" t="s">
        <v>268</v>
      </c>
      <c r="G845">
        <v>4</v>
      </c>
      <c r="H845" t="s">
        <v>289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214</v>
      </c>
      <c r="B846" t="s">
        <v>9</v>
      </c>
      <c r="C846">
        <v>9</v>
      </c>
      <c r="D846">
        <v>3007</v>
      </c>
      <c r="E846">
        <v>2</v>
      </c>
      <c r="F846" t="s">
        <v>268</v>
      </c>
      <c r="G846">
        <v>3</v>
      </c>
      <c r="H846" t="s">
        <v>311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214</v>
      </c>
      <c r="B847" t="s">
        <v>9</v>
      </c>
      <c r="C847">
        <v>9</v>
      </c>
      <c r="D847">
        <v>2942</v>
      </c>
      <c r="E847">
        <v>0</v>
      </c>
      <c r="F847" t="s">
        <v>268</v>
      </c>
      <c r="G847">
        <v>1</v>
      </c>
      <c r="H847" t="s">
        <v>311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214</v>
      </c>
      <c r="B848" t="s">
        <v>9</v>
      </c>
      <c r="C848">
        <v>9</v>
      </c>
      <c r="D848">
        <v>2701</v>
      </c>
      <c r="E848">
        <v>0</v>
      </c>
      <c r="F848" t="s">
        <v>268</v>
      </c>
      <c r="G848">
        <v>5</v>
      </c>
      <c r="H848" t="s">
        <v>289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214</v>
      </c>
      <c r="B849" t="s">
        <v>9</v>
      </c>
      <c r="C849">
        <v>9</v>
      </c>
      <c r="D849">
        <v>3320</v>
      </c>
      <c r="E849">
        <v>0</v>
      </c>
      <c r="F849" t="s">
        <v>268</v>
      </c>
      <c r="G849">
        <v>3</v>
      </c>
      <c r="H849" t="s">
        <v>290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214</v>
      </c>
      <c r="B850" t="s">
        <v>9</v>
      </c>
      <c r="C850">
        <v>9</v>
      </c>
      <c r="D850">
        <v>2890</v>
      </c>
      <c r="E850">
        <v>2</v>
      </c>
      <c r="F850" t="s">
        <v>268</v>
      </c>
      <c r="G850">
        <v>3</v>
      </c>
      <c r="H850" t="s">
        <v>289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214</v>
      </c>
      <c r="B851" t="s">
        <v>9</v>
      </c>
      <c r="C851">
        <v>9</v>
      </c>
      <c r="D851">
        <v>3274</v>
      </c>
      <c r="E851">
        <v>1</v>
      </c>
      <c r="F851" t="s">
        <v>268</v>
      </c>
      <c r="G851">
        <v>2</v>
      </c>
      <c r="H851" t="s">
        <v>290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214</v>
      </c>
      <c r="B852" t="s">
        <v>9</v>
      </c>
      <c r="C852">
        <v>9</v>
      </c>
      <c r="D852">
        <v>2847</v>
      </c>
      <c r="E852">
        <v>1</v>
      </c>
      <c r="F852" t="s">
        <v>268</v>
      </c>
      <c r="G852">
        <v>1</v>
      </c>
      <c r="H852" t="s">
        <v>290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214</v>
      </c>
      <c r="B853" t="s">
        <v>9</v>
      </c>
      <c r="C853">
        <v>9</v>
      </c>
      <c r="D853">
        <v>2602</v>
      </c>
      <c r="E853">
        <v>0</v>
      </c>
      <c r="F853" t="s">
        <v>268</v>
      </c>
      <c r="G853">
        <v>4</v>
      </c>
      <c r="H853" t="s">
        <v>289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214</v>
      </c>
      <c r="B854" t="s">
        <v>9</v>
      </c>
      <c r="C854">
        <v>9</v>
      </c>
      <c r="D854">
        <v>2901</v>
      </c>
      <c r="E854">
        <v>1</v>
      </c>
      <c r="F854" t="s">
        <v>234</v>
      </c>
      <c r="G854" t="s">
        <v>302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214</v>
      </c>
      <c r="B855" t="s">
        <v>9</v>
      </c>
      <c r="C855">
        <v>9</v>
      </c>
      <c r="D855">
        <v>2768</v>
      </c>
      <c r="E855">
        <v>0</v>
      </c>
      <c r="F855" t="s">
        <v>268</v>
      </c>
      <c r="G855">
        <v>5</v>
      </c>
      <c r="H855" t="s">
        <v>289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214</v>
      </c>
      <c r="B856" t="s">
        <v>9</v>
      </c>
      <c r="C856">
        <v>9</v>
      </c>
      <c r="D856">
        <v>2401</v>
      </c>
      <c r="E856">
        <v>1</v>
      </c>
      <c r="F856" t="s">
        <v>268</v>
      </c>
      <c r="G856">
        <v>1</v>
      </c>
      <c r="H856" t="s">
        <v>311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214</v>
      </c>
      <c r="B857" t="s">
        <v>9</v>
      </c>
      <c r="C857">
        <v>9</v>
      </c>
      <c r="D857">
        <v>2915</v>
      </c>
      <c r="E857">
        <v>0</v>
      </c>
      <c r="F857" t="s">
        <v>212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214</v>
      </c>
      <c r="B858" t="s">
        <v>9</v>
      </c>
      <c r="C858">
        <v>9</v>
      </c>
      <c r="D858">
        <v>2978</v>
      </c>
      <c r="E858">
        <v>0</v>
      </c>
      <c r="F858" t="s">
        <v>268</v>
      </c>
      <c r="G858">
        <v>4</v>
      </c>
      <c r="H858" t="s">
        <v>289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214</v>
      </c>
      <c r="B859" t="s">
        <v>9</v>
      </c>
      <c r="C859">
        <v>9</v>
      </c>
      <c r="D859">
        <v>2956</v>
      </c>
      <c r="E859">
        <v>0</v>
      </c>
      <c r="F859" t="s">
        <v>268</v>
      </c>
      <c r="G859">
        <v>5</v>
      </c>
      <c r="H859" t="s">
        <v>289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214</v>
      </c>
      <c r="B860" t="s">
        <v>9</v>
      </c>
      <c r="C860">
        <v>9</v>
      </c>
      <c r="D860">
        <v>2657</v>
      </c>
      <c r="E860">
        <v>1</v>
      </c>
      <c r="F860" t="s">
        <v>268</v>
      </c>
      <c r="G860">
        <v>5</v>
      </c>
      <c r="H860" t="s">
        <v>289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214</v>
      </c>
      <c r="B861" t="s">
        <v>9</v>
      </c>
      <c r="C861">
        <v>9</v>
      </c>
      <c r="D861">
        <v>2789</v>
      </c>
      <c r="E861">
        <v>0</v>
      </c>
      <c r="F861" t="s">
        <v>213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214</v>
      </c>
      <c r="B862" t="s">
        <v>9</v>
      </c>
      <c r="C862">
        <v>9</v>
      </c>
      <c r="D862">
        <v>2793</v>
      </c>
      <c r="E862">
        <v>1</v>
      </c>
      <c r="F862" t="s">
        <v>268</v>
      </c>
      <c r="G862">
        <v>5</v>
      </c>
      <c r="H862" t="s">
        <v>289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214</v>
      </c>
      <c r="B863" t="s">
        <v>9</v>
      </c>
      <c r="C863">
        <v>9</v>
      </c>
      <c r="D863">
        <v>2869</v>
      </c>
      <c r="E863">
        <v>2</v>
      </c>
      <c r="F863" t="s">
        <v>268</v>
      </c>
      <c r="G863">
        <v>4</v>
      </c>
      <c r="H863" t="s">
        <v>289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214</v>
      </c>
      <c r="B864" t="s">
        <v>9</v>
      </c>
      <c r="C864">
        <v>9</v>
      </c>
      <c r="D864">
        <v>2638</v>
      </c>
      <c r="E864">
        <v>1</v>
      </c>
      <c r="F864" t="s">
        <v>213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214</v>
      </c>
      <c r="B865" t="s">
        <v>9</v>
      </c>
      <c r="C865">
        <v>9</v>
      </c>
      <c r="D865">
        <v>2929</v>
      </c>
      <c r="E865">
        <v>1</v>
      </c>
      <c r="F865" t="s">
        <v>268</v>
      </c>
      <c r="G865">
        <v>1</v>
      </c>
      <c r="H865" t="s">
        <v>311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214</v>
      </c>
      <c r="B866" t="s">
        <v>9</v>
      </c>
      <c r="C866">
        <v>9</v>
      </c>
      <c r="D866">
        <v>2423</v>
      </c>
      <c r="E866">
        <v>1</v>
      </c>
      <c r="F866" t="s">
        <v>268</v>
      </c>
      <c r="G866">
        <v>3</v>
      </c>
      <c r="H866" t="s">
        <v>289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214</v>
      </c>
      <c r="B867" t="s">
        <v>9</v>
      </c>
      <c r="C867">
        <v>9</v>
      </c>
      <c r="D867">
        <v>2881</v>
      </c>
      <c r="E867">
        <v>0</v>
      </c>
      <c r="F867" t="s">
        <v>268</v>
      </c>
      <c r="G867">
        <v>5</v>
      </c>
      <c r="H867" t="s">
        <v>289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214</v>
      </c>
      <c r="B868" t="s">
        <v>9</v>
      </c>
      <c r="C868">
        <v>9</v>
      </c>
      <c r="D868">
        <v>3128</v>
      </c>
      <c r="E868">
        <v>1</v>
      </c>
      <c r="F868" t="s">
        <v>268</v>
      </c>
      <c r="G868">
        <v>4</v>
      </c>
      <c r="H868" t="s">
        <v>289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214</v>
      </c>
      <c r="B869" t="s">
        <v>9</v>
      </c>
      <c r="C869">
        <v>9</v>
      </c>
      <c r="D869">
        <v>3042</v>
      </c>
      <c r="E869">
        <v>0</v>
      </c>
      <c r="F869" t="s">
        <v>268</v>
      </c>
      <c r="G869">
        <v>3</v>
      </c>
      <c r="H869" t="s">
        <v>290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214</v>
      </c>
      <c r="B870" t="s">
        <v>9</v>
      </c>
      <c r="C870">
        <v>9</v>
      </c>
      <c r="D870">
        <v>2846</v>
      </c>
      <c r="E870">
        <v>1</v>
      </c>
      <c r="F870" t="s">
        <v>268</v>
      </c>
      <c r="G870">
        <v>1</v>
      </c>
      <c r="H870" t="s">
        <v>290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214</v>
      </c>
      <c r="B871" t="s">
        <v>9</v>
      </c>
      <c r="C871">
        <v>9</v>
      </c>
      <c r="D871">
        <v>3112</v>
      </c>
      <c r="E871">
        <v>1</v>
      </c>
      <c r="F871" t="s">
        <v>268</v>
      </c>
      <c r="G871">
        <v>1</v>
      </c>
      <c r="H871" t="s">
        <v>290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214</v>
      </c>
      <c r="B872" t="s">
        <v>9</v>
      </c>
      <c r="C872">
        <v>9</v>
      </c>
      <c r="D872">
        <v>2928</v>
      </c>
      <c r="E872">
        <v>1</v>
      </c>
      <c r="F872" t="s">
        <v>268</v>
      </c>
      <c r="G872">
        <v>4</v>
      </c>
      <c r="H872" t="s">
        <v>289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214</v>
      </c>
      <c r="B873" t="s">
        <v>9</v>
      </c>
      <c r="C873">
        <v>9</v>
      </c>
      <c r="D873">
        <v>2702</v>
      </c>
      <c r="E873">
        <v>1</v>
      </c>
      <c r="F873" t="s">
        <v>268</v>
      </c>
      <c r="G873">
        <v>2</v>
      </c>
      <c r="H873" t="s">
        <v>311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234</v>
      </c>
      <c r="B874" t="s">
        <v>9</v>
      </c>
      <c r="C874" t="s">
        <v>26</v>
      </c>
      <c r="D874">
        <v>6071</v>
      </c>
      <c r="E874">
        <v>0</v>
      </c>
      <c r="F874" t="s">
        <v>212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234</v>
      </c>
      <c r="B875" t="s">
        <v>9</v>
      </c>
      <c r="C875" t="s">
        <v>26</v>
      </c>
      <c r="D875">
        <v>5719</v>
      </c>
      <c r="E875">
        <v>0</v>
      </c>
      <c r="F875" t="s">
        <v>212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234</v>
      </c>
      <c r="B876" t="s">
        <v>9</v>
      </c>
      <c r="C876" t="s">
        <v>26</v>
      </c>
      <c r="D876">
        <v>5444</v>
      </c>
      <c r="E876">
        <v>0</v>
      </c>
      <c r="F876" t="s">
        <v>212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234</v>
      </c>
      <c r="B877" t="s">
        <v>9</v>
      </c>
      <c r="C877" t="s">
        <v>26</v>
      </c>
      <c r="D877">
        <v>5741</v>
      </c>
      <c r="E877">
        <v>0</v>
      </c>
      <c r="F877" t="s">
        <v>212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234</v>
      </c>
      <c r="B878" t="s">
        <v>9</v>
      </c>
      <c r="C878" t="s">
        <v>26</v>
      </c>
      <c r="D878">
        <v>6031</v>
      </c>
      <c r="E878">
        <v>0</v>
      </c>
      <c r="F878" t="s">
        <v>212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234</v>
      </c>
      <c r="B879" t="s">
        <v>9</v>
      </c>
      <c r="C879" t="s">
        <v>26</v>
      </c>
      <c r="D879">
        <v>5574</v>
      </c>
      <c r="E879">
        <v>0</v>
      </c>
      <c r="F879" t="s">
        <v>212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234</v>
      </c>
      <c r="B880" t="s">
        <v>9</v>
      </c>
      <c r="C880" t="s">
        <v>26</v>
      </c>
      <c r="D880">
        <v>6065</v>
      </c>
      <c r="E880">
        <v>0</v>
      </c>
      <c r="F880" t="s">
        <v>212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234</v>
      </c>
      <c r="B881" t="s">
        <v>9</v>
      </c>
      <c r="C881" t="s">
        <v>26</v>
      </c>
      <c r="D881">
        <v>5631</v>
      </c>
      <c r="E881">
        <v>0</v>
      </c>
      <c r="F881" t="s">
        <v>212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214</v>
      </c>
      <c r="B882" t="s">
        <v>9</v>
      </c>
      <c r="C882">
        <v>9</v>
      </c>
      <c r="D882">
        <v>2671</v>
      </c>
      <c r="E882">
        <v>0</v>
      </c>
      <c r="F882" t="s">
        <v>268</v>
      </c>
      <c r="G882">
        <v>1</v>
      </c>
      <c r="H882" t="s">
        <v>311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214</v>
      </c>
      <c r="B883" t="s">
        <v>9</v>
      </c>
      <c r="C883">
        <v>9</v>
      </c>
      <c r="D883">
        <v>2940</v>
      </c>
      <c r="E883">
        <v>0</v>
      </c>
      <c r="F883" t="s">
        <v>268</v>
      </c>
      <c r="G883">
        <v>1</v>
      </c>
      <c r="H883" t="s">
        <v>290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214</v>
      </c>
      <c r="B884" t="s">
        <v>9</v>
      </c>
      <c r="C884">
        <v>9</v>
      </c>
      <c r="D884">
        <v>2643</v>
      </c>
      <c r="E884">
        <v>2</v>
      </c>
      <c r="F884" t="s">
        <v>268</v>
      </c>
      <c r="G884">
        <v>1</v>
      </c>
      <c r="H884" t="s">
        <v>290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214</v>
      </c>
      <c r="B885" t="s">
        <v>9</v>
      </c>
      <c r="C885">
        <v>9</v>
      </c>
      <c r="D885">
        <v>2968</v>
      </c>
      <c r="E885">
        <v>0</v>
      </c>
      <c r="F885" t="s">
        <v>268</v>
      </c>
      <c r="G885">
        <v>3</v>
      </c>
      <c r="H885" t="s">
        <v>311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214</v>
      </c>
      <c r="B886" t="s">
        <v>9</v>
      </c>
      <c r="C886">
        <v>9</v>
      </c>
      <c r="D886">
        <v>2502</v>
      </c>
      <c r="E886">
        <v>2</v>
      </c>
      <c r="F886" t="s">
        <v>268</v>
      </c>
      <c r="G886">
        <v>2</v>
      </c>
      <c r="H886" t="s">
        <v>311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214</v>
      </c>
      <c r="B887" t="s">
        <v>9</v>
      </c>
      <c r="C887">
        <v>9</v>
      </c>
      <c r="D887">
        <v>2719</v>
      </c>
      <c r="E887">
        <v>3</v>
      </c>
      <c r="F887" t="s">
        <v>234</v>
      </c>
      <c r="G887" t="s">
        <v>303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214</v>
      </c>
      <c r="B888" t="s">
        <v>9</v>
      </c>
      <c r="C888">
        <v>9</v>
      </c>
      <c r="D888">
        <v>2733</v>
      </c>
      <c r="E888">
        <v>1</v>
      </c>
      <c r="F888" t="s">
        <v>268</v>
      </c>
      <c r="G888">
        <v>1</v>
      </c>
      <c r="H888" t="s">
        <v>311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214</v>
      </c>
      <c r="B889" t="s">
        <v>9</v>
      </c>
      <c r="C889">
        <v>9</v>
      </c>
      <c r="D889">
        <v>2917</v>
      </c>
      <c r="E889">
        <v>1</v>
      </c>
      <c r="F889" t="s">
        <v>268</v>
      </c>
      <c r="G889">
        <v>1</v>
      </c>
      <c r="H889" t="s">
        <v>311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214</v>
      </c>
      <c r="B890" t="s">
        <v>9</v>
      </c>
      <c r="C890">
        <v>9</v>
      </c>
      <c r="D890">
        <v>2662</v>
      </c>
      <c r="E890">
        <v>0</v>
      </c>
      <c r="F890" t="s">
        <v>268</v>
      </c>
      <c r="G890">
        <v>3</v>
      </c>
      <c r="H890" t="s">
        <v>290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214</v>
      </c>
      <c r="B891" t="s">
        <v>9</v>
      </c>
      <c r="C891">
        <v>9</v>
      </c>
      <c r="D891">
        <v>2980</v>
      </c>
      <c r="E891">
        <v>1</v>
      </c>
      <c r="F891" t="s">
        <v>268</v>
      </c>
      <c r="G891">
        <v>2</v>
      </c>
      <c r="H891" t="s">
        <v>311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214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214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214</v>
      </c>
      <c r="B894" t="s">
        <v>9</v>
      </c>
      <c r="C894">
        <v>9</v>
      </c>
      <c r="D894">
        <v>2705</v>
      </c>
      <c r="E894">
        <v>1</v>
      </c>
      <c r="F894" t="s">
        <v>268</v>
      </c>
      <c r="G894">
        <v>1</v>
      </c>
      <c r="H894" t="s">
        <v>290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214</v>
      </c>
      <c r="B895" t="s">
        <v>9</v>
      </c>
      <c r="C895">
        <v>9</v>
      </c>
      <c r="D895">
        <v>2769</v>
      </c>
      <c r="E895">
        <v>1</v>
      </c>
      <c r="F895" t="s">
        <v>268</v>
      </c>
      <c r="G895">
        <v>1</v>
      </c>
      <c r="H895" t="s">
        <v>290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271</v>
      </c>
      <c r="G896">
        <v>5</v>
      </c>
      <c r="H896" t="s">
        <v>289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304</v>
      </c>
      <c r="B897" t="s">
        <v>9</v>
      </c>
      <c r="C897">
        <v>9</v>
      </c>
      <c r="D897">
        <v>2838</v>
      </c>
      <c r="E897">
        <v>0</v>
      </c>
      <c r="F897" t="s">
        <v>269</v>
      </c>
      <c r="G897">
        <v>4</v>
      </c>
      <c r="H897" t="s">
        <v>289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304</v>
      </c>
      <c r="B898" t="s">
        <v>9</v>
      </c>
      <c r="C898">
        <v>9</v>
      </c>
      <c r="D898">
        <v>2427</v>
      </c>
      <c r="E898">
        <v>1</v>
      </c>
      <c r="F898" t="s">
        <v>283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304</v>
      </c>
      <c r="B899" t="s">
        <v>9</v>
      </c>
      <c r="C899">
        <v>9</v>
      </c>
      <c r="D899">
        <v>3047</v>
      </c>
      <c r="E899">
        <v>2</v>
      </c>
      <c r="F899" t="s">
        <v>269</v>
      </c>
      <c r="G899">
        <v>1</v>
      </c>
      <c r="H899" t="s">
        <v>311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304</v>
      </c>
      <c r="B900" t="s">
        <v>9</v>
      </c>
      <c r="C900">
        <v>9</v>
      </c>
      <c r="D900">
        <v>2866</v>
      </c>
      <c r="E900">
        <v>1</v>
      </c>
      <c r="F900" t="s">
        <v>213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304</v>
      </c>
      <c r="B901" t="s">
        <v>9</v>
      </c>
      <c r="C901">
        <v>9</v>
      </c>
      <c r="D901">
        <v>2763</v>
      </c>
      <c r="E901">
        <v>0</v>
      </c>
      <c r="F901" t="s">
        <v>283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304</v>
      </c>
      <c r="B902" t="s">
        <v>9</v>
      </c>
      <c r="C902">
        <v>9</v>
      </c>
      <c r="D902">
        <v>3056</v>
      </c>
      <c r="E902">
        <v>1</v>
      </c>
      <c r="F902" t="s">
        <v>283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304</v>
      </c>
      <c r="B903" t="s">
        <v>9</v>
      </c>
      <c r="C903">
        <v>9</v>
      </c>
      <c r="D903">
        <v>2719</v>
      </c>
      <c r="E903">
        <v>0</v>
      </c>
      <c r="F903" t="s">
        <v>269</v>
      </c>
      <c r="G903">
        <v>5</v>
      </c>
      <c r="H903" t="s">
        <v>289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304</v>
      </c>
      <c r="B904" t="s">
        <v>9</v>
      </c>
      <c r="C904">
        <v>9</v>
      </c>
      <c r="D904">
        <v>2911</v>
      </c>
      <c r="E904">
        <v>1</v>
      </c>
      <c r="F904" t="s">
        <v>269</v>
      </c>
      <c r="G904">
        <v>5</v>
      </c>
      <c r="H904" t="s">
        <v>289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304</v>
      </c>
      <c r="B905" t="s">
        <v>9</v>
      </c>
      <c r="C905">
        <v>9</v>
      </c>
      <c r="D905">
        <v>2858</v>
      </c>
      <c r="E905">
        <v>0</v>
      </c>
      <c r="F905" t="s">
        <v>269</v>
      </c>
      <c r="G905">
        <v>1</v>
      </c>
      <c r="H905" t="s">
        <v>311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304</v>
      </c>
      <c r="B906" t="s">
        <v>9</v>
      </c>
      <c r="C906">
        <v>9</v>
      </c>
      <c r="D906">
        <v>2965</v>
      </c>
      <c r="E906">
        <v>1</v>
      </c>
      <c r="F906" t="s">
        <v>269</v>
      </c>
      <c r="G906">
        <v>3</v>
      </c>
      <c r="H906" t="s">
        <v>311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304</v>
      </c>
      <c r="B907" t="s">
        <v>9</v>
      </c>
      <c r="C907">
        <v>9</v>
      </c>
      <c r="D907">
        <v>3486</v>
      </c>
      <c r="E907">
        <v>1</v>
      </c>
      <c r="F907" t="s">
        <v>213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304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304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304</v>
      </c>
      <c r="B910" t="s">
        <v>9</v>
      </c>
      <c r="C910">
        <v>9</v>
      </c>
      <c r="D910">
        <v>2744</v>
      </c>
      <c r="E910">
        <v>1</v>
      </c>
      <c r="F910" t="s">
        <v>269</v>
      </c>
      <c r="G910">
        <v>1</v>
      </c>
      <c r="H910" t="s">
        <v>290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304</v>
      </c>
      <c r="B911" t="s">
        <v>9</v>
      </c>
      <c r="C911">
        <v>9</v>
      </c>
      <c r="D911">
        <v>2564</v>
      </c>
      <c r="E911">
        <v>0</v>
      </c>
      <c r="F911" t="s">
        <v>269</v>
      </c>
      <c r="G911">
        <v>5</v>
      </c>
      <c r="H911" t="s">
        <v>289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304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304</v>
      </c>
      <c r="B913" t="s">
        <v>9</v>
      </c>
      <c r="C913">
        <v>9</v>
      </c>
      <c r="D913">
        <v>2779</v>
      </c>
      <c r="E913">
        <v>0</v>
      </c>
      <c r="F913" t="s">
        <v>283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271</v>
      </c>
      <c r="G914">
        <v>3</v>
      </c>
      <c r="H914" t="s">
        <v>311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304</v>
      </c>
      <c r="B915" t="s">
        <v>9</v>
      </c>
      <c r="C915">
        <v>9</v>
      </c>
      <c r="D915">
        <v>3032</v>
      </c>
      <c r="E915">
        <v>0</v>
      </c>
      <c r="F915" t="s">
        <v>269</v>
      </c>
      <c r="G915">
        <v>5</v>
      </c>
      <c r="H915" t="s">
        <v>289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304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304</v>
      </c>
      <c r="B917" t="s">
        <v>9</v>
      </c>
      <c r="C917">
        <v>9</v>
      </c>
      <c r="D917">
        <v>2891</v>
      </c>
      <c r="E917">
        <v>2</v>
      </c>
      <c r="F917" t="s">
        <v>269</v>
      </c>
      <c r="G917">
        <v>1</v>
      </c>
      <c r="H917" t="s">
        <v>311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304</v>
      </c>
      <c r="B918" t="s">
        <v>9</v>
      </c>
      <c r="C918">
        <v>9</v>
      </c>
      <c r="D918">
        <v>2799</v>
      </c>
      <c r="E918">
        <v>0</v>
      </c>
      <c r="F918" t="s">
        <v>269</v>
      </c>
      <c r="G918">
        <v>2</v>
      </c>
      <c r="H918" t="s">
        <v>311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304</v>
      </c>
      <c r="B919" t="s">
        <v>9</v>
      </c>
      <c r="C919">
        <v>9</v>
      </c>
      <c r="D919">
        <v>3197</v>
      </c>
      <c r="E919">
        <v>1</v>
      </c>
      <c r="F919" t="s">
        <v>269</v>
      </c>
      <c r="G919">
        <v>2</v>
      </c>
      <c r="H919" t="s">
        <v>311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304</v>
      </c>
      <c r="B920" t="s">
        <v>9</v>
      </c>
      <c r="C920">
        <v>9</v>
      </c>
      <c r="D920">
        <v>3013</v>
      </c>
      <c r="E920">
        <v>0</v>
      </c>
      <c r="F920" t="s">
        <v>269</v>
      </c>
      <c r="G920">
        <v>4</v>
      </c>
      <c r="H920" t="s">
        <v>289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304</v>
      </c>
      <c r="B921" t="s">
        <v>9</v>
      </c>
      <c r="C921">
        <v>9</v>
      </c>
      <c r="D921">
        <v>3393</v>
      </c>
      <c r="E921">
        <v>1</v>
      </c>
      <c r="F921" t="s">
        <v>269</v>
      </c>
      <c r="G921">
        <v>4</v>
      </c>
      <c r="H921" t="s">
        <v>289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304</v>
      </c>
      <c r="B922" t="s">
        <v>9</v>
      </c>
      <c r="C922">
        <v>9</v>
      </c>
      <c r="D922">
        <v>3290</v>
      </c>
      <c r="E922">
        <v>0</v>
      </c>
      <c r="F922" t="s">
        <v>307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305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304</v>
      </c>
      <c r="B924" t="s">
        <v>9</v>
      </c>
      <c r="C924">
        <v>9</v>
      </c>
      <c r="D924">
        <v>2551</v>
      </c>
      <c r="E924">
        <v>1</v>
      </c>
      <c r="F924" t="s">
        <v>234</v>
      </c>
      <c r="G924" t="s">
        <v>306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304</v>
      </c>
      <c r="B925" t="s">
        <v>9</v>
      </c>
      <c r="C925">
        <v>9</v>
      </c>
      <c r="D925">
        <v>2856</v>
      </c>
      <c r="E925">
        <v>0</v>
      </c>
      <c r="F925" t="s">
        <v>269</v>
      </c>
      <c r="G925">
        <v>1</v>
      </c>
      <c r="H925" t="s">
        <v>290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304</v>
      </c>
      <c r="B926" t="s">
        <v>9</v>
      </c>
      <c r="C926">
        <v>9</v>
      </c>
      <c r="D926">
        <v>2488</v>
      </c>
      <c r="E926">
        <v>1</v>
      </c>
      <c r="F926" t="s">
        <v>269</v>
      </c>
      <c r="G926">
        <v>3</v>
      </c>
      <c r="H926" t="s">
        <v>311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304</v>
      </c>
      <c r="B927" t="s">
        <v>9</v>
      </c>
      <c r="C927">
        <v>9</v>
      </c>
      <c r="D927">
        <v>2583</v>
      </c>
      <c r="E927">
        <v>0</v>
      </c>
      <c r="F927" t="s">
        <v>269</v>
      </c>
      <c r="G927">
        <v>5</v>
      </c>
      <c r="H927" t="s">
        <v>289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304</v>
      </c>
      <c r="B928" t="s">
        <v>9</v>
      </c>
      <c r="C928">
        <v>9</v>
      </c>
      <c r="D928">
        <v>2394</v>
      </c>
      <c r="E928">
        <v>0</v>
      </c>
      <c r="F928" t="s">
        <v>269</v>
      </c>
      <c r="G928">
        <v>4</v>
      </c>
      <c r="H928" t="s">
        <v>289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304</v>
      </c>
      <c r="B929" t="s">
        <v>9</v>
      </c>
      <c r="C929">
        <v>9</v>
      </c>
      <c r="D929">
        <v>2703</v>
      </c>
      <c r="E929">
        <v>0</v>
      </c>
      <c r="F929" t="s">
        <v>269</v>
      </c>
      <c r="G929">
        <v>1</v>
      </c>
      <c r="H929" t="s">
        <v>290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304</v>
      </c>
      <c r="B930" t="s">
        <v>9</v>
      </c>
      <c r="C930">
        <v>9</v>
      </c>
      <c r="D930">
        <v>2880</v>
      </c>
      <c r="E930">
        <v>1</v>
      </c>
      <c r="F930" t="s">
        <v>269</v>
      </c>
      <c r="G930">
        <v>4</v>
      </c>
      <c r="H930" t="s">
        <v>289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304</v>
      </c>
      <c r="B931" t="s">
        <v>9</v>
      </c>
      <c r="C931">
        <v>9</v>
      </c>
      <c r="D931">
        <v>2802</v>
      </c>
      <c r="E931">
        <v>0</v>
      </c>
      <c r="F931" t="s">
        <v>269</v>
      </c>
      <c r="G931">
        <v>3</v>
      </c>
      <c r="H931" t="s">
        <v>311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304</v>
      </c>
      <c r="B932" t="s">
        <v>9</v>
      </c>
      <c r="C932">
        <v>9</v>
      </c>
      <c r="D932">
        <v>2784</v>
      </c>
      <c r="E932">
        <v>2</v>
      </c>
      <c r="F932" t="s">
        <v>283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304</v>
      </c>
      <c r="B933" t="s">
        <v>9</v>
      </c>
      <c r="C933">
        <v>9</v>
      </c>
      <c r="D933">
        <v>2856</v>
      </c>
      <c r="E933">
        <v>0</v>
      </c>
      <c r="F933" t="s">
        <v>269</v>
      </c>
      <c r="G933">
        <v>3</v>
      </c>
      <c r="H933" t="s">
        <v>311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304</v>
      </c>
      <c r="B934" t="s">
        <v>9</v>
      </c>
      <c r="C934">
        <v>9</v>
      </c>
      <c r="D934">
        <v>3481</v>
      </c>
      <c r="E934">
        <v>0</v>
      </c>
      <c r="F934" t="s">
        <v>269</v>
      </c>
      <c r="G934">
        <v>4</v>
      </c>
      <c r="H934" t="s">
        <v>289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304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304</v>
      </c>
      <c r="B936" t="s">
        <v>9</v>
      </c>
      <c r="C936">
        <v>9</v>
      </c>
      <c r="D936">
        <v>2809</v>
      </c>
      <c r="E936">
        <v>1</v>
      </c>
      <c r="F936" t="s">
        <v>213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304</v>
      </c>
      <c r="B937" t="s">
        <v>9</v>
      </c>
      <c r="C937">
        <v>9</v>
      </c>
      <c r="D937">
        <v>2999</v>
      </c>
      <c r="E937">
        <v>0</v>
      </c>
      <c r="F937" t="s">
        <v>269</v>
      </c>
      <c r="G937">
        <v>5</v>
      </c>
      <c r="H937" t="s">
        <v>289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304</v>
      </c>
      <c r="B938" t="s">
        <v>9</v>
      </c>
      <c r="C938">
        <v>9</v>
      </c>
      <c r="D938">
        <v>2639</v>
      </c>
      <c r="E938">
        <v>1</v>
      </c>
      <c r="F938" t="s">
        <v>269</v>
      </c>
      <c r="G938">
        <v>2</v>
      </c>
      <c r="H938" t="s">
        <v>311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304</v>
      </c>
      <c r="B939" t="s">
        <v>9</v>
      </c>
      <c r="C939">
        <v>9</v>
      </c>
      <c r="D939">
        <v>2853</v>
      </c>
      <c r="E939">
        <v>0</v>
      </c>
      <c r="F939" t="s">
        <v>269</v>
      </c>
      <c r="G939">
        <v>2</v>
      </c>
      <c r="H939" t="s">
        <v>290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304</v>
      </c>
      <c r="B940" t="s">
        <v>9</v>
      </c>
      <c r="C940">
        <v>9</v>
      </c>
      <c r="D940">
        <v>3206</v>
      </c>
      <c r="E940">
        <v>1</v>
      </c>
      <c r="F940" t="s">
        <v>269</v>
      </c>
      <c r="G940">
        <v>4</v>
      </c>
      <c r="H940" t="s">
        <v>289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304</v>
      </c>
      <c r="B941" t="s">
        <v>9</v>
      </c>
      <c r="C941">
        <v>9</v>
      </c>
      <c r="D941">
        <v>3218</v>
      </c>
      <c r="E941">
        <v>0</v>
      </c>
      <c r="F941" t="s">
        <v>269</v>
      </c>
      <c r="G941">
        <v>3</v>
      </c>
      <c r="H941" t="s">
        <v>311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304</v>
      </c>
      <c r="B942" t="s">
        <v>9</v>
      </c>
      <c r="C942">
        <v>9</v>
      </c>
      <c r="D942">
        <v>2853</v>
      </c>
      <c r="E942">
        <v>2</v>
      </c>
      <c r="F942" t="s">
        <v>269</v>
      </c>
      <c r="G942">
        <v>3</v>
      </c>
      <c r="H942" t="s">
        <v>290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304</v>
      </c>
      <c r="B943" t="s">
        <v>9</v>
      </c>
      <c r="C943">
        <v>9</v>
      </c>
      <c r="D943">
        <v>2921</v>
      </c>
      <c r="E943">
        <v>0</v>
      </c>
      <c r="F943" t="s">
        <v>269</v>
      </c>
      <c r="G943">
        <v>1</v>
      </c>
      <c r="H943" t="s">
        <v>290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304</v>
      </c>
      <c r="B944" t="s">
        <v>9</v>
      </c>
      <c r="C944">
        <v>9</v>
      </c>
      <c r="D944">
        <v>2840</v>
      </c>
      <c r="E944">
        <v>0</v>
      </c>
      <c r="F944" t="s">
        <v>213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304</v>
      </c>
      <c r="B945" t="s">
        <v>9</v>
      </c>
      <c r="C945">
        <v>9</v>
      </c>
      <c r="D945">
        <v>3444</v>
      </c>
      <c r="E945">
        <v>0</v>
      </c>
      <c r="F945" t="s">
        <v>283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304</v>
      </c>
      <c r="B946" t="s">
        <v>9</v>
      </c>
      <c r="C946">
        <v>9</v>
      </c>
      <c r="D946">
        <v>2844</v>
      </c>
      <c r="E946">
        <v>0</v>
      </c>
      <c r="F946" t="s">
        <v>269</v>
      </c>
      <c r="G946">
        <v>2</v>
      </c>
      <c r="H946" t="s">
        <v>311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304</v>
      </c>
      <c r="B947" t="s">
        <v>9</v>
      </c>
      <c r="C947">
        <v>9</v>
      </c>
      <c r="D947">
        <v>2720</v>
      </c>
      <c r="E947">
        <v>0</v>
      </c>
      <c r="F947" t="s">
        <v>269</v>
      </c>
      <c r="G947">
        <v>4</v>
      </c>
      <c r="H947" t="s">
        <v>289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304</v>
      </c>
      <c r="B948" t="s">
        <v>9</v>
      </c>
      <c r="C948">
        <v>9</v>
      </c>
      <c r="D948">
        <v>2990</v>
      </c>
      <c r="E948">
        <v>1</v>
      </c>
      <c r="F948" t="s">
        <v>269</v>
      </c>
      <c r="G948">
        <v>4</v>
      </c>
      <c r="H948" t="s">
        <v>289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304</v>
      </c>
      <c r="B949" t="s">
        <v>9</v>
      </c>
      <c r="C949">
        <v>9</v>
      </c>
      <c r="D949">
        <v>2846</v>
      </c>
      <c r="E949">
        <v>4</v>
      </c>
      <c r="F949" t="s">
        <v>269</v>
      </c>
      <c r="G949">
        <v>1</v>
      </c>
      <c r="H949" t="s">
        <v>311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304</v>
      </c>
      <c r="B950" t="s">
        <v>9</v>
      </c>
      <c r="C950">
        <v>9</v>
      </c>
      <c r="D950">
        <v>2740</v>
      </c>
      <c r="E950">
        <v>1</v>
      </c>
      <c r="F950" t="s">
        <v>283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304</v>
      </c>
      <c r="B951" t="s">
        <v>9</v>
      </c>
      <c r="C951">
        <v>9</v>
      </c>
      <c r="D951">
        <v>2619</v>
      </c>
      <c r="E951">
        <v>2</v>
      </c>
      <c r="F951" t="s">
        <v>269</v>
      </c>
      <c r="G951">
        <v>1</v>
      </c>
      <c r="H951" t="s">
        <v>311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304</v>
      </c>
      <c r="B952" t="s">
        <v>9</v>
      </c>
      <c r="C952">
        <v>9</v>
      </c>
      <c r="D952">
        <v>3000</v>
      </c>
      <c r="E952">
        <v>1</v>
      </c>
      <c r="F952" t="s">
        <v>269</v>
      </c>
      <c r="G952">
        <v>2</v>
      </c>
      <c r="H952" t="s">
        <v>311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304</v>
      </c>
      <c r="B953" t="s">
        <v>9</v>
      </c>
      <c r="C953">
        <v>9</v>
      </c>
      <c r="D953">
        <v>2846</v>
      </c>
      <c r="E953">
        <v>3</v>
      </c>
      <c r="F953" t="s">
        <v>269</v>
      </c>
      <c r="G953">
        <v>4</v>
      </c>
      <c r="H953" t="s">
        <v>289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304</v>
      </c>
      <c r="B954" t="s">
        <v>9</v>
      </c>
      <c r="C954">
        <v>9</v>
      </c>
      <c r="D954">
        <v>2824</v>
      </c>
      <c r="E954">
        <v>2</v>
      </c>
      <c r="F954" t="s">
        <v>283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304</v>
      </c>
      <c r="B955" t="s">
        <v>9</v>
      </c>
      <c r="C955">
        <v>9</v>
      </c>
      <c r="D955">
        <v>3201</v>
      </c>
      <c r="E955">
        <v>0</v>
      </c>
      <c r="F955" t="s">
        <v>269</v>
      </c>
      <c r="G955">
        <v>5</v>
      </c>
      <c r="H955" t="s">
        <v>289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304</v>
      </c>
      <c r="B956" t="s">
        <v>9</v>
      </c>
      <c r="C956">
        <v>9</v>
      </c>
      <c r="D956">
        <v>2638</v>
      </c>
      <c r="E956">
        <v>0</v>
      </c>
      <c r="F956" t="s">
        <v>269</v>
      </c>
      <c r="G956">
        <v>3</v>
      </c>
      <c r="H956" t="s">
        <v>289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304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304</v>
      </c>
      <c r="B958" t="s">
        <v>9</v>
      </c>
      <c r="C958">
        <v>9</v>
      </c>
      <c r="D958">
        <v>2399</v>
      </c>
      <c r="E958">
        <v>0</v>
      </c>
      <c r="F958" t="s">
        <v>269</v>
      </c>
      <c r="G958">
        <v>3</v>
      </c>
      <c r="H958" t="s">
        <v>290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304</v>
      </c>
      <c r="B959" t="s">
        <v>9</v>
      </c>
      <c r="C959">
        <v>9</v>
      </c>
      <c r="D959">
        <v>3055</v>
      </c>
      <c r="E959">
        <v>1</v>
      </c>
      <c r="F959" t="s">
        <v>269</v>
      </c>
      <c r="G959">
        <v>1</v>
      </c>
      <c r="H959" t="s">
        <v>311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304</v>
      </c>
      <c r="B960" t="s">
        <v>9</v>
      </c>
      <c r="C960">
        <v>9</v>
      </c>
      <c r="D960">
        <v>2841</v>
      </c>
      <c r="E960">
        <v>0</v>
      </c>
      <c r="F960" t="s">
        <v>269</v>
      </c>
      <c r="G960">
        <v>5</v>
      </c>
      <c r="H960" t="s">
        <v>289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304</v>
      </c>
      <c r="B961" t="s">
        <v>9</v>
      </c>
      <c r="C961">
        <v>9</v>
      </c>
      <c r="D961">
        <v>2937</v>
      </c>
      <c r="E961">
        <v>0</v>
      </c>
      <c r="F961" t="s">
        <v>234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304</v>
      </c>
      <c r="B962" t="s">
        <v>9</v>
      </c>
      <c r="C962">
        <v>9</v>
      </c>
      <c r="D962">
        <v>2426</v>
      </c>
      <c r="E962">
        <v>0</v>
      </c>
      <c r="F962" t="s">
        <v>269</v>
      </c>
      <c r="G962">
        <v>1</v>
      </c>
      <c r="H962" t="s">
        <v>290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304</v>
      </c>
      <c r="B963" t="s">
        <v>9</v>
      </c>
      <c r="C963">
        <v>9</v>
      </c>
      <c r="D963">
        <v>2552</v>
      </c>
      <c r="E963">
        <v>1</v>
      </c>
      <c r="F963" t="s">
        <v>269</v>
      </c>
      <c r="G963">
        <v>3</v>
      </c>
      <c r="H963" t="s">
        <v>311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304</v>
      </c>
      <c r="B964" t="s">
        <v>9</v>
      </c>
      <c r="C964">
        <v>9</v>
      </c>
      <c r="D964">
        <v>2771</v>
      </c>
      <c r="E964">
        <v>2</v>
      </c>
      <c r="F964" t="s">
        <v>269</v>
      </c>
      <c r="G964">
        <v>1</v>
      </c>
      <c r="H964" t="s">
        <v>311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304</v>
      </c>
      <c r="B965" t="s">
        <v>9</v>
      </c>
      <c r="C965">
        <v>9</v>
      </c>
      <c r="D965">
        <v>2652</v>
      </c>
      <c r="E965">
        <v>2</v>
      </c>
      <c r="F965" t="s">
        <v>269</v>
      </c>
      <c r="G965">
        <v>4</v>
      </c>
      <c r="H965" t="s">
        <v>289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304</v>
      </c>
      <c r="B966" t="s">
        <v>9</v>
      </c>
      <c r="C966">
        <v>9</v>
      </c>
      <c r="D966">
        <v>2708</v>
      </c>
      <c r="E966">
        <v>0</v>
      </c>
      <c r="F966" t="s">
        <v>269</v>
      </c>
      <c r="G966">
        <v>1</v>
      </c>
      <c r="H966" t="s">
        <v>290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304</v>
      </c>
      <c r="B967" t="s">
        <v>9</v>
      </c>
      <c r="C967">
        <v>9</v>
      </c>
      <c r="D967">
        <v>2684</v>
      </c>
      <c r="E967">
        <v>1</v>
      </c>
      <c r="F967" t="s">
        <v>269</v>
      </c>
      <c r="G967">
        <v>1</v>
      </c>
      <c r="H967" t="s">
        <v>290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304</v>
      </c>
      <c r="B968" t="s">
        <v>9</v>
      </c>
      <c r="C968">
        <v>9</v>
      </c>
      <c r="D968">
        <v>3108</v>
      </c>
      <c r="E968">
        <v>3</v>
      </c>
      <c r="F968" t="s">
        <v>269</v>
      </c>
      <c r="G968">
        <v>4</v>
      </c>
      <c r="H968" t="s">
        <v>289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304</v>
      </c>
      <c r="B969" t="s">
        <v>9</v>
      </c>
      <c r="C969">
        <v>9</v>
      </c>
      <c r="D969">
        <v>2839</v>
      </c>
      <c r="E969">
        <v>1</v>
      </c>
      <c r="F969" t="s">
        <v>269</v>
      </c>
      <c r="G969">
        <v>1</v>
      </c>
      <c r="H969" t="s">
        <v>290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271</v>
      </c>
      <c r="G989">
        <v>5</v>
      </c>
      <c r="H989" t="s">
        <v>289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179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179</v>
      </c>
      <c r="B991" t="s">
        <v>9</v>
      </c>
      <c r="C991">
        <v>7</v>
      </c>
      <c r="D991">
        <v>3403</v>
      </c>
      <c r="E991">
        <v>3</v>
      </c>
      <c r="F991" t="s">
        <v>277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179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179</v>
      </c>
      <c r="B993" t="s">
        <v>9</v>
      </c>
      <c r="C993">
        <v>7</v>
      </c>
      <c r="D993">
        <v>2787</v>
      </c>
      <c r="E993">
        <v>1</v>
      </c>
      <c r="F993" t="s">
        <v>277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179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179</v>
      </c>
      <c r="B995" t="s">
        <v>9</v>
      </c>
      <c r="C995">
        <v>7</v>
      </c>
      <c r="D995">
        <v>3276</v>
      </c>
      <c r="E995">
        <v>4</v>
      </c>
      <c r="F995" t="s">
        <v>277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179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179</v>
      </c>
      <c r="B997" t="s">
        <v>9</v>
      </c>
      <c r="C997">
        <v>7</v>
      </c>
      <c r="D997">
        <v>3049</v>
      </c>
      <c r="E997">
        <v>1</v>
      </c>
      <c r="F997" t="s">
        <v>277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179</v>
      </c>
      <c r="B998" t="s">
        <v>9</v>
      </c>
      <c r="C998">
        <v>7</v>
      </c>
      <c r="D998">
        <v>2793</v>
      </c>
      <c r="E998">
        <v>0</v>
      </c>
      <c r="F998" t="s">
        <v>310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179</v>
      </c>
      <c r="B999" t="s">
        <v>9</v>
      </c>
      <c r="C999">
        <v>7</v>
      </c>
      <c r="D999">
        <v>3111</v>
      </c>
      <c r="E999">
        <v>1</v>
      </c>
      <c r="F999" t="s">
        <v>310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179</v>
      </c>
      <c r="B1000" t="s">
        <v>9</v>
      </c>
      <c r="C1000">
        <v>7</v>
      </c>
      <c r="D1000">
        <v>2990</v>
      </c>
      <c r="E1000">
        <v>0</v>
      </c>
      <c r="F1000" t="s">
        <v>277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179</v>
      </c>
      <c r="B1001" t="s">
        <v>9</v>
      </c>
      <c r="C1001">
        <v>7</v>
      </c>
      <c r="D1001">
        <v>3378</v>
      </c>
      <c r="E1001">
        <v>1</v>
      </c>
      <c r="F1001" t="s">
        <v>277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179</v>
      </c>
      <c r="B1002" t="s">
        <v>9</v>
      </c>
      <c r="C1002">
        <v>7</v>
      </c>
      <c r="D1002">
        <v>2940</v>
      </c>
      <c r="E1002">
        <v>3</v>
      </c>
      <c r="F1002" t="s">
        <v>310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179</v>
      </c>
      <c r="B1003" t="s">
        <v>9</v>
      </c>
      <c r="C1003">
        <v>7</v>
      </c>
      <c r="D1003">
        <v>3698</v>
      </c>
      <c r="E1003">
        <v>3</v>
      </c>
      <c r="F1003" t="s">
        <v>277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179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179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179</v>
      </c>
      <c r="B1006" t="s">
        <v>9</v>
      </c>
      <c r="C1006">
        <v>7</v>
      </c>
      <c r="D1006">
        <v>3535</v>
      </c>
      <c r="E1006">
        <v>2</v>
      </c>
      <c r="F1006" t="s">
        <v>277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179</v>
      </c>
      <c r="B1007" t="s">
        <v>9</v>
      </c>
      <c r="C1007">
        <v>7</v>
      </c>
      <c r="D1007">
        <v>3010</v>
      </c>
      <c r="E1007">
        <v>1</v>
      </c>
      <c r="F1007" t="s">
        <v>277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179</v>
      </c>
      <c r="B1008" t="s">
        <v>9</v>
      </c>
      <c r="C1008">
        <v>7</v>
      </c>
      <c r="D1008">
        <v>3005</v>
      </c>
      <c r="E1008">
        <v>2</v>
      </c>
      <c r="F1008" t="s">
        <v>277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179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179</v>
      </c>
      <c r="B1010" t="s">
        <v>9</v>
      </c>
      <c r="C1010">
        <v>7</v>
      </c>
      <c r="D1010">
        <v>3225</v>
      </c>
      <c r="E1010">
        <v>0</v>
      </c>
      <c r="F1010" t="s">
        <v>310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179</v>
      </c>
      <c r="B1011" t="s">
        <v>9</v>
      </c>
      <c r="C1011">
        <v>7</v>
      </c>
      <c r="D1011">
        <v>3020</v>
      </c>
      <c r="E1011">
        <v>1</v>
      </c>
      <c r="F1011" t="s">
        <v>277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179</v>
      </c>
      <c r="B1012" t="s">
        <v>9</v>
      </c>
      <c r="C1012">
        <v>7</v>
      </c>
      <c r="D1012">
        <v>2530</v>
      </c>
      <c r="E1012">
        <v>1</v>
      </c>
      <c r="F1012" t="s">
        <v>277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179</v>
      </c>
      <c r="B1013" t="s">
        <v>9</v>
      </c>
      <c r="C1013">
        <v>7</v>
      </c>
      <c r="D1013">
        <v>3259</v>
      </c>
      <c r="E1013">
        <v>1</v>
      </c>
      <c r="F1013" t="s">
        <v>310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179</v>
      </c>
      <c r="B1014" t="s">
        <v>9</v>
      </c>
      <c r="C1014">
        <v>7</v>
      </c>
      <c r="D1014">
        <v>2913</v>
      </c>
      <c r="E1014">
        <v>1</v>
      </c>
      <c r="F1014" t="s">
        <v>310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179</v>
      </c>
      <c r="B1015" t="s">
        <v>9</v>
      </c>
      <c r="C1015">
        <v>7</v>
      </c>
      <c r="D1015">
        <v>2901</v>
      </c>
      <c r="E1015">
        <v>0</v>
      </c>
      <c r="F1015" t="s">
        <v>310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179</v>
      </c>
      <c r="B1016" t="s">
        <v>9</v>
      </c>
      <c r="C1016">
        <v>7</v>
      </c>
      <c r="D1016">
        <v>3437</v>
      </c>
      <c r="E1016">
        <v>2</v>
      </c>
      <c r="F1016" t="s">
        <v>277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179</v>
      </c>
      <c r="B1017" t="s">
        <v>9</v>
      </c>
      <c r="C1017">
        <v>7</v>
      </c>
      <c r="D1017">
        <v>2966</v>
      </c>
      <c r="E1017">
        <v>2</v>
      </c>
      <c r="F1017" t="s">
        <v>212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179</v>
      </c>
      <c r="B1018" t="s">
        <v>9</v>
      </c>
      <c r="C1018">
        <v>7</v>
      </c>
      <c r="D1018">
        <v>3352</v>
      </c>
      <c r="E1018">
        <v>1</v>
      </c>
      <c r="F1018" t="s">
        <v>310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179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179</v>
      </c>
      <c r="B1020" t="s">
        <v>9</v>
      </c>
      <c r="C1020">
        <v>7</v>
      </c>
      <c r="D1020">
        <v>2535</v>
      </c>
      <c r="E1020">
        <v>1</v>
      </c>
      <c r="F1020" t="s">
        <v>277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179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0</v>
      </c>
    </row>
    <row r="1022" spans="1:12">
      <c r="A1022" t="s">
        <v>179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179</v>
      </c>
      <c r="B1023" t="s">
        <v>9</v>
      </c>
      <c r="C1023">
        <v>7</v>
      </c>
      <c r="D1023">
        <v>3364</v>
      </c>
      <c r="E1023">
        <v>1</v>
      </c>
      <c r="F1023" t="s">
        <v>277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179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179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179</v>
      </c>
      <c r="B1026" t="s">
        <v>9</v>
      </c>
      <c r="C1026">
        <v>7</v>
      </c>
      <c r="D1026">
        <v>3416</v>
      </c>
      <c r="E1026">
        <v>0</v>
      </c>
      <c r="F1026" t="s">
        <v>277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179</v>
      </c>
      <c r="B1027" t="s">
        <v>9</v>
      </c>
      <c r="C1027">
        <v>7</v>
      </c>
      <c r="D1027">
        <v>2949</v>
      </c>
      <c r="E1027">
        <v>2</v>
      </c>
      <c r="F1027" t="s">
        <v>277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179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179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179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179</v>
      </c>
      <c r="B1031" t="s">
        <v>9</v>
      </c>
      <c r="C1031">
        <v>7</v>
      </c>
      <c r="D1031">
        <v>3045</v>
      </c>
      <c r="E1031">
        <v>0</v>
      </c>
      <c r="F1031" t="s">
        <v>277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179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179</v>
      </c>
      <c r="B1033" t="s">
        <v>9</v>
      </c>
      <c r="C1033">
        <v>7</v>
      </c>
      <c r="D1033">
        <v>2795</v>
      </c>
      <c r="E1033">
        <v>1</v>
      </c>
      <c r="F1033" t="s">
        <v>277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179</v>
      </c>
      <c r="B1034" t="s">
        <v>9</v>
      </c>
      <c r="C1034">
        <v>7</v>
      </c>
      <c r="D1034">
        <v>3324</v>
      </c>
      <c r="E1034">
        <v>0</v>
      </c>
      <c r="F1034" t="s">
        <v>277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179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179</v>
      </c>
      <c r="B1036" t="s">
        <v>9</v>
      </c>
      <c r="C1036">
        <v>7</v>
      </c>
      <c r="D1036">
        <v>2789</v>
      </c>
      <c r="E1036">
        <v>1</v>
      </c>
      <c r="F1036" t="s">
        <v>310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179</v>
      </c>
      <c r="B1037" t="s">
        <v>9</v>
      </c>
      <c r="C1037">
        <v>7</v>
      </c>
      <c r="D1037">
        <v>3263</v>
      </c>
      <c r="E1037">
        <v>1</v>
      </c>
      <c r="F1037" t="s">
        <v>310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179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179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211</v>
      </c>
    </row>
    <row r="1040" spans="1:13">
      <c r="A1040" t="s">
        <v>179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179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179</v>
      </c>
      <c r="B1042" t="s">
        <v>9</v>
      </c>
      <c r="C1042">
        <v>8</v>
      </c>
      <c r="D1042">
        <v>3251</v>
      </c>
      <c r="E1042">
        <v>1</v>
      </c>
      <c r="F1042" t="s">
        <v>310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179</v>
      </c>
      <c r="B1043" t="s">
        <v>9</v>
      </c>
      <c r="C1043">
        <v>8</v>
      </c>
      <c r="D1043">
        <v>3614</v>
      </c>
      <c r="E1043">
        <v>1</v>
      </c>
      <c r="F1043" t="s">
        <v>310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179</v>
      </c>
      <c r="B1044" t="s">
        <v>9</v>
      </c>
      <c r="C1044">
        <v>8</v>
      </c>
      <c r="D1044">
        <v>3238</v>
      </c>
      <c r="E1044">
        <v>1</v>
      </c>
      <c r="F1044" t="s">
        <v>277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179</v>
      </c>
      <c r="B1045" t="s">
        <v>9</v>
      </c>
      <c r="C1045">
        <v>8</v>
      </c>
      <c r="D1045">
        <v>3097</v>
      </c>
      <c r="E1045">
        <v>0</v>
      </c>
      <c r="F1045" t="s">
        <v>277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179</v>
      </c>
      <c r="B1046" t="s">
        <v>9</v>
      </c>
      <c r="C1046">
        <v>8</v>
      </c>
      <c r="D1046">
        <v>2801</v>
      </c>
      <c r="E1046">
        <v>0</v>
      </c>
      <c r="F1046" t="s">
        <v>277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179</v>
      </c>
      <c r="B1047" t="s">
        <v>9</v>
      </c>
      <c r="C1047">
        <v>8</v>
      </c>
      <c r="D1047">
        <v>3150</v>
      </c>
      <c r="E1047">
        <v>0</v>
      </c>
      <c r="F1047" t="s">
        <v>277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179</v>
      </c>
      <c r="B1048" t="s">
        <v>9</v>
      </c>
      <c r="C1048">
        <v>8</v>
      </c>
      <c r="D1048">
        <v>3588</v>
      </c>
      <c r="E1048">
        <v>1</v>
      </c>
      <c r="F1048" t="s">
        <v>277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179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179</v>
      </c>
      <c r="B1050" t="s">
        <v>9</v>
      </c>
      <c r="C1050">
        <v>8</v>
      </c>
      <c r="D1050">
        <v>3137</v>
      </c>
      <c r="E1050">
        <v>0</v>
      </c>
      <c r="F1050" t="s">
        <v>310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179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179</v>
      </c>
      <c r="B1052" t="s">
        <v>9</v>
      </c>
      <c r="C1052">
        <v>8</v>
      </c>
      <c r="D1052">
        <v>3479</v>
      </c>
      <c r="E1052">
        <v>1</v>
      </c>
      <c r="F1052" t="s">
        <v>277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179</v>
      </c>
      <c r="B1053" t="s">
        <v>9</v>
      </c>
      <c r="C1053">
        <v>8</v>
      </c>
      <c r="D1053">
        <v>3505</v>
      </c>
      <c r="E1053">
        <v>2</v>
      </c>
      <c r="F1053" t="s">
        <v>310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179</v>
      </c>
      <c r="B1054" t="s">
        <v>9</v>
      </c>
      <c r="C1054">
        <v>8</v>
      </c>
      <c r="D1054">
        <v>3378</v>
      </c>
      <c r="E1054">
        <v>1</v>
      </c>
      <c r="F1054" t="s">
        <v>277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179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179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179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179</v>
      </c>
      <c r="B1058" t="s">
        <v>9</v>
      </c>
      <c r="C1058">
        <v>8</v>
      </c>
      <c r="D1058">
        <v>3217</v>
      </c>
      <c r="E1058">
        <v>0</v>
      </c>
      <c r="F1058" t="s">
        <v>277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179</v>
      </c>
      <c r="B1059" t="s">
        <v>9</v>
      </c>
      <c r="C1059">
        <v>8</v>
      </c>
      <c r="D1059">
        <v>3453</v>
      </c>
      <c r="E1059">
        <v>0</v>
      </c>
      <c r="F1059" t="s">
        <v>277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179</v>
      </c>
      <c r="B1060" t="s">
        <v>9</v>
      </c>
      <c r="C1060">
        <v>8</v>
      </c>
      <c r="D1060">
        <v>3773</v>
      </c>
      <c r="E1060">
        <v>1</v>
      </c>
      <c r="F1060" t="s">
        <v>310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179</v>
      </c>
      <c r="B1061" t="s">
        <v>9</v>
      </c>
      <c r="C1061">
        <v>8</v>
      </c>
      <c r="D1061">
        <v>3152</v>
      </c>
      <c r="E1061">
        <v>2</v>
      </c>
      <c r="F1061" t="s">
        <v>277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179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179</v>
      </c>
      <c r="B1063" t="s">
        <v>9</v>
      </c>
      <c r="C1063">
        <v>8</v>
      </c>
      <c r="D1063">
        <v>3391</v>
      </c>
      <c r="E1063">
        <v>1</v>
      </c>
      <c r="F1063" t="s">
        <v>337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179</v>
      </c>
      <c r="B1064" t="s">
        <v>9</v>
      </c>
      <c r="C1064">
        <v>8</v>
      </c>
      <c r="D1064">
        <v>3826</v>
      </c>
      <c r="E1064">
        <v>0</v>
      </c>
      <c r="F1064" t="s">
        <v>277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305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305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305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305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305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305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305</v>
      </c>
      <c r="B1071" t="s">
        <v>32</v>
      </c>
      <c r="C1071">
        <v>5</v>
      </c>
      <c r="D1071">
        <v>1020</v>
      </c>
      <c r="E1071">
        <v>1</v>
      </c>
      <c r="F1071" t="s">
        <v>283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305</v>
      </c>
      <c r="B1072" t="s">
        <v>32</v>
      </c>
      <c r="C1072">
        <v>5</v>
      </c>
      <c r="D1072">
        <v>1937</v>
      </c>
      <c r="E1072">
        <v>1</v>
      </c>
      <c r="F1072" t="s">
        <v>283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305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305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305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305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338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338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338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338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338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338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338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338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305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305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305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305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305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305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305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305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305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305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305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305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305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J11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0:12"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0</v>
      </c>
    </row>
    <row r="1106" spans="10:12"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0</v>
      </c>
    </row>
    <row r="1107" spans="10:12">
      <c r="J11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0:12">
      <c r="J11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0:12">
      <c r="J1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0:12"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0</v>
      </c>
    </row>
    <row r="1111" spans="10:12">
      <c r="J11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0:12"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0</v>
      </c>
    </row>
    <row r="1113" spans="10:12">
      <c r="J11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0:12">
      <c r="J1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0:12"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0</v>
      </c>
      <c r="L1115" s="43">
        <f>IFERROR(SUMIFS(Tabela10[Exp Gain only 2*+],Tabela10[Drop],DropAnalityka[[#This Row],[Drop]],Tabela10[Grade],DropAnalityka[[#This Row],[Grade]])*DropAnalityka[[#This Row],[Quality/Quantity]],0)</f>
        <v>0</v>
      </c>
    </row>
    <row r="1116" spans="10:12"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0</v>
      </c>
    </row>
    <row r="1117" spans="10:12">
      <c r="J1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0:12">
      <c r="J11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0:12">
      <c r="J11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0:12">
      <c r="J1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0:12"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0</v>
      </c>
    </row>
    <row r="1122" spans="10:12">
      <c r="J11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0:12">
      <c r="J11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0:12">
      <c r="J1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0:12"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0</v>
      </c>
    </row>
    <row r="1126" spans="10:12">
      <c r="J11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0:12">
      <c r="J11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0:12">
      <c r="J11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0:12">
      <c r="J1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0:12">
      <c r="J1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0:12">
      <c r="J1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0:12">
      <c r="J1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0:12">
      <c r="J1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0:12">
      <c r="J11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0:12">
      <c r="J1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0:12"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0</v>
      </c>
    </row>
    <row r="1137" spans="10:12">
      <c r="J1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0:12">
      <c r="J11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0:12">
      <c r="J11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0:12">
      <c r="J1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0:12">
      <c r="J11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0:12">
      <c r="J11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0:12">
      <c r="J11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0:12">
      <c r="J11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0:12">
      <c r="J1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0:12">
      <c r="J11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0:12">
      <c r="J11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0:12"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0</v>
      </c>
    </row>
    <row r="1149" spans="10:12"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0</v>
      </c>
      <c r="L1149" s="43">
        <f>IFERROR(SUMIFS(Tabela10[Exp Gain only 2*+],Tabela10[Drop],DropAnalityka[[#This Row],[Drop]],Tabela10[Grade],DropAnalityka[[#This Row],[Grade]])*DropAnalityka[[#This Row],[Quality/Quantity]],0)</f>
        <v>0</v>
      </c>
    </row>
    <row r="1150" spans="10:12">
      <c r="J1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0:12"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0</v>
      </c>
    </row>
    <row r="1152" spans="10:12">
      <c r="J1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0:12">
      <c r="J11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0:12">
      <c r="J1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0:12"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0</v>
      </c>
      <c r="L1155" s="43">
        <f>IFERROR(SUMIFS(Tabela10[Exp Gain only 2*+],Tabela10[Drop],DropAnalityka[[#This Row],[Drop]],Tabela10[Grade],DropAnalityka[[#This Row],[Grade]])*DropAnalityka[[#This Row],[Quality/Quantity]],0)</f>
        <v>0</v>
      </c>
    </row>
    <row r="1156" spans="10:12">
      <c r="J11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0:12"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0</v>
      </c>
    </row>
    <row r="1158" spans="10:12">
      <c r="J11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0:12">
      <c r="J11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0:12">
      <c r="J1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0:12">
      <c r="J1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0:12">
      <c r="J1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0:12">
      <c r="J1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0:12"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0</v>
      </c>
      <c r="L1164" s="43">
        <f>IFERROR(SUMIFS(Tabela10[Exp Gain only 2*+],Tabela10[Drop],DropAnalityka[[#This Row],[Drop]],Tabela10[Grade],DropAnalityka[[#This Row],[Grade]])*DropAnalityka[[#This Row],[Quality/Quantity]],0)</f>
        <v>0</v>
      </c>
    </row>
    <row r="1165" spans="10:12">
      <c r="J11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0:12">
      <c r="J1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0:12"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0</v>
      </c>
      <c r="L1167" s="43">
        <f>IFERROR(SUMIFS(Tabela10[Exp Gain only 2*+],Tabela10[Drop],DropAnalityka[[#This Row],[Drop]],Tabela10[Grade],DropAnalityka[[#This Row],[Grade]])*DropAnalityka[[#This Row],[Quality/Quantity]],0)</f>
        <v>0</v>
      </c>
    </row>
    <row r="1168" spans="10:12">
      <c r="J11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0:12">
      <c r="J1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0:12">
      <c r="J1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0:12"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0</v>
      </c>
      <c r="L1171" s="43">
        <f>IFERROR(SUMIFS(Tabela10[Exp Gain only 2*+],Tabela10[Drop],DropAnalityka[[#This Row],[Drop]],Tabela10[Grade],DropAnalityka[[#This Row],[Grade]])*DropAnalityka[[#This Row],[Quality/Quantity]],0)</f>
        <v>0</v>
      </c>
    </row>
    <row r="1172" spans="10:12">
      <c r="J1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0:12">
      <c r="J1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0:12"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0</v>
      </c>
    </row>
    <row r="1175" spans="10:12">
      <c r="J1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0:12"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0</v>
      </c>
    </row>
    <row r="1177" spans="10:12">
      <c r="J1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0:12">
      <c r="J1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0:12">
      <c r="J11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0:12">
      <c r="J1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0:12">
      <c r="J1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0:12">
      <c r="J1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0:12">
      <c r="J11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0:12">
      <c r="J11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0:12">
      <c r="J1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0:12">
      <c r="J11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0:12"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0</v>
      </c>
    </row>
    <row r="1188" spans="10:12">
      <c r="J11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0:12">
      <c r="J11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0:12">
      <c r="J11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0:12">
      <c r="J11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0:12">
      <c r="J11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0:12">
      <c r="J11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0:12">
      <c r="J11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0:12">
      <c r="J11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0:12"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</row>
    <row r="1197" spans="10:12">
      <c r="J1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0:12">
      <c r="J11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0:12">
      <c r="J11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0:12"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0</v>
      </c>
    </row>
    <row r="1201" spans="10:12"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</row>
    <row r="1202" spans="10:12">
      <c r="J12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0:12"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0:12"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0:12"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0:12"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0:12"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0:12"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0:12"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0:12"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0:12"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0:12"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0:12"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0:12"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0:12"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0:12"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81">
        <f>IFERROR(SUMIFS(Tabela10[Fod Worth],Tabela10[Drop],DropAnalityka[[#This Row],[Drop]],Tabela10[Grade],DropAnalityka[[#This Row],[Grade]])*DropAnalityka[[#This Row],[Quality/Quantity]],0)</f>
        <v>0</v>
      </c>
      <c r="L2000" s="81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U47"/>
  <sheetViews>
    <sheetView zoomScale="85" zoomScaleNormal="85" workbookViewId="0">
      <selection activeCell="D20" sqref="D2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1" spans="1:16" ht="15" thickBot="1"/>
    <row r="2" spans="1:16" ht="15.75" thickBot="1">
      <c r="A2" s="178" t="s">
        <v>239</v>
      </c>
      <c r="B2" s="179"/>
      <c r="C2" s="179"/>
      <c r="D2" s="179"/>
      <c r="E2" s="179"/>
      <c r="F2" s="179"/>
      <c r="G2" s="179"/>
      <c r="H2" s="179"/>
      <c r="I2" s="179"/>
      <c r="J2" s="179"/>
      <c r="K2" s="179"/>
      <c r="L2" s="180"/>
    </row>
    <row r="3" spans="1:16" ht="15">
      <c r="A3" s="33" t="s">
        <v>217</v>
      </c>
      <c r="B3" s="32" t="s">
        <v>232</v>
      </c>
      <c r="C3" s="32" t="s">
        <v>238</v>
      </c>
      <c r="D3" s="32" t="s">
        <v>222</v>
      </c>
      <c r="E3" s="32" t="s">
        <v>232</v>
      </c>
      <c r="F3" s="32" t="s">
        <v>238</v>
      </c>
      <c r="G3" s="32" t="s">
        <v>227</v>
      </c>
      <c r="H3" s="32" t="s">
        <v>232</v>
      </c>
      <c r="I3" s="32" t="s">
        <v>238</v>
      </c>
      <c r="J3" s="51"/>
      <c r="K3" s="32" t="s">
        <v>232</v>
      </c>
      <c r="L3" s="52" t="s">
        <v>238</v>
      </c>
    </row>
    <row r="4" spans="1:16">
      <c r="A4" s="5" t="s">
        <v>220</v>
      </c>
      <c r="B4" s="6" t="s">
        <v>233</v>
      </c>
      <c r="C4" s="6" t="s">
        <v>211</v>
      </c>
      <c r="D4" s="6" t="s">
        <v>223</v>
      </c>
      <c r="E4" s="6" t="s">
        <v>233</v>
      </c>
      <c r="F4" s="6"/>
      <c r="G4" s="6" t="s">
        <v>228</v>
      </c>
      <c r="H4" s="6" t="s">
        <v>233</v>
      </c>
      <c r="I4" s="56" t="s">
        <v>211</v>
      </c>
      <c r="J4" s="53" t="s">
        <v>236</v>
      </c>
      <c r="K4" s="53" t="s">
        <v>34</v>
      </c>
      <c r="L4" s="54" t="s">
        <v>211</v>
      </c>
    </row>
    <row r="5" spans="1:16">
      <c r="A5" s="5" t="s">
        <v>219</v>
      </c>
      <c r="B5" s="6" t="s">
        <v>234</v>
      </c>
      <c r="C5" s="6" t="s">
        <v>211</v>
      </c>
      <c r="D5" s="6" t="s">
        <v>224</v>
      </c>
      <c r="E5" s="6" t="s">
        <v>234</v>
      </c>
      <c r="F5" s="56" t="s">
        <v>211</v>
      </c>
      <c r="G5" s="6" t="s">
        <v>229</v>
      </c>
      <c r="H5" s="6" t="s">
        <v>34</v>
      </c>
      <c r="I5" s="6" t="s">
        <v>211</v>
      </c>
      <c r="J5" s="6"/>
      <c r="K5" s="6"/>
      <c r="L5" s="55"/>
    </row>
    <row r="6" spans="1:16">
      <c r="A6" s="5" t="s">
        <v>218</v>
      </c>
      <c r="B6" s="6" t="s">
        <v>234</v>
      </c>
      <c r="C6" s="56" t="s">
        <v>211</v>
      </c>
      <c r="D6" s="6" t="s">
        <v>225</v>
      </c>
      <c r="E6" s="6" t="s">
        <v>234</v>
      </c>
      <c r="F6" s="6" t="s">
        <v>211</v>
      </c>
      <c r="G6" s="6" t="s">
        <v>230</v>
      </c>
      <c r="H6" s="6" t="s">
        <v>233</v>
      </c>
      <c r="I6" s="56" t="s">
        <v>211</v>
      </c>
      <c r="J6" s="6"/>
      <c r="K6" s="6"/>
      <c r="L6" s="55"/>
    </row>
    <row r="7" spans="1:16" ht="15" thickBot="1">
      <c r="A7" s="7" t="s">
        <v>221</v>
      </c>
      <c r="B7" s="8" t="s">
        <v>237</v>
      </c>
      <c r="C7" s="8" t="s">
        <v>211</v>
      </c>
      <c r="D7" s="8" t="s">
        <v>226</v>
      </c>
      <c r="E7" s="8" t="s">
        <v>235</v>
      </c>
      <c r="F7" s="8" t="s">
        <v>211</v>
      </c>
      <c r="G7" s="8" t="s">
        <v>231</v>
      </c>
      <c r="H7" s="8" t="s">
        <v>235</v>
      </c>
      <c r="I7" s="8" t="s">
        <v>211</v>
      </c>
      <c r="J7" s="8"/>
      <c r="K7" s="8"/>
      <c r="L7" s="9"/>
    </row>
    <row r="8" spans="1:16" ht="15" thickBot="1"/>
    <row r="9" spans="1:16" ht="15.75" thickBot="1">
      <c r="A9" s="57"/>
      <c r="B9" s="58"/>
      <c r="C9" s="58"/>
      <c r="D9" s="181" t="s">
        <v>240</v>
      </c>
      <c r="E9" s="182"/>
      <c r="F9" s="182"/>
      <c r="G9" s="182"/>
      <c r="H9" s="182"/>
      <c r="I9" s="182"/>
      <c r="J9" s="182"/>
      <c r="K9" s="182"/>
      <c r="L9" s="182"/>
      <c r="M9" s="182"/>
      <c r="N9" s="182"/>
      <c r="O9" s="182"/>
      <c r="P9" s="183"/>
    </row>
    <row r="10" spans="1:16" ht="15">
      <c r="A10" s="33" t="s">
        <v>241</v>
      </c>
      <c r="B10" s="32" t="s">
        <v>232</v>
      </c>
      <c r="C10" s="32" t="s">
        <v>238</v>
      </c>
      <c r="D10" s="66" t="s">
        <v>242</v>
      </c>
      <c r="E10" s="65" t="s">
        <v>232</v>
      </c>
      <c r="F10" s="65" t="s">
        <v>238</v>
      </c>
      <c r="G10" s="65" t="s">
        <v>243</v>
      </c>
      <c r="H10" s="65" t="s">
        <v>232</v>
      </c>
      <c r="I10" s="65" t="s">
        <v>238</v>
      </c>
      <c r="J10" s="65" t="s">
        <v>191</v>
      </c>
      <c r="K10" s="65"/>
      <c r="L10" s="65" t="s">
        <v>232</v>
      </c>
      <c r="M10" s="65" t="s">
        <v>238</v>
      </c>
      <c r="N10" s="59"/>
      <c r="O10" s="65" t="s">
        <v>232</v>
      </c>
      <c r="P10" s="67" t="s">
        <v>238</v>
      </c>
    </row>
    <row r="11" spans="1:16">
      <c r="A11" s="5" t="s">
        <v>257</v>
      </c>
      <c r="B11" s="6" t="s">
        <v>234</v>
      </c>
      <c r="C11" s="68" t="s">
        <v>211</v>
      </c>
      <c r="D11" s="63" t="s">
        <v>244</v>
      </c>
      <c r="E11" s="59" t="s">
        <v>234</v>
      </c>
      <c r="F11" s="59" t="s">
        <v>211</v>
      </c>
      <c r="G11" s="59" t="s">
        <v>248</v>
      </c>
      <c r="H11" s="59" t="s">
        <v>34</v>
      </c>
      <c r="I11" s="59" t="s">
        <v>211</v>
      </c>
      <c r="J11" s="59" t="s">
        <v>252</v>
      </c>
      <c r="K11" s="59"/>
      <c r="L11" s="59" t="s">
        <v>34</v>
      </c>
      <c r="M11" s="59"/>
      <c r="N11" s="59" t="s">
        <v>256</v>
      </c>
      <c r="O11" s="59"/>
      <c r="P11" s="60" t="s">
        <v>211</v>
      </c>
    </row>
    <row r="12" spans="1:16">
      <c r="A12" s="5" t="s">
        <v>258</v>
      </c>
      <c r="B12" s="6" t="s">
        <v>34</v>
      </c>
      <c r="C12" s="68" t="s">
        <v>211</v>
      </c>
      <c r="D12" s="63" t="s">
        <v>245</v>
      </c>
      <c r="E12" s="59" t="s">
        <v>34</v>
      </c>
      <c r="F12" s="59" t="s">
        <v>211</v>
      </c>
      <c r="G12" s="59" t="s">
        <v>249</v>
      </c>
      <c r="H12" s="59" t="s">
        <v>233</v>
      </c>
      <c r="I12" s="59" t="s">
        <v>211</v>
      </c>
      <c r="J12" s="59" t="s">
        <v>253</v>
      </c>
      <c r="K12" s="59"/>
      <c r="L12" s="59" t="s">
        <v>233</v>
      </c>
      <c r="M12" s="59" t="s">
        <v>211</v>
      </c>
      <c r="N12" s="59"/>
      <c r="O12" s="59"/>
      <c r="P12" s="60"/>
    </row>
    <row r="13" spans="1:16">
      <c r="A13" s="5" t="s">
        <v>259</v>
      </c>
      <c r="B13" s="6" t="s">
        <v>234</v>
      </c>
      <c r="C13" s="68" t="s">
        <v>211</v>
      </c>
      <c r="D13" s="63" t="s">
        <v>246</v>
      </c>
      <c r="E13" s="59" t="s">
        <v>234</v>
      </c>
      <c r="F13" s="59" t="s">
        <v>211</v>
      </c>
      <c r="G13" s="59" t="s">
        <v>250</v>
      </c>
      <c r="H13" s="59" t="s">
        <v>234</v>
      </c>
      <c r="I13" s="59" t="s">
        <v>211</v>
      </c>
      <c r="J13" s="59" t="s">
        <v>254</v>
      </c>
      <c r="K13" s="59"/>
      <c r="L13" s="59" t="s">
        <v>233</v>
      </c>
      <c r="M13" s="59" t="s">
        <v>211</v>
      </c>
      <c r="N13" s="59"/>
      <c r="O13" s="59"/>
      <c r="P13" s="60"/>
    </row>
    <row r="14" spans="1:16" ht="15" thickBot="1">
      <c r="A14" s="7" t="s">
        <v>260</v>
      </c>
      <c r="B14" s="8" t="s">
        <v>233</v>
      </c>
      <c r="C14" s="69" t="s">
        <v>211</v>
      </c>
      <c r="D14" s="64" t="s">
        <v>247</v>
      </c>
      <c r="E14" s="61" t="s">
        <v>261</v>
      </c>
      <c r="F14" s="61" t="s">
        <v>211</v>
      </c>
      <c r="G14" s="61" t="s">
        <v>251</v>
      </c>
      <c r="H14" s="61" t="s">
        <v>261</v>
      </c>
      <c r="I14" s="61" t="s">
        <v>211</v>
      </c>
      <c r="J14" s="61" t="s">
        <v>255</v>
      </c>
      <c r="K14" s="61"/>
      <c r="L14" s="61" t="s">
        <v>261</v>
      </c>
      <c r="M14" s="61" t="s">
        <v>211</v>
      </c>
      <c r="N14" s="61"/>
      <c r="O14" s="61"/>
      <c r="P14" s="62"/>
    </row>
    <row r="17" spans="1:20" ht="15" thickBot="1"/>
    <row r="18" spans="1:20" ht="15" thickBot="1">
      <c r="F18" s="184" t="s">
        <v>268</v>
      </c>
      <c r="G18" s="185"/>
      <c r="H18" s="186"/>
      <c r="I18" s="187" t="s">
        <v>269</v>
      </c>
      <c r="J18" s="188"/>
      <c r="K18" s="189"/>
      <c r="L18" s="190" t="s">
        <v>18</v>
      </c>
      <c r="M18" s="191"/>
      <c r="N18" s="192"/>
      <c r="O18" s="193" t="s">
        <v>271</v>
      </c>
      <c r="P18" s="194"/>
      <c r="Q18" s="195"/>
      <c r="R18" s="175" t="s">
        <v>270</v>
      </c>
      <c r="S18" s="176"/>
      <c r="T18" s="177"/>
    </row>
    <row r="19" spans="1:20" ht="15.75" thickBot="1">
      <c r="C19" s="33" t="s">
        <v>264</v>
      </c>
      <c r="D19" s="32" t="s">
        <v>265</v>
      </c>
      <c r="E19" s="52" t="s">
        <v>266</v>
      </c>
      <c r="F19" s="85" t="s">
        <v>272</v>
      </c>
      <c r="G19" s="86" t="s">
        <v>312</v>
      </c>
      <c r="H19" s="87" t="s">
        <v>273</v>
      </c>
      <c r="I19" s="93" t="s">
        <v>272</v>
      </c>
      <c r="J19" s="94" t="s">
        <v>312</v>
      </c>
      <c r="K19" s="95" t="s">
        <v>273</v>
      </c>
      <c r="L19" s="101" t="s">
        <v>272</v>
      </c>
      <c r="M19" s="102" t="s">
        <v>312</v>
      </c>
      <c r="N19" s="103" t="s">
        <v>273</v>
      </c>
      <c r="O19" s="119" t="s">
        <v>272</v>
      </c>
      <c r="P19" s="120" t="s">
        <v>312</v>
      </c>
      <c r="Q19" s="121" t="s">
        <v>273</v>
      </c>
      <c r="R19" s="109" t="s">
        <v>272</v>
      </c>
      <c r="S19" s="110" t="s">
        <v>312</v>
      </c>
      <c r="T19" s="111" t="s">
        <v>273</v>
      </c>
    </row>
    <row r="20" spans="1:20" ht="15">
      <c r="A20" s="70" t="s">
        <v>267</v>
      </c>
      <c r="B20" s="75" t="s">
        <v>242</v>
      </c>
      <c r="C20" s="73"/>
      <c r="D20" s="73"/>
      <c r="E20" s="74"/>
      <c r="F20" s="88"/>
      <c r="G20" s="89">
        <v>20</v>
      </c>
      <c r="H20" s="90">
        <v>10</v>
      </c>
      <c r="I20" s="96"/>
      <c r="J20" s="97"/>
      <c r="K20" s="98"/>
      <c r="L20" s="104"/>
      <c r="M20" s="105"/>
      <c r="N20" s="106"/>
      <c r="O20" s="122"/>
      <c r="P20" s="123">
        <v>15</v>
      </c>
      <c r="Q20" s="124">
        <v>5</v>
      </c>
      <c r="R20" s="112"/>
      <c r="S20" s="113"/>
      <c r="T20" s="114"/>
    </row>
    <row r="21" spans="1:20">
      <c r="A21" s="71" t="s">
        <v>267</v>
      </c>
      <c r="B21" s="76" t="s">
        <v>244</v>
      </c>
      <c r="C21" s="5" t="s">
        <v>211</v>
      </c>
      <c r="D21" s="63" t="s">
        <v>346</v>
      </c>
      <c r="E21" s="55"/>
      <c r="F21" s="88">
        <v>10</v>
      </c>
      <c r="G21" s="89">
        <v>15</v>
      </c>
      <c r="H21" s="90"/>
      <c r="I21" s="96"/>
      <c r="J21" s="97"/>
      <c r="K21" s="98"/>
      <c r="L21" s="104"/>
      <c r="M21" s="105"/>
      <c r="N21" s="106"/>
      <c r="O21" s="122">
        <v>5</v>
      </c>
      <c r="P21" s="123">
        <v>10</v>
      </c>
      <c r="Q21" s="124"/>
      <c r="R21" s="112"/>
      <c r="S21" s="113"/>
      <c r="T21" s="114"/>
    </row>
    <row r="22" spans="1:20">
      <c r="A22" s="71" t="s">
        <v>267</v>
      </c>
      <c r="B22" s="76" t="s">
        <v>245</v>
      </c>
      <c r="C22" s="5" t="s">
        <v>211</v>
      </c>
      <c r="D22" s="63" t="s">
        <v>346</v>
      </c>
      <c r="E22" s="55"/>
      <c r="F22" s="88">
        <v>10</v>
      </c>
      <c r="G22" s="89">
        <v>15</v>
      </c>
      <c r="H22" s="90"/>
      <c r="I22" s="96"/>
      <c r="J22" s="97"/>
      <c r="K22" s="98"/>
      <c r="L22" s="104"/>
      <c r="M22" s="105"/>
      <c r="N22" s="106"/>
      <c r="O22" s="122">
        <v>5</v>
      </c>
      <c r="P22" s="123">
        <v>10</v>
      </c>
      <c r="Q22" s="124"/>
      <c r="R22" s="112"/>
      <c r="S22" s="113"/>
      <c r="T22" s="114"/>
    </row>
    <row r="23" spans="1:20">
      <c r="A23" s="71" t="s">
        <v>267</v>
      </c>
      <c r="B23" s="76" t="s">
        <v>246</v>
      </c>
      <c r="C23" s="5" t="s">
        <v>211</v>
      </c>
      <c r="D23" s="63" t="s">
        <v>346</v>
      </c>
      <c r="E23" s="55"/>
      <c r="F23" s="88"/>
      <c r="G23" s="89"/>
      <c r="H23" s="90"/>
      <c r="I23" s="96">
        <v>10</v>
      </c>
      <c r="J23" s="97">
        <v>15</v>
      </c>
      <c r="K23" s="98"/>
      <c r="L23" s="104"/>
      <c r="M23" s="105"/>
      <c r="N23" s="106"/>
      <c r="O23" s="122">
        <v>5</v>
      </c>
      <c r="P23" s="123">
        <v>10</v>
      </c>
      <c r="Q23" s="124"/>
      <c r="R23" s="112"/>
      <c r="S23" s="113"/>
      <c r="T23" s="114"/>
    </row>
    <row r="24" spans="1:20" ht="15" thickBot="1">
      <c r="A24" s="71" t="s">
        <v>267</v>
      </c>
      <c r="B24" s="77" t="s">
        <v>247</v>
      </c>
      <c r="C24" s="5" t="s">
        <v>211</v>
      </c>
      <c r="D24" s="63" t="s">
        <v>346</v>
      </c>
      <c r="E24" s="55"/>
      <c r="F24" s="88"/>
      <c r="G24" s="89"/>
      <c r="H24" s="90"/>
      <c r="I24" s="96"/>
      <c r="J24" s="97"/>
      <c r="K24" s="98"/>
      <c r="L24" s="104">
        <v>20</v>
      </c>
      <c r="M24" s="105"/>
      <c r="N24" s="106"/>
      <c r="O24" s="122">
        <v>15</v>
      </c>
      <c r="P24" s="123"/>
      <c r="Q24" s="124"/>
      <c r="R24" s="112"/>
      <c r="S24" s="113"/>
      <c r="T24" s="114"/>
    </row>
    <row r="25" spans="1:20" ht="15">
      <c r="A25" s="71" t="s">
        <v>267</v>
      </c>
      <c r="B25" s="75" t="s">
        <v>243</v>
      </c>
      <c r="C25" s="5"/>
      <c r="D25" s="63" t="s">
        <v>349</v>
      </c>
      <c r="E25" s="55"/>
      <c r="F25" s="88"/>
      <c r="G25" s="89"/>
      <c r="H25" s="90"/>
      <c r="I25" s="96"/>
      <c r="J25" s="97"/>
      <c r="K25" s="98"/>
      <c r="L25" s="104"/>
      <c r="M25" s="105">
        <v>20</v>
      </c>
      <c r="N25" s="106">
        <v>10</v>
      </c>
      <c r="O25" s="122"/>
      <c r="P25" s="123">
        <v>15</v>
      </c>
      <c r="Q25" s="124">
        <v>5</v>
      </c>
      <c r="R25" s="112"/>
      <c r="S25" s="113"/>
      <c r="T25" s="114"/>
    </row>
    <row r="26" spans="1:20">
      <c r="A26" s="71" t="s">
        <v>267</v>
      </c>
      <c r="B26" s="76" t="s">
        <v>248</v>
      </c>
      <c r="C26" s="5" t="s">
        <v>211</v>
      </c>
      <c r="D26" s="63" t="s">
        <v>346</v>
      </c>
      <c r="E26" s="55"/>
      <c r="F26" s="88"/>
      <c r="G26" s="89"/>
      <c r="H26" s="90"/>
      <c r="I26" s="96"/>
      <c r="J26" s="97"/>
      <c r="K26" s="98"/>
      <c r="L26" s="104"/>
      <c r="M26" s="105">
        <v>10</v>
      </c>
      <c r="N26" s="106">
        <v>15</v>
      </c>
      <c r="O26" s="122"/>
      <c r="P26" s="123"/>
      <c r="Q26" s="124"/>
      <c r="R26" s="112"/>
      <c r="S26" s="113"/>
      <c r="T26" s="114"/>
    </row>
    <row r="27" spans="1:20">
      <c r="A27" s="71" t="s">
        <v>267</v>
      </c>
      <c r="B27" s="76" t="s">
        <v>249</v>
      </c>
      <c r="C27" s="5" t="s">
        <v>211</v>
      </c>
      <c r="D27" s="63" t="s">
        <v>346</v>
      </c>
      <c r="E27" s="55"/>
      <c r="F27" s="88"/>
      <c r="G27" s="89"/>
      <c r="H27" s="90"/>
      <c r="I27" s="96"/>
      <c r="J27" s="97"/>
      <c r="K27" s="98"/>
      <c r="L27" s="104"/>
      <c r="M27" s="105">
        <v>20</v>
      </c>
      <c r="N27" s="106"/>
      <c r="O27" s="122"/>
      <c r="P27" s="123"/>
      <c r="Q27" s="124"/>
      <c r="R27" s="112"/>
      <c r="S27" s="113"/>
      <c r="T27" s="114"/>
    </row>
    <row r="28" spans="1:20">
      <c r="A28" s="71" t="s">
        <v>267</v>
      </c>
      <c r="B28" s="76" t="s">
        <v>250</v>
      </c>
      <c r="C28" s="5" t="s">
        <v>211</v>
      </c>
      <c r="D28" s="63" t="s">
        <v>346</v>
      </c>
      <c r="E28" s="55"/>
      <c r="F28" s="88">
        <v>10</v>
      </c>
      <c r="G28" s="89">
        <v>15</v>
      </c>
      <c r="H28" s="90"/>
      <c r="I28" s="96"/>
      <c r="J28" s="97"/>
      <c r="K28" s="98"/>
      <c r="L28" s="104"/>
      <c r="M28" s="105"/>
      <c r="N28" s="106"/>
      <c r="O28" s="122"/>
      <c r="P28" s="123"/>
      <c r="Q28" s="124"/>
      <c r="R28" s="112"/>
      <c r="S28" s="113"/>
      <c r="T28" s="114"/>
    </row>
    <row r="29" spans="1:20" ht="15" thickBot="1">
      <c r="A29" s="71" t="s">
        <v>267</v>
      </c>
      <c r="B29" s="77" t="s">
        <v>251</v>
      </c>
      <c r="C29" s="5" t="s">
        <v>211</v>
      </c>
      <c r="D29" s="63" t="s">
        <v>346</v>
      </c>
      <c r="E29" s="55"/>
      <c r="F29" s="88"/>
      <c r="G29" s="89"/>
      <c r="H29" s="90"/>
      <c r="I29" s="96">
        <v>15</v>
      </c>
      <c r="J29" s="97">
        <v>5</v>
      </c>
      <c r="K29" s="98"/>
      <c r="L29" s="104"/>
      <c r="M29" s="105"/>
      <c r="N29" s="106"/>
      <c r="O29" s="122"/>
      <c r="P29" s="123"/>
      <c r="Q29" s="124"/>
      <c r="R29" s="112"/>
      <c r="S29" s="113"/>
      <c r="T29" s="114"/>
    </row>
    <row r="30" spans="1:20" ht="15">
      <c r="A30" s="71" t="s">
        <v>267</v>
      </c>
      <c r="B30" s="75" t="s">
        <v>191</v>
      </c>
      <c r="C30" s="5"/>
      <c r="D30" s="5"/>
      <c r="E30" s="55"/>
      <c r="F30" s="88"/>
      <c r="G30" s="89"/>
      <c r="H30" s="90"/>
      <c r="I30" s="96"/>
      <c r="J30" s="97">
        <v>15</v>
      </c>
      <c r="K30" s="98">
        <v>12</v>
      </c>
      <c r="L30" s="104"/>
      <c r="M30" s="105"/>
      <c r="N30" s="106"/>
      <c r="O30" s="122"/>
      <c r="P30" s="123">
        <v>15</v>
      </c>
      <c r="Q30" s="124">
        <v>10</v>
      </c>
      <c r="R30" s="112"/>
      <c r="S30" s="113"/>
      <c r="T30" s="114"/>
    </row>
    <row r="31" spans="1:20">
      <c r="A31" s="71" t="s">
        <v>267</v>
      </c>
      <c r="B31" s="142" t="s">
        <v>252</v>
      </c>
      <c r="C31" s="142"/>
      <c r="D31" s="142"/>
      <c r="E31" s="55"/>
      <c r="F31" s="88"/>
      <c r="G31" s="89"/>
      <c r="H31" s="90"/>
      <c r="I31" s="96">
        <v>10</v>
      </c>
      <c r="J31" s="97">
        <v>15</v>
      </c>
      <c r="K31" s="98"/>
      <c r="L31" s="104"/>
      <c r="M31" s="105"/>
      <c r="N31" s="106"/>
      <c r="O31" s="122">
        <v>5</v>
      </c>
      <c r="P31" s="123">
        <v>10</v>
      </c>
      <c r="Q31" s="124"/>
      <c r="R31" s="112"/>
      <c r="S31" s="113"/>
      <c r="T31" s="114"/>
    </row>
    <row r="32" spans="1:20">
      <c r="A32" s="71" t="s">
        <v>267</v>
      </c>
      <c r="B32" s="76" t="s">
        <v>253</v>
      </c>
      <c r="C32" s="5" t="s">
        <v>211</v>
      </c>
      <c r="D32" s="63" t="s">
        <v>346</v>
      </c>
      <c r="E32" s="55"/>
      <c r="F32" s="88"/>
      <c r="G32" s="89"/>
      <c r="H32" s="90"/>
      <c r="I32" s="96">
        <v>10</v>
      </c>
      <c r="J32" s="97">
        <v>15</v>
      </c>
      <c r="K32" s="98"/>
      <c r="L32" s="104"/>
      <c r="M32" s="105"/>
      <c r="N32" s="106"/>
      <c r="O32" s="122">
        <v>5</v>
      </c>
      <c r="P32" s="123">
        <v>10</v>
      </c>
      <c r="Q32" s="124"/>
      <c r="R32" s="112"/>
      <c r="S32" s="113"/>
      <c r="T32" s="114"/>
    </row>
    <row r="33" spans="1:21">
      <c r="A33" s="71" t="s">
        <v>267</v>
      </c>
      <c r="B33" s="76" t="s">
        <v>254</v>
      </c>
      <c r="C33" s="5" t="s">
        <v>211</v>
      </c>
      <c r="D33" s="63" t="s">
        <v>346</v>
      </c>
      <c r="E33" s="55"/>
      <c r="F33" s="88"/>
      <c r="G33" s="89"/>
      <c r="H33" s="90"/>
      <c r="I33" s="96"/>
      <c r="J33" s="97"/>
      <c r="K33" s="98"/>
      <c r="L33" s="104">
        <v>10</v>
      </c>
      <c r="M33" s="105">
        <v>15</v>
      </c>
      <c r="N33" s="106"/>
      <c r="O33" s="122">
        <v>5</v>
      </c>
      <c r="P33" s="123">
        <v>10</v>
      </c>
      <c r="Q33" s="124"/>
      <c r="R33" s="112"/>
      <c r="S33" s="113"/>
      <c r="T33" s="114"/>
    </row>
    <row r="34" spans="1:21" ht="15" thickBot="1">
      <c r="A34" s="71" t="s">
        <v>267</v>
      </c>
      <c r="B34" s="77" t="s">
        <v>255</v>
      </c>
      <c r="C34" s="5" t="s">
        <v>211</v>
      </c>
      <c r="D34" s="63" t="s">
        <v>346</v>
      </c>
      <c r="E34" s="55"/>
      <c r="F34" s="88">
        <v>20</v>
      </c>
      <c r="G34" s="89"/>
      <c r="H34" s="90"/>
      <c r="I34" s="96"/>
      <c r="J34" s="97"/>
      <c r="K34" s="98"/>
      <c r="L34" s="104"/>
      <c r="M34" s="105"/>
      <c r="N34" s="106"/>
      <c r="O34" s="122">
        <v>15</v>
      </c>
      <c r="P34" s="123"/>
      <c r="Q34" s="124"/>
      <c r="R34" s="112"/>
      <c r="S34" s="113"/>
      <c r="T34" s="114"/>
    </row>
    <row r="35" spans="1:21" ht="15.75" thickBot="1">
      <c r="A35" s="72" t="s">
        <v>267</v>
      </c>
      <c r="B35" s="78" t="s">
        <v>256</v>
      </c>
      <c r="C35" s="7" t="s">
        <v>211</v>
      </c>
      <c r="D35" s="64" t="s">
        <v>349</v>
      </c>
      <c r="E35" s="9"/>
      <c r="F35" s="88"/>
      <c r="G35" s="89"/>
      <c r="H35" s="90"/>
      <c r="I35" s="96"/>
      <c r="J35" s="97"/>
      <c r="K35" s="98"/>
      <c r="L35" s="104"/>
      <c r="M35" s="105"/>
      <c r="N35" s="106"/>
      <c r="O35" s="122">
        <v>20</v>
      </c>
      <c r="P35" s="123"/>
      <c r="Q35" s="124"/>
      <c r="R35" s="112">
        <v>15</v>
      </c>
      <c r="S35" s="113">
        <v>1</v>
      </c>
      <c r="T35" s="114"/>
    </row>
    <row r="36" spans="1:21">
      <c r="E36" s="71" t="s">
        <v>274</v>
      </c>
      <c r="F36" s="91">
        <f>SUM(F$20:F$35)</f>
        <v>50</v>
      </c>
      <c r="G36" s="91">
        <f t="shared" ref="G36:T36" si="0">SUM(G$20:G$35)</f>
        <v>65</v>
      </c>
      <c r="H36" s="91">
        <f t="shared" si="0"/>
        <v>10</v>
      </c>
      <c r="I36" s="99">
        <f t="shared" si="0"/>
        <v>45</v>
      </c>
      <c r="J36" s="99">
        <f t="shared" si="0"/>
        <v>65</v>
      </c>
      <c r="K36" s="99">
        <f t="shared" si="0"/>
        <v>12</v>
      </c>
      <c r="L36" s="107">
        <f t="shared" si="0"/>
        <v>30</v>
      </c>
      <c r="M36" s="107">
        <f t="shared" si="0"/>
        <v>65</v>
      </c>
      <c r="N36" s="107">
        <f t="shared" si="0"/>
        <v>25</v>
      </c>
      <c r="O36" s="125">
        <f t="shared" si="0"/>
        <v>80</v>
      </c>
      <c r="P36" s="125">
        <f t="shared" si="0"/>
        <v>105</v>
      </c>
      <c r="Q36" s="125">
        <f t="shared" si="0"/>
        <v>20</v>
      </c>
      <c r="R36" s="115">
        <f t="shared" si="0"/>
        <v>15</v>
      </c>
      <c r="S36" s="115">
        <f t="shared" si="0"/>
        <v>1</v>
      </c>
      <c r="T36" s="117">
        <f t="shared" si="0"/>
        <v>0</v>
      </c>
    </row>
    <row r="37" spans="1:21">
      <c r="E37" s="71" t="s">
        <v>275</v>
      </c>
      <c r="F37" s="89">
        <v>267</v>
      </c>
      <c r="G37" s="89">
        <v>65</v>
      </c>
      <c r="H37" s="89">
        <v>27</v>
      </c>
      <c r="I37" s="97">
        <v>121</v>
      </c>
      <c r="J37" s="97">
        <v>66</v>
      </c>
      <c r="K37" s="97">
        <v>37</v>
      </c>
      <c r="L37" s="105">
        <v>120</v>
      </c>
      <c r="M37" s="105">
        <v>63</v>
      </c>
      <c r="N37" s="105">
        <v>29</v>
      </c>
      <c r="O37" s="123">
        <v>187</v>
      </c>
      <c r="P37" s="123">
        <v>3</v>
      </c>
      <c r="Q37" s="123">
        <v>25</v>
      </c>
      <c r="R37" s="113">
        <v>19</v>
      </c>
      <c r="S37" s="113">
        <v>16</v>
      </c>
      <c r="T37" s="114">
        <v>6</v>
      </c>
    </row>
    <row r="38" spans="1:21" ht="15.75" thickBot="1">
      <c r="E38" s="80" t="s">
        <v>123</v>
      </c>
      <c r="F38" s="92">
        <f>MAXA(F36-F37,0)</f>
        <v>0</v>
      </c>
      <c r="G38" s="92">
        <f t="shared" ref="G38:T38" si="1">MAXA(G36-G37,0)</f>
        <v>0</v>
      </c>
      <c r="H38" s="92">
        <f t="shared" si="1"/>
        <v>0</v>
      </c>
      <c r="I38" s="100">
        <f t="shared" si="1"/>
        <v>0</v>
      </c>
      <c r="J38" s="100">
        <f t="shared" si="1"/>
        <v>0</v>
      </c>
      <c r="K38" s="100">
        <f t="shared" si="1"/>
        <v>0</v>
      </c>
      <c r="L38" s="108">
        <f t="shared" si="1"/>
        <v>0</v>
      </c>
      <c r="M38" s="108">
        <f t="shared" si="1"/>
        <v>2</v>
      </c>
      <c r="N38" s="108">
        <f t="shared" si="1"/>
        <v>0</v>
      </c>
      <c r="O38" s="126">
        <f t="shared" si="1"/>
        <v>0</v>
      </c>
      <c r="P38" s="126">
        <f t="shared" si="1"/>
        <v>102</v>
      </c>
      <c r="Q38" s="126">
        <f t="shared" si="1"/>
        <v>0</v>
      </c>
      <c r="R38" s="116">
        <f t="shared" si="1"/>
        <v>0</v>
      </c>
      <c r="S38" s="116">
        <f t="shared" si="1"/>
        <v>0</v>
      </c>
      <c r="T38" s="118">
        <f t="shared" si="1"/>
        <v>0</v>
      </c>
    </row>
    <row r="39" spans="1:21">
      <c r="E39" s="73"/>
      <c r="F39" s="51"/>
      <c r="G39" s="173" t="s">
        <v>300</v>
      </c>
      <c r="H39" s="173"/>
      <c r="I39" s="173"/>
      <c r="J39" s="173"/>
      <c r="K39" s="173"/>
      <c r="L39" s="173"/>
      <c r="M39" s="173"/>
      <c r="N39" s="173"/>
      <c r="O39" s="173"/>
      <c r="P39" s="173"/>
      <c r="Q39" s="173"/>
      <c r="R39" s="173"/>
      <c r="S39" s="173"/>
      <c r="T39" s="174"/>
    </row>
    <row r="40" spans="1:21">
      <c r="E40" s="5">
        <v>9</v>
      </c>
      <c r="F40" s="6">
        <f>F$38/VLOOKUP(F$19,Tabela11[#All],6,FALSE)</f>
        <v>0</v>
      </c>
      <c r="G40" s="130">
        <f>G$38/VLOOKUP(G$19,Tabela11[#All],6,FALSE)</f>
        <v>0</v>
      </c>
      <c r="H40" s="130">
        <f>H$38/VLOOKUP(H$19,Tabela11[#All],6,FALSE)</f>
        <v>0</v>
      </c>
      <c r="I40" s="130">
        <f>I$38/VLOOKUP(I$19,Tabela11[#All],6,FALSE)</f>
        <v>0</v>
      </c>
      <c r="J40" s="130">
        <f>J$38/VLOOKUP(J$19,Tabela11[#All],6,FALSE)</f>
        <v>0</v>
      </c>
      <c r="K40" s="130">
        <f>K$38/VLOOKUP(K$19,Tabela11[#All],6,FALSE)</f>
        <v>0</v>
      </c>
      <c r="L40" s="130">
        <f>L$38/VLOOKUP(L$19,Tabela11[#All],6,FALSE)</f>
        <v>0</v>
      </c>
      <c r="M40" s="130">
        <f>M$38/VLOOKUP(M$19,Tabela11[#All],6,FALSE)</f>
        <v>3.5820895522388061</v>
      </c>
      <c r="N40" s="130">
        <f>N$38/VLOOKUP(N$19,Tabela11[#All],6,FALSE)</f>
        <v>0</v>
      </c>
      <c r="O40" s="130">
        <f>O$38/VLOOKUP(O$19,Tabela11[#All],6,FALSE)</f>
        <v>0</v>
      </c>
      <c r="P40" s="130">
        <f>P$38/VLOOKUP(P$19,Tabela11[#All],6,FALSE)</f>
        <v>182.68656716417911</v>
      </c>
      <c r="Q40" s="130">
        <f>Q$38/VLOOKUP(Q$19,Tabela11[#All],6,FALSE)</f>
        <v>0</v>
      </c>
      <c r="R40" s="130">
        <f>R$38/VLOOKUP(R$19,Tabela11[#All],6,FALSE)</f>
        <v>0</v>
      </c>
      <c r="S40" s="130">
        <f>S$38/VLOOKUP(S$19,Tabela11[#All],6,FALSE)</f>
        <v>0</v>
      </c>
      <c r="T40" s="131">
        <f>T$38/VLOOKUP(T$19,Tabela11[#All],6,FALSE)</f>
        <v>0</v>
      </c>
    </row>
    <row r="41" spans="1:21">
      <c r="E41" s="5">
        <v>8</v>
      </c>
      <c r="F41" s="6">
        <f>F$38/VLOOKUP(F$19,Tabela11[#All],5,FALSE)</f>
        <v>0</v>
      </c>
      <c r="G41" s="130">
        <f>G$38/VLOOKUP(G$19,Tabela11[#All],5,FALSE)</f>
        <v>0</v>
      </c>
      <c r="H41" s="130">
        <f>H$38/VLOOKUP(H$19,Tabela11[#All],5,FALSE)</f>
        <v>0</v>
      </c>
      <c r="I41" s="130">
        <f>I$38/VLOOKUP(I$19,Tabela11[#All],5,FALSE)</f>
        <v>0</v>
      </c>
      <c r="J41" s="130">
        <f>J$38/VLOOKUP(J$19,Tabela11[#All],5,FALSE)</f>
        <v>0</v>
      </c>
      <c r="K41" s="130">
        <f>K$38/VLOOKUP(K$19,Tabela11[#All],5,FALSE)</f>
        <v>0</v>
      </c>
      <c r="L41" s="130">
        <f>L$38/VLOOKUP(L$19,Tabela11[#All],5,FALSE)</f>
        <v>0</v>
      </c>
      <c r="M41" s="130">
        <f>M$38/VLOOKUP(M$19,Tabela11[#All],5,FALSE)</f>
        <v>9.1428571428571423</v>
      </c>
      <c r="N41" s="130">
        <f>N$38/VLOOKUP(N$19,Tabela11[#All],5,FALSE)</f>
        <v>0</v>
      </c>
      <c r="O41" s="130">
        <f>O$38/VLOOKUP(O$19,Tabela11[#All],5,FALSE)</f>
        <v>0</v>
      </c>
      <c r="P41" s="130">
        <f>P$38/VLOOKUP(P$19,Tabela11[#All],5,FALSE)</f>
        <v>466.28571428571428</v>
      </c>
      <c r="Q41" s="130">
        <f>Q$38/VLOOKUP(Q$19,Tabela11[#All],5,FALSE)</f>
        <v>0</v>
      </c>
      <c r="R41" s="130">
        <f>R$38/VLOOKUP(R$19,Tabela11[#All],5,FALSE)</f>
        <v>0</v>
      </c>
      <c r="S41" s="130">
        <f>S$38/VLOOKUP(S$19,Tabela11[#All],5,FALSE)</f>
        <v>0</v>
      </c>
      <c r="T41" s="131">
        <f>T$38/VLOOKUP(T$19,Tabela11[#All],5,FALSE)</f>
        <v>0</v>
      </c>
    </row>
    <row r="42" spans="1:21" ht="15" thickBot="1">
      <c r="E42" s="7">
        <v>7</v>
      </c>
      <c r="F42" s="8">
        <f>F$38/VLOOKUP(F$19,Tabela11[#All],4,FALSE)</f>
        <v>0</v>
      </c>
      <c r="G42" s="132">
        <f>G$38/VLOOKUP(G$19,Tabela11[#All],4,FALSE)</f>
        <v>0</v>
      </c>
      <c r="H42" s="132">
        <f>H$38/VLOOKUP(H$19,Tabela11[#All],4,FALSE)</f>
        <v>0</v>
      </c>
      <c r="I42" s="132">
        <f>I$38/VLOOKUP(I$19,Tabela11[#All],4,FALSE)</f>
        <v>0</v>
      </c>
      <c r="J42" s="132">
        <f>J$38/VLOOKUP(J$19,Tabela11[#All],4,FALSE)</f>
        <v>0</v>
      </c>
      <c r="K42" s="132">
        <f>K$38/VLOOKUP(K$19,Tabela11[#All],4,FALSE)</f>
        <v>0</v>
      </c>
      <c r="L42" s="132">
        <f>L$38/VLOOKUP(L$19,Tabela11[#All],4,FALSE)</f>
        <v>0</v>
      </c>
      <c r="M42" s="132">
        <f>M$38/VLOOKUP(M$19,Tabela11[#All],4,FALSE)</f>
        <v>3.6216216216216215</v>
      </c>
      <c r="N42" s="132">
        <f>N$38/VLOOKUP(N$19,Tabela11[#All],4,FALSE)</f>
        <v>0</v>
      </c>
      <c r="O42" s="132">
        <f>O$38/VLOOKUP(O$19,Tabela11[#All],4,FALSE)</f>
        <v>0</v>
      </c>
      <c r="P42" s="132">
        <f>P$38/VLOOKUP(P$19,Tabela11[#All],4,FALSE)</f>
        <v>184.70270270270268</v>
      </c>
      <c r="Q42" s="132">
        <f>Q$38/VLOOKUP(Q$19,Tabela11[#All],4,FALSE)</f>
        <v>0</v>
      </c>
      <c r="R42" s="132">
        <f>R$38/VLOOKUP(R$19,Tabela11[#All],4,FALSE)</f>
        <v>0</v>
      </c>
      <c r="S42" s="132">
        <f>S$38/VLOOKUP(S$19,Tabela11[#All],4,FALSE)</f>
        <v>0</v>
      </c>
      <c r="T42" s="133">
        <f>T$38/VLOOKUP(T$19,Tabela11[#All],4,FALSE)</f>
        <v>0</v>
      </c>
    </row>
    <row r="43" spans="1:21" ht="15" thickBot="1"/>
    <row r="44" spans="1:21" ht="15.75" thickBot="1">
      <c r="E44" s="73"/>
      <c r="F44" s="51"/>
      <c r="G44" s="170" t="s">
        <v>299</v>
      </c>
      <c r="H44" s="171"/>
      <c r="I44" s="171"/>
      <c r="J44" s="171"/>
      <c r="K44" s="171"/>
      <c r="L44" s="171"/>
      <c r="M44" s="171"/>
      <c r="N44" s="171"/>
      <c r="O44" s="171"/>
      <c r="P44" s="171"/>
      <c r="Q44" s="171"/>
      <c r="R44" s="171"/>
      <c r="S44" s="171"/>
      <c r="T44" s="172"/>
      <c r="U44" s="134" t="s">
        <v>301</v>
      </c>
    </row>
    <row r="45" spans="1:21">
      <c r="E45" s="5">
        <v>9</v>
      </c>
      <c r="F45" s="6">
        <f>F$38/VLOOKUP(F$19,Tabela11[#All],6,FALSE)*(7-12*0.065)</f>
        <v>0</v>
      </c>
      <c r="G45" s="138">
        <f>G$38/VLOOKUP(G$19,Tabela11[#All],6,FALSE)*(7-12*0.065)</f>
        <v>0</v>
      </c>
      <c r="H45" s="138">
        <f>H$38/VLOOKUP(H$19,Tabela11[#All],6,FALSE)*(7-12*0.065)</f>
        <v>0</v>
      </c>
      <c r="I45" s="138">
        <f>I$38/VLOOKUP(I$19,Tabela11[#All],6,FALSE)*(7-12*0.065)</f>
        <v>0</v>
      </c>
      <c r="J45" s="138">
        <f>J$38/VLOOKUP(J$19,Tabela11[#All],6,FALSE)*(7-12*0.065)</f>
        <v>0</v>
      </c>
      <c r="K45" s="138">
        <f>K$38/VLOOKUP(K$19,Tabela11[#All],6,FALSE)*(7-12*0.065)</f>
        <v>0</v>
      </c>
      <c r="L45" s="138">
        <f>L$38/VLOOKUP(L$19,Tabela11[#All],6,FALSE)*(7-12*0.065)</f>
        <v>0</v>
      </c>
      <c r="M45" s="138">
        <f>M$38/VLOOKUP(M$19,Tabela11[#All],6,FALSE)*(7-12*0.065)</f>
        <v>22.280597014925373</v>
      </c>
      <c r="N45" s="138">
        <f>N$38/VLOOKUP(N$19,Tabela11[#All],6,FALSE)*(7-12*0.065)</f>
        <v>0</v>
      </c>
      <c r="O45" s="138">
        <f>O$38/VLOOKUP(O$19,Tabela11[#All],6,FALSE)*(7-12*0.065)</f>
        <v>0</v>
      </c>
      <c r="P45" s="138">
        <f>P$38/VLOOKUP(P$19,Tabela11[#All],6,FALSE)*(7-12*0.065)</f>
        <v>1136.3104477611939</v>
      </c>
      <c r="Q45" s="138">
        <f>Q$38/VLOOKUP(Q$19,Tabela11[#All],6,FALSE)*(7-12*0.065)</f>
        <v>0</v>
      </c>
      <c r="R45" s="138">
        <f>R$38/VLOOKUP(R$19,Tabela11[#All],6,FALSE)*(7-12*0.065)</f>
        <v>0</v>
      </c>
      <c r="S45" s="138">
        <f>S$38/VLOOKUP(S$19,Tabela11[#All],6,FALSE)*(7-12*0.065)</f>
        <v>0</v>
      </c>
      <c r="T45" s="139">
        <f>T$38/VLOOKUP(T$19,Tabela11[#All],6,FALSE)*(7-12*0.065)</f>
        <v>0</v>
      </c>
      <c r="U45" s="135">
        <f>MAX(F45:H45)+MAX(I45:K45)+MAX(L45:N45)+MAX(O45:Q45)+MAX(R45:T45)</f>
        <v>1158.5910447761194</v>
      </c>
    </row>
    <row r="46" spans="1:21">
      <c r="E46" s="5">
        <v>8</v>
      </c>
      <c r="F46" s="6">
        <f>F$38/VLOOKUP(F$19,Tabela11[#All],5,FALSE)*(7-12*0.065)</f>
        <v>0</v>
      </c>
      <c r="G46" s="138">
        <f>G$38/VLOOKUP(G$19,Tabela11[#All],5,FALSE)*(7-12*0.065)</f>
        <v>0</v>
      </c>
      <c r="H46" s="138">
        <f>H$38/VLOOKUP(H$19,Tabela11[#All],5,FALSE)*(7-12*0.065)</f>
        <v>0</v>
      </c>
      <c r="I46" s="138">
        <f>I$38/VLOOKUP(I$19,Tabela11[#All],5,FALSE)*(7-12*0.065)</f>
        <v>0</v>
      </c>
      <c r="J46" s="138">
        <f>J$38/VLOOKUP(J$19,Tabela11[#All],5,FALSE)*(7-12*0.065)</f>
        <v>0</v>
      </c>
      <c r="K46" s="138">
        <f>K$38/VLOOKUP(K$19,Tabela11[#All],5,FALSE)*(7-12*0.065)</f>
        <v>0</v>
      </c>
      <c r="L46" s="138">
        <f>L$38/VLOOKUP(L$19,Tabela11[#All],5,FALSE)*(7-12*0.065)</f>
        <v>0</v>
      </c>
      <c r="M46" s="138">
        <f>M$38/VLOOKUP(M$19,Tabela11[#All],5,FALSE)*(7-12*0.065)</f>
        <v>56.868571428571421</v>
      </c>
      <c r="N46" s="138">
        <f>N$38/VLOOKUP(N$19,Tabela11[#All],5,FALSE)*(7-12*0.065)</f>
        <v>0</v>
      </c>
      <c r="O46" s="138">
        <f>O$38/VLOOKUP(O$19,Tabela11[#All],5,FALSE)*(7-12*0.065)</f>
        <v>0</v>
      </c>
      <c r="P46" s="138">
        <f>P$38/VLOOKUP(P$19,Tabela11[#All],5,FALSE)*(7-12*0.065)</f>
        <v>2900.2971428571427</v>
      </c>
      <c r="Q46" s="138">
        <f>Q$38/VLOOKUP(Q$19,Tabela11[#All],5,FALSE)*(7-12*0.065)</f>
        <v>0</v>
      </c>
      <c r="R46" s="138">
        <f>R$38/VLOOKUP(R$19,Tabela11[#All],5,FALSE)*(7-12*0.065)</f>
        <v>0</v>
      </c>
      <c r="S46" s="138">
        <f>S$38/VLOOKUP(S$19,Tabela11[#All],5,FALSE)*(7-12*0.065)</f>
        <v>0</v>
      </c>
      <c r="T46" s="139">
        <f>T$38/VLOOKUP(T$19,Tabela11[#All],5,FALSE)*(7-12*0.065)</f>
        <v>0</v>
      </c>
      <c r="U46" s="136">
        <f>MAX(F46:H46)+MAX(I46:K46)+MAX(L46:N46)+MAX(O46:Q46)+MAX(R46:T46)</f>
        <v>2957.1657142857143</v>
      </c>
    </row>
    <row r="47" spans="1:21" ht="15" thickBot="1">
      <c r="E47" s="7">
        <v>7</v>
      </c>
      <c r="F47" s="8">
        <f>F$38/VLOOKUP(F$19,Tabela11[#All],4,FALSE)*(6-12*0.065)</f>
        <v>0</v>
      </c>
      <c r="G47" s="140">
        <f>G$38/VLOOKUP(G$19,Tabela11[#All],4,FALSE)*(6-12*0.065)</f>
        <v>0</v>
      </c>
      <c r="H47" s="140">
        <f>H$38/VLOOKUP(H$19,Tabela11[#All],4,FALSE)*(6-12*0.065)</f>
        <v>0</v>
      </c>
      <c r="I47" s="140">
        <f>I$38/VLOOKUP(I$19,Tabela11[#All],4,FALSE)*(6-12*0.065)</f>
        <v>0</v>
      </c>
      <c r="J47" s="140">
        <f>J$38/VLOOKUP(J$19,Tabela11[#All],4,FALSE)*(6-12*0.065)</f>
        <v>0</v>
      </c>
      <c r="K47" s="140">
        <f>K$38/VLOOKUP(K$19,Tabela11[#All],4,FALSE)*(6-12*0.065)</f>
        <v>0</v>
      </c>
      <c r="L47" s="140">
        <f>L$38/VLOOKUP(L$19,Tabela11[#All],4,FALSE)*(6-12*0.065)</f>
        <v>0</v>
      </c>
      <c r="M47" s="140">
        <f>M$38/VLOOKUP(M$19,Tabela11[#All],4,FALSE)*(6-12*0.065)</f>
        <v>18.904864864864862</v>
      </c>
      <c r="N47" s="140">
        <f>N$38/VLOOKUP(N$19,Tabela11[#All],4,FALSE)*(6-12*0.065)</f>
        <v>0</v>
      </c>
      <c r="O47" s="140">
        <f>O$38/VLOOKUP(O$19,Tabela11[#All],4,FALSE)*(6-12*0.065)</f>
        <v>0</v>
      </c>
      <c r="P47" s="140">
        <f>P$38/VLOOKUP(P$19,Tabela11[#All],4,FALSE)*(6-12*0.065)</f>
        <v>964.14810810810798</v>
      </c>
      <c r="Q47" s="140">
        <f>Q$38/VLOOKUP(Q$19,Tabela11[#All],4,FALSE)*(6-12*0.065)</f>
        <v>0</v>
      </c>
      <c r="R47" s="140">
        <f>R$38/VLOOKUP(R$19,Tabela11[#All],4,FALSE)*(6-12*0.065)</f>
        <v>0</v>
      </c>
      <c r="S47" s="140">
        <f>S$38/VLOOKUP(S$19,Tabela11[#All],4,FALSE)*(6-12*0.065)</f>
        <v>0</v>
      </c>
      <c r="T47" s="141">
        <f>T$38/VLOOKUP(T$19,Tabela11[#All],4,FALSE)*(6-12*0.065)</f>
        <v>0</v>
      </c>
      <c r="U47" s="137">
        <f>MAX(F47:H47)+MAX(I47:K47)+MAX(L47:N47)+MAX(O47:Q47)+MAX(R47:T47)</f>
        <v>983.05297297297284</v>
      </c>
    </row>
  </sheetData>
  <mergeCells count="9">
    <mergeCell ref="G44:T44"/>
    <mergeCell ref="G39:T39"/>
    <mergeCell ref="R18:T18"/>
    <mergeCell ref="A2:L2"/>
    <mergeCell ref="D9:P9"/>
    <mergeCell ref="F18:H18"/>
    <mergeCell ref="I18:K18"/>
    <mergeCell ref="L18:N18"/>
    <mergeCell ref="O18:Q18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V94"/>
  <sheetViews>
    <sheetView zoomScale="85" zoomScaleNormal="85" workbookViewId="0">
      <selection activeCell="L20" sqref="L2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79" t="s">
        <v>7</v>
      </c>
      <c r="B1" s="79" t="s">
        <v>5</v>
      </c>
      <c r="C1" s="79" t="s">
        <v>6</v>
      </c>
      <c r="D1" s="79" t="s">
        <v>23</v>
      </c>
      <c r="E1" s="79" t="s">
        <v>15</v>
      </c>
      <c r="F1" s="79" t="s">
        <v>19</v>
      </c>
      <c r="G1" s="79" t="s">
        <v>10</v>
      </c>
      <c r="H1" s="79" t="s">
        <v>20</v>
      </c>
      <c r="I1" s="79" t="s">
        <v>183</v>
      </c>
      <c r="J1" s="79" t="s">
        <v>22</v>
      </c>
      <c r="K1" s="79" t="s">
        <v>56</v>
      </c>
      <c r="L1" s="79" t="s">
        <v>55</v>
      </c>
      <c r="M1" s="79" t="s">
        <v>187</v>
      </c>
      <c r="N1" s="79" t="s">
        <v>184</v>
      </c>
      <c r="O1" s="79" t="s">
        <v>189</v>
      </c>
      <c r="P1" s="79" t="s">
        <v>24</v>
      </c>
      <c r="Q1" s="79" t="s">
        <v>262</v>
      </c>
      <c r="R1" s="79" t="s">
        <v>276</v>
      </c>
      <c r="S1" s="79" t="s">
        <v>137</v>
      </c>
      <c r="T1" s="79" t="s">
        <v>136</v>
      </c>
      <c r="U1" t="s">
        <v>139</v>
      </c>
      <c r="V1" t="s">
        <v>140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1328</v>
      </c>
      <c r="F2" s="10"/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4137.2758620689656</v>
      </c>
      <c r="J2" s="19">
        <f>AVERAGEIFS(DropAnalityka[Energy Drop],DropAnalityka[Location],LocFeatures[[#This Row],[Location]],DropAnalityka[LVL],LocFeatures[[#This Row],[LVL]],DropAnalityka[Stage],LocFeatures[[#This Row],[Stage]])</f>
        <v>0.82758620689655171</v>
      </c>
      <c r="K2" s="10">
        <f>4*LocFeatures[[#This Row],[XP Gain per member]]</f>
        <v>5312</v>
      </c>
      <c r="L2">
        <f>3*LocFeatures[[#This Row],[XP Gain per member]]</f>
        <v>3984</v>
      </c>
      <c r="M2" s="50">
        <f>AVERAGEIFS(DropAnalityka[Exp Gain],DropAnalityka[Location],LocFeatures[[#This Row],[Location]],DropAnalityka[LVL],LocFeatures[[#This Row],[LVL]],DropAnalityka[Stage],LocFeatures[[#This Row],[Stage]])</f>
        <v>331.0344827586207</v>
      </c>
      <c r="N2" s="50">
        <f>LocFeatures[[#This Row],[Drop worth gain]]/(LocFeatures[[#This Row],[E. Cost]]-LocFeatures[[#This Row],[Energy gain]])</f>
        <v>1304.141304347826</v>
      </c>
      <c r="O2" s="50">
        <f>LocFeatures[[#This Row],[XP Train Gain]]/(LocFeatures[[#This Row],[E. Cost]]-LocFeatures[[#This Row],[Energy gain]])</f>
        <v>1255.8260869565217</v>
      </c>
      <c r="P2" s="50">
        <f>(LocFeatures[[#This Row],[XP Train Gain]]+LocFeatures[[#This Row],[XP drop]])/(LocFeatures[[#This Row],[E. Cost]]-LocFeatures[[#This Row],[Energy gain]])</f>
        <v>1360.1739130434783</v>
      </c>
      <c r="Q2" s="47">
        <f>COUNTIFS(DropAnalityka[Location],LocFeatures[[#This Row],[Location]],DropAnalityka[LVL],LocFeatures[[#This Row],[LVL]],DropAnalityka[Stage],LocFeatures[[#This Row],[Stage]])</f>
        <v>29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4973.3004025764894</v>
      </c>
    </row>
    <row r="3" spans="1:22">
      <c r="A3" s="10" t="s">
        <v>338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263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1056.3255813953488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1521.9275362318842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179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947.822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193.43306122448979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234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305</v>
      </c>
      <c r="B12" t="s">
        <v>32</v>
      </c>
      <c r="C12">
        <v>5</v>
      </c>
      <c r="D12">
        <v>5</v>
      </c>
      <c r="E12">
        <f>2400*3/4</f>
        <v>1800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2984.3846153846152</v>
      </c>
      <c r="J12" s="19">
        <f>AVERAGEIFS(DropAnalityka[Energy Drop],DropAnalityka[Location],LocFeatures[[#This Row],[Location]],DropAnalityka[LVL],LocFeatures[[#This Row],[LVL]],DropAnalityka[Stage],LocFeatures[[#This Row],[Stage]])</f>
        <v>0.92307692307692313</v>
      </c>
      <c r="K12">
        <f>4*LocFeatures[[#This Row],[XP Gain per member]]</f>
        <v>7200</v>
      </c>
      <c r="L12">
        <f>3*LocFeatures[[#This Row],[XP Gain per member]]</f>
        <v>5400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732.01886792452831</v>
      </c>
      <c r="O12" s="50">
        <f>LocFeatures[[#This Row],[XP Train Gain]]/(LocFeatures[[#This Row],[E. Cost]]-LocFeatures[[#This Row],[Energy gain]])</f>
        <v>1324.5283018867926</v>
      </c>
      <c r="P12" s="50">
        <f>(LocFeatures[[#This Row],[XP Train Gain]]+LocFeatures[[#This Row],[XP drop]])/(LocFeatures[[#This Row],[E. Cost]]-LocFeatures[[#This Row],[Energy gain]])</f>
        <v>1324.5283018867926</v>
      </c>
      <c r="Q12" s="43">
        <f>COUNTIFS(DropAnalityka[Location],LocFeatures[[#This Row],[Location]],DropAnalityka[LVL],LocFeatures[[#This Row],[LVL]],DropAnalityka[Stage],LocFeatures[[#This Row],[Stage]])</f>
        <v>26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3813.3924528301886</v>
      </c>
    </row>
    <row r="13" spans="1:22">
      <c r="A13" s="10" t="s">
        <v>179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1011.9615384615385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1595.3205741626793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263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422.64150943396226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1186.6385542168675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304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0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1125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214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1956.5768656716416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623.81930455635484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309.67741935483872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398.14285714285717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281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118.51851851851852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320.94186046511629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214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128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21.05263157894737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I29" s="43"/>
      <c r="M29" s="43"/>
      <c r="O29" s="48"/>
      <c r="Q29" s="43"/>
    </row>
    <row r="30" spans="1:22">
      <c r="I30" s="43"/>
      <c r="M30" s="43"/>
      <c r="O30" s="48"/>
      <c r="Q30" s="43"/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W42"/>
  <sheetViews>
    <sheetView zoomScaleNormal="100" workbookViewId="0">
      <selection activeCell="L20" sqref="L20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288</v>
      </c>
    </row>
    <row r="2" spans="1:23">
      <c r="R2" s="196" t="s">
        <v>292</v>
      </c>
      <c r="S2" s="196"/>
      <c r="T2" s="196"/>
      <c r="U2" s="196"/>
      <c r="V2" s="196"/>
      <c r="W2" s="196"/>
    </row>
    <row r="3" spans="1:23" ht="15" thickBot="1">
      <c r="B3" s="11" t="s">
        <v>69</v>
      </c>
      <c r="G3" s="11" t="s">
        <v>278</v>
      </c>
      <c r="H3" s="11" t="s">
        <v>149</v>
      </c>
      <c r="Q3" s="6" t="s">
        <v>33</v>
      </c>
      <c r="R3" s="127" t="s">
        <v>293</v>
      </c>
      <c r="S3" s="128" t="s">
        <v>294</v>
      </c>
      <c r="T3" s="128" t="s">
        <v>295</v>
      </c>
      <c r="U3" s="128" t="s">
        <v>296</v>
      </c>
      <c r="V3" s="128" t="s">
        <v>297</v>
      </c>
      <c r="W3" s="129" t="s">
        <v>298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133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84">
        <f>GETPIVOTDATA("Quality/Quantity",$G$3,"Stage",4,"Grade","high")/GETPIVOTDATA("LVL",$G$15,"Stage",4)</f>
        <v>0</v>
      </c>
      <c r="S4" s="82">
        <f>GETPIVOTDATA("Quality/Quantity",$G$3,"Stage",5,"Grade","high")/GETPIVOTDATA("LVL",$G$15,"Stage",5)</f>
        <v>0</v>
      </c>
      <c r="T4" s="82">
        <f>GETPIVOTDATA("Quality/Quantity",$G$3,"Stage",7,"Grade","high")/GETPIVOTDATA("LVL",$G$15,"Stage",7)</f>
        <v>0.13432835820895522</v>
      </c>
      <c r="U4" s="82">
        <f>GETPIVOTDATA("Quality/Quantity",$G$3,"Stage",8,"Grade","high")/GETPIVOTDATA("LVL",$G$15,"Stage",8)</f>
        <v>0.21875</v>
      </c>
      <c r="V4" s="82">
        <f>GETPIVOTDATA("Quality/Quantity",$G$3,"Stage",9,"Grade","high")/GETPIVOTDATA("LVL",$G$15,"Stage",9)</f>
        <v>0.26666666666666666</v>
      </c>
      <c r="W4" s="83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1511.6277372262773</v>
      </c>
      <c r="C5" s="1">
        <v>1101.474074074074</v>
      </c>
      <c r="D5" s="15">
        <v>0.86861313868613144</v>
      </c>
      <c r="E5" s="43">
        <v>38</v>
      </c>
      <c r="G5" s="12" t="s">
        <v>290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84">
        <f>GETPIVOTDATA("Quality/Quantity",$G$3,"Stage",4,"Grade","low")/GETPIVOTDATA("LVL",$G$15,"Stage",4)</f>
        <v>0.5714285714285714</v>
      </c>
      <c r="S5" s="82">
        <f>GETPIVOTDATA("Quality/Quantity",$G$3,"Stage",5,"Grade","low")/GETPIVOTDATA("LVL",$G$15,"Stage",5)</f>
        <v>1.2</v>
      </c>
      <c r="T5" s="82">
        <f>GETPIVOTDATA("Quality/Quantity",$G$3,"Stage",7,"Grade","low")/GETPIVOTDATA("LVL",$G$15,"Stage",7)</f>
        <v>1.4179104477611941</v>
      </c>
      <c r="U5" s="82">
        <f>GETPIVOTDATA("Quality/Quantity",$G$3,"Stage",8,"Grade","low")/GETPIVOTDATA("LVL",$G$15,"Stage",8)</f>
        <v>1.34375</v>
      </c>
      <c r="V5" s="82">
        <f>GETPIVOTDATA("Quality/Quantity",$G$3,"Stage",9,"Grade","low")/GETPIVOTDATA("LVL",$G$15,"Stage",9)</f>
        <v>1.1166666666666667</v>
      </c>
      <c r="W5" s="83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1620.421052631579</v>
      </c>
      <c r="C6" s="1">
        <v>1848.9166666666667</v>
      </c>
      <c r="D6" s="15">
        <v>0.89473684210526316</v>
      </c>
      <c r="E6" s="43">
        <v>8</v>
      </c>
      <c r="G6" s="12" t="s">
        <v>289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84">
        <f>GETPIVOTDATA("Quality/Quantity",$G$3,"Stage",4,"Grade","mid")/GETPIVOTDATA("LVL",$G$15,"Stage",4)</f>
        <v>0.14285714285714285</v>
      </c>
      <c r="S6" s="82">
        <f>GETPIVOTDATA("Quality/Quantity",$G$3,"Stage",5,"Grade","mid")/GETPIVOTDATA("LVL",$G$15,"Stage",5)</f>
        <v>0.5</v>
      </c>
      <c r="T6" s="82">
        <f>GETPIVOTDATA("Quality/Quantity",$G$3,"Stage",7,"Grade","mid")/GETPIVOTDATA("LVL",$G$15,"Stage",7)</f>
        <v>0.55223880597014929</v>
      </c>
      <c r="U6" s="82">
        <f>GETPIVOTDATA("Quality/Quantity",$G$3,"Stage",8,"Grade","mid")/GETPIVOTDATA("LVL",$G$15,"Stage",8)</f>
        <v>0.21875</v>
      </c>
      <c r="V6" s="82">
        <f>GETPIVOTDATA("Quality/Quantity",$G$3,"Stage",9,"Grade","mid")/GETPIVOTDATA("LVL",$G$15,"Stage",9)</f>
        <v>0.55833333333333335</v>
      </c>
      <c r="W6" s="83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5">
        <v>1.1111111111111112</v>
      </c>
      <c r="E7" s="43"/>
      <c r="G7" s="12" t="s">
        <v>311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1663.8965517241379</v>
      </c>
      <c r="C8" s="1">
        <v>1804.7407407407406</v>
      </c>
      <c r="D8" s="15">
        <v>0.82758620689655171</v>
      </c>
      <c r="E8" s="43">
        <v>8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5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5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5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5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5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5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5">
        <v>0.79069767441860461</v>
      </c>
      <c r="E15" s="43">
        <v>12</v>
      </c>
      <c r="G15" s="11" t="s">
        <v>279</v>
      </c>
      <c r="H15" s="11" t="s">
        <v>149</v>
      </c>
    </row>
    <row r="16" spans="1:23">
      <c r="A16" s="14">
        <v>2</v>
      </c>
      <c r="B16" s="1">
        <v>1387</v>
      </c>
      <c r="C16" s="1">
        <v>2080</v>
      </c>
      <c r="D16" s="15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5">
        <v>0.94252873563218387</v>
      </c>
      <c r="E17" s="43">
        <v>25</v>
      </c>
      <c r="G17" s="12" t="s">
        <v>180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5">
        <v>0.87654320987654322</v>
      </c>
      <c r="E18" s="43">
        <v>26</v>
      </c>
      <c r="G18" s="12" t="s">
        <v>146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5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5">
        <v>1</v>
      </c>
      <c r="E20" s="43"/>
      <c r="G20" s="12" t="s">
        <v>214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5">
        <v>1</v>
      </c>
      <c r="E21" s="43"/>
      <c r="G21" s="12" t="s">
        <v>281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5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5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5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5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5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5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5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5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5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5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5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5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5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5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5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5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5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5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5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5">
        <v>0.82926829268292679</v>
      </c>
      <c r="E41" s="43">
        <v>14</v>
      </c>
    </row>
    <row r="42" spans="1:5">
      <c r="A42" s="12" t="s">
        <v>67</v>
      </c>
      <c r="B42" s="1">
        <v>1595.0027855153203</v>
      </c>
      <c r="C42" s="1">
        <v>936.48523206751054</v>
      </c>
      <c r="D42" s="15">
        <v>0.871866295264624</v>
      </c>
      <c r="E42" s="43">
        <v>276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AN45"/>
  <sheetViews>
    <sheetView zoomScale="85" zoomScaleNormal="85" workbookViewId="0">
      <selection activeCell="K21" sqref="K21"/>
    </sheetView>
  </sheetViews>
  <sheetFormatPr defaultRowHeight="14.25"/>
  <cols>
    <col min="1" max="1" width="12.375" customWidth="1"/>
    <col min="2" max="2" width="15.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4" width="10.875" customWidth="1"/>
  </cols>
  <sheetData>
    <row r="1" spans="1:40" ht="43.5" thickBot="1">
      <c r="A1" s="146" t="s">
        <v>119</v>
      </c>
      <c r="B1" s="147" t="s">
        <v>118</v>
      </c>
      <c r="C1" s="148" t="s">
        <v>319</v>
      </c>
      <c r="D1" s="148" t="s">
        <v>320</v>
      </c>
      <c r="E1" s="148" t="s">
        <v>321</v>
      </c>
      <c r="F1" s="147" t="s">
        <v>117</v>
      </c>
      <c r="G1" s="147" t="s">
        <v>116</v>
      </c>
      <c r="H1" s="147" t="s">
        <v>115</v>
      </c>
      <c r="I1" s="147" t="s">
        <v>114</v>
      </c>
      <c r="J1" s="147" t="s">
        <v>113</v>
      </c>
      <c r="K1" s="147" t="s">
        <v>112</v>
      </c>
      <c r="L1" s="147" t="s">
        <v>111</v>
      </c>
      <c r="M1" s="149" t="s">
        <v>110</v>
      </c>
      <c r="N1" s="147" t="s">
        <v>109</v>
      </c>
      <c r="O1" s="147" t="s">
        <v>108</v>
      </c>
      <c r="P1" s="147" t="s">
        <v>107</v>
      </c>
      <c r="Q1" s="147" t="s">
        <v>106</v>
      </c>
      <c r="R1" s="148" t="s">
        <v>322</v>
      </c>
      <c r="S1" s="147" t="s">
        <v>105</v>
      </c>
      <c r="T1" s="150" t="s">
        <v>104</v>
      </c>
      <c r="U1" s="149" t="s">
        <v>103</v>
      </c>
      <c r="V1" s="35"/>
      <c r="W1" s="35"/>
      <c r="X1" s="143" t="s">
        <v>316</v>
      </c>
      <c r="Y1" s="143" t="s">
        <v>313</v>
      </c>
      <c r="Z1" s="143" t="s">
        <v>314</v>
      </c>
      <c r="AA1" s="143" t="s">
        <v>315</v>
      </c>
      <c r="AB1" s="153" t="s">
        <v>362</v>
      </c>
      <c r="AC1" s="35"/>
      <c r="AD1" s="35"/>
      <c r="AE1" s="35" t="s">
        <v>5</v>
      </c>
      <c r="AF1" t="s">
        <v>102</v>
      </c>
      <c r="AG1" t="s">
        <v>101</v>
      </c>
      <c r="AH1" t="s">
        <v>84</v>
      </c>
      <c r="AJ1" s="143" t="s">
        <v>209</v>
      </c>
      <c r="AK1" s="143" t="s">
        <v>5</v>
      </c>
      <c r="AL1" t="s">
        <v>102</v>
      </c>
      <c r="AM1" t="s">
        <v>101</v>
      </c>
      <c r="AN1" t="s">
        <v>84</v>
      </c>
    </row>
    <row r="2" spans="1:40" ht="15" thickBot="1">
      <c r="A2" s="144" t="s">
        <v>100</v>
      </c>
      <c r="B2" s="21" t="s">
        <v>99</v>
      </c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 t="shared" ref="R2:R8" si="1">MINA(Q2+M2*$AN$2+0.12*E2+J2, 1)</f>
        <v>0.15</v>
      </c>
      <c r="S2" s="37">
        <f t="shared" ref="S2:S8" si="2">R2*P2+(1-R2)*O2</f>
        <v>2257.5</v>
      </c>
      <c r="T2" s="151">
        <v>2257.5</v>
      </c>
      <c r="U2" s="152">
        <f>S2/T2-1</f>
        <v>0</v>
      </c>
      <c r="V2" s="18"/>
      <c r="W2" s="18"/>
      <c r="X2" s="18" t="s">
        <v>88</v>
      </c>
      <c r="Y2" s="18">
        <v>0.35</v>
      </c>
      <c r="Z2" s="18"/>
      <c r="AA2" s="18"/>
      <c r="AB2" s="18"/>
      <c r="AC2" s="18"/>
      <c r="AD2" s="18"/>
      <c r="AF2" s="15">
        <f>AL2</f>
        <v>0.32</v>
      </c>
      <c r="AG2" s="15">
        <f>AM2</f>
        <v>0.42</v>
      </c>
      <c r="AH2" s="15">
        <f>AN2</f>
        <v>0.31</v>
      </c>
      <c r="AJ2" t="s">
        <v>27</v>
      </c>
      <c r="AK2">
        <v>12</v>
      </c>
      <c r="AL2" s="15">
        <f>(AF10+AF11*$AK2)/100</f>
        <v>0.32</v>
      </c>
      <c r="AM2" s="15">
        <f>(AG10+AG11*$AK2)/100</f>
        <v>0.42</v>
      </c>
      <c r="AN2" s="15">
        <f>(AH10+AH11*$AK2)/100</f>
        <v>0.31</v>
      </c>
    </row>
    <row r="3" spans="1:40" ht="15" thickBot="1">
      <c r="A3" s="144" t="s">
        <v>98</v>
      </c>
      <c r="B3" s="21" t="s">
        <v>361</v>
      </c>
      <c r="C3" s="21"/>
      <c r="D3" s="21"/>
      <c r="E3" s="21"/>
      <c r="F3" s="20">
        <f>$F$2+H3+K3*$AF$2+C3*0.35</f>
        <v>2.0500000000000003</v>
      </c>
      <c r="G3" s="20">
        <f>$G$2+I3+L3*$AG$2+D3*0.4</f>
        <v>1.53</v>
      </c>
      <c r="H3" s="20">
        <f>16%+25%</f>
        <v>0.41000000000000003</v>
      </c>
      <c r="I3" s="20">
        <v>0.03</v>
      </c>
      <c r="J3" s="20">
        <v>0.23</v>
      </c>
      <c r="K3" s="22">
        <v>2</v>
      </c>
      <c r="L3" s="22"/>
      <c r="M3" s="22"/>
      <c r="N3" s="37">
        <f>N$2*$F3</f>
        <v>1508.8000000000002</v>
      </c>
      <c r="O3" s="37">
        <f t="shared" ref="O3:O19" si="3">O$2*$F3</f>
        <v>4305.0000000000009</v>
      </c>
      <c r="P3" s="37">
        <f t="shared" ref="P3" si="4">O3*G3</f>
        <v>6586.6500000000015</v>
      </c>
      <c r="Q3" s="20">
        <v>0.15</v>
      </c>
      <c r="R3" s="20">
        <f t="shared" ref="R3" si="5">MINA(Q3+M3*$AN$2+0.12*E3+J3, 1)</f>
        <v>0.38</v>
      </c>
      <c r="S3" s="37">
        <f t="shared" ref="S3" si="6">R3*P3+(1-R3)*O3</f>
        <v>5172.027000000001</v>
      </c>
      <c r="T3" s="151">
        <v>5172.027000000001</v>
      </c>
      <c r="U3" s="152">
        <f t="shared" ref="U3" si="7">S3/T3-1</f>
        <v>0</v>
      </c>
      <c r="V3" s="18"/>
      <c r="W3" s="18"/>
      <c r="X3" s="18" t="s">
        <v>86</v>
      </c>
      <c r="Y3" s="18"/>
      <c r="Z3" s="18"/>
      <c r="AA3" s="18">
        <v>0.12</v>
      </c>
      <c r="AB3" s="18"/>
      <c r="AC3" s="18"/>
      <c r="AD3" s="18"/>
      <c r="AF3" s="15"/>
      <c r="AG3" s="15"/>
      <c r="AJ3" t="s">
        <v>28</v>
      </c>
      <c r="AK3">
        <v>12</v>
      </c>
      <c r="AL3" s="15">
        <f>(AF13+AF14*$AK3)/100</f>
        <v>0.35</v>
      </c>
      <c r="AM3" s="15">
        <f>(AG13+AG14*$AK3)/100</f>
        <v>0.47960000000000003</v>
      </c>
      <c r="AN3" s="15">
        <f>(AH13+AH14*$AK3)/100</f>
        <v>0.35</v>
      </c>
    </row>
    <row r="4" spans="1:40" ht="15" thickBot="1">
      <c r="A4" s="144" t="s">
        <v>98</v>
      </c>
      <c r="B4" s="21" t="s">
        <v>90</v>
      </c>
      <c r="C4" s="21"/>
      <c r="D4" s="21"/>
      <c r="E4" s="21"/>
      <c r="F4" s="20">
        <f>$F$2+H4+K4*$AF$2+C4*0.35</f>
        <v>2.37</v>
      </c>
      <c r="G4" s="20">
        <f>$G$2+I4+L4*$AG$2+D4*0.4</f>
        <v>1.53</v>
      </c>
      <c r="H4" s="20">
        <f>16%+25%</f>
        <v>0.41000000000000003</v>
      </c>
      <c r="I4" s="20">
        <v>0.03</v>
      </c>
      <c r="J4" s="20">
        <v>0.23</v>
      </c>
      <c r="K4" s="22">
        <v>3</v>
      </c>
      <c r="L4" s="22"/>
      <c r="M4" s="22"/>
      <c r="N4" s="37">
        <f>N$2*$F4</f>
        <v>1744.3200000000002</v>
      </c>
      <c r="O4" s="37">
        <f t="shared" si="3"/>
        <v>4977</v>
      </c>
      <c r="P4" s="37">
        <f t="shared" si="0"/>
        <v>7614.81</v>
      </c>
      <c r="Q4" s="20">
        <v>0.15</v>
      </c>
      <c r="R4" s="20">
        <f t="shared" si="1"/>
        <v>0.38</v>
      </c>
      <c r="S4" s="37">
        <f t="shared" si="2"/>
        <v>5979.3678</v>
      </c>
      <c r="T4" s="151">
        <v>5979.3678</v>
      </c>
      <c r="U4" s="152">
        <f t="shared" ref="U4:U17" si="8">S4/T4-1</f>
        <v>0</v>
      </c>
      <c r="V4" s="18"/>
      <c r="W4" s="18"/>
      <c r="X4" s="18" t="s">
        <v>87</v>
      </c>
      <c r="Y4" s="18"/>
      <c r="Z4" s="18">
        <v>0.4</v>
      </c>
      <c r="AA4" s="18"/>
      <c r="AB4" s="18"/>
      <c r="AC4" s="18"/>
      <c r="AD4" s="18"/>
      <c r="AF4" s="1">
        <v>4</v>
      </c>
      <c r="AG4" s="1">
        <v>4</v>
      </c>
      <c r="AH4" s="1">
        <v>3</v>
      </c>
      <c r="AJ4" t="s">
        <v>29</v>
      </c>
      <c r="AK4" s="50">
        <v>12</v>
      </c>
      <c r="AL4" s="15">
        <f>(AF16+AF17*$AK4)/100</f>
        <v>0.47</v>
      </c>
      <c r="AM4" s="15">
        <f>(AG16+AG17*$AK4)/100</f>
        <v>0.59</v>
      </c>
      <c r="AN4" s="15">
        <f>(AH16+AH17*$AK4)/100</f>
        <v>0.43</v>
      </c>
    </row>
    <row r="5" spans="1:40" ht="15" thickBot="1">
      <c r="A5" s="144" t="s">
        <v>98</v>
      </c>
      <c r="B5" s="21" t="s">
        <v>89</v>
      </c>
      <c r="C5" s="21"/>
      <c r="D5" s="21"/>
      <c r="E5" s="21"/>
      <c r="F5" s="20">
        <f>$F$2+H5+K5*$AF$2+IF(OR(A5 = "Fatal", A5 = "Fatal+Blade"), 0.35,0)</f>
        <v>2.0500000000000003</v>
      </c>
      <c r="G5" s="20">
        <f>$G$2+I5+L5*$AG$2+IF(OR(A5 = "Rage", A5 = "Rage+Blade"), 0.4, 0)</f>
        <v>1.95</v>
      </c>
      <c r="H5" s="20">
        <f>H4</f>
        <v>0.41000000000000003</v>
      </c>
      <c r="I5" s="20">
        <f t="shared" ref="I5:J6" si="9">I4</f>
        <v>0.03</v>
      </c>
      <c r="J5" s="20">
        <f>J4</f>
        <v>0.23</v>
      </c>
      <c r="K5" s="22">
        <v>2</v>
      </c>
      <c r="L5" s="22">
        <v>1</v>
      </c>
      <c r="M5" s="22"/>
      <c r="N5" s="37">
        <f t="shared" ref="N5:N19" si="10">N$2*$F5</f>
        <v>1508.8000000000002</v>
      </c>
      <c r="O5" s="37">
        <f t="shared" si="3"/>
        <v>4305.0000000000009</v>
      </c>
      <c r="P5" s="37">
        <f t="shared" si="0"/>
        <v>8394.7500000000018</v>
      </c>
      <c r="Q5" s="20">
        <f>Q4</f>
        <v>0.15</v>
      </c>
      <c r="R5" s="20">
        <f t="shared" si="1"/>
        <v>0.38</v>
      </c>
      <c r="S5" s="37">
        <f t="shared" si="2"/>
        <v>5859.1050000000014</v>
      </c>
      <c r="T5" s="151">
        <v>5859.1050000000014</v>
      </c>
      <c r="U5" s="152">
        <f t="shared" si="8"/>
        <v>0</v>
      </c>
      <c r="V5" s="18"/>
      <c r="W5" s="18"/>
      <c r="X5" s="145" t="s">
        <v>362</v>
      </c>
      <c r="Y5" s="145"/>
      <c r="Z5" s="145"/>
      <c r="AA5" s="145"/>
      <c r="AB5" s="50">
        <v>22</v>
      </c>
      <c r="AC5" s="18"/>
      <c r="AD5" s="18"/>
      <c r="AF5" s="1">
        <v>2</v>
      </c>
      <c r="AG5" s="1">
        <v>2.25</v>
      </c>
      <c r="AH5" s="1">
        <v>2</v>
      </c>
    </row>
    <row r="6" spans="1:40" ht="15" thickBot="1">
      <c r="A6" s="144" t="s">
        <v>98</v>
      </c>
      <c r="B6" s="21" t="s">
        <v>85</v>
      </c>
      <c r="C6" s="21"/>
      <c r="D6" s="21"/>
      <c r="E6" s="21"/>
      <c r="F6" s="20">
        <f>$F$2+H6+K6*$AF$2+IF(OR(A6 = "Fatal", A6 = "Fatal+Blade"), 0.35,0)</f>
        <v>2.0500000000000003</v>
      </c>
      <c r="G6" s="20">
        <f>$G$2+I6+L6*$AG$2+IF(OR(A6 = "Rage", A6 = "Rage+Blade"), 0.4, 0)</f>
        <v>1.53</v>
      </c>
      <c r="H6" s="20">
        <f>H5</f>
        <v>0.41000000000000003</v>
      </c>
      <c r="I6" s="20">
        <f t="shared" si="9"/>
        <v>0.03</v>
      </c>
      <c r="J6" s="20">
        <f t="shared" si="9"/>
        <v>0.23</v>
      </c>
      <c r="K6" s="22">
        <v>2</v>
      </c>
      <c r="L6" s="22"/>
      <c r="M6" s="22">
        <v>1</v>
      </c>
      <c r="N6" s="37">
        <f t="shared" si="10"/>
        <v>1508.8000000000002</v>
      </c>
      <c r="O6" s="37">
        <f t="shared" si="3"/>
        <v>4305.0000000000009</v>
      </c>
      <c r="P6" s="37">
        <f t="shared" si="0"/>
        <v>6586.6500000000015</v>
      </c>
      <c r="Q6" s="20">
        <f>Q5</f>
        <v>0.15</v>
      </c>
      <c r="R6" s="20">
        <f t="shared" si="1"/>
        <v>0.69</v>
      </c>
      <c r="S6" s="37">
        <f t="shared" si="2"/>
        <v>5879.3385000000007</v>
      </c>
      <c r="T6" s="151">
        <v>5879.3385000000007</v>
      </c>
      <c r="U6" s="152">
        <f t="shared" si="8"/>
        <v>0</v>
      </c>
      <c r="V6" s="18"/>
      <c r="W6" s="18"/>
      <c r="X6" s="18"/>
      <c r="Y6" s="18"/>
      <c r="Z6" s="18"/>
      <c r="AA6" s="18"/>
      <c r="AB6" s="18"/>
      <c r="AC6" s="18"/>
      <c r="AD6" t="s">
        <v>209</v>
      </c>
      <c r="AE6" t="s">
        <v>200</v>
      </c>
      <c r="AF6" t="s">
        <v>109</v>
      </c>
      <c r="AG6" t="s">
        <v>83</v>
      </c>
      <c r="AH6" t="s">
        <v>84</v>
      </c>
    </row>
    <row r="7" spans="1:40" ht="15" thickBot="1">
      <c r="A7" s="144" t="s">
        <v>88</v>
      </c>
      <c r="B7" s="21" t="s">
        <v>90</v>
      </c>
      <c r="C7" s="21">
        <v>1</v>
      </c>
      <c r="D7" s="21"/>
      <c r="E7" s="21"/>
      <c r="F7" s="20">
        <f t="shared" ref="F7:F8" si="11">$F$2+H7+K7*$AF$2+IF(OR(A7 = "Fatal", A7 = "Fatal+Blade"), 0.35,0)</f>
        <v>2.72</v>
      </c>
      <c r="G7" s="20">
        <f t="shared" ref="G7:G8" si="12">$G$2+I7+L7*$AG$2+IF(OR(A7 = "Rage", A7 = "Rage+Blade"), 0.4, 0)</f>
        <v>1.53</v>
      </c>
      <c r="H7" s="20">
        <f t="shared" ref="H7:J8" si="13">H6</f>
        <v>0.41000000000000003</v>
      </c>
      <c r="I7" s="20">
        <f t="shared" si="13"/>
        <v>0.03</v>
      </c>
      <c r="J7" s="20">
        <f t="shared" si="13"/>
        <v>0.23</v>
      </c>
      <c r="K7" s="22">
        <v>3</v>
      </c>
      <c r="L7" s="22"/>
      <c r="M7" s="22"/>
      <c r="N7" s="37">
        <f t="shared" si="10"/>
        <v>2001.92</v>
      </c>
      <c r="O7" s="37">
        <f t="shared" si="3"/>
        <v>5712</v>
      </c>
      <c r="P7" s="37">
        <f t="shared" si="0"/>
        <v>8739.36</v>
      </c>
      <c r="Q7" s="20">
        <f>Q5</f>
        <v>0.15</v>
      </c>
      <c r="R7" s="20">
        <f t="shared" si="1"/>
        <v>0.38</v>
      </c>
      <c r="S7" s="37">
        <f t="shared" si="2"/>
        <v>6862.3968000000004</v>
      </c>
      <c r="T7" s="151">
        <v>6862.3968000000004</v>
      </c>
      <c r="U7" s="152">
        <f t="shared" si="8"/>
        <v>0</v>
      </c>
      <c r="V7" s="18"/>
      <c r="W7" s="18"/>
      <c r="X7" s="18"/>
      <c r="Y7" s="18"/>
      <c r="Z7" s="18"/>
      <c r="AA7" s="18"/>
      <c r="AB7" s="18"/>
      <c r="AD7" t="s">
        <v>26</v>
      </c>
      <c r="AE7" t="s">
        <v>317</v>
      </c>
      <c r="AF7" s="1">
        <v>4</v>
      </c>
      <c r="AG7" s="1">
        <v>4</v>
      </c>
      <c r="AH7" s="1">
        <v>3</v>
      </c>
    </row>
    <row r="8" spans="1:40" ht="15" thickBot="1">
      <c r="A8" s="144" t="s">
        <v>87</v>
      </c>
      <c r="B8" s="21" t="s">
        <v>90</v>
      </c>
      <c r="C8" s="21"/>
      <c r="D8" s="21">
        <v>1</v>
      </c>
      <c r="E8" s="21"/>
      <c r="F8" s="20">
        <f t="shared" si="11"/>
        <v>2.37</v>
      </c>
      <c r="G8" s="20">
        <f t="shared" si="12"/>
        <v>1.9300000000000002</v>
      </c>
      <c r="H8" s="20">
        <f t="shared" si="13"/>
        <v>0.41000000000000003</v>
      </c>
      <c r="I8" s="20">
        <f t="shared" si="13"/>
        <v>0.03</v>
      </c>
      <c r="J8" s="20">
        <f t="shared" si="13"/>
        <v>0.23</v>
      </c>
      <c r="K8" s="22">
        <v>3</v>
      </c>
      <c r="L8" s="22"/>
      <c r="M8" s="22"/>
      <c r="N8" s="37">
        <f t="shared" si="10"/>
        <v>1744.3200000000002</v>
      </c>
      <c r="O8" s="37">
        <f t="shared" si="3"/>
        <v>4977</v>
      </c>
      <c r="P8" s="37">
        <f t="shared" si="0"/>
        <v>9605.61</v>
      </c>
      <c r="Q8" s="20">
        <f t="shared" ref="Q8:Q19" si="14">Q7</f>
        <v>0.15</v>
      </c>
      <c r="R8" s="20">
        <f t="shared" si="1"/>
        <v>0.38</v>
      </c>
      <c r="S8" s="37">
        <f t="shared" si="2"/>
        <v>6735.8717999999999</v>
      </c>
      <c r="T8" s="151">
        <v>6735.8717999999999</v>
      </c>
      <c r="U8" s="152">
        <f t="shared" si="8"/>
        <v>0</v>
      </c>
      <c r="V8" s="18"/>
      <c r="W8" s="18"/>
      <c r="X8" s="18"/>
      <c r="Y8" s="18"/>
      <c r="Z8" t="s">
        <v>97</v>
      </c>
      <c r="AD8" t="s">
        <v>26</v>
      </c>
      <c r="AE8" t="s">
        <v>318</v>
      </c>
      <c r="AF8" s="1">
        <v>2</v>
      </c>
      <c r="AG8" s="1">
        <v>2.25</v>
      </c>
      <c r="AH8" s="1">
        <v>2</v>
      </c>
    </row>
    <row r="9" spans="1:40" ht="15.75" thickBot="1">
      <c r="A9" s="144" t="s">
        <v>92</v>
      </c>
      <c r="B9" s="21" t="s">
        <v>90</v>
      </c>
      <c r="C9" s="21"/>
      <c r="D9" s="21"/>
      <c r="E9" s="21">
        <v>3</v>
      </c>
      <c r="F9" s="20">
        <f t="shared" ref="F9:F17" si="15">$F$2+H9+K9*$AF$2+IF(OR(A9 = "Fatal", A9 = "Fatal+Blade"), 0.35,0)</f>
        <v>2.37</v>
      </c>
      <c r="G9" s="20">
        <f t="shared" ref="G9:G17" si="16">$G$2+I9+L9*$AG$2+IF(OR(A9 = "Rage", A9 = "Rage+Blade"), 0.4, 0)</f>
        <v>1.53</v>
      </c>
      <c r="H9" s="20">
        <f t="shared" ref="H9:H18" si="17">H8</f>
        <v>0.41000000000000003</v>
      </c>
      <c r="I9" s="20">
        <f t="shared" ref="I9:I18" si="18">I8</f>
        <v>0.03</v>
      </c>
      <c r="J9" s="20">
        <f t="shared" ref="J9:J18" si="19">J8</f>
        <v>0.23</v>
      </c>
      <c r="K9" s="22">
        <v>3</v>
      </c>
      <c r="L9" s="22"/>
      <c r="M9" s="22"/>
      <c r="N9" s="37">
        <f t="shared" si="10"/>
        <v>1744.3200000000002</v>
      </c>
      <c r="O9" s="37">
        <f t="shared" si="3"/>
        <v>4977</v>
      </c>
      <c r="P9" s="37">
        <f t="shared" si="0"/>
        <v>7614.81</v>
      </c>
      <c r="Q9" s="20">
        <f t="shared" si="14"/>
        <v>0.15</v>
      </c>
      <c r="R9" s="20">
        <f t="shared" ref="R9:R17" si="20">MINA(Q9+M9*$AN$2+0.12*E9+J9, 1)</f>
        <v>0.74</v>
      </c>
      <c r="S9" s="37">
        <f t="shared" ref="S9:S17" si="21">R9*P9+(1-R9)*O9</f>
        <v>6928.9794000000002</v>
      </c>
      <c r="T9" s="151">
        <v>6928.9794000000002</v>
      </c>
      <c r="U9" s="152">
        <f t="shared" si="8"/>
        <v>0</v>
      </c>
      <c r="V9" s="18"/>
      <c r="W9" s="18"/>
      <c r="X9" s="18" t="s">
        <v>121</v>
      </c>
      <c r="Y9" s="34" t="s">
        <v>96</v>
      </c>
      <c r="Z9" s="33" t="s">
        <v>95</v>
      </c>
      <c r="AA9" s="32" t="s">
        <v>94</v>
      </c>
      <c r="AB9" s="31" t="s">
        <v>93</v>
      </c>
    </row>
    <row r="10" spans="1:40" ht="15" thickBot="1">
      <c r="A10" s="144" t="s">
        <v>91</v>
      </c>
      <c r="B10" s="21" t="s">
        <v>90</v>
      </c>
      <c r="C10" s="21">
        <v>1</v>
      </c>
      <c r="D10" s="21"/>
      <c r="E10" s="21">
        <v>1</v>
      </c>
      <c r="F10" s="20">
        <f t="shared" si="15"/>
        <v>2.72</v>
      </c>
      <c r="G10" s="20">
        <f t="shared" si="16"/>
        <v>1.53</v>
      </c>
      <c r="H10" s="20">
        <f t="shared" si="17"/>
        <v>0.41000000000000003</v>
      </c>
      <c r="I10" s="20">
        <f t="shared" si="18"/>
        <v>0.03</v>
      </c>
      <c r="J10" s="20">
        <f t="shared" si="19"/>
        <v>0.23</v>
      </c>
      <c r="K10" s="22">
        <v>3</v>
      </c>
      <c r="L10" s="22"/>
      <c r="M10" s="22"/>
      <c r="N10" s="37">
        <f t="shared" si="10"/>
        <v>2001.92</v>
      </c>
      <c r="O10" s="37">
        <f t="shared" si="3"/>
        <v>5712</v>
      </c>
      <c r="P10" s="37">
        <f t="shared" si="0"/>
        <v>8739.36</v>
      </c>
      <c r="Q10" s="20">
        <f t="shared" si="14"/>
        <v>0.15</v>
      </c>
      <c r="R10" s="20">
        <f t="shared" si="20"/>
        <v>0.5</v>
      </c>
      <c r="S10" s="37">
        <f t="shared" si="21"/>
        <v>7225.68</v>
      </c>
      <c r="T10" s="151">
        <v>7225.68</v>
      </c>
      <c r="U10" s="152">
        <f t="shared" si="8"/>
        <v>0</v>
      </c>
      <c r="V10" s="18"/>
      <c r="W10" s="18"/>
      <c r="X10" s="18" t="s">
        <v>122</v>
      </c>
      <c r="Y10" s="30">
        <v>0.15</v>
      </c>
      <c r="Z10" s="29">
        <v>0.1</v>
      </c>
      <c r="AA10" s="28">
        <v>0.12</v>
      </c>
      <c r="AB10" s="27">
        <v>0.2</v>
      </c>
      <c r="AD10" t="s">
        <v>27</v>
      </c>
      <c r="AE10" t="s">
        <v>317</v>
      </c>
      <c r="AF10">
        <v>5</v>
      </c>
      <c r="AG10">
        <v>6</v>
      </c>
      <c r="AH10">
        <v>4</v>
      </c>
    </row>
    <row r="11" spans="1:40" ht="15" thickBot="1">
      <c r="A11" s="144" t="s">
        <v>120</v>
      </c>
      <c r="B11" s="21" t="s">
        <v>90</v>
      </c>
      <c r="C11" s="21"/>
      <c r="D11" s="21">
        <v>1</v>
      </c>
      <c r="E11" s="21">
        <v>1</v>
      </c>
      <c r="F11" s="20">
        <f t="shared" si="15"/>
        <v>2.37</v>
      </c>
      <c r="G11" s="20">
        <f t="shared" si="16"/>
        <v>1.9300000000000002</v>
      </c>
      <c r="H11" s="20">
        <f t="shared" si="17"/>
        <v>0.41000000000000003</v>
      </c>
      <c r="I11" s="20">
        <f t="shared" si="18"/>
        <v>0.03</v>
      </c>
      <c r="J11" s="20">
        <f t="shared" si="19"/>
        <v>0.23</v>
      </c>
      <c r="K11" s="22">
        <v>3</v>
      </c>
      <c r="L11" s="22"/>
      <c r="M11" s="22"/>
      <c r="N11" s="37">
        <f t="shared" si="10"/>
        <v>1744.3200000000002</v>
      </c>
      <c r="O11" s="37">
        <f t="shared" si="3"/>
        <v>4977</v>
      </c>
      <c r="P11" s="37">
        <f t="shared" si="0"/>
        <v>9605.61</v>
      </c>
      <c r="Q11" s="20">
        <f t="shared" si="14"/>
        <v>0.15</v>
      </c>
      <c r="R11" s="20">
        <f t="shared" si="20"/>
        <v>0.5</v>
      </c>
      <c r="S11" s="37">
        <f t="shared" si="21"/>
        <v>7291.3050000000003</v>
      </c>
      <c r="T11" s="151">
        <v>7291.3050000000003</v>
      </c>
      <c r="U11" s="152">
        <f t="shared" si="8"/>
        <v>0</v>
      </c>
      <c r="V11" s="18"/>
      <c r="W11" s="18"/>
      <c r="X11" s="18" t="s">
        <v>122</v>
      </c>
      <c r="Y11" s="30">
        <v>0.3</v>
      </c>
      <c r="Z11" s="29">
        <v>0.1</v>
      </c>
      <c r="AA11" s="28">
        <v>0.12</v>
      </c>
      <c r="AB11" s="27">
        <v>0.15</v>
      </c>
      <c r="AD11" t="s">
        <v>27</v>
      </c>
      <c r="AE11" t="s">
        <v>318</v>
      </c>
      <c r="AF11">
        <v>2.25</v>
      </c>
      <c r="AG11">
        <v>3</v>
      </c>
      <c r="AH11">
        <v>2.25</v>
      </c>
    </row>
    <row r="12" spans="1:40" ht="15" thickBot="1">
      <c r="A12" s="144" t="s">
        <v>92</v>
      </c>
      <c r="B12" s="21" t="s">
        <v>90</v>
      </c>
      <c r="C12" s="21"/>
      <c r="D12" s="21"/>
      <c r="E12" s="21">
        <v>3</v>
      </c>
      <c r="F12" s="20">
        <f t="shared" si="15"/>
        <v>2.0500000000000003</v>
      </c>
      <c r="G12" s="20">
        <f t="shared" si="16"/>
        <v>1.95</v>
      </c>
      <c r="H12" s="20">
        <f t="shared" si="17"/>
        <v>0.41000000000000003</v>
      </c>
      <c r="I12" s="20">
        <f t="shared" si="18"/>
        <v>0.03</v>
      </c>
      <c r="J12" s="20">
        <f t="shared" si="19"/>
        <v>0.23</v>
      </c>
      <c r="K12" s="22">
        <v>2</v>
      </c>
      <c r="L12" s="22">
        <v>1</v>
      </c>
      <c r="M12" s="22"/>
      <c r="N12" s="37">
        <f t="shared" si="10"/>
        <v>1508.8000000000002</v>
      </c>
      <c r="O12" s="37">
        <f t="shared" si="3"/>
        <v>4305.0000000000009</v>
      </c>
      <c r="P12" s="37">
        <f t="shared" si="0"/>
        <v>8394.7500000000018</v>
      </c>
      <c r="Q12" s="20">
        <f t="shared" si="14"/>
        <v>0.15</v>
      </c>
      <c r="R12" s="20">
        <f t="shared" si="20"/>
        <v>0.74</v>
      </c>
      <c r="S12" s="37">
        <f t="shared" si="21"/>
        <v>7331.4150000000018</v>
      </c>
      <c r="T12" s="151">
        <v>7331.4150000000018</v>
      </c>
      <c r="U12" s="152">
        <f t="shared" si="8"/>
        <v>0</v>
      </c>
      <c r="V12" s="18"/>
      <c r="W12" s="18"/>
      <c r="X12" s="18" t="s">
        <v>122</v>
      </c>
      <c r="Y12" s="30">
        <v>0.5</v>
      </c>
      <c r="Z12" s="29">
        <v>0.1</v>
      </c>
      <c r="AA12" s="28">
        <v>0.12</v>
      </c>
      <c r="AB12" s="27">
        <v>0.11</v>
      </c>
    </row>
    <row r="13" spans="1:40" ht="15" thickBot="1">
      <c r="A13" s="144" t="s">
        <v>91</v>
      </c>
      <c r="B13" s="21" t="s">
        <v>90</v>
      </c>
      <c r="C13" s="21">
        <v>1</v>
      </c>
      <c r="D13" s="21"/>
      <c r="E13" s="21">
        <v>1</v>
      </c>
      <c r="F13" s="20">
        <f t="shared" si="15"/>
        <v>2.4000000000000004</v>
      </c>
      <c r="G13" s="20">
        <f t="shared" si="16"/>
        <v>1.95</v>
      </c>
      <c r="H13" s="20">
        <f t="shared" si="17"/>
        <v>0.41000000000000003</v>
      </c>
      <c r="I13" s="20">
        <f t="shared" si="18"/>
        <v>0.03</v>
      </c>
      <c r="J13" s="20">
        <f t="shared" si="19"/>
        <v>0.23</v>
      </c>
      <c r="K13" s="22">
        <v>2</v>
      </c>
      <c r="L13" s="22">
        <v>1</v>
      </c>
      <c r="M13" s="22"/>
      <c r="N13" s="37">
        <f t="shared" si="10"/>
        <v>1766.4000000000003</v>
      </c>
      <c r="O13" s="37">
        <f t="shared" si="3"/>
        <v>5040.0000000000009</v>
      </c>
      <c r="P13" s="37">
        <f t="shared" si="0"/>
        <v>9828.0000000000018</v>
      </c>
      <c r="Q13" s="20">
        <f t="shared" si="14"/>
        <v>0.15</v>
      </c>
      <c r="R13" s="20">
        <f t="shared" si="20"/>
        <v>0.5</v>
      </c>
      <c r="S13" s="37">
        <f t="shared" si="21"/>
        <v>7434.0000000000018</v>
      </c>
      <c r="T13" s="151">
        <v>7434.0000000000018</v>
      </c>
      <c r="U13" s="152">
        <f t="shared" si="8"/>
        <v>0</v>
      </c>
      <c r="V13" s="18"/>
      <c r="W13" s="18"/>
      <c r="X13" s="18"/>
      <c r="Y13" s="30"/>
      <c r="Z13" s="29"/>
      <c r="AA13" s="28"/>
      <c r="AB13" s="27"/>
      <c r="AD13" t="s">
        <v>28</v>
      </c>
      <c r="AE13" t="s">
        <v>317</v>
      </c>
      <c r="AF13">
        <v>8</v>
      </c>
      <c r="AG13">
        <v>8</v>
      </c>
      <c r="AH13">
        <v>5</v>
      </c>
    </row>
    <row r="14" spans="1:40" ht="15" thickBot="1">
      <c r="A14" s="144" t="s">
        <v>120</v>
      </c>
      <c r="B14" s="21" t="s">
        <v>90</v>
      </c>
      <c r="C14" s="21"/>
      <c r="D14" s="21">
        <v>1</v>
      </c>
      <c r="E14" s="21">
        <v>1</v>
      </c>
      <c r="F14" s="20">
        <f t="shared" si="15"/>
        <v>2.0500000000000003</v>
      </c>
      <c r="G14" s="20">
        <f t="shared" si="16"/>
        <v>2.35</v>
      </c>
      <c r="H14" s="20">
        <f t="shared" si="17"/>
        <v>0.41000000000000003</v>
      </c>
      <c r="I14" s="20">
        <f t="shared" si="18"/>
        <v>0.03</v>
      </c>
      <c r="J14" s="20">
        <f t="shared" si="19"/>
        <v>0.23</v>
      </c>
      <c r="K14" s="22">
        <v>2</v>
      </c>
      <c r="L14" s="22">
        <v>1</v>
      </c>
      <c r="M14" s="22"/>
      <c r="N14" s="37">
        <f t="shared" si="10"/>
        <v>1508.8000000000002</v>
      </c>
      <c r="O14" s="37">
        <f t="shared" si="3"/>
        <v>4305.0000000000009</v>
      </c>
      <c r="P14" s="37">
        <f t="shared" si="0"/>
        <v>10116.750000000002</v>
      </c>
      <c r="Q14" s="20">
        <f t="shared" si="14"/>
        <v>0.15</v>
      </c>
      <c r="R14" s="20">
        <f t="shared" si="20"/>
        <v>0.5</v>
      </c>
      <c r="S14" s="37">
        <f t="shared" si="21"/>
        <v>7210.8750000000018</v>
      </c>
      <c r="T14" s="151">
        <v>7210.8750000000018</v>
      </c>
      <c r="U14" s="152">
        <f t="shared" si="8"/>
        <v>0</v>
      </c>
      <c r="V14" s="18"/>
      <c r="W14" s="18"/>
      <c r="X14" s="18"/>
      <c r="Y14" s="30"/>
      <c r="Z14" s="29"/>
      <c r="AA14" s="28"/>
      <c r="AB14" s="27"/>
      <c r="AD14" t="s">
        <v>28</v>
      </c>
      <c r="AE14" t="s">
        <v>318</v>
      </c>
      <c r="AF14">
        <v>2.25</v>
      </c>
      <c r="AG14">
        <v>3.33</v>
      </c>
      <c r="AH14">
        <v>2.5</v>
      </c>
    </row>
    <row r="15" spans="1:40" ht="15" thickBot="1">
      <c r="A15" s="144" t="s">
        <v>92</v>
      </c>
      <c r="B15" s="21" t="s">
        <v>90</v>
      </c>
      <c r="C15" s="21"/>
      <c r="D15" s="21"/>
      <c r="E15" s="21">
        <v>3</v>
      </c>
      <c r="F15" s="20">
        <f t="shared" si="15"/>
        <v>2.0500000000000003</v>
      </c>
      <c r="G15" s="20">
        <f t="shared" si="16"/>
        <v>1.53</v>
      </c>
      <c r="H15" s="20">
        <f t="shared" si="17"/>
        <v>0.41000000000000003</v>
      </c>
      <c r="I15" s="20">
        <f t="shared" si="18"/>
        <v>0.03</v>
      </c>
      <c r="J15" s="20">
        <f t="shared" si="19"/>
        <v>0.23</v>
      </c>
      <c r="K15" s="22">
        <v>2</v>
      </c>
      <c r="L15" s="22"/>
      <c r="M15" s="22">
        <v>1</v>
      </c>
      <c r="N15" s="37">
        <f t="shared" si="10"/>
        <v>1508.8000000000002</v>
      </c>
      <c r="O15" s="37">
        <f t="shared" si="3"/>
        <v>4305.0000000000009</v>
      </c>
      <c r="P15" s="37">
        <f t="shared" si="0"/>
        <v>6586.6500000000015</v>
      </c>
      <c r="Q15" s="20">
        <f t="shared" si="14"/>
        <v>0.15</v>
      </c>
      <c r="R15" s="20">
        <f t="shared" si="20"/>
        <v>1</v>
      </c>
      <c r="S15" s="37">
        <f t="shared" si="21"/>
        <v>6586.6500000000015</v>
      </c>
      <c r="T15" s="151">
        <v>6586.6500000000015</v>
      </c>
      <c r="U15" s="152">
        <f t="shared" si="8"/>
        <v>0</v>
      </c>
      <c r="V15" s="18"/>
      <c r="W15" s="18"/>
      <c r="X15" s="18"/>
      <c r="Y15" s="30"/>
      <c r="Z15" s="29"/>
      <c r="AA15" s="28"/>
      <c r="AB15" s="27"/>
    </row>
    <row r="16" spans="1:40" ht="15" thickBot="1">
      <c r="A16" s="144" t="s">
        <v>91</v>
      </c>
      <c r="B16" s="21" t="s">
        <v>90</v>
      </c>
      <c r="C16" s="21">
        <v>1</v>
      </c>
      <c r="D16" s="21"/>
      <c r="E16" s="21">
        <v>1</v>
      </c>
      <c r="F16" s="20">
        <f t="shared" si="15"/>
        <v>2.4000000000000004</v>
      </c>
      <c r="G16" s="20">
        <f t="shared" si="16"/>
        <v>1.53</v>
      </c>
      <c r="H16" s="20">
        <f t="shared" si="17"/>
        <v>0.41000000000000003</v>
      </c>
      <c r="I16" s="20">
        <f t="shared" si="18"/>
        <v>0.03</v>
      </c>
      <c r="J16" s="20">
        <f t="shared" si="19"/>
        <v>0.23</v>
      </c>
      <c r="K16" s="22">
        <v>2</v>
      </c>
      <c r="L16" s="22"/>
      <c r="M16" s="22">
        <v>1</v>
      </c>
      <c r="N16" s="37">
        <f t="shared" si="10"/>
        <v>1766.4000000000003</v>
      </c>
      <c r="O16" s="37">
        <f t="shared" si="3"/>
        <v>5040.0000000000009</v>
      </c>
      <c r="P16" s="37">
        <f t="shared" si="0"/>
        <v>7711.2000000000016</v>
      </c>
      <c r="Q16" s="20">
        <f t="shared" si="14"/>
        <v>0.15</v>
      </c>
      <c r="R16" s="20">
        <f t="shared" si="20"/>
        <v>0.80999999999999994</v>
      </c>
      <c r="S16" s="37">
        <f t="shared" si="21"/>
        <v>7203.6720000000014</v>
      </c>
      <c r="T16" s="151">
        <v>7203.6720000000014</v>
      </c>
      <c r="U16" s="152">
        <f t="shared" si="8"/>
        <v>0</v>
      </c>
      <c r="V16" s="18"/>
      <c r="W16" s="18"/>
      <c r="X16" s="18"/>
      <c r="Y16" s="30"/>
      <c r="Z16" s="29"/>
      <c r="AA16" s="28"/>
      <c r="AB16" s="27"/>
      <c r="AD16" t="s">
        <v>29</v>
      </c>
      <c r="AE16" t="s">
        <v>317</v>
      </c>
      <c r="AF16">
        <v>11</v>
      </c>
      <c r="AG16">
        <v>11</v>
      </c>
      <c r="AH16">
        <v>7</v>
      </c>
    </row>
    <row r="17" spans="1:34" ht="15" thickBot="1">
      <c r="A17" s="144" t="s">
        <v>120</v>
      </c>
      <c r="B17" s="21" t="s">
        <v>90</v>
      </c>
      <c r="C17" s="21"/>
      <c r="D17" s="21">
        <v>1</v>
      </c>
      <c r="E17" s="21">
        <v>1</v>
      </c>
      <c r="F17" s="20">
        <f t="shared" si="15"/>
        <v>2.0500000000000003</v>
      </c>
      <c r="G17" s="20">
        <f t="shared" si="16"/>
        <v>1.9300000000000002</v>
      </c>
      <c r="H17" s="20">
        <f t="shared" si="17"/>
        <v>0.41000000000000003</v>
      </c>
      <c r="I17" s="20">
        <f t="shared" si="18"/>
        <v>0.03</v>
      </c>
      <c r="J17" s="20">
        <f t="shared" si="19"/>
        <v>0.23</v>
      </c>
      <c r="K17" s="22">
        <v>2</v>
      </c>
      <c r="L17" s="22"/>
      <c r="M17" s="22">
        <v>1</v>
      </c>
      <c r="N17" s="37">
        <f t="shared" si="10"/>
        <v>1508.8000000000002</v>
      </c>
      <c r="O17" s="37">
        <f t="shared" si="3"/>
        <v>4305.0000000000009</v>
      </c>
      <c r="P17" s="37">
        <f t="shared" si="0"/>
        <v>8308.6500000000033</v>
      </c>
      <c r="Q17" s="20">
        <f t="shared" si="14"/>
        <v>0.15</v>
      </c>
      <c r="R17" s="20">
        <f t="shared" si="20"/>
        <v>0.80999999999999994</v>
      </c>
      <c r="S17" s="37">
        <f t="shared" si="21"/>
        <v>7547.956500000003</v>
      </c>
      <c r="T17" s="151">
        <v>7547.956500000003</v>
      </c>
      <c r="U17" s="152">
        <f t="shared" si="8"/>
        <v>0</v>
      </c>
      <c r="V17" s="18"/>
      <c r="W17" s="18"/>
      <c r="X17" s="18"/>
      <c r="Y17" s="26"/>
      <c r="Z17" s="25"/>
      <c r="AA17" s="24"/>
      <c r="AB17" s="23"/>
      <c r="AC17" s="18"/>
      <c r="AD17" t="s">
        <v>29</v>
      </c>
      <c r="AE17" t="s">
        <v>318</v>
      </c>
      <c r="AF17">
        <v>3</v>
      </c>
      <c r="AG17">
        <v>4</v>
      </c>
      <c r="AH17">
        <v>3</v>
      </c>
    </row>
    <row r="18" spans="1:34" ht="15" thickBot="1">
      <c r="A18" s="144" t="s">
        <v>120</v>
      </c>
      <c r="B18" s="21" t="s">
        <v>90</v>
      </c>
      <c r="C18" s="21"/>
      <c r="D18" s="21">
        <v>1</v>
      </c>
      <c r="E18" s="21"/>
      <c r="F18" s="20">
        <f t="shared" ref="F18" si="22">$F$2+H18+K18*$AF$2+IF(OR(A18 = "Fatal", A18 = "Fatal+Blade"), 0.35,0)</f>
        <v>1.7300000000000002</v>
      </c>
      <c r="G18" s="20">
        <f t="shared" ref="G18" si="23">$G$2+I18+L18*$AG$2+IF(OR(A18 = "Rage", A18 = "Rage+Blade"), 0.4, 0)</f>
        <v>1.9300000000000002</v>
      </c>
      <c r="H18" s="20">
        <f t="shared" si="17"/>
        <v>0.41000000000000003</v>
      </c>
      <c r="I18" s="20">
        <f t="shared" si="18"/>
        <v>0.03</v>
      </c>
      <c r="J18" s="20">
        <f t="shared" si="19"/>
        <v>0.23</v>
      </c>
      <c r="K18" s="22">
        <v>1</v>
      </c>
      <c r="L18" s="22"/>
      <c r="M18" s="22">
        <v>1</v>
      </c>
      <c r="N18" s="37">
        <f t="shared" si="10"/>
        <v>1273.2800000000002</v>
      </c>
      <c r="O18" s="37">
        <f t="shared" si="3"/>
        <v>3633.0000000000005</v>
      </c>
      <c r="P18" s="37">
        <f t="shared" ref="P18" si="24">O18*G18</f>
        <v>7011.6900000000014</v>
      </c>
      <c r="Q18" s="20">
        <f t="shared" si="14"/>
        <v>0.15</v>
      </c>
      <c r="R18" s="20">
        <f t="shared" ref="R18" si="25">MINA(Q18+M18*$AN$2+0.12*E18+J18, 1)</f>
        <v>0.69</v>
      </c>
      <c r="S18" s="37">
        <f t="shared" ref="S18" si="26">R18*P18+(1-R18)*O18</f>
        <v>5964.2961000000014</v>
      </c>
      <c r="T18" s="151">
        <v>7547.956500000003</v>
      </c>
      <c r="U18" s="152">
        <f t="shared" ref="U18" si="27">S18/T18-1</f>
        <v>-0.20981313286582948</v>
      </c>
      <c r="V18" s="18"/>
      <c r="W18" s="18"/>
      <c r="X18" s="18"/>
      <c r="Y18" s="18"/>
      <c r="Z18" s="18"/>
      <c r="AA18" s="18"/>
      <c r="AB18" s="18"/>
      <c r="AC18" s="18"/>
    </row>
    <row r="19" spans="1:34" ht="15" thickBot="1">
      <c r="A19" s="144"/>
      <c r="B19" s="21"/>
      <c r="C19" s="21">
        <v>1</v>
      </c>
      <c r="D19" s="21"/>
      <c r="E19" s="21">
        <v>1</v>
      </c>
      <c r="F19" s="20">
        <f t="shared" ref="F19" si="28">$F$2+H19+K19*$AF$2+IF(OR(A19 = "Fatal", A19 = "Fatal+Blade"), 0.35,0)</f>
        <v>2.4500000000000002</v>
      </c>
      <c r="G19" s="20">
        <f t="shared" ref="G19" si="29">$G$2+I19+L19*$AG$2+IF(OR(A19 = "Rage", A19 = "Rage+Blade"), 0.4, 0)</f>
        <v>1.63</v>
      </c>
      <c r="H19" s="20">
        <v>0.49</v>
      </c>
      <c r="I19" s="20">
        <v>0.13</v>
      </c>
      <c r="J19" s="20">
        <v>0.13</v>
      </c>
      <c r="K19" s="22">
        <v>3</v>
      </c>
      <c r="L19" s="22"/>
      <c r="M19" s="22"/>
      <c r="N19" s="37">
        <f t="shared" si="10"/>
        <v>1803.2</v>
      </c>
      <c r="O19" s="37">
        <f t="shared" si="3"/>
        <v>5145</v>
      </c>
      <c r="P19" s="37">
        <f t="shared" ref="P19" si="30">O19*G19</f>
        <v>8386.3499999999985</v>
      </c>
      <c r="Q19" s="20">
        <f t="shared" si="14"/>
        <v>0.15</v>
      </c>
      <c r="R19" s="20">
        <f t="shared" ref="R19" si="31">MINA(Q19+M19*$AN$2+0.12*E19+J19, 1)</f>
        <v>0.4</v>
      </c>
      <c r="S19" s="37">
        <f t="shared" ref="S19" si="32">R19*P19+(1-R19)*O19</f>
        <v>6441.5399999999991</v>
      </c>
      <c r="T19" s="151">
        <v>7547.956500000003</v>
      </c>
      <c r="U19" s="152">
        <f t="shared" ref="U19" si="33">S19/T19-1</f>
        <v>-0.14658490678901015</v>
      </c>
      <c r="V19" s="18"/>
      <c r="W19" s="197" t="s">
        <v>334</v>
      </c>
      <c r="X19" s="197"/>
      <c r="Y19" s="197"/>
      <c r="Z19" s="197"/>
      <c r="AA19" s="197"/>
      <c r="AB19" s="197"/>
      <c r="AC19" s="197"/>
      <c r="AD19" s="197"/>
      <c r="AE19" s="197"/>
      <c r="AF19" s="197"/>
    </row>
    <row r="20" spans="1:34" ht="15" thickBot="1">
      <c r="A20" s="144"/>
      <c r="B20" s="21"/>
      <c r="C20" s="21"/>
      <c r="D20" s="21"/>
      <c r="E20" s="21"/>
      <c r="F20" s="20"/>
      <c r="G20" s="20"/>
      <c r="H20" s="20"/>
      <c r="I20" s="20"/>
      <c r="J20" s="20"/>
      <c r="K20" s="22"/>
      <c r="L20" s="22"/>
      <c r="M20" s="22"/>
      <c r="N20" s="37"/>
      <c r="O20" s="37"/>
      <c r="P20" s="37"/>
      <c r="Q20" s="20"/>
      <c r="R20" s="20"/>
      <c r="S20" s="37"/>
      <c r="T20" s="151"/>
      <c r="U20" s="152"/>
      <c r="V20" s="18"/>
      <c r="W20" s="18" t="s">
        <v>84</v>
      </c>
      <c r="X20" s="18" t="s">
        <v>83</v>
      </c>
      <c r="Y20" s="18" t="s">
        <v>82</v>
      </c>
      <c r="Z20" s="18" t="s">
        <v>327</v>
      </c>
      <c r="AA20" s="18" t="s">
        <v>328</v>
      </c>
      <c r="AB20" s="18" t="s">
        <v>329</v>
      </c>
      <c r="AC20" s="18" t="s">
        <v>330</v>
      </c>
      <c r="AD20" s="18" t="s">
        <v>331</v>
      </c>
      <c r="AE20" s="18" t="s">
        <v>332</v>
      </c>
      <c r="AF20" t="s">
        <v>333</v>
      </c>
    </row>
    <row r="21" spans="1:34" ht="15" thickBot="1">
      <c r="A21" s="144"/>
      <c r="B21" s="21"/>
      <c r="C21" s="21"/>
      <c r="D21" s="21"/>
      <c r="E21" s="21"/>
      <c r="F21" s="20"/>
      <c r="G21" s="20"/>
      <c r="H21" s="20"/>
      <c r="I21" s="20"/>
      <c r="J21" s="20"/>
      <c r="K21" s="22"/>
      <c r="L21" s="22"/>
      <c r="M21" s="22"/>
      <c r="N21" s="37"/>
      <c r="O21" s="37"/>
      <c r="P21" s="37"/>
      <c r="Q21" s="20"/>
      <c r="R21" s="20"/>
      <c r="S21" s="37"/>
      <c r="T21" s="151"/>
      <c r="U21" s="152"/>
      <c r="V21" s="18"/>
      <c r="W21" s="18" t="s">
        <v>324</v>
      </c>
      <c r="X21" s="18">
        <v>0</v>
      </c>
      <c r="Y21" s="18">
        <v>0</v>
      </c>
      <c r="Z21" s="18" t="s">
        <v>88</v>
      </c>
      <c r="AA21" s="18" t="s">
        <v>86</v>
      </c>
      <c r="AB21" s="18" t="s">
        <v>323</v>
      </c>
      <c r="AC21">
        <v>3</v>
      </c>
      <c r="AD21" s="18"/>
      <c r="AF21">
        <v>1</v>
      </c>
    </row>
    <row r="22" spans="1:34" ht="15" thickBot="1">
      <c r="A22" s="144"/>
      <c r="B22" s="21"/>
      <c r="C22" s="21"/>
      <c r="D22" s="21"/>
      <c r="E22" s="21"/>
      <c r="F22" s="20"/>
      <c r="G22" s="20"/>
      <c r="H22" s="20"/>
      <c r="I22" s="20"/>
      <c r="J22" s="20"/>
      <c r="K22" s="22"/>
      <c r="L22" s="22"/>
      <c r="M22" s="10"/>
      <c r="N22" s="21"/>
      <c r="O22" s="21"/>
      <c r="P22" s="21"/>
      <c r="Q22" s="20"/>
      <c r="R22" s="20"/>
      <c r="S22" s="37"/>
      <c r="T22" s="151"/>
      <c r="U22" s="152"/>
      <c r="V22" s="18"/>
      <c r="W22" s="18" t="s">
        <v>325</v>
      </c>
      <c r="X22" s="18">
        <v>0</v>
      </c>
      <c r="Y22" s="18">
        <v>0</v>
      </c>
      <c r="Z22" s="18" t="s">
        <v>88</v>
      </c>
      <c r="AA22" s="18" t="s">
        <v>86</v>
      </c>
      <c r="AB22" s="18" t="s">
        <v>323</v>
      </c>
      <c r="AC22">
        <v>2</v>
      </c>
      <c r="AD22" s="18" t="s">
        <v>83</v>
      </c>
      <c r="AE22">
        <v>1</v>
      </c>
      <c r="AF22">
        <v>1</v>
      </c>
    </row>
    <row r="23" spans="1:34" ht="15" thickBot="1">
      <c r="A23" s="144"/>
      <c r="B23" s="21"/>
      <c r="C23" s="21"/>
      <c r="D23" s="21"/>
      <c r="E23" s="21"/>
      <c r="F23" s="20"/>
      <c r="G23" s="20"/>
      <c r="H23" s="20"/>
      <c r="I23" s="20"/>
      <c r="J23" s="20"/>
      <c r="K23" s="22"/>
      <c r="L23" s="22"/>
      <c r="M23" s="10"/>
      <c r="N23" s="21"/>
      <c r="O23" s="21"/>
      <c r="P23" s="21"/>
      <c r="Q23" s="20"/>
      <c r="R23" s="20"/>
      <c r="S23" s="37"/>
      <c r="T23" s="151"/>
      <c r="U23" s="152"/>
      <c r="V23" s="18"/>
      <c r="W23" s="18" t="s">
        <v>326</v>
      </c>
      <c r="X23" s="18">
        <v>0</v>
      </c>
      <c r="Y23" s="18">
        <v>0</v>
      </c>
      <c r="Z23" s="18" t="s">
        <v>88</v>
      </c>
      <c r="AA23" s="18" t="s">
        <v>86</v>
      </c>
      <c r="AB23" s="18" t="s">
        <v>323</v>
      </c>
      <c r="AC23">
        <v>3</v>
      </c>
      <c r="AD23" s="18"/>
      <c r="AF23">
        <v>3</v>
      </c>
    </row>
    <row r="24" spans="1:34" ht="15" thickBot="1">
      <c r="A24" s="144"/>
      <c r="B24" s="21"/>
      <c r="C24" s="21"/>
      <c r="D24" s="21"/>
      <c r="E24" s="21"/>
      <c r="F24" s="20"/>
      <c r="G24" s="20"/>
      <c r="H24" s="20"/>
      <c r="I24" s="20"/>
      <c r="J24" s="20"/>
      <c r="K24" s="22"/>
      <c r="L24" s="22"/>
      <c r="M24" s="10"/>
      <c r="N24" s="21"/>
      <c r="O24" s="21"/>
      <c r="P24" s="21"/>
      <c r="Q24" s="20"/>
      <c r="R24" s="20"/>
      <c r="S24" s="37"/>
      <c r="T24" s="151"/>
      <c r="U24" s="152"/>
      <c r="V24" s="18"/>
      <c r="W24" s="18" t="s">
        <v>326</v>
      </c>
      <c r="X24" s="18">
        <v>0</v>
      </c>
      <c r="Y24" s="18">
        <v>0</v>
      </c>
      <c r="Z24" s="18" t="s">
        <v>87</v>
      </c>
      <c r="AA24" s="18" t="s">
        <v>86</v>
      </c>
      <c r="AB24" s="18" t="s">
        <v>323</v>
      </c>
      <c r="AC24">
        <v>3</v>
      </c>
      <c r="AD24" s="18"/>
      <c r="AF24">
        <v>2</v>
      </c>
    </row>
    <row r="25" spans="1:34" ht="15" thickBot="1">
      <c r="A25" s="144"/>
      <c r="B25" s="21"/>
      <c r="C25" s="21"/>
      <c r="D25" s="21"/>
      <c r="E25" s="21"/>
      <c r="F25" s="20"/>
      <c r="G25" s="20"/>
      <c r="H25" s="20"/>
      <c r="I25" s="20"/>
      <c r="J25" s="20"/>
      <c r="K25" s="22"/>
      <c r="L25" s="22"/>
      <c r="M25" s="10"/>
      <c r="N25" s="21"/>
      <c r="O25" s="21"/>
      <c r="P25" s="21"/>
      <c r="Q25" s="20"/>
      <c r="R25" s="20"/>
      <c r="S25" s="37"/>
      <c r="T25" s="151"/>
      <c r="U25" s="152"/>
      <c r="V25" s="18"/>
      <c r="W25" s="18" t="s">
        <v>326</v>
      </c>
      <c r="X25" s="18">
        <v>0</v>
      </c>
      <c r="Y25" s="18">
        <v>0</v>
      </c>
      <c r="Z25" s="18" t="s">
        <v>88</v>
      </c>
      <c r="AA25" s="18" t="s">
        <v>86</v>
      </c>
      <c r="AB25" s="18" t="s">
        <v>323</v>
      </c>
      <c r="AC25">
        <v>2</v>
      </c>
      <c r="AD25" s="18" t="s">
        <v>83</v>
      </c>
      <c r="AE25">
        <v>1</v>
      </c>
      <c r="AF25">
        <v>1</v>
      </c>
    </row>
    <row r="26" spans="1:34" ht="15" thickBot="1">
      <c r="A26" s="144"/>
      <c r="B26" s="21"/>
      <c r="C26" s="21"/>
      <c r="D26" s="21"/>
      <c r="E26" s="21"/>
      <c r="F26" s="20"/>
      <c r="G26" s="20"/>
      <c r="H26" s="20"/>
      <c r="I26" s="20"/>
      <c r="J26" s="20"/>
      <c r="K26" s="22"/>
      <c r="L26" s="22"/>
      <c r="M26" s="10"/>
      <c r="N26" s="21"/>
      <c r="O26" s="21"/>
      <c r="P26" s="21"/>
      <c r="Q26" s="20"/>
      <c r="R26" s="20"/>
      <c r="S26" s="37"/>
      <c r="T26" s="151"/>
      <c r="U26" s="152"/>
      <c r="V26" s="18"/>
      <c r="W26" s="18" t="s">
        <v>324</v>
      </c>
      <c r="X26" s="18">
        <v>0.2</v>
      </c>
      <c r="Y26" s="18">
        <v>0</v>
      </c>
      <c r="Z26" s="18" t="s">
        <v>88</v>
      </c>
      <c r="AA26" s="18" t="s">
        <v>86</v>
      </c>
      <c r="AB26" s="18" t="s">
        <v>323</v>
      </c>
      <c r="AC26">
        <v>2</v>
      </c>
      <c r="AD26" s="18" t="s">
        <v>84</v>
      </c>
      <c r="AE26">
        <v>1</v>
      </c>
      <c r="AF26">
        <v>1</v>
      </c>
    </row>
    <row r="27" spans="1:34" ht="15" thickBot="1">
      <c r="A27" s="144"/>
      <c r="B27" s="21"/>
      <c r="C27" s="21"/>
      <c r="D27" s="21"/>
      <c r="E27" s="21"/>
      <c r="F27" s="20"/>
      <c r="G27" s="20"/>
      <c r="H27" s="20"/>
      <c r="I27" s="20"/>
      <c r="J27" s="20"/>
      <c r="K27" s="22"/>
      <c r="L27" s="22"/>
      <c r="M27" s="10"/>
      <c r="N27" s="21"/>
      <c r="O27" s="21"/>
      <c r="P27" s="21"/>
      <c r="Q27" s="20"/>
      <c r="R27" s="20"/>
      <c r="S27" s="37"/>
      <c r="T27" s="151"/>
      <c r="U27" s="152"/>
      <c r="V27" s="18"/>
      <c r="W27" s="18" t="s">
        <v>325</v>
      </c>
      <c r="X27" s="18">
        <v>0.2</v>
      </c>
      <c r="Y27" s="18">
        <v>0</v>
      </c>
      <c r="Z27" s="18" t="s">
        <v>88</v>
      </c>
      <c r="AA27" s="18" t="s">
        <v>86</v>
      </c>
      <c r="AB27" s="18" t="s">
        <v>323</v>
      </c>
      <c r="AC27">
        <v>3</v>
      </c>
      <c r="AD27" s="18"/>
      <c r="AF27">
        <v>1</v>
      </c>
    </row>
    <row r="28" spans="1:34" ht="15" thickBot="1">
      <c r="A28" s="144"/>
      <c r="B28" s="21"/>
      <c r="C28" s="21"/>
      <c r="D28" s="21"/>
      <c r="E28" s="21"/>
      <c r="F28" s="20"/>
      <c r="G28" s="20"/>
      <c r="H28" s="20"/>
      <c r="I28" s="20"/>
      <c r="J28" s="20"/>
      <c r="K28" s="22"/>
      <c r="L28" s="22"/>
      <c r="M28" s="10"/>
      <c r="N28" s="21"/>
      <c r="O28" s="21"/>
      <c r="P28" s="21"/>
      <c r="Q28" s="20"/>
      <c r="R28" s="20"/>
      <c r="S28" s="37"/>
      <c r="T28" s="151"/>
      <c r="U28" s="152"/>
      <c r="V28" s="18"/>
      <c r="W28" s="18" t="s">
        <v>325</v>
      </c>
      <c r="X28" s="18">
        <v>0.2</v>
      </c>
      <c r="Y28" s="18">
        <v>0</v>
      </c>
      <c r="Z28" s="18" t="s">
        <v>88</v>
      </c>
      <c r="AA28" s="18" t="s">
        <v>86</v>
      </c>
      <c r="AB28" s="18" t="s">
        <v>323</v>
      </c>
      <c r="AC28">
        <v>2</v>
      </c>
      <c r="AD28" s="18" t="s">
        <v>84</v>
      </c>
      <c r="AE28">
        <v>1</v>
      </c>
      <c r="AF28">
        <v>1</v>
      </c>
      <c r="AG28" s="15"/>
      <c r="AH28" s="15"/>
    </row>
    <row r="29" spans="1:34" ht="15" thickBot="1">
      <c r="A29" s="144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51"/>
      <c r="U29" s="152"/>
      <c r="V29" s="18"/>
      <c r="W29" s="18" t="s">
        <v>325</v>
      </c>
      <c r="X29" s="18">
        <v>0.2</v>
      </c>
      <c r="Y29" s="18">
        <v>0</v>
      </c>
      <c r="Z29" s="18" t="s">
        <v>87</v>
      </c>
      <c r="AA29" s="18" t="s">
        <v>86</v>
      </c>
      <c r="AB29" s="18" t="s">
        <v>323</v>
      </c>
      <c r="AC29">
        <v>2</v>
      </c>
      <c r="AD29" s="18" t="s">
        <v>84</v>
      </c>
      <c r="AE29">
        <v>1</v>
      </c>
      <c r="AF29">
        <v>1</v>
      </c>
      <c r="AG29" s="15"/>
      <c r="AH29" s="15"/>
    </row>
    <row r="30" spans="1:34" ht="15" thickBot="1">
      <c r="A30" s="144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51"/>
      <c r="U30" s="152"/>
      <c r="V30" s="18"/>
      <c r="W30" s="18" t="s">
        <v>326</v>
      </c>
      <c r="X30" s="18">
        <v>0.2</v>
      </c>
      <c r="Y30" s="18">
        <v>0</v>
      </c>
      <c r="Z30" s="18" t="s">
        <v>88</v>
      </c>
      <c r="AA30" s="18" t="s">
        <v>86</v>
      </c>
      <c r="AB30" s="18" t="s">
        <v>323</v>
      </c>
      <c r="AC30">
        <v>2</v>
      </c>
      <c r="AD30" s="18" t="s">
        <v>83</v>
      </c>
      <c r="AE30">
        <v>1</v>
      </c>
      <c r="AF30">
        <v>1</v>
      </c>
      <c r="AH30" s="15"/>
    </row>
    <row r="31" spans="1:34" ht="15" thickBot="1">
      <c r="A31" s="144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51"/>
      <c r="U31" s="152"/>
      <c r="V31" s="18"/>
      <c r="W31" s="145" t="s">
        <v>324</v>
      </c>
      <c r="X31" s="145">
        <v>0.2</v>
      </c>
      <c r="Y31" s="145">
        <v>0.2</v>
      </c>
      <c r="Z31" s="18" t="s">
        <v>88</v>
      </c>
      <c r="AA31" s="18" t="s">
        <v>86</v>
      </c>
      <c r="AB31" s="18" t="s">
        <v>323</v>
      </c>
      <c r="AC31">
        <v>2</v>
      </c>
      <c r="AD31" s="18" t="s">
        <v>84</v>
      </c>
      <c r="AE31">
        <v>1</v>
      </c>
      <c r="AF31">
        <v>1</v>
      </c>
    </row>
    <row r="32" spans="1:34" ht="15" thickBot="1">
      <c r="A32" s="144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51"/>
      <c r="U32" s="152"/>
      <c r="V32" s="18"/>
      <c r="W32" s="145" t="s">
        <v>324</v>
      </c>
      <c r="X32" s="145">
        <v>0.2</v>
      </c>
      <c r="Y32" s="145">
        <v>0.2</v>
      </c>
      <c r="Z32" s="18" t="s">
        <v>87</v>
      </c>
      <c r="AA32" s="18" t="s">
        <v>86</v>
      </c>
      <c r="AB32" s="18" t="s">
        <v>323</v>
      </c>
      <c r="AC32">
        <v>3</v>
      </c>
      <c r="AD32" s="18" t="s">
        <v>84</v>
      </c>
      <c r="AE32">
        <v>1</v>
      </c>
      <c r="AF32">
        <v>2</v>
      </c>
    </row>
    <row r="33" spans="1:32" ht="15" thickBot="1">
      <c r="A33" s="144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51"/>
      <c r="U33" s="152"/>
      <c r="V33" s="18"/>
      <c r="W33" s="18" t="s">
        <v>335</v>
      </c>
      <c r="X33" s="145">
        <v>0.2</v>
      </c>
      <c r="Y33" s="145">
        <v>0.2</v>
      </c>
      <c r="Z33" s="18" t="s">
        <v>87</v>
      </c>
      <c r="AA33" s="18" t="s">
        <v>86</v>
      </c>
      <c r="AB33" s="18" t="s">
        <v>323</v>
      </c>
      <c r="AC33">
        <v>3</v>
      </c>
      <c r="AD33" s="18" t="s">
        <v>84</v>
      </c>
      <c r="AE33">
        <v>1</v>
      </c>
      <c r="AF33">
        <v>1</v>
      </c>
    </row>
    <row r="34" spans="1:32" ht="15" thickBot="1">
      <c r="A34" s="144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51"/>
      <c r="U34" s="152"/>
      <c r="V34" s="18"/>
      <c r="W34" s="18" t="s">
        <v>335</v>
      </c>
      <c r="X34" s="145">
        <v>0.2</v>
      </c>
      <c r="Y34" s="145">
        <v>0.2</v>
      </c>
      <c r="Z34" s="18" t="s">
        <v>88</v>
      </c>
      <c r="AA34" s="18" t="s">
        <v>86</v>
      </c>
      <c r="AB34" s="18" t="s">
        <v>323</v>
      </c>
      <c r="AC34">
        <v>2</v>
      </c>
      <c r="AD34" s="18" t="s">
        <v>83</v>
      </c>
      <c r="AE34">
        <v>1</v>
      </c>
      <c r="AF34">
        <v>2</v>
      </c>
    </row>
    <row r="35" spans="1:32" ht="15" thickBot="1">
      <c r="A35" s="144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51"/>
      <c r="U35" s="152"/>
      <c r="V35" s="18"/>
      <c r="W35" s="18" t="s">
        <v>336</v>
      </c>
      <c r="X35" s="145">
        <v>0.2</v>
      </c>
      <c r="Y35" s="145">
        <v>0.2</v>
      </c>
      <c r="Z35" s="18" t="s">
        <v>88</v>
      </c>
      <c r="AA35" s="18" t="s">
        <v>86</v>
      </c>
      <c r="AB35" s="18" t="s">
        <v>323</v>
      </c>
      <c r="AC35">
        <v>2</v>
      </c>
      <c r="AD35" s="18" t="s">
        <v>83</v>
      </c>
      <c r="AE35">
        <v>1</v>
      </c>
      <c r="AF35">
        <v>1</v>
      </c>
    </row>
    <row r="36" spans="1:32" ht="15" thickBot="1">
      <c r="A36" s="144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51"/>
      <c r="U36" s="152"/>
      <c r="V36" s="18"/>
      <c r="W36" s="18"/>
      <c r="X36" s="18"/>
      <c r="Y36" s="18"/>
      <c r="Z36" s="18"/>
      <c r="AA36" s="18"/>
      <c r="AB36" s="18"/>
      <c r="AC36" s="18"/>
      <c r="AD36" s="18"/>
    </row>
    <row r="37" spans="1:32" ht="15" thickBot="1">
      <c r="A37" s="144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21"/>
      <c r="O37" s="21"/>
      <c r="P37" s="21"/>
      <c r="Q37" s="20"/>
      <c r="R37" s="20"/>
      <c r="S37" s="37"/>
      <c r="T37" s="151"/>
      <c r="U37" s="152"/>
      <c r="V37" s="18"/>
      <c r="W37" s="18"/>
      <c r="X37" s="18"/>
      <c r="Y37" s="18"/>
      <c r="Z37" s="18"/>
      <c r="AA37" s="18"/>
      <c r="AB37" s="18"/>
      <c r="AC37" s="18"/>
      <c r="AD37" s="18"/>
    </row>
    <row r="38" spans="1:32" ht="15" thickBot="1">
      <c r="A38" s="144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51"/>
      <c r="U38" s="152"/>
      <c r="V38" s="18"/>
      <c r="W38" s="145"/>
      <c r="X38" s="145"/>
      <c r="Y38" s="145"/>
      <c r="Z38" s="145"/>
      <c r="AA38" s="145"/>
      <c r="AB38" s="145"/>
      <c r="AC38" s="145"/>
      <c r="AD38" s="145"/>
      <c r="AE38" s="6"/>
      <c r="AF38" s="6"/>
    </row>
    <row r="39" spans="1:32" ht="15" thickBot="1">
      <c r="A39" s="144"/>
      <c r="B39" s="21"/>
      <c r="C39" s="21"/>
      <c r="D39" s="21"/>
      <c r="E39" s="21"/>
      <c r="F39" s="20"/>
      <c r="G39" s="20"/>
      <c r="H39" s="20"/>
      <c r="I39" s="20"/>
      <c r="J39" s="20"/>
      <c r="K39" s="22"/>
      <c r="L39" s="22"/>
      <c r="M39" s="10"/>
      <c r="N39" s="21"/>
      <c r="O39" s="21"/>
      <c r="P39" s="21"/>
      <c r="Q39" s="20"/>
      <c r="R39" s="20"/>
      <c r="S39" s="37"/>
      <c r="T39" s="151"/>
      <c r="U39" s="152"/>
      <c r="V39" s="18"/>
      <c r="W39" s="18"/>
      <c r="X39" s="18"/>
      <c r="Y39" s="18"/>
      <c r="Z39" s="18"/>
      <c r="AA39" s="18"/>
      <c r="AB39" s="18"/>
      <c r="AC39" s="18"/>
      <c r="AD39" s="18"/>
    </row>
    <row r="40" spans="1:32">
      <c r="V40" s="18"/>
      <c r="W40" s="18"/>
      <c r="X40" s="18"/>
      <c r="Y40" s="18"/>
      <c r="Z40" s="18"/>
      <c r="AA40" s="18"/>
      <c r="AB40" s="18"/>
      <c r="AC40" s="18"/>
      <c r="AD40" s="18"/>
    </row>
    <row r="41" spans="1:32">
      <c r="V41" s="18"/>
      <c r="W41" s="18"/>
      <c r="X41" s="18"/>
      <c r="Y41" s="18"/>
      <c r="Z41" s="18"/>
      <c r="AA41" s="18"/>
      <c r="AB41" s="18"/>
      <c r="AC41" s="18"/>
      <c r="AD41" s="18"/>
    </row>
    <row r="42" spans="1:32">
      <c r="V42" s="18"/>
      <c r="W42" s="145"/>
      <c r="X42" s="145"/>
      <c r="Y42" s="145"/>
      <c r="Z42" s="145"/>
      <c r="AA42" s="145"/>
      <c r="AB42" s="145"/>
      <c r="AC42" s="145"/>
      <c r="AD42" s="145"/>
      <c r="AE42" s="6"/>
      <c r="AF42" s="6"/>
    </row>
    <row r="43" spans="1:32">
      <c r="V43" s="18"/>
      <c r="W43" s="18"/>
      <c r="X43" s="18"/>
      <c r="Y43" s="18"/>
      <c r="Z43" s="18"/>
      <c r="AA43" s="18"/>
      <c r="AB43" s="18"/>
      <c r="AC43" s="18"/>
      <c r="AD43" s="18"/>
    </row>
    <row r="44" spans="1:32">
      <c r="V44" s="18"/>
      <c r="W44" s="18"/>
      <c r="X44" s="18"/>
      <c r="Y44" s="18"/>
      <c r="Z44" s="18"/>
      <c r="AA44" s="18"/>
      <c r="AB44" s="18"/>
      <c r="AC44" s="18"/>
      <c r="AD44" s="18"/>
    </row>
    <row r="45" spans="1:32">
      <c r="V45" s="18"/>
      <c r="W45" s="18"/>
      <c r="X45" s="18"/>
      <c r="Y45" s="18"/>
      <c r="Z45" s="18"/>
      <c r="AA45" s="18"/>
      <c r="AB45" s="18"/>
      <c r="AC45" s="18"/>
      <c r="AD45" s="18"/>
    </row>
  </sheetData>
  <mergeCells count="1">
    <mergeCell ref="W19:AF19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>
  <dimension ref="A1:S292"/>
  <sheetViews>
    <sheetView workbookViewId="0">
      <pane ySplit="1" topLeftCell="A131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351</v>
      </c>
      <c r="B1" t="s">
        <v>382</v>
      </c>
      <c r="C1" t="s">
        <v>200</v>
      </c>
      <c r="D1" t="s">
        <v>201</v>
      </c>
      <c r="E1" t="s">
        <v>353</v>
      </c>
      <c r="F1" t="s">
        <v>209</v>
      </c>
      <c r="G1" t="s">
        <v>202</v>
      </c>
      <c r="H1" t="s">
        <v>203</v>
      </c>
      <c r="I1" t="s">
        <v>204</v>
      </c>
      <c r="J1" t="s">
        <v>166</v>
      </c>
      <c r="K1" t="s">
        <v>205</v>
      </c>
      <c r="L1" t="s">
        <v>206</v>
      </c>
      <c r="M1" t="s">
        <v>207</v>
      </c>
      <c r="N1" t="s">
        <v>323</v>
      </c>
      <c r="O1" t="s">
        <v>208</v>
      </c>
      <c r="P1" t="s">
        <v>350</v>
      </c>
      <c r="Q1" t="s">
        <v>210</v>
      </c>
      <c r="R1" t="s">
        <v>380</v>
      </c>
      <c r="S1" t="s">
        <v>381</v>
      </c>
    </row>
    <row r="2" spans="1:19" hidden="1">
      <c r="A2" t="s">
        <v>354</v>
      </c>
      <c r="B2" t="s">
        <v>354</v>
      </c>
      <c r="C2" t="s">
        <v>352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354</v>
      </c>
      <c r="B3" t="s">
        <v>354</v>
      </c>
      <c r="C3" t="s">
        <v>191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354</v>
      </c>
      <c r="B4" t="s">
        <v>354</v>
      </c>
      <c r="C4" t="s">
        <v>191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354</v>
      </c>
      <c r="B5" t="s">
        <v>354</v>
      </c>
      <c r="C5" t="s">
        <v>191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354</v>
      </c>
      <c r="B6" t="s">
        <v>354</v>
      </c>
      <c r="C6" t="s">
        <v>352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354</v>
      </c>
      <c r="B7" t="s">
        <v>354</v>
      </c>
      <c r="C7" t="s">
        <v>191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363</v>
      </c>
      <c r="B8" t="s">
        <v>363</v>
      </c>
      <c r="C8" t="s">
        <v>160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>
      <c r="A9" t="s">
        <v>363</v>
      </c>
      <c r="B9" t="s">
        <v>363</v>
      </c>
      <c r="C9" t="s">
        <v>197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363</v>
      </c>
      <c r="B10" t="s">
        <v>363</v>
      </c>
      <c r="C10" t="s">
        <v>160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363</v>
      </c>
      <c r="B11" t="s">
        <v>363</v>
      </c>
      <c r="C11" t="s">
        <v>160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>
      <c r="A12" s="155" t="s">
        <v>363</v>
      </c>
      <c r="B12" s="155" t="s">
        <v>363</v>
      </c>
      <c r="C12" s="155" t="s">
        <v>197</v>
      </c>
      <c r="D12" s="155">
        <v>5</v>
      </c>
      <c r="E12" s="155">
        <v>9</v>
      </c>
      <c r="F12" s="155" t="s">
        <v>27</v>
      </c>
      <c r="G12" s="156">
        <v>0.1</v>
      </c>
      <c r="H12" s="155">
        <v>970</v>
      </c>
      <c r="I12" s="156"/>
      <c r="J12" s="155">
        <v>8</v>
      </c>
      <c r="K12" s="156"/>
      <c r="L12" s="156">
        <v>0.02</v>
      </c>
      <c r="M12" s="156"/>
      <c r="N12" s="155">
        <v>5</v>
      </c>
      <c r="O12" s="156"/>
      <c r="P12" s="155"/>
      <c r="Q12" s="156"/>
      <c r="R12" s="155"/>
    </row>
    <row r="13" spans="1:19" hidden="1">
      <c r="A13" t="s">
        <v>363</v>
      </c>
      <c r="B13" t="s">
        <v>363</v>
      </c>
      <c r="C13" t="s">
        <v>160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364</v>
      </c>
      <c r="B14" t="s">
        <v>364</v>
      </c>
      <c r="C14" t="s">
        <v>88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364</v>
      </c>
      <c r="B15" t="s">
        <v>364</v>
      </c>
      <c r="C15" t="s">
        <v>88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364</v>
      </c>
      <c r="B16" t="s">
        <v>364</v>
      </c>
      <c r="C16" t="s">
        <v>88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364</v>
      </c>
      <c r="B17" t="s">
        <v>364</v>
      </c>
      <c r="C17" t="s">
        <v>88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364</v>
      </c>
      <c r="B18" t="s">
        <v>364</v>
      </c>
      <c r="C18" t="s">
        <v>86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364</v>
      </c>
      <c r="B19" t="s">
        <v>364</v>
      </c>
      <c r="C19" t="s">
        <v>86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157</v>
      </c>
      <c r="B20" t="s">
        <v>157</v>
      </c>
      <c r="C20" t="s">
        <v>158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>
      <c r="A21" t="s">
        <v>157</v>
      </c>
      <c r="B21" t="s">
        <v>157</v>
      </c>
      <c r="C21" t="s">
        <v>197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157</v>
      </c>
      <c r="B22" t="s">
        <v>157</v>
      </c>
      <c r="C22" t="s">
        <v>158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>
      <c r="A23" t="s">
        <v>157</v>
      </c>
      <c r="B23" t="s">
        <v>157</v>
      </c>
      <c r="C23" t="s">
        <v>197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157</v>
      </c>
      <c r="B24" t="s">
        <v>157</v>
      </c>
      <c r="C24" t="s">
        <v>158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157</v>
      </c>
      <c r="B25" t="s">
        <v>157</v>
      </c>
      <c r="C25" t="s">
        <v>158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193</v>
      </c>
      <c r="C26" t="s">
        <v>86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383</v>
      </c>
    </row>
    <row r="27" spans="1:19" hidden="1">
      <c r="A27" t="s">
        <v>193</v>
      </c>
      <c r="B27" t="s">
        <v>193</v>
      </c>
      <c r="C27" t="s">
        <v>154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193</v>
      </c>
    </row>
    <row r="28" spans="1:19" hidden="1">
      <c r="A28" t="s">
        <v>193</v>
      </c>
      <c r="B28" t="s">
        <v>193</v>
      </c>
      <c r="C28" t="s">
        <v>158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193</v>
      </c>
    </row>
    <row r="29" spans="1:19">
      <c r="A29" t="s">
        <v>193</v>
      </c>
      <c r="B29" t="s">
        <v>193</v>
      </c>
      <c r="C29" t="s">
        <v>197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193</v>
      </c>
    </row>
    <row r="30" spans="1:19" hidden="1">
      <c r="A30" t="s">
        <v>193</v>
      </c>
      <c r="B30" t="s">
        <v>193</v>
      </c>
      <c r="C30" t="s">
        <v>86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193</v>
      </c>
    </row>
    <row r="31" spans="1:19" hidden="1">
      <c r="A31" s="155" t="s">
        <v>193</v>
      </c>
      <c r="B31" s="155"/>
      <c r="C31" s="155" t="s">
        <v>154</v>
      </c>
      <c r="D31" s="155">
        <v>6</v>
      </c>
      <c r="E31" s="155">
        <v>9</v>
      </c>
      <c r="F31" s="155" t="s">
        <v>26</v>
      </c>
      <c r="G31" s="156">
        <v>0.22</v>
      </c>
      <c r="H31" s="155"/>
      <c r="I31" s="156">
        <v>7.0000000000000007E-2</v>
      </c>
      <c r="J31" s="155">
        <v>1</v>
      </c>
      <c r="K31" s="156">
        <v>0.01</v>
      </c>
      <c r="L31" s="156"/>
      <c r="M31" s="156"/>
      <c r="N31" s="155"/>
      <c r="O31" s="156"/>
      <c r="P31" s="155"/>
      <c r="Q31" s="156"/>
      <c r="R31" s="155"/>
      <c r="S31" s="155" t="s">
        <v>193</v>
      </c>
    </row>
    <row r="32" spans="1:19">
      <c r="A32" t="s">
        <v>151</v>
      </c>
      <c r="B32" t="s">
        <v>151</v>
      </c>
      <c r="C32" t="s">
        <v>155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>
      <c r="A33" t="s">
        <v>151</v>
      </c>
      <c r="B33" t="s">
        <v>151</v>
      </c>
      <c r="C33" t="s">
        <v>197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151</v>
      </c>
      <c r="B34" t="s">
        <v>151</v>
      </c>
      <c r="C34" t="s">
        <v>197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>
      <c r="A35" t="s">
        <v>151</v>
      </c>
      <c r="B35" t="s">
        <v>151</v>
      </c>
      <c r="C35" t="s">
        <v>155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>
      <c r="A36" t="s">
        <v>151</v>
      </c>
      <c r="B36" t="s">
        <v>151</v>
      </c>
      <c r="C36" t="s">
        <v>155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>
      <c r="A37" t="s">
        <v>151</v>
      </c>
      <c r="B37" t="s">
        <v>151</v>
      </c>
      <c r="C37" t="s">
        <v>155</v>
      </c>
      <c r="D37">
        <v>6</v>
      </c>
      <c r="E37">
        <v>9</v>
      </c>
      <c r="F37" t="s">
        <v>26</v>
      </c>
      <c r="G37" s="15">
        <v>0.12</v>
      </c>
      <c r="I37" s="154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>
      <c r="A38" s="159" t="s">
        <v>365</v>
      </c>
      <c r="B38" s="159" t="s">
        <v>365</v>
      </c>
      <c r="C38" s="159" t="s">
        <v>155</v>
      </c>
      <c r="D38" s="159">
        <v>1</v>
      </c>
      <c r="E38" s="159">
        <v>12</v>
      </c>
      <c r="F38" s="159" t="s">
        <v>27</v>
      </c>
      <c r="G38" s="160">
        <v>0.06</v>
      </c>
      <c r="H38" s="159"/>
      <c r="I38" s="161"/>
      <c r="J38" s="159">
        <v>7</v>
      </c>
      <c r="K38" s="160">
        <v>0.02</v>
      </c>
      <c r="L38" s="160"/>
      <c r="M38" s="160">
        <v>0.06</v>
      </c>
      <c r="N38" s="159">
        <v>64</v>
      </c>
      <c r="O38" s="160"/>
      <c r="P38" s="159"/>
      <c r="Q38" s="160"/>
      <c r="R38" s="68"/>
    </row>
    <row r="39" spans="1:19">
      <c r="A39" t="s">
        <v>365</v>
      </c>
      <c r="B39" t="s">
        <v>365</v>
      </c>
      <c r="C39" t="s">
        <v>155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54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365</v>
      </c>
      <c r="B40" t="s">
        <v>365</v>
      </c>
      <c r="C40" t="s">
        <v>155</v>
      </c>
      <c r="D40">
        <v>3</v>
      </c>
      <c r="E40">
        <v>12</v>
      </c>
      <c r="F40" t="s">
        <v>27</v>
      </c>
      <c r="G40" s="15">
        <v>0.1</v>
      </c>
      <c r="I40" s="154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365</v>
      </c>
      <c r="B41" t="s">
        <v>365</v>
      </c>
      <c r="C41" t="s">
        <v>154</v>
      </c>
      <c r="D41">
        <v>4</v>
      </c>
      <c r="E41">
        <v>12</v>
      </c>
      <c r="F41" t="s">
        <v>27</v>
      </c>
      <c r="G41" s="15">
        <v>0.31</v>
      </c>
      <c r="I41" s="154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>
      <c r="A42" t="s">
        <v>365</v>
      </c>
      <c r="B42" t="s">
        <v>365</v>
      </c>
      <c r="C42" t="s">
        <v>155</v>
      </c>
      <c r="D42">
        <v>5</v>
      </c>
      <c r="E42">
        <v>12</v>
      </c>
      <c r="F42" t="s">
        <v>28</v>
      </c>
      <c r="G42" s="15"/>
      <c r="H42">
        <v>1215</v>
      </c>
      <c r="I42" s="154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365</v>
      </c>
      <c r="B43" t="s">
        <v>193</v>
      </c>
      <c r="C43" t="s">
        <v>154</v>
      </c>
      <c r="D43">
        <v>6</v>
      </c>
      <c r="E43">
        <v>12</v>
      </c>
      <c r="F43" t="s">
        <v>28</v>
      </c>
      <c r="G43" s="15">
        <v>0.37</v>
      </c>
      <c r="I43" s="154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384</v>
      </c>
    </row>
    <row r="44" spans="1:19" hidden="1">
      <c r="A44" t="s">
        <v>366</v>
      </c>
      <c r="B44" t="s">
        <v>366</v>
      </c>
      <c r="C44" t="s">
        <v>160</v>
      </c>
      <c r="D44">
        <v>1</v>
      </c>
      <c r="E44">
        <v>12</v>
      </c>
      <c r="F44" t="s">
        <v>27</v>
      </c>
      <c r="G44" s="15">
        <v>0.11</v>
      </c>
      <c r="I44" s="154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366</v>
      </c>
      <c r="B45" t="s">
        <v>366</v>
      </c>
      <c r="C45" t="s">
        <v>160</v>
      </c>
      <c r="D45">
        <v>2</v>
      </c>
      <c r="E45">
        <v>9</v>
      </c>
      <c r="F45" t="s">
        <v>27</v>
      </c>
      <c r="G45" s="15">
        <v>0.24</v>
      </c>
      <c r="I45" s="154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366</v>
      </c>
      <c r="B46" t="s">
        <v>366</v>
      </c>
      <c r="C46" t="s">
        <v>160</v>
      </c>
      <c r="D46">
        <v>3</v>
      </c>
      <c r="E46">
        <v>9</v>
      </c>
      <c r="F46" t="s">
        <v>27</v>
      </c>
      <c r="G46" s="15">
        <v>0.05</v>
      </c>
      <c r="I46" s="154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366</v>
      </c>
      <c r="B47" s="2" t="s">
        <v>366</v>
      </c>
      <c r="C47" s="2" t="s">
        <v>154</v>
      </c>
      <c r="D47" s="2">
        <v>4</v>
      </c>
      <c r="E47" s="2">
        <v>9</v>
      </c>
      <c r="F47" s="2" t="s">
        <v>28</v>
      </c>
      <c r="G47" s="157">
        <v>0.28999999999999998</v>
      </c>
      <c r="H47" s="2"/>
      <c r="I47" s="158"/>
      <c r="J47" s="2">
        <v>5</v>
      </c>
      <c r="K47" s="157">
        <v>0.03</v>
      </c>
      <c r="L47" s="157"/>
      <c r="M47" s="157"/>
      <c r="N47" s="2"/>
      <c r="O47" s="157">
        <v>0.18</v>
      </c>
      <c r="P47" s="2"/>
      <c r="Q47" s="157">
        <v>7.0000000000000007E-2</v>
      </c>
      <c r="R47" s="59" t="s">
        <v>211</v>
      </c>
    </row>
    <row r="48" spans="1:19" hidden="1">
      <c r="A48" t="s">
        <v>366</v>
      </c>
      <c r="B48" t="s">
        <v>366</v>
      </c>
      <c r="C48" t="s">
        <v>160</v>
      </c>
      <c r="D48">
        <v>5</v>
      </c>
      <c r="E48">
        <v>9</v>
      </c>
      <c r="F48" t="s">
        <v>28</v>
      </c>
      <c r="G48" s="15"/>
      <c r="H48">
        <v>1215</v>
      </c>
      <c r="I48" s="154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366</v>
      </c>
      <c r="B49" s="2" t="s">
        <v>366</v>
      </c>
      <c r="C49" s="2" t="s">
        <v>154</v>
      </c>
      <c r="D49" s="2">
        <v>6</v>
      </c>
      <c r="E49" s="2">
        <v>12</v>
      </c>
      <c r="F49" s="2" t="s">
        <v>28</v>
      </c>
      <c r="G49" s="157">
        <v>0.37</v>
      </c>
      <c r="H49" s="2">
        <v>207</v>
      </c>
      <c r="I49" s="158"/>
      <c r="J49" s="2">
        <v>8</v>
      </c>
      <c r="K49" s="157"/>
      <c r="L49" s="157"/>
      <c r="M49" s="157">
        <v>0.11</v>
      </c>
      <c r="N49" s="2"/>
      <c r="O49" s="157"/>
      <c r="P49" s="2"/>
      <c r="Q49" s="157">
        <v>7.0000000000000007E-2</v>
      </c>
      <c r="R49" s="59" t="s">
        <v>211</v>
      </c>
    </row>
    <row r="50" spans="1:19" hidden="1">
      <c r="A50" t="s">
        <v>141</v>
      </c>
      <c r="B50" t="s">
        <v>141</v>
      </c>
      <c r="C50" t="s">
        <v>154</v>
      </c>
      <c r="D50">
        <v>1</v>
      </c>
      <c r="E50">
        <v>9</v>
      </c>
      <c r="F50" t="s">
        <v>27</v>
      </c>
      <c r="G50" s="15">
        <v>0.11</v>
      </c>
      <c r="I50" s="154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141</v>
      </c>
      <c r="B51" t="s">
        <v>141</v>
      </c>
      <c r="C51" t="s">
        <v>154</v>
      </c>
      <c r="D51">
        <v>2</v>
      </c>
      <c r="E51">
        <v>9</v>
      </c>
      <c r="F51" t="s">
        <v>27</v>
      </c>
      <c r="G51" s="15">
        <v>0.18</v>
      </c>
      <c r="I51" s="154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141</v>
      </c>
      <c r="B52" t="s">
        <v>141</v>
      </c>
      <c r="C52" t="s">
        <v>154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54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62" t="s">
        <v>141</v>
      </c>
      <c r="B53" s="162" t="s">
        <v>141</v>
      </c>
      <c r="C53" s="162" t="s">
        <v>158</v>
      </c>
      <c r="D53" s="162">
        <v>4</v>
      </c>
      <c r="E53" s="162">
        <v>9</v>
      </c>
      <c r="F53" s="162" t="s">
        <v>27</v>
      </c>
      <c r="G53" s="163">
        <v>0.24</v>
      </c>
      <c r="H53" s="162"/>
      <c r="I53" s="164"/>
      <c r="J53" s="162"/>
      <c r="K53" s="163"/>
      <c r="L53" s="163">
        <v>0.02</v>
      </c>
      <c r="M53" s="163">
        <v>0.04</v>
      </c>
      <c r="N53" s="162"/>
      <c r="O53" s="163"/>
      <c r="P53" s="162">
        <v>26</v>
      </c>
      <c r="Q53" s="163">
        <v>0.02</v>
      </c>
      <c r="R53" s="165"/>
    </row>
    <row r="54" spans="1:19" hidden="1">
      <c r="A54" t="s">
        <v>141</v>
      </c>
      <c r="B54" t="s">
        <v>141</v>
      </c>
      <c r="C54" t="s">
        <v>154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54"/>
      <c r="K54" s="15">
        <v>0.02</v>
      </c>
      <c r="L54" s="15"/>
      <c r="M54" s="15"/>
      <c r="O54" s="15"/>
      <c r="P54">
        <v>3</v>
      </c>
      <c r="Q54" s="15"/>
      <c r="R54" s="6"/>
    </row>
    <row r="55" spans="1:19">
      <c r="A55" s="162" t="s">
        <v>141</v>
      </c>
      <c r="B55" s="162" t="s">
        <v>141</v>
      </c>
      <c r="C55" s="162" t="s">
        <v>197</v>
      </c>
      <c r="D55" s="162">
        <v>6</v>
      </c>
      <c r="E55" s="162">
        <v>9</v>
      </c>
      <c r="F55" s="162" t="s">
        <v>27</v>
      </c>
      <c r="G55" s="163">
        <v>0.12</v>
      </c>
      <c r="H55" s="162"/>
      <c r="I55" s="164">
        <v>0.03</v>
      </c>
      <c r="J55" s="162"/>
      <c r="K55" s="163">
        <v>0.03</v>
      </c>
      <c r="L55" s="163">
        <v>0.04</v>
      </c>
      <c r="M55" s="163"/>
      <c r="N55" s="162"/>
      <c r="O55" s="163">
        <v>0.24</v>
      </c>
      <c r="P55" s="162"/>
      <c r="Q55" s="163"/>
      <c r="R55" s="165"/>
    </row>
    <row r="56" spans="1:19">
      <c r="A56" t="s">
        <v>156</v>
      </c>
      <c r="B56" t="s">
        <v>156</v>
      </c>
      <c r="C56" t="s">
        <v>155</v>
      </c>
      <c r="D56">
        <v>1</v>
      </c>
      <c r="E56">
        <v>12</v>
      </c>
      <c r="F56" t="s">
        <v>28</v>
      </c>
      <c r="G56" s="15"/>
      <c r="I56" s="154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>
      <c r="A57" t="s">
        <v>156</v>
      </c>
      <c r="B57" t="s">
        <v>156</v>
      </c>
      <c r="C57" t="s">
        <v>155</v>
      </c>
      <c r="D57">
        <v>2</v>
      </c>
      <c r="E57">
        <v>15</v>
      </c>
      <c r="F57" t="s">
        <v>28</v>
      </c>
      <c r="G57" s="15"/>
      <c r="I57" s="154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156</v>
      </c>
      <c r="B58" t="s">
        <v>156</v>
      </c>
      <c r="C58" t="s">
        <v>197</v>
      </c>
      <c r="D58">
        <v>3</v>
      </c>
      <c r="E58">
        <v>12</v>
      </c>
      <c r="F58" t="s">
        <v>28</v>
      </c>
      <c r="G58" s="15"/>
      <c r="H58">
        <v>194</v>
      </c>
      <c r="I58" s="154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>
      <c r="A59" t="s">
        <v>156</v>
      </c>
      <c r="B59" t="s">
        <v>156</v>
      </c>
      <c r="C59" t="s">
        <v>155</v>
      </c>
      <c r="D59">
        <v>4</v>
      </c>
      <c r="E59">
        <v>15</v>
      </c>
      <c r="F59" t="s">
        <v>29</v>
      </c>
      <c r="G59" s="15">
        <v>0.63</v>
      </c>
      <c r="I59" s="154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>
      <c r="A60" t="s">
        <v>156</v>
      </c>
      <c r="B60" t="s">
        <v>156</v>
      </c>
      <c r="C60" t="s">
        <v>155</v>
      </c>
      <c r="D60">
        <v>5</v>
      </c>
      <c r="E60">
        <v>9</v>
      </c>
      <c r="F60" t="s">
        <v>28</v>
      </c>
      <c r="G60" s="15"/>
      <c r="H60">
        <v>1215</v>
      </c>
      <c r="I60" s="154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>
      <c r="A61" s="155" t="s">
        <v>156</v>
      </c>
      <c r="B61" s="155" t="s">
        <v>156</v>
      </c>
      <c r="C61" s="155" t="s">
        <v>197</v>
      </c>
      <c r="D61" s="155">
        <v>6</v>
      </c>
      <c r="E61" s="155">
        <v>9</v>
      </c>
      <c r="F61" s="155" t="s">
        <v>26</v>
      </c>
      <c r="G61" s="156"/>
      <c r="H61" s="155"/>
      <c r="I61" s="166">
        <v>0.22</v>
      </c>
      <c r="J61" s="155">
        <v>6</v>
      </c>
      <c r="K61" s="156"/>
      <c r="L61" s="156"/>
      <c r="M61" s="156"/>
      <c r="N61" s="155"/>
      <c r="O61" s="156">
        <v>0.02</v>
      </c>
      <c r="P61" s="155"/>
      <c r="Q61" s="156">
        <v>0.05</v>
      </c>
      <c r="R61" s="167"/>
      <c r="S61" s="155"/>
    </row>
    <row r="62" spans="1:19" hidden="1">
      <c r="A62" t="s">
        <v>152</v>
      </c>
      <c r="B62" t="s">
        <v>152</v>
      </c>
      <c r="C62" t="s">
        <v>86</v>
      </c>
      <c r="D62">
        <v>1</v>
      </c>
      <c r="E62">
        <v>12</v>
      </c>
      <c r="F62" t="s">
        <v>28</v>
      </c>
      <c r="G62" s="15">
        <v>0.05</v>
      </c>
      <c r="I62" s="154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152</v>
      </c>
    </row>
    <row r="63" spans="1:19" hidden="1">
      <c r="A63" s="10"/>
      <c r="B63" s="10"/>
      <c r="C63" s="10" t="s">
        <v>154</v>
      </c>
      <c r="D63" s="10">
        <v>1</v>
      </c>
      <c r="E63" s="10">
        <v>9</v>
      </c>
      <c r="F63" s="10" t="s">
        <v>28</v>
      </c>
      <c r="G63" s="168">
        <v>0.09</v>
      </c>
      <c r="H63" s="10"/>
      <c r="I63" s="169"/>
      <c r="J63" s="10"/>
      <c r="K63" s="168">
        <v>7.0000000000000007E-2</v>
      </c>
      <c r="L63" s="168">
        <v>0.04</v>
      </c>
      <c r="M63" s="168"/>
      <c r="N63" s="10">
        <v>78</v>
      </c>
      <c r="O63" s="168"/>
      <c r="P63" s="10"/>
      <c r="Q63" s="168">
        <v>0.13</v>
      </c>
      <c r="R63" s="56"/>
      <c r="S63" s="10" t="s">
        <v>383</v>
      </c>
    </row>
    <row r="64" spans="1:19" hidden="1">
      <c r="C64" t="s">
        <v>86</v>
      </c>
      <c r="D64">
        <v>1</v>
      </c>
      <c r="E64">
        <v>6</v>
      </c>
      <c r="F64" t="s">
        <v>28</v>
      </c>
      <c r="G64" s="15">
        <v>0.04</v>
      </c>
      <c r="I64" s="154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383</v>
      </c>
    </row>
    <row r="65" spans="1:19" hidden="1">
      <c r="C65" t="s">
        <v>86</v>
      </c>
      <c r="D65">
        <v>1</v>
      </c>
      <c r="E65">
        <v>6</v>
      </c>
      <c r="F65" t="s">
        <v>28</v>
      </c>
      <c r="G65" s="15">
        <v>0.04</v>
      </c>
      <c r="I65" s="154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383</v>
      </c>
    </row>
    <row r="66" spans="1:19">
      <c r="C66" t="s">
        <v>197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383</v>
      </c>
    </row>
    <row r="67" spans="1:19" hidden="1">
      <c r="A67" t="s">
        <v>152</v>
      </c>
      <c r="B67" t="s">
        <v>152</v>
      </c>
      <c r="C67" t="s">
        <v>86</v>
      </c>
      <c r="D67">
        <v>6</v>
      </c>
      <c r="E67">
        <v>15</v>
      </c>
      <c r="F67" t="s">
        <v>29</v>
      </c>
      <c r="G67" s="15">
        <v>0.63</v>
      </c>
      <c r="I67" s="154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152</v>
      </c>
    </row>
    <row r="68" spans="1:19" hidden="1">
      <c r="A68" t="s">
        <v>376</v>
      </c>
      <c r="B68" t="s">
        <v>376</v>
      </c>
      <c r="C68" t="s">
        <v>86</v>
      </c>
      <c r="D68">
        <v>1</v>
      </c>
      <c r="E68">
        <v>9</v>
      </c>
      <c r="F68" t="s">
        <v>27</v>
      </c>
      <c r="G68" s="15"/>
      <c r="H68">
        <v>126</v>
      </c>
      <c r="I68" s="154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376</v>
      </c>
      <c r="B69" t="s">
        <v>376</v>
      </c>
      <c r="C69" t="s">
        <v>86</v>
      </c>
      <c r="D69">
        <v>2</v>
      </c>
      <c r="E69">
        <v>9</v>
      </c>
      <c r="F69" t="s">
        <v>26</v>
      </c>
      <c r="G69" s="15"/>
      <c r="I69" s="154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376</v>
      </c>
      <c r="B70" t="s">
        <v>376</v>
      </c>
      <c r="C70" t="s">
        <v>86</v>
      </c>
      <c r="D70">
        <v>3</v>
      </c>
      <c r="E70">
        <v>9</v>
      </c>
      <c r="F70" t="s">
        <v>26</v>
      </c>
      <c r="G70" s="15">
        <v>0.03</v>
      </c>
      <c r="I70" s="154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376</v>
      </c>
      <c r="B71" t="s">
        <v>376</v>
      </c>
      <c r="C71" t="s">
        <v>86</v>
      </c>
      <c r="D71">
        <v>4</v>
      </c>
      <c r="E71">
        <v>9</v>
      </c>
      <c r="F71" t="s">
        <v>27</v>
      </c>
      <c r="G71" s="15">
        <v>0.05</v>
      </c>
      <c r="I71" s="154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376</v>
      </c>
      <c r="B72" t="s">
        <v>376</v>
      </c>
      <c r="C72" t="s">
        <v>86</v>
      </c>
      <c r="D72">
        <v>5</v>
      </c>
      <c r="E72">
        <v>9</v>
      </c>
      <c r="F72" t="s">
        <v>27</v>
      </c>
      <c r="G72" s="15"/>
      <c r="H72">
        <v>970</v>
      </c>
      <c r="I72" s="154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376</v>
      </c>
      <c r="B73" t="s">
        <v>376</v>
      </c>
      <c r="C73" t="s">
        <v>86</v>
      </c>
      <c r="D73">
        <v>6</v>
      </c>
      <c r="E73">
        <v>6</v>
      </c>
      <c r="F73" t="s">
        <v>28</v>
      </c>
      <c r="G73" s="15"/>
      <c r="I73" s="154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377</v>
      </c>
      <c r="B74" t="s">
        <v>377</v>
      </c>
      <c r="C74" t="s">
        <v>154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54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377</v>
      </c>
      <c r="B75" t="s">
        <v>377</v>
      </c>
      <c r="C75" t="s">
        <v>154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54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377</v>
      </c>
      <c r="B76" t="s">
        <v>377</v>
      </c>
      <c r="C76" t="s">
        <v>154</v>
      </c>
      <c r="D76">
        <v>3</v>
      </c>
      <c r="E76">
        <v>9</v>
      </c>
      <c r="F76" t="s">
        <v>27</v>
      </c>
      <c r="G76" s="15"/>
      <c r="H76">
        <v>302</v>
      </c>
      <c r="I76" s="154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377</v>
      </c>
      <c r="B77" t="s">
        <v>377</v>
      </c>
      <c r="C77" t="s">
        <v>154</v>
      </c>
      <c r="D77">
        <v>4</v>
      </c>
      <c r="E77">
        <v>9</v>
      </c>
      <c r="F77" t="s">
        <v>27</v>
      </c>
      <c r="G77" s="15">
        <v>0.04</v>
      </c>
      <c r="I77" s="154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377</v>
      </c>
      <c r="B78" t="s">
        <v>377</v>
      </c>
      <c r="C78" t="s">
        <v>154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54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377</v>
      </c>
      <c r="B79" t="s">
        <v>377</v>
      </c>
      <c r="C79" t="s">
        <v>154</v>
      </c>
      <c r="D79">
        <v>6</v>
      </c>
      <c r="E79">
        <v>12</v>
      </c>
      <c r="F79" t="s">
        <v>28</v>
      </c>
      <c r="G79" s="15">
        <v>0.37</v>
      </c>
      <c r="I79" s="154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378</v>
      </c>
      <c r="B80" t="s">
        <v>378</v>
      </c>
      <c r="C80" t="s">
        <v>88</v>
      </c>
      <c r="D80">
        <v>1</v>
      </c>
      <c r="E80">
        <v>6</v>
      </c>
      <c r="F80" t="s">
        <v>28</v>
      </c>
      <c r="G80" s="15"/>
      <c r="I80" s="154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378</v>
      </c>
      <c r="B81" t="s">
        <v>378</v>
      </c>
      <c r="C81" t="s">
        <v>88</v>
      </c>
      <c r="D81">
        <v>2</v>
      </c>
      <c r="E81">
        <v>0</v>
      </c>
      <c r="F81" t="s">
        <v>27</v>
      </c>
      <c r="G81" s="15">
        <v>0.04</v>
      </c>
      <c r="I81" s="154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378</v>
      </c>
      <c r="B82" t="s">
        <v>378</v>
      </c>
      <c r="C82" t="s">
        <v>88</v>
      </c>
      <c r="D82">
        <v>3</v>
      </c>
      <c r="E82">
        <v>6</v>
      </c>
      <c r="F82" t="s">
        <v>26</v>
      </c>
      <c r="G82" s="15"/>
      <c r="I82" s="154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378</v>
      </c>
      <c r="B83" t="s">
        <v>378</v>
      </c>
      <c r="C83" t="s">
        <v>86</v>
      </c>
      <c r="D83">
        <v>4</v>
      </c>
      <c r="E83">
        <v>9</v>
      </c>
      <c r="F83" t="s">
        <v>27</v>
      </c>
      <c r="G83" s="15"/>
      <c r="I83" s="154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378</v>
      </c>
      <c r="B84" t="s">
        <v>378</v>
      </c>
      <c r="C84" t="s">
        <v>86</v>
      </c>
      <c r="D84">
        <v>5</v>
      </c>
      <c r="E84">
        <v>12</v>
      </c>
      <c r="F84" t="s">
        <v>27</v>
      </c>
      <c r="G84" s="15"/>
      <c r="H84">
        <v>970</v>
      </c>
      <c r="I84" s="154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378</v>
      </c>
      <c r="B85" t="s">
        <v>378</v>
      </c>
      <c r="C85" t="s">
        <v>88</v>
      </c>
      <c r="D85">
        <v>6</v>
      </c>
      <c r="E85">
        <v>0</v>
      </c>
      <c r="F85" t="s">
        <v>27</v>
      </c>
      <c r="G85" s="15"/>
      <c r="I85" s="154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154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54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154</v>
      </c>
      <c r="D87">
        <v>1</v>
      </c>
      <c r="E87">
        <v>0</v>
      </c>
      <c r="F87" t="s">
        <v>27</v>
      </c>
      <c r="G87" s="15"/>
      <c r="H87">
        <v>97</v>
      </c>
      <c r="I87" s="154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154</v>
      </c>
      <c r="D88">
        <v>1</v>
      </c>
      <c r="E88">
        <v>0</v>
      </c>
      <c r="F88" t="s">
        <v>27</v>
      </c>
      <c r="G88" s="15">
        <v>0.05</v>
      </c>
      <c r="I88" s="154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154</v>
      </c>
      <c r="D89">
        <v>1</v>
      </c>
      <c r="E89">
        <v>6</v>
      </c>
      <c r="F89" t="s">
        <v>27</v>
      </c>
      <c r="G89" s="15"/>
      <c r="I89" s="154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154</v>
      </c>
      <c r="D90">
        <v>1</v>
      </c>
      <c r="E90">
        <v>0</v>
      </c>
      <c r="F90" t="s">
        <v>27</v>
      </c>
      <c r="G90" s="15">
        <v>0.06</v>
      </c>
      <c r="I90" s="154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193</v>
      </c>
      <c r="C91" s="2" t="s">
        <v>154</v>
      </c>
      <c r="D91" s="2">
        <v>1</v>
      </c>
      <c r="E91" s="2">
        <v>9</v>
      </c>
      <c r="F91" s="2" t="s">
        <v>28</v>
      </c>
      <c r="G91" s="157">
        <v>0.06</v>
      </c>
      <c r="H91" s="2">
        <v>105</v>
      </c>
      <c r="I91" s="158">
        <v>0.06</v>
      </c>
      <c r="J91" s="2">
        <v>4</v>
      </c>
      <c r="K91" s="157">
        <v>0.14000000000000001</v>
      </c>
      <c r="L91" s="157"/>
      <c r="M91" s="157"/>
      <c r="N91" s="2">
        <v>78</v>
      </c>
      <c r="O91" s="157"/>
      <c r="P91" s="2"/>
      <c r="Q91" s="157"/>
      <c r="R91" s="59" t="s">
        <v>211</v>
      </c>
      <c r="S91" s="2" t="s">
        <v>384</v>
      </c>
    </row>
    <row r="92" spans="1:19" hidden="1">
      <c r="C92" t="s">
        <v>154</v>
      </c>
      <c r="D92">
        <v>1</v>
      </c>
      <c r="E92">
        <v>0</v>
      </c>
      <c r="F92" t="s">
        <v>28</v>
      </c>
      <c r="G92" s="15">
        <v>0.05</v>
      </c>
      <c r="I92" s="154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>
      <c r="C93" t="s">
        <v>197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383</v>
      </c>
    </row>
    <row r="94" spans="1:19" hidden="1">
      <c r="C94" t="s">
        <v>154</v>
      </c>
      <c r="D94">
        <v>1</v>
      </c>
      <c r="E94">
        <v>0</v>
      </c>
      <c r="F94" t="s">
        <v>27</v>
      </c>
      <c r="G94" s="15">
        <v>0.05</v>
      </c>
      <c r="I94" s="154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154</v>
      </c>
      <c r="D95">
        <v>1</v>
      </c>
      <c r="E95">
        <v>9</v>
      </c>
      <c r="F95" t="s">
        <v>28</v>
      </c>
      <c r="G95" s="15">
        <v>0.05</v>
      </c>
      <c r="I95" s="154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154</v>
      </c>
      <c r="D96">
        <v>1</v>
      </c>
      <c r="E96">
        <v>0</v>
      </c>
      <c r="F96" t="s">
        <v>28</v>
      </c>
      <c r="G96" s="15"/>
      <c r="I96" s="154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154</v>
      </c>
      <c r="D97">
        <v>1</v>
      </c>
      <c r="E97">
        <v>0</v>
      </c>
      <c r="F97" t="s">
        <v>27</v>
      </c>
      <c r="G97" s="15"/>
      <c r="I97" s="154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154</v>
      </c>
      <c r="D98">
        <v>2</v>
      </c>
      <c r="E98">
        <v>0</v>
      </c>
      <c r="F98" t="s">
        <v>27</v>
      </c>
      <c r="G98" s="15"/>
      <c r="I98" s="154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152</v>
      </c>
      <c r="C99" t="s">
        <v>154</v>
      </c>
      <c r="D99">
        <v>2</v>
      </c>
      <c r="E99">
        <v>12</v>
      </c>
      <c r="F99" t="s">
        <v>27</v>
      </c>
      <c r="G99" s="15">
        <v>0.31</v>
      </c>
      <c r="I99" s="154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152</v>
      </c>
    </row>
    <row r="100" spans="1:19" hidden="1">
      <c r="C100" t="s">
        <v>154</v>
      </c>
      <c r="D100">
        <v>2</v>
      </c>
      <c r="E100">
        <v>9</v>
      </c>
      <c r="F100" t="s">
        <v>26</v>
      </c>
      <c r="G100" s="15">
        <v>0.22</v>
      </c>
      <c r="I100" s="154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154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54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154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54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154</v>
      </c>
      <c r="D103">
        <v>3</v>
      </c>
      <c r="E103">
        <v>0</v>
      </c>
      <c r="F103" t="s">
        <v>27</v>
      </c>
      <c r="G103" s="15"/>
      <c r="I103" s="154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154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54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154</v>
      </c>
      <c r="D105">
        <v>3</v>
      </c>
      <c r="E105">
        <v>3</v>
      </c>
      <c r="F105" t="s">
        <v>27</v>
      </c>
      <c r="G105" s="15">
        <v>0.06</v>
      </c>
      <c r="I105" s="154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154</v>
      </c>
      <c r="D106">
        <v>3</v>
      </c>
      <c r="E106">
        <v>0</v>
      </c>
      <c r="F106" t="s">
        <v>27</v>
      </c>
      <c r="G106" s="15"/>
      <c r="H106">
        <v>194</v>
      </c>
      <c r="I106" s="154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154</v>
      </c>
      <c r="D107">
        <v>4</v>
      </c>
      <c r="E107">
        <v>0</v>
      </c>
      <c r="F107" t="s">
        <v>27</v>
      </c>
      <c r="G107" s="15"/>
      <c r="I107" s="154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154</v>
      </c>
      <c r="D108">
        <v>4</v>
      </c>
      <c r="E108">
        <v>0</v>
      </c>
      <c r="F108" t="s">
        <v>27</v>
      </c>
      <c r="G108" s="15"/>
      <c r="I108" s="154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154</v>
      </c>
      <c r="D109">
        <v>4</v>
      </c>
      <c r="E109">
        <v>9</v>
      </c>
      <c r="F109" t="s">
        <v>27</v>
      </c>
      <c r="G109" s="15"/>
      <c r="I109" s="154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154</v>
      </c>
      <c r="D110">
        <v>4</v>
      </c>
      <c r="E110">
        <v>0</v>
      </c>
      <c r="F110" t="s">
        <v>27</v>
      </c>
      <c r="G110" s="15">
        <v>0.05</v>
      </c>
      <c r="I110" s="154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154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54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154</v>
      </c>
      <c r="D112">
        <v>5</v>
      </c>
      <c r="E112">
        <v>9</v>
      </c>
      <c r="F112" t="s">
        <v>28</v>
      </c>
      <c r="G112" s="15"/>
      <c r="H112">
        <v>1215</v>
      </c>
      <c r="I112" s="154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154</v>
      </c>
      <c r="D113">
        <v>5</v>
      </c>
      <c r="E113">
        <v>0</v>
      </c>
      <c r="F113" t="s">
        <v>28</v>
      </c>
      <c r="G113" s="15"/>
      <c r="H113">
        <v>270</v>
      </c>
      <c r="I113" s="154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154</v>
      </c>
      <c r="D114">
        <v>5</v>
      </c>
      <c r="E114">
        <v>6</v>
      </c>
      <c r="F114" t="s">
        <v>27</v>
      </c>
      <c r="G114" s="15"/>
      <c r="H114">
        <v>160</v>
      </c>
      <c r="I114" s="154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154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54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154</v>
      </c>
      <c r="D116">
        <v>5</v>
      </c>
      <c r="E116">
        <v>0</v>
      </c>
      <c r="F116" t="s">
        <v>27</v>
      </c>
      <c r="G116" s="15"/>
      <c r="H116">
        <v>160</v>
      </c>
      <c r="I116" s="154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154</v>
      </c>
      <c r="D117">
        <v>5</v>
      </c>
      <c r="E117">
        <v>0</v>
      </c>
      <c r="F117" t="s">
        <v>28</v>
      </c>
      <c r="G117" s="15"/>
      <c r="H117">
        <v>270</v>
      </c>
      <c r="I117" s="154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154</v>
      </c>
      <c r="D118">
        <v>5</v>
      </c>
      <c r="E118">
        <v>0</v>
      </c>
      <c r="F118" t="s">
        <v>28</v>
      </c>
      <c r="G118" s="15"/>
      <c r="H118">
        <v>270</v>
      </c>
      <c r="I118" s="154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154</v>
      </c>
      <c r="D119">
        <v>5</v>
      </c>
      <c r="E119">
        <v>0</v>
      </c>
      <c r="F119" t="s">
        <v>27</v>
      </c>
      <c r="G119" s="15"/>
      <c r="I119" s="154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86</v>
      </c>
      <c r="D120">
        <v>6</v>
      </c>
      <c r="E120">
        <v>0</v>
      </c>
      <c r="F120" t="s">
        <v>28</v>
      </c>
      <c r="G120" s="15"/>
      <c r="I120" s="154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86</v>
      </c>
      <c r="D121">
        <v>6</v>
      </c>
      <c r="E121">
        <v>0</v>
      </c>
      <c r="F121" t="s">
        <v>28</v>
      </c>
      <c r="G121" s="15"/>
      <c r="I121" s="154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152</v>
      </c>
      <c r="C122" s="2" t="s">
        <v>154</v>
      </c>
      <c r="D122" s="2">
        <v>2</v>
      </c>
      <c r="E122" s="2">
        <v>12</v>
      </c>
      <c r="F122" s="2" t="s">
        <v>28</v>
      </c>
      <c r="G122" s="157">
        <v>0.37</v>
      </c>
      <c r="H122" s="2"/>
      <c r="I122" s="158"/>
      <c r="J122" s="2">
        <v>4</v>
      </c>
      <c r="K122" s="157">
        <v>0.04</v>
      </c>
      <c r="L122" s="157">
        <v>0.08</v>
      </c>
      <c r="M122" s="157">
        <v>0.04</v>
      </c>
      <c r="N122" s="2"/>
      <c r="O122" s="157"/>
      <c r="P122" s="2"/>
      <c r="Q122" s="157">
        <v>0.08</v>
      </c>
      <c r="R122" s="59" t="s">
        <v>211</v>
      </c>
      <c r="S122" s="2" t="s">
        <v>383</v>
      </c>
    </row>
    <row r="123" spans="1:19" hidden="1">
      <c r="C123" t="s">
        <v>86</v>
      </c>
      <c r="D123">
        <v>2</v>
      </c>
      <c r="E123">
        <v>9</v>
      </c>
      <c r="F123" t="s">
        <v>27</v>
      </c>
      <c r="G123" s="15">
        <v>0.24</v>
      </c>
      <c r="I123" s="154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383</v>
      </c>
    </row>
    <row r="124" spans="1:19" hidden="1">
      <c r="C124" t="s">
        <v>86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152</v>
      </c>
      <c r="B125" t="s">
        <v>152</v>
      </c>
      <c r="C125" t="s">
        <v>197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54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152</v>
      </c>
    </row>
    <row r="126" spans="1:19" hidden="1">
      <c r="C126" t="s">
        <v>86</v>
      </c>
      <c r="D126">
        <v>3</v>
      </c>
      <c r="E126">
        <v>6</v>
      </c>
      <c r="F126" t="s">
        <v>27</v>
      </c>
      <c r="G126" s="15">
        <v>0.09</v>
      </c>
      <c r="I126" s="154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86</v>
      </c>
      <c r="D127">
        <v>3</v>
      </c>
      <c r="E127">
        <v>9</v>
      </c>
      <c r="F127" t="s">
        <v>27</v>
      </c>
      <c r="G127" s="15">
        <v>0.17</v>
      </c>
      <c r="I127" s="154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383</v>
      </c>
    </row>
    <row r="128" spans="1:19" hidden="1">
      <c r="C128" t="s">
        <v>86</v>
      </c>
      <c r="D128">
        <v>3</v>
      </c>
      <c r="E128">
        <v>6</v>
      </c>
      <c r="F128" t="s">
        <v>28</v>
      </c>
      <c r="G128" s="15"/>
      <c r="H128">
        <v>204</v>
      </c>
      <c r="I128" s="154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86</v>
      </c>
      <c r="D129">
        <v>3</v>
      </c>
      <c r="E129">
        <v>6</v>
      </c>
      <c r="F129" t="s">
        <v>28</v>
      </c>
      <c r="G129" s="15"/>
      <c r="I129" s="154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86</v>
      </c>
      <c r="D130">
        <v>3</v>
      </c>
      <c r="E130">
        <v>6</v>
      </c>
      <c r="F130" t="s">
        <v>27</v>
      </c>
      <c r="G130" s="15">
        <v>0.06</v>
      </c>
      <c r="I130" s="154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>
      <c r="A131" t="s">
        <v>152</v>
      </c>
      <c r="B131" t="s">
        <v>152</v>
      </c>
      <c r="C131" t="s">
        <v>197</v>
      </c>
      <c r="D131">
        <v>4</v>
      </c>
      <c r="E131">
        <v>12</v>
      </c>
      <c r="F131" t="s">
        <v>27</v>
      </c>
      <c r="G131" s="15">
        <v>0.31</v>
      </c>
      <c r="I131" s="154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152</v>
      </c>
    </row>
    <row r="132" spans="1:19" hidden="1">
      <c r="C132" t="s">
        <v>86</v>
      </c>
      <c r="D132">
        <v>4</v>
      </c>
      <c r="E132">
        <v>6</v>
      </c>
      <c r="F132" t="s">
        <v>28</v>
      </c>
      <c r="G132" s="15">
        <v>0.24</v>
      </c>
      <c r="I132" s="154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383</v>
      </c>
    </row>
    <row r="133" spans="1:19" hidden="1">
      <c r="C133" t="s">
        <v>86</v>
      </c>
      <c r="D133">
        <v>4</v>
      </c>
      <c r="E133">
        <v>0</v>
      </c>
      <c r="F133" t="s">
        <v>29</v>
      </c>
      <c r="G133" s="15"/>
      <c r="H133">
        <v>200</v>
      </c>
      <c r="I133" s="154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86</v>
      </c>
      <c r="D134">
        <v>5</v>
      </c>
      <c r="E134">
        <v>6</v>
      </c>
      <c r="F134" t="s">
        <v>27</v>
      </c>
      <c r="G134" s="15"/>
      <c r="H134">
        <v>700</v>
      </c>
      <c r="I134" s="154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86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54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86</v>
      </c>
      <c r="D136">
        <v>5</v>
      </c>
      <c r="E136">
        <v>0</v>
      </c>
      <c r="F136" t="s">
        <v>28</v>
      </c>
      <c r="G136" s="15">
        <v>7.0000000000000007E-2</v>
      </c>
      <c r="I136" s="154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86</v>
      </c>
      <c r="D137">
        <v>4</v>
      </c>
      <c r="E137">
        <v>6</v>
      </c>
      <c r="F137" t="s">
        <v>28</v>
      </c>
      <c r="G137" s="15">
        <v>0.24</v>
      </c>
      <c r="I137" s="154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383</v>
      </c>
    </row>
    <row r="138" spans="1:19" hidden="1">
      <c r="C138" t="s">
        <v>86</v>
      </c>
      <c r="D138">
        <v>5</v>
      </c>
      <c r="E138">
        <v>0</v>
      </c>
      <c r="F138" t="s">
        <v>28</v>
      </c>
      <c r="G138" s="15">
        <v>7.0000000000000007E-2</v>
      </c>
      <c r="I138" s="154"/>
      <c r="K138" s="15"/>
      <c r="L138" s="15"/>
      <c r="M138" s="15"/>
      <c r="N138">
        <v>12</v>
      </c>
      <c r="O138" s="15"/>
      <c r="Q138" s="15"/>
      <c r="R138" s="6"/>
    </row>
    <row r="139" spans="1:19">
      <c r="C139" t="s">
        <v>155</v>
      </c>
      <c r="D139">
        <v>6</v>
      </c>
      <c r="E139">
        <v>0</v>
      </c>
      <c r="F139" t="s">
        <v>28</v>
      </c>
      <c r="G139" s="15">
        <v>7.0000000000000007E-2</v>
      </c>
      <c r="I139" s="154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>
      <c r="C140" t="s">
        <v>155</v>
      </c>
      <c r="D140">
        <v>6</v>
      </c>
      <c r="E140">
        <v>0</v>
      </c>
      <c r="F140" t="s">
        <v>27</v>
      </c>
      <c r="G140" s="15"/>
      <c r="H140">
        <v>93</v>
      </c>
      <c r="I140" s="154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>
      <c r="C141" t="s">
        <v>155</v>
      </c>
      <c r="D141">
        <v>1</v>
      </c>
      <c r="E141">
        <v>0</v>
      </c>
      <c r="F141" t="s">
        <v>27</v>
      </c>
      <c r="G141" s="15"/>
      <c r="I141" s="154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customHeight="1">
      <c r="C142" t="s">
        <v>155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54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>
      <c r="A143" s="2"/>
      <c r="B143" s="2"/>
      <c r="C143" s="2" t="s">
        <v>155</v>
      </c>
      <c r="D143" s="2">
        <v>1</v>
      </c>
      <c r="E143" s="2">
        <v>6</v>
      </c>
      <c r="F143" s="2" t="s">
        <v>28</v>
      </c>
      <c r="G143" s="157"/>
      <c r="H143" s="2"/>
      <c r="I143" s="158">
        <v>0.14000000000000001</v>
      </c>
      <c r="J143" s="2">
        <v>4</v>
      </c>
      <c r="K143" s="157">
        <v>0.08</v>
      </c>
      <c r="L143" s="157"/>
      <c r="M143" s="157"/>
      <c r="N143" s="2"/>
      <c r="O143" s="157"/>
      <c r="P143" s="2"/>
      <c r="Q143" s="157"/>
      <c r="R143" s="59" t="s">
        <v>211</v>
      </c>
      <c r="S143" t="s">
        <v>156</v>
      </c>
    </row>
    <row r="144" spans="1:19">
      <c r="C144" t="s">
        <v>155</v>
      </c>
      <c r="D144">
        <v>1</v>
      </c>
      <c r="E144">
        <v>0</v>
      </c>
      <c r="F144" t="s">
        <v>27</v>
      </c>
      <c r="G144" s="15"/>
      <c r="I144" s="154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>
      <c r="A145" s="2"/>
      <c r="B145" s="2"/>
      <c r="C145" s="2" t="s">
        <v>155</v>
      </c>
      <c r="D145" s="2">
        <v>1</v>
      </c>
      <c r="E145" s="2">
        <v>6</v>
      </c>
      <c r="F145" s="2" t="s">
        <v>28</v>
      </c>
      <c r="G145" s="157"/>
      <c r="H145" s="2"/>
      <c r="I145" s="158">
        <v>0.11</v>
      </c>
      <c r="J145" s="2"/>
      <c r="K145" s="157">
        <v>0.03</v>
      </c>
      <c r="L145" s="157">
        <v>0.06</v>
      </c>
      <c r="M145" s="157"/>
      <c r="N145" s="2"/>
      <c r="O145" s="157"/>
      <c r="P145" s="2"/>
      <c r="Q145" s="157"/>
      <c r="R145" s="59" t="s">
        <v>211</v>
      </c>
    </row>
    <row r="146" spans="1:18">
      <c r="C146" t="s">
        <v>155</v>
      </c>
      <c r="D146">
        <v>1</v>
      </c>
      <c r="E146">
        <v>6</v>
      </c>
      <c r="F146" t="s">
        <v>27</v>
      </c>
      <c r="G146" s="15">
        <v>0.14000000000000001</v>
      </c>
      <c r="I146" s="154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>
      <c r="C147" t="s">
        <v>155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>
      <c r="C148" t="s">
        <v>155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155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155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155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155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155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155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155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155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>
      <c r="C157" t="s">
        <v>155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>
      <c r="C158" t="s">
        <v>155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>
      <c r="C159" t="s">
        <v>155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>
      <c r="C160" t="s">
        <v>155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>
      <c r="C161" t="s">
        <v>155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>
      <c r="C162" t="s">
        <v>155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>
      <c r="C163" t="s">
        <v>155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>
      <c r="C164" t="s">
        <v>155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>
      <c r="C165" t="s">
        <v>155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>
      <c r="C166" t="s">
        <v>155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>
      <c r="C167" t="s">
        <v>197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>
      <c r="C168" t="s">
        <v>197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>
      <c r="C169" t="s">
        <v>197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383</v>
      </c>
    </row>
    <row r="170" spans="1:19" hidden="1">
      <c r="A170" t="s">
        <v>152</v>
      </c>
      <c r="B170" t="s">
        <v>152</v>
      </c>
      <c r="C170" t="s">
        <v>154</v>
      </c>
      <c r="D170">
        <v>5</v>
      </c>
      <c r="E170">
        <v>12</v>
      </c>
      <c r="F170" t="s">
        <v>29</v>
      </c>
      <c r="G170" s="15"/>
      <c r="H170">
        <v>1800</v>
      </c>
      <c r="I170" s="154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152</v>
      </c>
    </row>
    <row r="171" spans="1:19">
      <c r="C171" t="s">
        <v>197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86</v>
      </c>
      <c r="D172" s="10">
        <v>5</v>
      </c>
      <c r="E172" s="10">
        <v>6</v>
      </c>
      <c r="F172" s="10" t="s">
        <v>28</v>
      </c>
      <c r="G172" s="168">
        <v>0.17</v>
      </c>
      <c r="H172" s="10">
        <v>1800</v>
      </c>
      <c r="I172" s="169"/>
      <c r="J172" s="10"/>
      <c r="K172" s="168">
        <v>0.05</v>
      </c>
      <c r="L172" s="168">
        <v>0.04</v>
      </c>
      <c r="M172" s="168"/>
      <c r="N172" s="10">
        <v>13</v>
      </c>
      <c r="O172" s="168"/>
      <c r="P172" s="10"/>
      <c r="Q172" s="168"/>
      <c r="R172" s="56"/>
      <c r="S172" s="10" t="s">
        <v>383</v>
      </c>
    </row>
    <row r="173" spans="1:19">
      <c r="C173" t="s">
        <v>197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>
      <c r="C174" t="s">
        <v>197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367</v>
      </c>
      <c r="C4" t="s">
        <v>368</v>
      </c>
      <c r="D4" t="s">
        <v>369</v>
      </c>
      <c r="E4" t="s">
        <v>370</v>
      </c>
      <c r="F4" t="s">
        <v>371</v>
      </c>
      <c r="G4" t="s">
        <v>372</v>
      </c>
      <c r="H4" t="s">
        <v>373</v>
      </c>
      <c r="I4" t="s">
        <v>374</v>
      </c>
      <c r="J4" t="s">
        <v>375</v>
      </c>
    </row>
    <row r="5" spans="1:10">
      <c r="A5" s="12" t="s">
        <v>193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363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151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365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366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354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364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141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157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156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152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376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377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378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367</v>
      </c>
      <c r="C22" t="s">
        <v>368</v>
      </c>
      <c r="D22" t="s">
        <v>369</v>
      </c>
      <c r="E22" t="s">
        <v>370</v>
      </c>
      <c r="F22" t="s">
        <v>371</v>
      </c>
      <c r="G22" t="s">
        <v>372</v>
      </c>
      <c r="H22" t="s">
        <v>373</v>
      </c>
      <c r="I22" t="s">
        <v>374</v>
      </c>
      <c r="J22" t="s">
        <v>375</v>
      </c>
    </row>
    <row r="23" spans="1:10">
      <c r="A23" s="12" t="s">
        <v>193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363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151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156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152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377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378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365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366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354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376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364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141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157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130</v>
      </c>
      <c r="C1" s="41" t="s">
        <v>131</v>
      </c>
      <c r="D1" s="42" t="s">
        <v>132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345</v>
      </c>
      <c r="B6" t="s">
        <v>3</v>
      </c>
      <c r="C6" t="s">
        <v>2</v>
      </c>
      <c r="D6" t="s">
        <v>342</v>
      </c>
      <c r="E6" t="s">
        <v>341</v>
      </c>
      <c r="F6" t="s">
        <v>343</v>
      </c>
      <c r="G6" t="s">
        <v>344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138</v>
      </c>
      <c r="T6" s="4" t="s">
        <v>142</v>
      </c>
      <c r="U6" s="4" t="s">
        <v>143</v>
      </c>
      <c r="V6" s="4" t="s">
        <v>144</v>
      </c>
      <c r="W6" s="4" t="s">
        <v>145</v>
      </c>
      <c r="X6" s="4" t="s">
        <v>143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Gain]],LocFeatures[[#All],[Location]],Summary!$L7,LocFeatures[[#All],[LVL]],Summary!$M7,LocFeatures[[#All],[Stage]],Summary!$N7)</f>
        <v>3294</v>
      </c>
      <c r="P7">
        <f>SUMIFS(LocFeatures[[#All],[Drop worth gain]],LocFeatures[[#All],[Location]],Summary!$L7,LocFeatures[[#All],[LVL]],Summary!$M7,LocFeatures[[#All],[Stage]],Summary!$N7)</f>
        <v>3091.3773584905657</v>
      </c>
      <c r="Q7">
        <f>SUMIFS(LocFeatures[[#All],[Energy gain]],LocFeatures[[#All],[Location]],Summary!$L7,LocFeatures[[#All],[LVL]],Summary!$M7,LocFeatures[[#All],[Stage]],Summary!$N7)</f>
        <v>0.86792452830188682</v>
      </c>
      <c r="R7">
        <f>SUMIFS(LocFeatures[[#All],[E. Cost]],LocFeatures[[#All],[Location]],Summary!$L7,LocFeatures[[#All],[LVL]],Summary!$M7,LocFeatures[[#All],[Stage]],Summary!$N7)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Gain]],LocFeatures[[#All],[Location]],Summary!$L8,LocFeatures[[#All],[LVL]],Summary!$M8,LocFeatures[[#All],[Stage]],Summary!$N8)</f>
        <v>3294</v>
      </c>
      <c r="P8">
        <f>SUMIFS(LocFeatures[[#All],[Drop worth gain]],LocFeatures[[#All],[Location]],Summary!$L8,LocFeatures[[#All],[LVL]],Summary!$M8,LocFeatures[[#All],[Stage]],Summary!$N8)</f>
        <v>3091.3773584905657</v>
      </c>
      <c r="Q8">
        <f>SUMIFS(LocFeatures[[#All],[Energy gain]],LocFeatures[[#All],[Location]],Summary!$L8,LocFeatures[[#All],[LVL]],Summary!$M8,LocFeatures[[#All],[Stage]],Summary!$N8)</f>
        <v>0.86792452830188682</v>
      </c>
      <c r="R8">
        <f>SUMIFS(LocFeatures[[#All],[E. Cost]],LocFeatures[[#All],[Location]],Summary!$L8,LocFeatures[[#All],[LVL]],Summary!$M8,LocFeatures[[#All],[Stage]],Summary!$N8)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Gain]],LocFeatures[[#All],[Location]],Summary!$L9,LocFeatures[[#All],[LVL]],Summary!$M9,LocFeatures[[#All],[Stage]],Summary!$N9)</f>
        <v>3294</v>
      </c>
      <c r="P9">
        <f>SUMIFS(LocFeatures[[#All],[Drop worth gain]],LocFeatures[[#All],[Location]],Summary!$L9,LocFeatures[[#All],[LVL]],Summary!$M9,LocFeatures[[#All],[Stage]],Summary!$N9)</f>
        <v>3091.3773584905657</v>
      </c>
      <c r="Q9">
        <f>SUMIFS(LocFeatures[[#All],[Energy gain]],LocFeatures[[#All],[Location]],Summary!$L9,LocFeatures[[#All],[LVL]],Summary!$M9,LocFeatures[[#All],[Stage]],Summary!$N9)</f>
        <v>0.86792452830188682</v>
      </c>
      <c r="R9">
        <f>SUMIFS(LocFeatures[[#All],[E. Cost]],LocFeatures[[#All],[Location]],Summary!$L9,LocFeatures[[#All],[LVL]],Summary!$M9,LocFeatures[[#All],[Stage]],Summary!$N9)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Gain]],LocFeatures[[#All],[Location]],Summary!$L10,LocFeatures[[#All],[LVL]],Summary!$M10,LocFeatures[[#All],[Stage]],Summary!$N10)</f>
        <v>3294</v>
      </c>
      <c r="P10">
        <f>SUMIFS(LocFeatures[[#All],[Drop worth gain]],LocFeatures[[#All],[Location]],Summary!$L10,LocFeatures[[#All],[LVL]],Summary!$M10,LocFeatures[[#All],[Stage]],Summary!$N10)</f>
        <v>3091.3773584905657</v>
      </c>
      <c r="Q10">
        <f>SUMIFS(LocFeatures[[#All],[Energy gain]],LocFeatures[[#All],[Location]],Summary!$L10,LocFeatures[[#All],[LVL]],Summary!$M10,LocFeatures[[#All],[Stage]],Summary!$N10)</f>
        <v>0.86792452830188682</v>
      </c>
      <c r="R10">
        <f>SUMIFS(LocFeatures[[#All],[E. Cost]],LocFeatures[[#All],[Location]],Summary!$L10,LocFeatures[[#All],[LVL]],Summary!$M10,LocFeatures[[#All],[Stage]],Summary!$N10)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Gain]],LocFeatures[[#All],[Location]],Summary!$L11,LocFeatures[[#All],[LVL]],Summary!$M11,LocFeatures[[#All],[Stage]],Summary!$N11)</f>
        <v>2268</v>
      </c>
      <c r="P11">
        <f>SUMIFS(LocFeatures[[#All],[Drop worth gain]],LocFeatures[[#All],[Location]],Summary!$L11,LocFeatures[[#All],[LVL]],Summary!$M11,LocFeatures[[#All],[Stage]],Summary!$N11)</f>
        <v>2656.4567901234568</v>
      </c>
      <c r="Q11">
        <f>SUMIFS(LocFeatures[[#All],[Energy gain]],LocFeatures[[#All],[Location]],Summary!$L11,LocFeatures[[#All],[LVL]],Summary!$M11,LocFeatures[[#All],[Stage]],Summary!$N11)</f>
        <v>0.87654320987654322</v>
      </c>
      <c r="R11">
        <f>SUMIFS(LocFeatures[[#All],[E. Cost]],LocFeatures[[#All],[Location]],Summary!$L11,LocFeatures[[#All],[LVL]],Summary!$M11,LocFeatures[[#All],[Stage]],Summary!$N11)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Gain]],LocFeatures[[#All],[Location]],Summary!$L12,LocFeatures[[#All],[LVL]],Summary!$M12,LocFeatures[[#All],[Stage]],Summary!$N12)</f>
        <v>2268</v>
      </c>
      <c r="P12">
        <f>SUMIFS(LocFeatures[[#All],[Drop worth gain]],LocFeatures[[#All],[Location]],Summary!$L12,LocFeatures[[#All],[LVL]],Summary!$M12,LocFeatures[[#All],[Stage]],Summary!$N12)</f>
        <v>2656.4567901234568</v>
      </c>
      <c r="Q12">
        <f>SUMIFS(LocFeatures[[#All],[Energy gain]],LocFeatures[[#All],[Location]],Summary!$L12,LocFeatures[[#All],[LVL]],Summary!$M12,LocFeatures[[#All],[Stage]],Summary!$N12)</f>
        <v>0.87654320987654322</v>
      </c>
      <c r="R12">
        <f>SUMIFS(LocFeatures[[#All],[E. Cost]],LocFeatures[[#All],[Location]],Summary!$L12,LocFeatures[[#All],[LVL]],Summary!$M12,LocFeatures[[#All],[Stage]],Summary!$N12)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Gain]],LocFeatures[[#All],[Location]],Summary!$L13,LocFeatures[[#All],[LVL]],Summary!$M13,LocFeatures[[#All],[Stage]],Summary!$N13)</f>
        <v>2268</v>
      </c>
      <c r="P13">
        <f>SUMIFS(LocFeatures[[#All],[Drop worth gain]],LocFeatures[[#All],[Location]],Summary!$L13,LocFeatures[[#All],[LVL]],Summary!$M13,LocFeatures[[#All],[Stage]],Summary!$N13)</f>
        <v>2656.4567901234568</v>
      </c>
      <c r="Q13">
        <f>SUMIFS(LocFeatures[[#All],[Energy gain]],LocFeatures[[#All],[Location]],Summary!$L13,LocFeatures[[#All],[LVL]],Summary!$M13,LocFeatures[[#All],[Stage]],Summary!$N13)</f>
        <v>0.87654320987654322</v>
      </c>
      <c r="R13">
        <f>SUMIFS(LocFeatures[[#All],[E. Cost]],LocFeatures[[#All],[Location]],Summary!$L13,LocFeatures[[#All],[LVL]],Summary!$M13,LocFeatures[[#All],[Stage]],Summary!$N13)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Gain]],LocFeatures[[#All],[Location]],Summary!$L14,LocFeatures[[#All],[LVL]],Summary!$M14,LocFeatures[[#All],[Stage]],Summary!$N14)</f>
        <v>2268</v>
      </c>
      <c r="P14">
        <f>SUMIFS(LocFeatures[[#All],[Drop worth gain]],LocFeatures[[#All],[Location]],Summary!$L14,LocFeatures[[#All],[LVL]],Summary!$M14,LocFeatures[[#All],[Stage]],Summary!$N14)</f>
        <v>2656.4567901234568</v>
      </c>
      <c r="Q14">
        <f>SUMIFS(LocFeatures[[#All],[Energy gain]],LocFeatures[[#All],[Location]],Summary!$L14,LocFeatures[[#All],[LVL]],Summary!$M14,LocFeatures[[#All],[Stage]],Summary!$N14)</f>
        <v>0.87654320987654322</v>
      </c>
      <c r="R14">
        <f>SUMIFS(LocFeatures[[#All],[E. Cost]],LocFeatures[[#All],[Location]],Summary!$L14,LocFeatures[[#All],[LVL]],Summary!$M14,LocFeatures[[#All],[Stage]],Summary!$N14)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Gain]],LocFeatures[[#All],[Location]],Summary!$L15,LocFeatures[[#All],[LVL]],Summary!$M15,LocFeatures[[#All],[Stage]],Summary!$N15)</f>
        <v>5400</v>
      </c>
      <c r="P15">
        <f>SUMIFS(LocFeatures[[#All],[Drop worth gain]],LocFeatures[[#All],[Location]],Summary!$L15,LocFeatures[[#All],[LVL]],Summary!$M15,LocFeatures[[#All],[Stage]],Summary!$N15)</f>
        <v>3604.8397435897436</v>
      </c>
      <c r="Q15">
        <f>SUMIFS(LocFeatures[[#All],[Energy gain]],LocFeatures[[#All],[Location]],Summary!$L15,LocFeatures[[#All],[LVL]],Summary!$M15,LocFeatures[[#All],[Stage]],Summary!$N15)</f>
        <v>0.98076923076923073</v>
      </c>
      <c r="R15">
        <f>SUMIFS(LocFeatures[[#All],[E. Cost]],LocFeatures[[#All],[Location]],Summary!$L15,LocFeatures[[#All],[LVL]],Summary!$M15,LocFeatures[[#All],[Stage]],Summary!$N15)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Gain]],LocFeatures[[#All],[Location]],Summary!$L16,LocFeatures[[#All],[LVL]],Summary!$M16,LocFeatures[[#All],[Stage]],Summary!$N16)</f>
        <v>5400</v>
      </c>
      <c r="P16">
        <f>SUMIFS(LocFeatures[[#All],[Drop worth gain]],LocFeatures[[#All],[Location]],Summary!$L16,LocFeatures[[#All],[LVL]],Summary!$M16,LocFeatures[[#All],[Stage]],Summary!$N16)</f>
        <v>3604.8397435897436</v>
      </c>
      <c r="Q16">
        <f>SUMIFS(LocFeatures[[#All],[Energy gain]],LocFeatures[[#All],[Location]],Summary!$L16,LocFeatures[[#All],[LVL]],Summary!$M16,LocFeatures[[#All],[Stage]],Summary!$N16)</f>
        <v>0.98076923076923073</v>
      </c>
      <c r="R16">
        <f>SUMIFS(LocFeatures[[#All],[E. Cost]],LocFeatures[[#All],[Location]],Summary!$L16,LocFeatures[[#All],[LVL]],Summary!$M16,LocFeatures[[#All],[Stage]],Summary!$N16)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Gain]],LocFeatures[[#All],[Location]],Summary!$L17,LocFeatures[[#All],[LVL]],Summary!$M17,LocFeatures[[#All],[Stage]],Summary!$N17)</f>
        <v>5400</v>
      </c>
      <c r="P17">
        <f>SUMIFS(LocFeatures[[#All],[Drop worth gain]],LocFeatures[[#All],[Location]],Summary!$L17,LocFeatures[[#All],[LVL]],Summary!$M17,LocFeatures[[#All],[Stage]],Summary!$N17)</f>
        <v>3604.8397435897436</v>
      </c>
      <c r="Q17">
        <f>SUMIFS(LocFeatures[[#All],[Energy gain]],LocFeatures[[#All],[Location]],Summary!$L17,LocFeatures[[#All],[LVL]],Summary!$M17,LocFeatures[[#All],[Stage]],Summary!$N17)</f>
        <v>0.98076923076923073</v>
      </c>
      <c r="R17">
        <f>SUMIFS(LocFeatures[[#All],[E. Cost]],LocFeatures[[#All],[Location]],Summary!$L17,LocFeatures[[#All],[LVL]],Summary!$M17,LocFeatures[[#All],[Stage]],Summary!$N17)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Gain]],LocFeatures[[#All],[Location]],Summary!$L18,LocFeatures[[#All],[LVL]],Summary!$M18,LocFeatures[[#All],[Stage]],Summary!$N18)</f>
        <v>5400</v>
      </c>
      <c r="P18">
        <f>SUMIFS(LocFeatures[[#All],[Drop worth gain]],LocFeatures[[#All],[Location]],Summary!$L18,LocFeatures[[#All],[LVL]],Summary!$M18,LocFeatures[[#All],[Stage]],Summary!$N18)</f>
        <v>3604.8397435897436</v>
      </c>
      <c r="Q18">
        <f>SUMIFS(LocFeatures[[#All],[Energy gain]],LocFeatures[[#All],[Location]],Summary!$L18,LocFeatures[[#All],[LVL]],Summary!$M18,LocFeatures[[#All],[Stage]],Summary!$N18)</f>
        <v>0.98076923076923073</v>
      </c>
      <c r="R18">
        <f>SUMIFS(LocFeatures[[#All],[E. Cost]],LocFeatures[[#All],[Location]],Summary!$L18,LocFeatures[[#All],[LVL]],Summary!$M18,LocFeatures[[#All],[Stage]],Summary!$N18)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Gain]],LocFeatures[[#All],[Location]],Summary!$L19,LocFeatures[[#All],[LVL]],Summary!$M19,LocFeatures[[#All],[Stage]],Summary!$N19)</f>
        <v>5400</v>
      </c>
      <c r="P19">
        <f>SUMIFS(LocFeatures[[#All],[Drop worth gain]],LocFeatures[[#All],[Location]],Summary!$L19,LocFeatures[[#All],[LVL]],Summary!$M19,LocFeatures[[#All],[Stage]],Summary!$N19)</f>
        <v>3604.8397435897436</v>
      </c>
      <c r="Q19">
        <f>SUMIFS(LocFeatures[[#All],[Energy gain]],LocFeatures[[#All],[Location]],Summary!$L19,LocFeatures[[#All],[LVL]],Summary!$M19,LocFeatures[[#All],[Stage]],Summary!$N19)</f>
        <v>0.98076923076923073</v>
      </c>
      <c r="R19">
        <f>SUMIFS(LocFeatures[[#All],[E. Cost]],LocFeatures[[#All],[Location]],Summary!$L19,LocFeatures[[#All],[LVL]],Summary!$M19,LocFeatures[[#All],[Stage]],Summary!$N19)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Gain]],LocFeatures[[#All],[Location]],Summary!$L20,LocFeatures[[#All],[LVL]],Summary!$M20,LocFeatures[[#All],[Stage]],Summary!$N20)</f>
        <v>5400</v>
      </c>
      <c r="P20">
        <f>SUMIFS(LocFeatures[[#All],[Drop worth gain]],LocFeatures[[#All],[Location]],Summary!$L20,LocFeatures[[#All],[LVL]],Summary!$M20,LocFeatures[[#All],[Stage]],Summary!$N20)</f>
        <v>3604.8397435897436</v>
      </c>
      <c r="Q20">
        <f>SUMIFS(LocFeatures[[#All],[Energy gain]],LocFeatures[[#All],[Location]],Summary!$L20,LocFeatures[[#All],[LVL]],Summary!$M20,LocFeatures[[#All],[Stage]],Summary!$N20)</f>
        <v>0.98076923076923073</v>
      </c>
      <c r="R20">
        <f>SUMIFS(LocFeatures[[#All],[E. Cost]],LocFeatures[[#All],[Location]],Summary!$L20,LocFeatures[[#All],[LVL]],Summary!$M20,LocFeatures[[#All],[Stage]],Summary!$N20)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Gain]],LocFeatures[[#All],[Location]],Summary!$L21,LocFeatures[[#All],[LVL]],Summary!$M21,LocFeatures[[#All],[Stage]],Summary!$N21)</f>
        <v>5400</v>
      </c>
      <c r="P21">
        <f>SUMIFS(LocFeatures[[#All],[Drop worth gain]],LocFeatures[[#All],[Location]],Summary!$L21,LocFeatures[[#All],[LVL]],Summary!$M21,LocFeatures[[#All],[Stage]],Summary!$N21)</f>
        <v>3604.8397435897436</v>
      </c>
      <c r="Q21">
        <f>SUMIFS(LocFeatures[[#All],[Energy gain]],LocFeatures[[#All],[Location]],Summary!$L21,LocFeatures[[#All],[LVL]],Summary!$M21,LocFeatures[[#All],[Stage]],Summary!$N21)</f>
        <v>0.98076923076923073</v>
      </c>
      <c r="R21">
        <f>SUMIFS(LocFeatures[[#All],[E. Cost]],LocFeatures[[#All],[Location]],Summary!$L21,LocFeatures[[#All],[LVL]],Summary!$M21,LocFeatures[[#All],[Stage]],Summary!$N21)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Gain]],LocFeatures[[#All],[Location]],Summary!$L22,LocFeatures[[#All],[LVL]],Summary!$M22,LocFeatures[[#All],[Stage]],Summary!$N22)</f>
        <v>2397</v>
      </c>
      <c r="P22">
        <f>SUMIFS(LocFeatures[[#All],[Drop worth gain]],LocFeatures[[#All],[Location]],Summary!$L22,LocFeatures[[#All],[LVL]],Summary!$M22,LocFeatures[[#All],[Stage]],Summary!$N22)</f>
        <v>3352.4479166666665</v>
      </c>
      <c r="Q22">
        <f>SUMIFS(LocFeatures[[#All],[Energy gain]],LocFeatures[[#All],[Location]],Summary!$L22,LocFeatures[[#All],[LVL]],Summary!$M22,LocFeatures[[#All],[Stage]],Summary!$N22)</f>
        <v>0.88541666666666663</v>
      </c>
      <c r="R22">
        <f>SUMIFS(LocFeatures[[#All],[E. Cost]],LocFeatures[[#All],[Location]],Summary!$L22,LocFeatures[[#All],[LVL]],Summary!$M22,LocFeatures[[#All],[Stage]],Summary!$N22)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Gain]],LocFeatures[[#All],[Location]],Summary!$L23,LocFeatures[[#All],[LVL]],Summary!$M23,LocFeatures[[#All],[Stage]],Summary!$N23)</f>
        <v>2397</v>
      </c>
      <c r="P23">
        <f>SUMIFS(LocFeatures[[#All],[Drop worth gain]],LocFeatures[[#All],[Location]],Summary!$L23,LocFeatures[[#All],[LVL]],Summary!$M23,LocFeatures[[#All],[Stage]],Summary!$N23)</f>
        <v>3352.4479166666665</v>
      </c>
      <c r="Q23">
        <f>SUMIFS(LocFeatures[[#All],[Energy gain]],LocFeatures[[#All],[Location]],Summary!$L23,LocFeatures[[#All],[LVL]],Summary!$M23,LocFeatures[[#All],[Stage]],Summary!$N23)</f>
        <v>0.88541666666666663</v>
      </c>
      <c r="R23">
        <f>SUMIFS(LocFeatures[[#All],[E. Cost]],LocFeatures[[#All],[Location]],Summary!$L23,LocFeatures[[#All],[LVL]],Summary!$M23,LocFeatures[[#All],[Stage]],Summary!$N23)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Gain]],LocFeatures[[#All],[Location]],Summary!$L24,LocFeatures[[#All],[LVL]],Summary!$M24,LocFeatures[[#All],[Stage]],Summary!$N24)</f>
        <v>2397</v>
      </c>
      <c r="P24">
        <f>SUMIFS(LocFeatures[[#All],[Drop worth gain]],LocFeatures[[#All],[Location]],Summary!$L24,LocFeatures[[#All],[LVL]],Summary!$M24,LocFeatures[[#All],[Stage]],Summary!$N24)</f>
        <v>3352.4479166666665</v>
      </c>
      <c r="Q24">
        <f>SUMIFS(LocFeatures[[#All],[Energy gain]],LocFeatures[[#All],[Location]],Summary!$L24,LocFeatures[[#All],[LVL]],Summary!$M24,LocFeatures[[#All],[Stage]],Summary!$N24)</f>
        <v>0.88541666666666663</v>
      </c>
      <c r="R24">
        <f>SUMIFS(LocFeatures[[#All],[E. Cost]],LocFeatures[[#All],[Location]],Summary!$L24,LocFeatures[[#All],[LVL]],Summary!$M24,LocFeatures[[#All],[Stage]],Summary!$N24)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Gain]],LocFeatures[[#All],[Location]],Summary!$L25,LocFeatures[[#All],[LVL]],Summary!$M25,LocFeatures[[#All],[Stage]],Summary!$N25)</f>
        <v>2268</v>
      </c>
      <c r="P25">
        <f>SUMIFS(LocFeatures[[#All],[Drop worth gain]],LocFeatures[[#All],[Location]],Summary!$L25,LocFeatures[[#All],[LVL]],Summary!$M25,LocFeatures[[#All],[Stage]],Summary!$N25)</f>
        <v>2656.4567901234568</v>
      </c>
      <c r="Q25">
        <f>SUMIFS(LocFeatures[[#All],[Energy gain]],LocFeatures[[#All],[Location]],Summary!$L25,LocFeatures[[#All],[LVL]],Summary!$M25,LocFeatures[[#All],[Stage]],Summary!$N25)</f>
        <v>0.87654320987654322</v>
      </c>
      <c r="R25">
        <f>SUMIFS(LocFeatures[[#All],[E. Cost]],LocFeatures[[#All],[Location]],Summary!$L25,LocFeatures[[#All],[LVL]],Summary!$M25,LocFeatures[[#All],[Stage]],Summary!$N25)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Gain]],LocFeatures[[#All],[Location]],Summary!$L26,LocFeatures[[#All],[LVL]],Summary!$M26,LocFeatures[[#All],[Stage]],Summary!$N26)</f>
        <v>2268</v>
      </c>
      <c r="P26">
        <f>SUMIFS(LocFeatures[[#All],[Drop worth gain]],LocFeatures[[#All],[Location]],Summary!$L26,LocFeatures[[#All],[LVL]],Summary!$M26,LocFeatures[[#All],[Stage]],Summary!$N26)</f>
        <v>2656.4567901234568</v>
      </c>
      <c r="Q26">
        <f>SUMIFS(LocFeatures[[#All],[Energy gain]],LocFeatures[[#All],[Location]],Summary!$L26,LocFeatures[[#All],[LVL]],Summary!$M26,LocFeatures[[#All],[Stage]],Summary!$N26)</f>
        <v>0.87654320987654322</v>
      </c>
      <c r="R26">
        <f>SUMIFS(LocFeatures[[#All],[E. Cost]],LocFeatures[[#All],[Location]],Summary!$L26,LocFeatures[[#All],[LVL]],Summary!$M26,LocFeatures[[#All],[Stage]],Summary!$N26)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Gain]],LocFeatures[[#All],[Location]],Summary!$L27,LocFeatures[[#All],[LVL]],Summary!$M27,LocFeatures[[#All],[Stage]],Summary!$N27)</f>
        <v>2268</v>
      </c>
      <c r="P27">
        <f>SUMIFS(LocFeatures[[#All],[Drop worth gain]],LocFeatures[[#All],[Location]],Summary!$L27,LocFeatures[[#All],[LVL]],Summary!$M27,LocFeatures[[#All],[Stage]],Summary!$N27)</f>
        <v>2656.4567901234568</v>
      </c>
      <c r="Q27">
        <f>SUMIFS(LocFeatures[[#All],[Energy gain]],LocFeatures[[#All],[Location]],Summary!$L27,LocFeatures[[#All],[LVL]],Summary!$M27,LocFeatures[[#All],[Stage]],Summary!$N27)</f>
        <v>0.87654320987654322</v>
      </c>
      <c r="R27">
        <f>SUMIFS(LocFeatures[[#All],[E. Cost]],LocFeatures[[#All],[Location]],Summary!$L27,LocFeatures[[#All],[LVL]],Summary!$M27,LocFeatures[[#All],[Stage]],Summary!$N27)</f>
        <v>3</v>
      </c>
    </row>
    <row r="28" spans="1:24">
      <c r="A28" t="s">
        <v>134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Gain]],LocFeatures[[#All],[Location]],Summary!$L28,LocFeatures[[#All],[LVL]],Summary!$M28,LocFeatures[[#All],[Stage]],Summary!$N28)</f>
        <v>2268</v>
      </c>
      <c r="P28">
        <f>SUMIFS(LocFeatures[[#All],[Drop worth gain]],LocFeatures[[#All],[Location]],Summary!$L28,LocFeatures[[#All],[LVL]],Summary!$M28,LocFeatures[[#All],[Stage]],Summary!$N28)</f>
        <v>2656.4567901234568</v>
      </c>
      <c r="Q28">
        <f>SUMIFS(LocFeatures[[#All],[Energy gain]],LocFeatures[[#All],[Location]],Summary!$L28,LocFeatures[[#All],[LVL]],Summary!$M28,LocFeatures[[#All],[Stage]],Summary!$N28)</f>
        <v>0.87654320987654322</v>
      </c>
      <c r="R28">
        <f>SUMIFS(LocFeatures[[#All],[E. Cost]],LocFeatures[[#All],[Location]],Summary!$L28,LocFeatures[[#All],[LVL]],Summary!$M28,LocFeatures[[#All],[Stage]],Summary!$N28)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Gain]],LocFeatures[[#All],[Location]],Summary!$L29,LocFeatures[[#All],[LVL]],Summary!$M29,LocFeatures[[#All],[Stage]],Summary!$N29)</f>
        <v>2268</v>
      </c>
      <c r="P29">
        <f>SUMIFS(LocFeatures[[#All],[Drop worth gain]],LocFeatures[[#All],[Location]],Summary!$L29,LocFeatures[[#All],[LVL]],Summary!$M29,LocFeatures[[#All],[Stage]],Summary!$N29)</f>
        <v>2656.4567901234568</v>
      </c>
      <c r="Q29">
        <f>SUMIFS(LocFeatures[[#All],[Energy gain]],LocFeatures[[#All],[Location]],Summary!$L29,LocFeatures[[#All],[LVL]],Summary!$M29,LocFeatures[[#All],[Stage]],Summary!$N29)</f>
        <v>0.87654320987654322</v>
      </c>
      <c r="R29">
        <f>SUMIFS(LocFeatures[[#All],[E. Cost]],LocFeatures[[#All],[Location]],Summary!$L29,LocFeatures[[#All],[LVL]],Summary!$M29,LocFeatures[[#All],[Stage]],Summary!$N29)</f>
        <v>3</v>
      </c>
    </row>
    <row r="30" spans="1:24">
      <c r="A30" t="s">
        <v>135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Gain]],LocFeatures[[#All],[Location]],Summary!$L30,LocFeatures[[#All],[LVL]],Summary!$M30,LocFeatures[[#All],[Stage]],Summary!$N30)</f>
        <v>3024</v>
      </c>
      <c r="P30">
        <f>SUMIFS(LocFeatures[[#All],[Drop worth gain]],LocFeatures[[#All],[Location]],Summary!$L30,LocFeatures[[#All],[LVL]],Summary!$M30,LocFeatures[[#All],[Stage]],Summary!$N30)</f>
        <v>2656.4567901234568</v>
      </c>
      <c r="Q30">
        <f>SUMIFS(LocFeatures[[#All],[Energy gain]],LocFeatures[[#All],[Location]],Summary!$L30,LocFeatures[[#All],[LVL]],Summary!$M30,LocFeatures[[#All],[Stage]],Summary!$N30)</f>
        <v>0.87654320987654322</v>
      </c>
      <c r="R30">
        <f>SUMIFS(LocFeatures[[#All],[E. Cost]],LocFeatures[[#All],[Location]],Summary!$L30,LocFeatures[[#All],[LVL]],Summary!$M30,LocFeatures[[#All],[Stage]],Summary!$N30)</f>
        <v>3</v>
      </c>
      <c r="V30" s="2"/>
      <c r="W30" s="2"/>
      <c r="X30" s="2"/>
    </row>
    <row r="31" spans="1:24">
      <c r="A31" t="s">
        <v>134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Gain]],LocFeatures[[#All],[Location]],Summary!$L31,LocFeatures[[#All],[LVL]],Summary!$M31,LocFeatures[[#All],[Stage]],Summary!$N31)</f>
        <v>5400</v>
      </c>
      <c r="P31">
        <f>SUMIFS(LocFeatures[[#All],[Drop worth gain]],LocFeatures[[#All],[Location]],Summary!$L31,LocFeatures[[#All],[LVL]],Summary!$M31,LocFeatures[[#All],[Stage]],Summary!$N31)</f>
        <v>3604.8397435897436</v>
      </c>
      <c r="Q31">
        <f>SUMIFS(LocFeatures[[#All],[Energy gain]],LocFeatures[[#All],[Location]],Summary!$L31,LocFeatures[[#All],[LVL]],Summary!$M31,LocFeatures[[#All],[Stage]],Summary!$N31)</f>
        <v>0.98076923076923073</v>
      </c>
      <c r="R31">
        <f>SUMIFS(LocFeatures[[#All],[E. Cost]],LocFeatures[[#All],[Location]],Summary!$L31,LocFeatures[[#All],[LVL]],Summary!$M31,LocFeatures[[#All],[Stage]],Summary!$N31)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Gain]],LocFeatures[[#All],[Location]],Summary!$L32,LocFeatures[[#All],[LVL]],Summary!$M32,LocFeatures[[#All],[Stage]],Summary!$N32)</f>
        <v>5400</v>
      </c>
      <c r="P32">
        <f>SUMIFS(LocFeatures[[#All],[Drop worth gain]],LocFeatures[[#All],[Location]],Summary!$L32,LocFeatures[[#All],[LVL]],Summary!$M32,LocFeatures[[#All],[Stage]],Summary!$N32)</f>
        <v>3604.8397435897436</v>
      </c>
      <c r="Q32">
        <f>SUMIFS(LocFeatures[[#All],[Energy gain]],LocFeatures[[#All],[Location]],Summary!$L32,LocFeatures[[#All],[LVL]],Summary!$M32,LocFeatures[[#All],[Stage]],Summary!$N32)</f>
        <v>0.98076923076923073</v>
      </c>
      <c r="R32">
        <f>SUMIFS(LocFeatures[[#All],[E. Cost]],LocFeatures[[#All],[Location]],Summary!$L32,LocFeatures[[#All],[LVL]],Summary!$M32,LocFeatures[[#All],[Stage]],Summary!$N32)</f>
        <v>5</v>
      </c>
    </row>
    <row r="33" spans="1:18">
      <c r="A33" t="s">
        <v>134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Gain]],LocFeatures[[#All],[Location]],Summary!$L33,LocFeatures[[#All],[LVL]],Summary!$M33,LocFeatures[[#All],[Stage]],Summary!$N33)</f>
        <v>3828</v>
      </c>
      <c r="P33">
        <f>SUMIFS(LocFeatures[[#All],[Drop worth gain]],LocFeatures[[#All],[Location]],Summary!$L33,LocFeatures[[#All],[LVL]],Summary!$M33,LocFeatures[[#All],[Stage]],Summary!$N33)</f>
        <v>4137.1379310344828</v>
      </c>
      <c r="Q33">
        <f>SUMIFS(LocFeatures[[#All],[Energy gain]],LocFeatures[[#All],[Location]],Summary!$L33,LocFeatures[[#All],[LVL]],Summary!$M33,LocFeatures[[#All],[Stage]],Summary!$N33)</f>
        <v>0.94252873563218387</v>
      </c>
      <c r="R33">
        <f>SUMIFS(LocFeatures[[#All],[E. Cost]],LocFeatures[[#All],[Location]],Summary!$L33,LocFeatures[[#All],[LVL]],Summary!$M33,LocFeatures[[#All],[Stage]],Summary!$N33)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Gain]],LocFeatures[[#All],[Location]],Summary!$L34,LocFeatures[[#All],[LVL]],Summary!$M34,LocFeatures[[#All],[Stage]],Summary!$N34)</f>
        <v>3828</v>
      </c>
      <c r="P34">
        <f>SUMIFS(LocFeatures[[#All],[Drop worth gain]],LocFeatures[[#All],[Location]],Summary!$L34,LocFeatures[[#All],[LVL]],Summary!$M34,LocFeatures[[#All],[Stage]],Summary!$N34)</f>
        <v>4137.1379310344828</v>
      </c>
      <c r="Q34">
        <f>SUMIFS(LocFeatures[[#All],[Energy gain]],LocFeatures[[#All],[Location]],Summary!$L34,LocFeatures[[#All],[LVL]],Summary!$M34,LocFeatures[[#All],[Stage]],Summary!$N34)</f>
        <v>0.94252873563218387</v>
      </c>
      <c r="R34">
        <f>SUMIFS(LocFeatures[[#All],[E. Cost]],LocFeatures[[#All],[Location]],Summary!$L34,LocFeatures[[#All],[LVL]],Summary!$M34,LocFeatures[[#All],[Stage]],Summary!$N34)</f>
        <v>4</v>
      </c>
    </row>
    <row r="35" spans="1:18">
      <c r="A35" t="s">
        <v>340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Gain]],LocFeatures[[#All],[Location]],Summary!$L35,LocFeatures[[#All],[LVL]],Summary!$M35,LocFeatures[[#All],[Stage]],Summary!$N35)</f>
        <v>3828</v>
      </c>
      <c r="P35">
        <f>SUMIFS(LocFeatures[[#All],[Drop worth gain]],LocFeatures[[#All],[Location]],Summary!$L35,LocFeatures[[#All],[LVL]],Summary!$M35,LocFeatures[[#All],[Stage]],Summary!$N35)</f>
        <v>4137.1379310344828</v>
      </c>
      <c r="Q35">
        <f>SUMIFS(LocFeatures[[#All],[Energy gain]],LocFeatures[[#All],[Location]],Summary!$L35,LocFeatures[[#All],[LVL]],Summary!$M35,LocFeatures[[#All],[Stage]],Summary!$N35)</f>
        <v>0.94252873563218387</v>
      </c>
      <c r="R35">
        <f>SUMIFS(LocFeatures[[#All],[E. Cost]],LocFeatures[[#All],[Location]],Summary!$L35,LocFeatures[[#All],[LVL]],Summary!$M35,LocFeatures[[#All],[Stage]],Summary!$N35)</f>
        <v>4</v>
      </c>
    </row>
    <row r="36" spans="1:18">
      <c r="A36" t="s">
        <v>340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Gain]],LocFeatures[[#All],[Location]],Summary!$L36,LocFeatures[[#All],[LVL]],Summary!$M36,LocFeatures[[#All],[Stage]],Summary!$N36)</f>
        <v>3828</v>
      </c>
      <c r="P36">
        <f>SUMIFS(LocFeatures[[#All],[Drop worth gain]],LocFeatures[[#All],[Location]],Summary!$L36,LocFeatures[[#All],[LVL]],Summary!$M36,LocFeatures[[#All],[Stage]],Summary!$N36)</f>
        <v>4137.1379310344828</v>
      </c>
      <c r="Q36">
        <f>SUMIFS(LocFeatures[[#All],[Energy gain]],LocFeatures[[#All],[Location]],Summary!$L36,LocFeatures[[#All],[LVL]],Summary!$M36,LocFeatures[[#All],[Stage]],Summary!$N36)</f>
        <v>0.94252873563218387</v>
      </c>
      <c r="R36">
        <f>SUMIFS(LocFeatures[[#All],[E. Cost]],LocFeatures[[#All],[Location]],Summary!$L36,LocFeatures[[#All],[LVL]],Summary!$M36,LocFeatures[[#All],[Stage]],Summary!$N36)</f>
        <v>4</v>
      </c>
    </row>
    <row r="37" spans="1:18">
      <c r="A37" t="s">
        <v>339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Gain]],LocFeatures[[#All],[Location]],Summary!$L37,LocFeatures[[#All],[LVL]],Summary!$M37,LocFeatures[[#All],[Stage]],Summary!$N37)</f>
        <v>3828</v>
      </c>
      <c r="P37">
        <f>SUMIFS(LocFeatures[[#All],[Drop worth gain]],LocFeatures[[#All],[Location]],Summary!$L37,LocFeatures[[#All],[LVL]],Summary!$M37,LocFeatures[[#All],[Stage]],Summary!$N37)</f>
        <v>4137.1379310344828</v>
      </c>
      <c r="Q37">
        <f>SUMIFS(LocFeatures[[#All],[Energy gain]],LocFeatures[[#All],[Location]],Summary!$L37,LocFeatures[[#All],[LVL]],Summary!$M37,LocFeatures[[#All],[Stage]],Summary!$N37)</f>
        <v>0.94252873563218387</v>
      </c>
      <c r="R37">
        <f>SUMIFS(LocFeatures[[#All],[E. Cost]],LocFeatures[[#All],[Location]],Summary!$L37,LocFeatures[[#All],[LVL]],Summary!$M37,LocFeatures[[#All],[Stage]],Summary!$N37)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Gain]],LocFeatures[[#All],[Location]],Summary!$L38,LocFeatures[[#All],[LVL]],Summary!$M38,LocFeatures[[#All],[Stage]],Summary!$N38)</f>
        <v>3828</v>
      </c>
      <c r="P38">
        <f>SUMIFS(LocFeatures[[#All],[Drop worth gain]],LocFeatures[[#All],[Location]],Summary!$L38,LocFeatures[[#All],[LVL]],Summary!$M38,LocFeatures[[#All],[Stage]],Summary!$N38)</f>
        <v>4137.1379310344828</v>
      </c>
      <c r="Q38">
        <f>SUMIFS(LocFeatures[[#All],[Energy gain]],LocFeatures[[#All],[Location]],Summary!$L38,LocFeatures[[#All],[LVL]],Summary!$M38,LocFeatures[[#All],[Stage]],Summary!$N38)</f>
        <v>0.94252873563218387</v>
      </c>
      <c r="R38">
        <f>SUMIFS(LocFeatures[[#All],[E. Cost]],LocFeatures[[#All],[Location]],Summary!$L38,LocFeatures[[#All],[LVL]],Summary!$M38,LocFeatures[[#All],[Stage]],Summary!$N38)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161</v>
      </c>
      <c r="B1" t="s">
        <v>162</v>
      </c>
      <c r="C1" t="s">
        <v>163</v>
      </c>
      <c r="D1" t="s">
        <v>167</v>
      </c>
      <c r="E1" t="s">
        <v>164</v>
      </c>
      <c r="F1" t="s">
        <v>10</v>
      </c>
    </row>
    <row r="2" spans="1:6">
      <c r="A2" t="s">
        <v>151</v>
      </c>
      <c r="B2" t="s">
        <v>195</v>
      </c>
      <c r="C2" t="s">
        <v>171</v>
      </c>
      <c r="D2" t="s">
        <v>176</v>
      </c>
      <c r="E2" t="s">
        <v>177</v>
      </c>
      <c r="F2" t="s">
        <v>198</v>
      </c>
    </row>
    <row r="3" spans="1:6">
      <c r="A3" t="s">
        <v>152</v>
      </c>
      <c r="B3" t="s">
        <v>195</v>
      </c>
      <c r="C3" t="s">
        <v>175</v>
      </c>
      <c r="D3" t="s">
        <v>173</v>
      </c>
      <c r="E3" t="s">
        <v>174</v>
      </c>
      <c r="F3" t="s">
        <v>198</v>
      </c>
    </row>
    <row r="4" spans="1:6">
      <c r="A4" t="s">
        <v>153</v>
      </c>
      <c r="B4" t="s">
        <v>195</v>
      </c>
      <c r="C4" t="s">
        <v>154</v>
      </c>
      <c r="D4" t="s">
        <v>176</v>
      </c>
      <c r="E4" t="s">
        <v>178</v>
      </c>
      <c r="F4" t="s">
        <v>379</v>
      </c>
    </row>
    <row r="5" spans="1:6">
      <c r="A5" t="s">
        <v>156</v>
      </c>
      <c r="B5" t="s">
        <v>155</v>
      </c>
      <c r="C5" t="s">
        <v>171</v>
      </c>
      <c r="D5" t="s">
        <v>190</v>
      </c>
      <c r="E5" t="s">
        <v>172</v>
      </c>
      <c r="F5" t="s">
        <v>199</v>
      </c>
    </row>
    <row r="6" spans="1:6">
      <c r="A6" t="s">
        <v>157</v>
      </c>
      <c r="B6" t="s">
        <v>158</v>
      </c>
      <c r="C6" t="s">
        <v>159</v>
      </c>
      <c r="D6" t="s">
        <v>170</v>
      </c>
      <c r="E6" t="s">
        <v>165</v>
      </c>
      <c r="F6" t="s">
        <v>199</v>
      </c>
    </row>
    <row r="7" spans="1:6">
      <c r="A7" t="s">
        <v>141</v>
      </c>
      <c r="B7" t="s">
        <v>191</v>
      </c>
      <c r="C7" t="s">
        <v>192</v>
      </c>
    </row>
    <row r="8" spans="1:6">
      <c r="A8" t="s">
        <v>193</v>
      </c>
      <c r="B8" t="s">
        <v>160</v>
      </c>
      <c r="C8" t="s">
        <v>86</v>
      </c>
      <c r="D8" t="s">
        <v>194</v>
      </c>
      <c r="F8" t="s">
        <v>379</v>
      </c>
    </row>
    <row r="9" spans="1:6">
      <c r="A9" t="s">
        <v>196</v>
      </c>
      <c r="B9" t="s">
        <v>158</v>
      </c>
      <c r="C9" t="s">
        <v>197</v>
      </c>
      <c r="D9" t="s">
        <v>176</v>
      </c>
      <c r="F9" t="s">
        <v>379</v>
      </c>
    </row>
    <row r="10" spans="1:6">
      <c r="A10" t="s">
        <v>215</v>
      </c>
      <c r="B10" t="s">
        <v>160</v>
      </c>
      <c r="C10" t="s">
        <v>86</v>
      </c>
    </row>
    <row r="11" spans="1:6">
      <c r="A11" t="s">
        <v>216</v>
      </c>
      <c r="B11" t="s">
        <v>155</v>
      </c>
      <c r="C11" t="s">
        <v>86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>
  <dimension ref="A1:L21"/>
  <sheetViews>
    <sheetView workbookViewId="0">
      <selection activeCell="K14" sqref="K14"/>
    </sheetView>
  </sheetViews>
  <sheetFormatPr defaultRowHeight="14.25"/>
  <cols>
    <col min="6" max="6" width="9.625" customWidth="1"/>
  </cols>
  <sheetData>
    <row r="1" spans="1:12">
      <c r="A1" t="s">
        <v>209</v>
      </c>
      <c r="B1" t="s">
        <v>200</v>
      </c>
      <c r="C1" t="s">
        <v>359</v>
      </c>
      <c r="D1" t="s">
        <v>355</v>
      </c>
      <c r="E1" t="s">
        <v>356</v>
      </c>
      <c r="F1" t="s">
        <v>357</v>
      </c>
      <c r="G1" t="s">
        <v>358</v>
      </c>
      <c r="H1" t="s">
        <v>360</v>
      </c>
      <c r="I1" t="s">
        <v>166</v>
      </c>
      <c r="J1" t="s">
        <v>203</v>
      </c>
      <c r="K1" t="s">
        <v>323</v>
      </c>
      <c r="L1" t="s">
        <v>350</v>
      </c>
    </row>
    <row r="2" spans="1:12">
      <c r="A2" t="s">
        <v>26</v>
      </c>
      <c r="B2" t="s">
        <v>317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318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317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318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317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318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317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318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11</vt:i4>
      </vt:variant>
    </vt:vector>
  </HeadingPairs>
  <TitlesOfParts>
    <vt:vector size="11" baseType="lpstr">
      <vt:lpstr>EXP lvls</vt:lpstr>
      <vt:lpstr>Drop analityka</vt:lpstr>
      <vt:lpstr>Fusion</vt:lpstr>
      <vt:lpstr>Location features</vt:lpstr>
      <vt:lpstr>TabPrz</vt:lpstr>
      <vt:lpstr>Runes for DPS</vt:lpstr>
      <vt:lpstr>Runes DB</vt:lpstr>
      <vt:lpstr>TP_Mon.Runes</vt:lpstr>
      <vt:lpstr>Summary</vt:lpstr>
      <vt:lpstr>Runes Mon.build</vt:lpstr>
      <vt:lpstr>Runes stats</vt:lpstr>
    </vt:vector>
  </TitlesOfParts>
  <Company>Credit Agricole SA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mzacharuk</cp:lastModifiedBy>
  <dcterms:created xsi:type="dcterms:W3CDTF">2015-09-10T08:10:52Z</dcterms:created>
  <dcterms:modified xsi:type="dcterms:W3CDTF">2015-11-06T17:22:26Z</dcterms:modified>
</cp:coreProperties>
</file>