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1554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Runes for DPS" sheetId="6" r:id="rId6"/>
    <sheet name="Runes DB" sheetId="8" r:id="rId7"/>
    <sheet name="TP_Mon.Runes" sheetId="12" r:id="rId8"/>
    <sheet name="Summary" sheetId="2" r:id="rId9"/>
    <sheet name="Runes Mon.build" sheetId="7" r:id="rId10"/>
    <sheet name="Runes stats" sheetId="11" r:id="rId11"/>
    <sheet name="Arkusz1" sheetId="13" r:id="rId12"/>
  </sheets>
  <definedNames>
    <definedName name="_xlnm._FilterDatabase" localSheetId="11" hidden="1">Arkusz1!$A$1:$M$1</definedName>
  </definedNames>
  <calcPr calcId="145621"/>
  <pivotCaches>
    <pivotCache cacheId="0" r:id="rId13"/>
    <pivotCache cacheId="1" r:id="rId14"/>
  </pivotCaches>
</workbook>
</file>

<file path=xl/calcChain.xml><?xml version="1.0" encoding="utf-8"?>
<calcChain xmlns="http://schemas.openxmlformats.org/spreadsheetml/2006/main">
  <c r="M3" i="1" l="1"/>
  <c r="J55" i="6" l="1"/>
  <c r="R55" i="6" s="1"/>
  <c r="I55" i="6"/>
  <c r="G55" i="6" s="1"/>
  <c r="H55" i="6"/>
  <c r="F55" i="6" s="1"/>
  <c r="J46" i="6"/>
  <c r="R46" i="6" s="1"/>
  <c r="I46" i="6"/>
  <c r="G46" i="6" s="1"/>
  <c r="H46" i="6"/>
  <c r="F46" i="6" s="1"/>
  <c r="O55" i="6" l="1"/>
  <c r="P55" i="6" s="1"/>
  <c r="N55" i="6"/>
  <c r="S55" i="6"/>
  <c r="U55" i="6" s="1"/>
  <c r="O46" i="6"/>
  <c r="P46" i="6" s="1"/>
  <c r="S46" i="6" s="1"/>
  <c r="U46" i="6" s="1"/>
  <c r="N46" i="6"/>
  <c r="G28" i="6"/>
  <c r="F28" i="6"/>
  <c r="O28" i="6" s="1"/>
  <c r="P28" i="6" s="1"/>
  <c r="G27" i="6"/>
  <c r="F27" i="6"/>
  <c r="O27" i="6" s="1"/>
  <c r="P27" i="6" s="1"/>
  <c r="R26" i="6"/>
  <c r="Q26" i="6"/>
  <c r="Q27" i="6" s="1"/>
  <c r="O26" i="6"/>
  <c r="P26" i="6" s="1"/>
  <c r="N26" i="6"/>
  <c r="G26" i="6"/>
  <c r="F26" i="6"/>
  <c r="Q25" i="6"/>
  <c r="R25" i="6" s="1"/>
  <c r="G25" i="6"/>
  <c r="F25" i="6"/>
  <c r="O25" i="6" s="1"/>
  <c r="P25" i="6" s="1"/>
  <c r="Q24" i="6"/>
  <c r="R24" i="6" s="1"/>
  <c r="G24" i="6"/>
  <c r="F24" i="6"/>
  <c r="O24" i="6" s="1"/>
  <c r="Q23" i="6"/>
  <c r="R23" i="6" s="1"/>
  <c r="G23" i="6"/>
  <c r="F23" i="6"/>
  <c r="O23" i="6" s="1"/>
  <c r="P23" i="6" s="1"/>
  <c r="Q22" i="6"/>
  <c r="R22" i="6" s="1"/>
  <c r="G22" i="6"/>
  <c r="F22" i="6"/>
  <c r="O22" i="6" s="1"/>
  <c r="P22" i="6" s="1"/>
  <c r="Q21" i="6"/>
  <c r="R21" i="6" s="1"/>
  <c r="G21" i="6"/>
  <c r="F21" i="6"/>
  <c r="O21" i="6" s="1"/>
  <c r="Q20" i="6"/>
  <c r="R20" i="6" s="1"/>
  <c r="G20" i="6"/>
  <c r="F20" i="6"/>
  <c r="O20" i="6" s="1"/>
  <c r="P20" i="6" s="1"/>
  <c r="N27" i="6" l="1"/>
  <c r="Q28" i="6"/>
  <c r="R28" i="6" s="1"/>
  <c r="S28" i="6" s="1"/>
  <c r="U28" i="6" s="1"/>
  <c r="R27" i="6"/>
  <c r="S27" i="6" s="1"/>
  <c r="U27" i="6" s="1"/>
  <c r="S26" i="6"/>
  <c r="U26" i="6" s="1"/>
  <c r="N28" i="6"/>
  <c r="S25" i="6"/>
  <c r="U25" i="6" s="1"/>
  <c r="S20" i="6"/>
  <c r="U20" i="6" s="1"/>
  <c r="P24" i="6"/>
  <c r="S24" i="6"/>
  <c r="U24" i="6" s="1"/>
  <c r="N25" i="6"/>
  <c r="N24" i="6"/>
  <c r="S23" i="6"/>
  <c r="U23" i="6" s="1"/>
  <c r="N23" i="6"/>
  <c r="S22" i="6"/>
  <c r="U22" i="6" s="1"/>
  <c r="P21" i="6"/>
  <c r="S21" i="6" s="1"/>
  <c r="U21" i="6" s="1"/>
  <c r="N22" i="6"/>
  <c r="N21" i="6"/>
  <c r="N20" i="6"/>
  <c r="H3" i="6"/>
  <c r="H4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M28" i="1" l="1"/>
  <c r="M29" i="1" l="1"/>
  <c r="O28" i="1"/>
  <c r="R35" i="2" l="1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K3" i="4" l="1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I37" i="2" l="1"/>
  <c r="J36" i="2"/>
  <c r="K36" i="2"/>
  <c r="J5" i="6"/>
  <c r="H5" i="6"/>
  <c r="P2" i="6"/>
  <c r="AN4" i="6"/>
  <c r="AM4" i="6"/>
  <c r="AL4" i="6"/>
  <c r="AN3" i="6"/>
  <c r="AM3" i="6"/>
  <c r="AL3" i="6"/>
  <c r="AN2" i="6"/>
  <c r="AM2" i="6"/>
  <c r="AL2" i="6"/>
  <c r="Q6" i="5"/>
  <c r="Q13" i="4"/>
  <c r="L13" i="4"/>
  <c r="K13" i="4"/>
  <c r="J13" i="4"/>
  <c r="T6" i="5"/>
  <c r="R6" i="5"/>
  <c r="U6" i="5"/>
  <c r="S6" i="5"/>
  <c r="W6" i="5"/>
  <c r="V6" i="5"/>
  <c r="R4" i="6" l="1"/>
  <c r="R3" i="6"/>
  <c r="I38" i="2"/>
  <c r="J37" i="2"/>
  <c r="K37" i="2"/>
  <c r="R2" i="6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I3" i="4" l="1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E12" i="4"/>
  <c r="L12" i="4" s="1"/>
  <c r="M20" i="4" l="1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W4" i="5"/>
  <c r="U4" i="5"/>
  <c r="R5" i="5"/>
  <c r="V5" i="5"/>
  <c r="S5" i="5"/>
  <c r="W5" i="5"/>
  <c r="T5" i="5"/>
  <c r="T4" i="5"/>
  <c r="S4" i="5"/>
  <c r="U5" i="5"/>
  <c r="V4" i="5"/>
  <c r="P11" i="4" l="1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M30" i="1" l="1"/>
  <c r="I12" i="4"/>
  <c r="N12" i="4" s="1"/>
  <c r="Q26" i="4"/>
  <c r="L26" i="4"/>
  <c r="K26" i="4"/>
  <c r="J26" i="4"/>
  <c r="J2" i="4"/>
  <c r="M32" i="1" l="1"/>
  <c r="M31" i="1"/>
  <c r="I11" i="4"/>
  <c r="N11" i="4" s="1"/>
  <c r="P22" i="4"/>
  <c r="I22" i="4"/>
  <c r="N22" i="4" s="1"/>
  <c r="I24" i="4"/>
  <c r="N24" i="4" s="1"/>
  <c r="P24" i="4"/>
  <c r="O26" i="4"/>
  <c r="R26" i="4" s="1"/>
  <c r="M34" i="1" l="1"/>
  <c r="M33" i="1"/>
  <c r="K2" i="4"/>
  <c r="Q2" i="4"/>
  <c r="L2" i="4"/>
  <c r="O2" i="4" l="1"/>
  <c r="R2" i="4" s="1"/>
  <c r="T37" i="9"/>
  <c r="T39" i="9" s="1"/>
  <c r="S37" i="9"/>
  <c r="S39" i="9" s="1"/>
  <c r="R37" i="9"/>
  <c r="R39" i="9" s="1"/>
  <c r="Q37" i="9"/>
  <c r="Q39" i="9" s="1"/>
  <c r="P37" i="9"/>
  <c r="P39" i="9" s="1"/>
  <c r="O37" i="9"/>
  <c r="O39" i="9" s="1"/>
  <c r="N37" i="9"/>
  <c r="N39" i="9" s="1"/>
  <c r="M37" i="9"/>
  <c r="M39" i="9" s="1"/>
  <c r="L37" i="9"/>
  <c r="L39" i="9" s="1"/>
  <c r="K37" i="9"/>
  <c r="K39" i="9" s="1"/>
  <c r="J37" i="9"/>
  <c r="J39" i="9" s="1"/>
  <c r="I37" i="9"/>
  <c r="I39" i="9" s="1"/>
  <c r="H37" i="9"/>
  <c r="H39" i="9" s="1"/>
  <c r="G37" i="9"/>
  <c r="G39" i="9" s="1"/>
  <c r="F37" i="9"/>
  <c r="F39" i="9" s="1"/>
  <c r="I48" i="9" l="1"/>
  <c r="I41" i="9"/>
  <c r="I46" i="9"/>
  <c r="I42" i="9"/>
  <c r="I43" i="9"/>
  <c r="I47" i="9"/>
  <c r="M43" i="9"/>
  <c r="M46" i="9"/>
  <c r="M41" i="9"/>
  <c r="M47" i="9"/>
  <c r="M48" i="9"/>
  <c r="M42" i="9"/>
  <c r="L46" i="9"/>
  <c r="L42" i="9"/>
  <c r="L47" i="9"/>
  <c r="L43" i="9"/>
  <c r="L48" i="9"/>
  <c r="L41" i="9"/>
  <c r="T48" i="9"/>
  <c r="T41" i="9"/>
  <c r="T46" i="9"/>
  <c r="T42" i="9"/>
  <c r="T47" i="9"/>
  <c r="T43" i="9"/>
  <c r="J42" i="9"/>
  <c r="J46" i="9"/>
  <c r="J47" i="9"/>
  <c r="J43" i="9"/>
  <c r="J48" i="9"/>
  <c r="J41" i="9"/>
  <c r="N47" i="9"/>
  <c r="N41" i="9"/>
  <c r="N42" i="9"/>
  <c r="N48" i="9"/>
  <c r="N43" i="9"/>
  <c r="N46" i="9"/>
  <c r="R48" i="9"/>
  <c r="R41" i="9"/>
  <c r="R42" i="9"/>
  <c r="R46" i="9"/>
  <c r="R47" i="9"/>
  <c r="R43" i="9"/>
  <c r="P41" i="9"/>
  <c r="P47" i="9"/>
  <c r="P48" i="9"/>
  <c r="P42" i="9"/>
  <c r="P43" i="9"/>
  <c r="P46" i="9"/>
  <c r="Q46" i="9"/>
  <c r="Q42" i="9"/>
  <c r="Q43" i="9"/>
  <c r="Q47" i="9"/>
  <c r="Q48" i="9"/>
  <c r="Q41" i="9"/>
  <c r="K48" i="9"/>
  <c r="K41" i="9"/>
  <c r="K46" i="9"/>
  <c r="K42" i="9"/>
  <c r="K43" i="9"/>
  <c r="K47" i="9"/>
  <c r="O43" i="9"/>
  <c r="O46" i="9"/>
  <c r="O47" i="9"/>
  <c r="O41" i="9"/>
  <c r="O48" i="9"/>
  <c r="O42" i="9"/>
  <c r="S46" i="9"/>
  <c r="S42" i="9"/>
  <c r="S43" i="9"/>
  <c r="S47" i="9"/>
  <c r="S48" i="9"/>
  <c r="S41" i="9"/>
  <c r="H48" i="9"/>
  <c r="H46" i="9"/>
  <c r="H43" i="9"/>
  <c r="H41" i="9"/>
  <c r="H47" i="9"/>
  <c r="H42" i="9"/>
  <c r="G47" i="9"/>
  <c r="G41" i="9"/>
  <c r="G43" i="9"/>
  <c r="G48" i="9"/>
  <c r="G46" i="9"/>
  <c r="G42" i="9"/>
  <c r="F46" i="9"/>
  <c r="F42" i="9"/>
  <c r="F48" i="9"/>
  <c r="F41" i="9"/>
  <c r="F47" i="9"/>
  <c r="F43" i="9"/>
  <c r="Q15" i="4"/>
  <c r="L15" i="4"/>
  <c r="K15" i="4"/>
  <c r="J15" i="4"/>
  <c r="U47" i="9" l="1"/>
  <c r="U48" i="9"/>
  <c r="U46" i="9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Q35" i="2" l="1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B35" i="2" l="1"/>
  <c r="O31" i="1"/>
  <c r="O33" i="1"/>
  <c r="K23" i="4"/>
  <c r="O35" i="1" l="1"/>
  <c r="O37" i="1" s="1"/>
  <c r="M36" i="1" l="1"/>
  <c r="K10" i="4"/>
  <c r="I21" i="4" l="1"/>
  <c r="N21" i="4" s="1"/>
  <c r="I6" i="4"/>
  <c r="N6" i="4" s="1"/>
  <c r="P18" i="4"/>
  <c r="P21" i="4"/>
  <c r="P6" i="4"/>
  <c r="P25" i="4"/>
  <c r="P28" i="4" l="1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I25" i="4" l="1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N5" i="4" l="1"/>
  <c r="P35" i="2"/>
  <c r="C35" i="2" s="1"/>
  <c r="P37" i="2"/>
  <c r="M21" i="1"/>
  <c r="M22" i="1" s="1"/>
  <c r="M23" i="1" s="1"/>
  <c r="O20" i="1"/>
  <c r="V4" i="1"/>
  <c r="W4" i="1" s="1"/>
  <c r="V5" i="1"/>
  <c r="W5" i="1" s="1"/>
  <c r="V6" i="1"/>
  <c r="W6" i="1" s="1"/>
  <c r="V7" i="1"/>
  <c r="W7" i="1" s="1"/>
  <c r="V8" i="1"/>
  <c r="W8" i="1" s="1"/>
  <c r="K16" i="4"/>
  <c r="K19" i="4"/>
  <c r="K17" i="4"/>
  <c r="K7" i="4"/>
  <c r="K18" i="4"/>
  <c r="K14" i="4"/>
  <c r="K21" i="4"/>
  <c r="K4" i="4"/>
  <c r="K6" i="4"/>
  <c r="K9" i="4"/>
  <c r="K8" i="4"/>
  <c r="Z8" i="1" l="1"/>
  <c r="Z7" i="1"/>
  <c r="Z6" i="1"/>
  <c r="Z5" i="1"/>
  <c r="Z4" i="1"/>
  <c r="Y4" i="1"/>
  <c r="Y8" i="1"/>
  <c r="Y7" i="1"/>
  <c r="Y6" i="1"/>
  <c r="Y5" i="1"/>
  <c r="O22" i="1" l="1"/>
  <c r="O24" i="1" s="1"/>
  <c r="R38" i="2"/>
  <c r="R36" i="2"/>
  <c r="R30" i="2"/>
  <c r="R34" i="2"/>
  <c r="P34" i="2"/>
  <c r="R33" i="2"/>
  <c r="P33" i="2"/>
  <c r="R32" i="2"/>
  <c r="R31" i="2"/>
  <c r="R29" i="2"/>
  <c r="R28" i="2"/>
  <c r="M5" i="1" l="1"/>
  <c r="M4" i="1"/>
  <c r="O5" i="1" s="1"/>
  <c r="AH2" i="6"/>
  <c r="S2" i="6" s="1"/>
  <c r="U2" i="6" s="1"/>
  <c r="AG2" i="6"/>
  <c r="AF2" i="6"/>
  <c r="J6" i="6"/>
  <c r="J7" i="6" s="1"/>
  <c r="J8" i="6" s="1"/>
  <c r="J9" i="6" s="1"/>
  <c r="Q5" i="6"/>
  <c r="Q7" i="6" s="1"/>
  <c r="V3" i="1"/>
  <c r="W3" i="1" s="1"/>
  <c r="V2" i="1"/>
  <c r="G3" i="6" l="1"/>
  <c r="G19" i="6"/>
  <c r="F3" i="6"/>
  <c r="N3" i="6" s="1"/>
  <c r="F19" i="6"/>
  <c r="O6" i="1"/>
  <c r="O7" i="1"/>
  <c r="M6" i="1"/>
  <c r="M7" i="1"/>
  <c r="J10" i="6"/>
  <c r="G4" i="6"/>
  <c r="F4" i="6"/>
  <c r="N4" i="6" s="1"/>
  <c r="R5" i="6"/>
  <c r="P4" i="1"/>
  <c r="Z2" i="1"/>
  <c r="W2" i="1"/>
  <c r="O33" i="2"/>
  <c r="O34" i="2"/>
  <c r="Y2" i="1"/>
  <c r="Q8" i="6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R19" i="6" s="1"/>
  <c r="Q6" i="6"/>
  <c r="I5" i="6"/>
  <c r="G5" i="6" s="1"/>
  <c r="H6" i="6"/>
  <c r="H7" i="6" s="1"/>
  <c r="F5" i="6"/>
  <c r="N5" i="6" s="1"/>
  <c r="Z3" i="1"/>
  <c r="Y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3" i="6" l="1"/>
  <c r="P3" i="6" s="1"/>
  <c r="S3" i="6" s="1"/>
  <c r="U3" i="6" s="1"/>
  <c r="O19" i="6"/>
  <c r="P19" i="6" s="1"/>
  <c r="N19" i="6"/>
  <c r="S19" i="6"/>
  <c r="U19" i="6" s="1"/>
  <c r="O8" i="1"/>
  <c r="M9" i="1"/>
  <c r="M8" i="1"/>
  <c r="O9" i="1" s="1"/>
  <c r="R9" i="6"/>
  <c r="J11" i="6"/>
  <c r="R10" i="6"/>
  <c r="H8" i="6"/>
  <c r="H9" i="6" s="1"/>
  <c r="F7" i="6"/>
  <c r="N7" i="6" s="1"/>
  <c r="R6" i="6"/>
  <c r="R7" i="6"/>
  <c r="Q24" i="2"/>
  <c r="P6" i="1"/>
  <c r="Q19" i="2"/>
  <c r="Q31" i="2"/>
  <c r="Q32" i="2"/>
  <c r="I6" i="6"/>
  <c r="I7" i="6" s="1"/>
  <c r="F6" i="6"/>
  <c r="N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H10" i="6" l="1"/>
  <c r="F9" i="6"/>
  <c r="J12" i="6"/>
  <c r="R11" i="6"/>
  <c r="I8" i="6"/>
  <c r="I9" i="6" s="1"/>
  <c r="G7" i="6"/>
  <c r="F8" i="6"/>
  <c r="N8" i="6" s="1"/>
  <c r="G6" i="6"/>
  <c r="R8" i="6"/>
  <c r="M11" i="1"/>
  <c r="P8" i="1"/>
  <c r="O7" i="6"/>
  <c r="O6" i="6"/>
  <c r="O24" i="2"/>
  <c r="O22" i="2"/>
  <c r="O23" i="2"/>
  <c r="P23" i="2"/>
  <c r="P24" i="2"/>
  <c r="P22" i="2"/>
  <c r="H11" i="6" l="1"/>
  <c r="F10" i="6"/>
  <c r="I10" i="6"/>
  <c r="G9" i="6"/>
  <c r="J13" i="6"/>
  <c r="R12" i="6"/>
  <c r="G8" i="6"/>
  <c r="P7" i="6"/>
  <c r="S7" i="6" s="1"/>
  <c r="U7" i="6" s="1"/>
  <c r="P6" i="6"/>
  <c r="S6" i="6" s="1"/>
  <c r="U6" i="6" s="1"/>
  <c r="P10" i="1"/>
  <c r="O12" i="1" s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H12" i="6" l="1"/>
  <c r="F11" i="6"/>
  <c r="I11" i="6"/>
  <c r="G10" i="6"/>
  <c r="J14" i="6"/>
  <c r="R13" i="6"/>
  <c r="P8" i="6"/>
  <c r="S8" i="6" s="1"/>
  <c r="U8" i="6" s="1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H13" i="6" l="1"/>
  <c r="F12" i="6"/>
  <c r="I12" i="6"/>
  <c r="G11" i="6"/>
  <c r="J15" i="6"/>
  <c r="R14" i="6"/>
  <c r="N9" i="6"/>
  <c r="Q34" i="2"/>
  <c r="Q33" i="2"/>
  <c r="B24" i="2"/>
  <c r="C24" i="2"/>
  <c r="B23" i="2"/>
  <c r="C23" i="2"/>
  <c r="O14" i="2"/>
  <c r="A3" i="2"/>
  <c r="B3" i="2" s="1"/>
  <c r="B37" i="2" l="1"/>
  <c r="C37" i="2"/>
  <c r="H14" i="6"/>
  <c r="F13" i="6"/>
  <c r="I13" i="6"/>
  <c r="G12" i="6"/>
  <c r="J16" i="6"/>
  <c r="R15" i="6"/>
  <c r="P38" i="2"/>
  <c r="P36" i="2"/>
  <c r="C33" i="2"/>
  <c r="B30" i="2"/>
  <c r="P30" i="2"/>
  <c r="P29" i="2"/>
  <c r="P28" i="2"/>
  <c r="N11" i="6"/>
  <c r="N12" i="6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H15" i="6" l="1"/>
  <c r="F14" i="6"/>
  <c r="N14" i="6" s="1"/>
  <c r="I14" i="6"/>
  <c r="G13" i="6"/>
  <c r="J17" i="6"/>
  <c r="R16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2" i="6"/>
  <c r="O11" i="6"/>
  <c r="N13" i="6"/>
  <c r="B26" i="2"/>
  <c r="C26" i="2"/>
  <c r="B27" i="2"/>
  <c r="C27" i="2"/>
  <c r="E42" i="2"/>
  <c r="F42" i="2" s="1"/>
  <c r="R17" i="6" l="1"/>
  <c r="J18" i="6"/>
  <c r="R18" i="6" s="1"/>
  <c r="H16" i="6"/>
  <c r="F15" i="6"/>
  <c r="N15" i="6" s="1"/>
  <c r="I15" i="6"/>
  <c r="G14" i="6"/>
  <c r="S10" i="6"/>
  <c r="U10" i="6" s="1"/>
  <c r="S9" i="6"/>
  <c r="U9" i="6" s="1"/>
  <c r="C34" i="2"/>
  <c r="B34" i="2"/>
  <c r="O14" i="6"/>
  <c r="O13" i="6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H17" i="6" l="1"/>
  <c r="F16" i="6"/>
  <c r="N16" i="6" s="1"/>
  <c r="O15" i="6"/>
  <c r="I16" i="6"/>
  <c r="G15" i="6"/>
  <c r="S11" i="6"/>
  <c r="U11" i="6" s="1"/>
  <c r="F17" i="6" l="1"/>
  <c r="N17" i="6" s="1"/>
  <c r="H18" i="6"/>
  <c r="F18" i="6" s="1"/>
  <c r="O16" i="6"/>
  <c r="I17" i="6"/>
  <c r="G16" i="6"/>
  <c r="B36" i="2"/>
  <c r="C36" i="2"/>
  <c r="B38" i="2"/>
  <c r="C38" i="2"/>
  <c r="O17" i="6" l="1"/>
  <c r="N18" i="6"/>
  <c r="O18" i="6"/>
  <c r="G17" i="6"/>
  <c r="I18" i="6"/>
  <c r="G18" i="6" s="1"/>
  <c r="P12" i="6"/>
  <c r="P18" i="6" l="1"/>
  <c r="S18" i="6" s="1"/>
  <c r="U18" i="6" s="1"/>
  <c r="S12" i="6"/>
  <c r="U12" i="6" s="1"/>
  <c r="P13" i="6"/>
  <c r="S13" i="6" l="1"/>
  <c r="U13" i="6" s="1"/>
  <c r="P14" i="6"/>
  <c r="S14" i="6" l="1"/>
  <c r="U14" i="6" s="1"/>
  <c r="P15" i="6"/>
  <c r="S15" i="6" l="1"/>
  <c r="U15" i="6" s="1"/>
  <c r="P16" i="6"/>
  <c r="S16" i="6" l="1"/>
  <c r="U16" i="6" s="1"/>
  <c r="P17" i="6"/>
  <c r="S17" i="6" l="1"/>
  <c r="U17" i="6" s="1"/>
  <c r="J20" i="11"/>
  <c r="J19" i="11"/>
  <c r="J21" i="11"/>
  <c r="K20" i="11"/>
  <c r="K21" i="11"/>
  <c r="K19" i="11"/>
</calcChain>
</file>

<file path=xl/sharedStrings.xml><?xml version="1.0" encoding="utf-8"?>
<sst xmlns="http://schemas.openxmlformats.org/spreadsheetml/2006/main" count="5978" uniqueCount="808">
  <si>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</si>
  <si>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</si>
  <si>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</si>
  <si>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</si>
  <si>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</si>
  <si>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</si>
  <si>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</si>
  <si>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</si>
  <si>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</si>
  <si>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</si>
  <si>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</si>
  <si>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</si>
  <si>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</si>
  <si>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</si>
  <si>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</si>
  <si>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</si>
  <si>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</si>
  <si>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</si>
  <si>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</si>
  <si>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</si>
  <si>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</si>
  <si>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</si>
  <si>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</si>
  <si>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</si>
  <si>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</si>
  <si>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</si>
  <si>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</si>
  <si>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</si>
  <si>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</si>
  <si>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</si>
  <si>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</si>
  <si>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</si>
  <si>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</si>
  <si>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</si>
  <si>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</si>
  <si>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</si>
  <si>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</si>
  <si>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</si>
  <si>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</si>
  <si>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</si>
  <si>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</si>
  <si>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</si>
  <si>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</si>
  <si>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</si>
  <si>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</si>
  <si>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</si>
  <si>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</si>
  <si>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</si>
  <si>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</si>
  <si>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</si>
  <si>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</si>
  <si>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</si>
  <si>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</si>
  <si>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</si>
  <si>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</si>
  <si>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</si>
  <si>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</si>
  <si>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</si>
  <si>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</si>
  <si>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</si>
  <si>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</si>
  <si>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</si>
  <si>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</si>
  <si>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</si>
  <si>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</si>
  <si>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</si>
  <si>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</si>
  <si>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</si>
  <si>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</si>
  <si>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</si>
  <si>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</si>
  <si>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</si>
  <si>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</si>
  <si>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</si>
  <si>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</si>
  <si>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</si>
  <si>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</si>
  <si>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</si>
  <si>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</si>
  <si>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</si>
  <si>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</si>
  <si>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</si>
  <si>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</si>
  <si>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</si>
  <si>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</si>
  <si>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</si>
  <si>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</si>
  <si>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</si>
  <si>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</si>
  <si>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</si>
  <si>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</si>
  <si>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</si>
  <si>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</si>
  <si>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</si>
  <si>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</si>
  <si>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</si>
  <si>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</si>
  <si>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</si>
  <si>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</si>
  <si>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</si>
  <si>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</si>
  <si>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</si>
  <si>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</si>
  <si>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</si>
  <si>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</si>
  <si>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</si>
  <si>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</si>
  <si>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</si>
  <si>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</si>
  <si>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</si>
  <si>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</si>
  <si>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</si>
  <si>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</si>
  <si>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</si>
  <si>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</si>
  <si>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</si>
  <si>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</si>
  <si>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</si>
  <si>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</si>
  <si>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</si>
  <si>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</si>
  <si>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</si>
  <si>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</si>
  <si>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</si>
  <si>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</si>
  <si>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</si>
  <si>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</si>
  <si>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</si>
  <si>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</si>
  <si>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</si>
  <si>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</si>
  <si>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</si>
  <si>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</si>
  <si>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</si>
  <si>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</si>
  <si>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</si>
  <si>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</si>
  <si>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</si>
  <si>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</si>
  <si>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</si>
  <si>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</si>
  <si>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</si>
  <si>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</si>
  <si>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</si>
  <si>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</si>
  <si>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</si>
  <si>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</si>
  <si>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</si>
  <si>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</si>
  <si>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</si>
  <si>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</si>
  <si>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</si>
  <si>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</si>
  <si>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</si>
  <si>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</si>
  <si>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</si>
  <si>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</si>
  <si>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</si>
  <si>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</si>
  <si>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</si>
  <si>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</si>
  <si>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</si>
  <si>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</si>
  <si>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</si>
  <si>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</si>
  <si>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</si>
  <si>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</si>
  <si>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</si>
  <si>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</si>
  <si>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</si>
  <si>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</si>
  <si>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</si>
  <si>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</si>
  <si>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</si>
  <si>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</si>
  <si>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</si>
  <si>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</si>
  <si>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</si>
  <si>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</si>
  <si>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</si>
  <si>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</si>
  <si>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</si>
  <si>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</si>
  <si>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</si>
  <si>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</si>
  <si>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</si>
  <si>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</si>
  <si>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</si>
  <si>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</si>
  <si>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</si>
  <si>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</si>
  <si>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</si>
  <si>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</si>
  <si>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</si>
  <si>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</si>
  <si>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</si>
  <si>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</si>
  <si>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</si>
  <si>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</si>
  <si>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</si>
  <si>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</si>
  <si>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</si>
  <si>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</si>
  <si>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</si>
  <si>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</si>
  <si>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</si>
  <si>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</si>
  <si>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</si>
  <si>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</si>
  <si>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</si>
  <si>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</si>
  <si>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</si>
  <si>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</si>
  <si>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</si>
  <si>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</si>
  <si>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</si>
  <si>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</si>
  <si>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</si>
  <si>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</si>
  <si>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</si>
  <si>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</si>
  <si>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</si>
  <si>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</si>
  <si>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</si>
  <si>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</si>
  <si>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</si>
  <si>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</si>
  <si>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</si>
  <si>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</si>
  <si>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</si>
  <si>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</si>
  <si>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</si>
  <si>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</si>
  <si>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</si>
  <si>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</si>
  <si>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</si>
  <si>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</si>
  <si>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</si>
  <si>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</si>
  <si>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</si>
  <si>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</si>
  <si>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</si>
  <si>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</si>
  <si>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</si>
  <si>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</si>
  <si>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</si>
  <si>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</si>
  <si>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</si>
  <si>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</si>
  <si>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</si>
  <si>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</si>
  <si>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</si>
  <si>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</si>
  <si>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</si>
  <si>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</si>
  <si>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</si>
  <si>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</si>
  <si>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</si>
  <si>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</si>
  <si>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</si>
  <si>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</si>
  <si>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</si>
  <si>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</si>
  <si>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</si>
  <si>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</si>
  <si>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</si>
  <si>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</si>
  <si>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</si>
  <si>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</si>
  <si>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</si>
  <si>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</si>
  <si>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</si>
  <si>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</si>
  <si>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</si>
  <si>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</si>
  <si>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</si>
  <si>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</si>
  <si>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</si>
  <si>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</si>
  <si>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</si>
  <si>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</si>
  <si>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</si>
  <si>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</si>
  <si>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</si>
  <si>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</si>
  <si>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</si>
  <si>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</si>
  <si>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</si>
  <si>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</si>
  <si>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</si>
  <si>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</si>
  <si>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</si>
  <si>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</si>
  <si>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</si>
  <si>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</si>
  <si>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</si>
  <si>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</si>
  <si>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</si>
  <si>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</si>
  <si>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</si>
  <si>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</si>
  <si>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</si>
  <si>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</si>
  <si>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</si>
  <si>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</si>
  <si>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</si>
  <si>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</si>
  <si>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</si>
  <si>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</si>
  <si>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</si>
  <si>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</si>
  <si>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</si>
  <si>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</si>
  <si>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</si>
  <si>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</si>
  <si>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</si>
  <si>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</si>
  <si>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</si>
  <si>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</si>
  <si>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</si>
  <si>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</si>
  <si>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</si>
  <si>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</si>
  <si>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</si>
  <si>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</si>
  <si>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</si>
  <si>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</si>
  <si>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</si>
  <si>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</si>
  <si>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</si>
  <si>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</si>
  <si>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</si>
  <si>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</si>
  <si>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</si>
  <si>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</si>
  <si>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</si>
  <si>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</si>
  <si>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</si>
  <si>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</si>
  <si>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</si>
  <si>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</si>
  <si>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</si>
  <si>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</si>
  <si>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</si>
  <si>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</si>
  <si>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</si>
  <si>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</si>
  <si>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</si>
  <si>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</si>
  <si>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</si>
  <si>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</si>
  <si>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</si>
  <si>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</si>
  <si>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</si>
  <si>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</si>
  <si>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</si>
  <si>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</si>
  <si>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</si>
  <si>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</si>
  <si>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</si>
  <si>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</si>
  <si>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SPD/Atk%/Atk%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</si>
  <si>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</si>
  <si>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</si>
  <si>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</si>
  <si>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</si>
  <si>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</si>
  <si>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</si>
  <si>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</si>
  <si>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</si>
  <si>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</si>
  <si>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</si>
  <si>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</si>
  <si>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</si>
  <si>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</si>
  <si>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</si>
  <si>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</si>
  <si>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</si>
  <si>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</si>
  <si>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</si>
  <si>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</si>
  <si>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</si>
  <si>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</si>
  <si>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</si>
  <si>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</si>
  <si>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</si>
  <si>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</si>
  <si>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</si>
  <si>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</si>
  <si>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</si>
  <si>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</si>
  <si>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</si>
  <si>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</si>
  <si>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</si>
  <si>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</si>
  <si>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</si>
  <si>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</si>
  <si>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</si>
  <si>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</si>
  <si>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</si>
  <si>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</si>
  <si>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</si>
  <si>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</si>
  <si>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</si>
  <si>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</si>
  <si>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</si>
  <si>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</si>
  <si>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</si>
  <si>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</si>
  <si>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</si>
  <si>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</si>
  <si>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</si>
  <si>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</si>
  <si>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</si>
  <si>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</si>
  <si>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</si>
  <si>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</si>
  <si>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</si>
  <si>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</si>
  <si>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</si>
  <si>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</si>
  <si>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</si>
  <si>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</si>
  <si>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</si>
  <si>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</si>
  <si>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</si>
  <si>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</si>
  <si>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</si>
  <si>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</si>
  <si>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</si>
  <si>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</si>
  <si>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</si>
  <si>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</si>
  <si>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</si>
  <si>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</si>
  <si>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</si>
  <si>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</si>
  <si>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</si>
  <si>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</si>
  <si>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</si>
  <si>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</si>
  <si>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</si>
  <si>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</si>
  <si>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</si>
  <si>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</si>
  <si>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</si>
  <si>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</si>
  <si>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</si>
  <si>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</si>
  <si>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</si>
  <si>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</si>
  <si>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</si>
  <si>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</si>
  <si>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</si>
  <si>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</si>
  <si>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</si>
  <si>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</si>
  <si>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</si>
  <si>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</si>
  <si>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</si>
  <si>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</si>
  <si>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</si>
  <si>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</si>
  <si>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</si>
  <si>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</si>
  <si>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</si>
  <si>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</si>
  <si>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</si>
  <si>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</si>
  <si>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</si>
  <si>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</si>
  <si>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</si>
  <si>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</si>
  <si>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</si>
  <si>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</si>
  <si>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</si>
  <si>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</si>
  <si>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</si>
  <si>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</si>
  <si>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</si>
  <si>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</si>
  <si>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</si>
  <si>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</si>
  <si>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</si>
  <si>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</si>
  <si>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</si>
  <si>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</si>
  <si>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</si>
  <si>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</si>
  <si>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</si>
  <si>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</si>
  <si>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</si>
  <si>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</si>
  <si>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</si>
  <si>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</si>
  <si>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</si>
  <si>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</si>
  <si>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</si>
  <si>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</si>
  <si>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</si>
  <si>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</si>
  <si>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</si>
  <si>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</si>
  <si>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</si>
  <si>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</si>
  <si>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</si>
  <si>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</si>
  <si>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</si>
  <si>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</si>
  <si>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</si>
  <si>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</si>
  <si>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</si>
  <si>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</si>
  <si>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</si>
  <si>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</si>
  <si>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</si>
  <si>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</si>
  <si>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</si>
  <si>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</si>
  <si>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</si>
  <si>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</si>
  <si>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</si>
  <si>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</si>
  <si>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</si>
  <si>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</si>
  <si>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</si>
  <si>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</si>
  <si>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</si>
  <si>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</si>
  <si>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</si>
  <si>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</si>
  <si>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</si>
  <si>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</si>
  <si>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</si>
  <si>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</si>
  <si>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</si>
  <si>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</si>
  <si>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</si>
  <si>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</si>
  <si>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</si>
  <si>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</si>
  <si>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4 Star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</si>
  <si>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</si>
  <si>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</si>
  <si>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</si>
  <si>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</si>
  <si>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</si>
  <si>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</si>
  <si>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</si>
  <si>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</si>
  <si>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</si>
  <si>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</si>
  <si>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</si>
  <si>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</si>
  <si>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</si>
  <si>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</si>
  <si>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</si>
  <si>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</si>
  <si>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</si>
  <si>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</si>
  <si>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</si>
  <si>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</si>
  <si>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</si>
  <si>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</si>
  <si>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</si>
  <si>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</si>
  <si>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</si>
  <si>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</si>
  <si>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</si>
  <si>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</si>
  <si>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</si>
  <si>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</si>
  <si>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</si>
  <si>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</si>
  <si>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</si>
  <si>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</si>
  <si>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</si>
  <si>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</si>
  <si>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</si>
  <si>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</si>
  <si>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</si>
  <si>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</si>
  <si>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</si>
  <si>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</si>
  <si>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</si>
  <si>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</si>
  <si>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</si>
  <si>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</si>
  <si>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</si>
  <si>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</si>
  <si>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</si>
  <si>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</si>
  <si>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</si>
  <si>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</si>
  <si>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</si>
  <si>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</si>
  <si>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</si>
  <si>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</si>
  <si>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</si>
  <si>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</si>
  <si>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</si>
  <si>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</si>
  <si>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</si>
  <si>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</si>
  <si>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</si>
  <si>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</si>
  <si>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</si>
  <si>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</si>
  <si>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</si>
  <si>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</si>
  <si>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</si>
  <si>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</si>
  <si>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</si>
  <si>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</si>
  <si>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</si>
  <si>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</si>
  <si>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</si>
  <si>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</si>
  <si>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</si>
  <si>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</si>
  <si>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</si>
  <si>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</si>
  <si>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</si>
  <si>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</si>
  <si>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</si>
  <si>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</si>
  <si>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</si>
  <si>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</si>
  <si>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</si>
  <si>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</si>
  <si>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</si>
  <si>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</si>
  <si>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</si>
  <si>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</si>
  <si>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</si>
  <si>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</si>
  <si>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</si>
  <si>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</si>
  <si>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</si>
  <si>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</si>
  <si>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</si>
  <si>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</si>
  <si>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</si>
  <si>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</si>
  <si>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</si>
  <si>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</si>
  <si>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</si>
  <si>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</si>
  <si>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</si>
  <si>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</si>
  <si>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</si>
  <si>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</si>
  <si>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</si>
  <si>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</si>
  <si>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</si>
  <si>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</si>
  <si>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</si>
  <si>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</si>
  <si>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</si>
  <si>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</si>
  <si>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</si>
  <si>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</si>
  <si>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</si>
  <si>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</si>
  <si>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</si>
  <si>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</si>
  <si>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</si>
  <si>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</si>
  <si>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</si>
  <si>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</si>
  <si>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</si>
  <si>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</si>
  <si>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</si>
  <si>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</si>
  <si>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</si>
  <si>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</si>
  <si>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</si>
  <si>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</si>
  <si>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</si>
  <si>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</si>
  <si>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</si>
  <si>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</si>
  <si>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</si>
  <si>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</si>
  <si>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</si>
  <si>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</si>
  <si>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</si>
  <si>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</si>
  <si>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</si>
  <si>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</si>
  <si>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</si>
  <si>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</si>
  <si>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</si>
  <si>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</si>
  <si>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</si>
  <si>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</si>
  <si>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</si>
  <si>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</si>
  <si>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</si>
  <si>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</si>
  <si>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</si>
  <si>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</si>
  <si>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</si>
  <si>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</si>
  <si>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</si>
  <si>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</si>
  <si>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</si>
  <si>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</si>
  <si>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</si>
  <si>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</si>
  <si>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</si>
  <si>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</si>
  <si>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</si>
  <si>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</si>
  <si>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</si>
  <si>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</si>
  <si>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</si>
  <si>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</si>
  <si>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</si>
  <si>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</si>
  <si>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</si>
  <si>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</si>
  <si>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</si>
  <si>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</si>
  <si>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</si>
  <si>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</si>
  <si>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</si>
  <si>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3 Star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</si>
  <si>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</si>
  <si>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</si>
  <si>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</si>
  <si>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</si>
  <si>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</si>
  <si>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</si>
  <si>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</si>
  <si>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</si>
  <si>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</si>
  <si>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</si>
  <si>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</si>
  <si>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</si>
  <si>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</si>
  <si>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</si>
  <si>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</si>
  <si>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</si>
  <si>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</si>
  <si>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</si>
  <si>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</si>
  <si>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</si>
  <si>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</si>
  <si>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</si>
  <si>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</si>
  <si>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</si>
  <si>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</si>
  <si>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</si>
  <si>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</si>
  <si>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</si>
  <si>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</si>
  <si>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</si>
  <si>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</si>
  <si>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</si>
  <si>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</si>
  <si>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</si>
  <si>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</si>
  <si>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</si>
  <si>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</si>
  <si>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</si>
  <si>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</si>
  <si>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</si>
  <si>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</si>
  <si>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</si>
  <si>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</si>
  <si>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</si>
  <si>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</si>
  <si>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</si>
  <si>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</si>
  <si>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HM=TOA Hard mode</t>
  </si>
  <si>
    <t>AD=Arena Defence</t>
  </si>
  <si>
    <t>Howl</t>
  </si>
  <si>
    <t>Lala</t>
  </si>
  <si>
    <t>AO=Arena Offense</t>
  </si>
  <si>
    <t>Colleen</t>
  </si>
  <si>
    <t>G=Giants D= Dragons N=Necropolis</t>
  </si>
  <si>
    <t>Cahule</t>
  </si>
  <si>
    <t>elemtial</t>
  </si>
  <si>
    <t>Bremis</t>
  </si>
  <si>
    <t>5=Optimal</t>
  </si>
  <si>
    <t>Ursha</t>
  </si>
  <si>
    <t>4=High use, works well</t>
  </si>
  <si>
    <t>Hellhound</t>
  </si>
  <si>
    <t>3=Average monster</t>
  </si>
  <si>
    <t>Tantra</t>
  </si>
  <si>
    <t>2=Has some use</t>
  </si>
  <si>
    <t>Tatu</t>
  </si>
  <si>
    <t>1=Little use</t>
  </si>
  <si>
    <t>Imp</t>
  </si>
  <si>
    <t>Cogma</t>
  </si>
  <si>
    <t>2 Star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</si>
  <si>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</si>
  <si>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</si>
  <si>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</si>
  <si>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</si>
  <si>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</si>
  <si>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</si>
  <si>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</si>
  <si>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</si>
  <si>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</si>
  <si>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</si>
  <si>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Awakened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</si>
</sst>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3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" fillId="0" borderId="0"/>
  </cellStyleXfs>
  <cellXfs count="222">
    <xf numFmtId="0" fontId="0" fillId="0" borderId="0" xfId="0"/>
    <xf numFmtId="4" fontId="0" fillId="0" borderId="0" xfId="0" applyNumberFormat="1"/>
    <xf numFmtId="0" fontId="0" fillId="2" borderId="0" xfId="0" applyFill="1"/>
    <xf numFmtId="0" fontId="2" fillId="3" borderId="1" xfId="0" applyFont="1" applyFill="1" applyBorder="1"/>
    <xf numFmtId="0" fontId="2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3" fillId="0" borderId="10" xfId="0" applyNumberFormat="1" applyFont="1" applyFill="1" applyBorder="1" applyAlignment="1">
      <alignment horizontal="left" wrapText="1"/>
    </xf>
    <xf numFmtId="0" fontId="3" fillId="0" borderId="10" xfId="0" applyFont="1" applyFill="1" applyBorder="1" applyAlignment="1">
      <alignment horizontal="left" wrapText="1"/>
    </xf>
    <xf numFmtId="3" fontId="3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4" fillId="0" borderId="5" xfId="0" applyNumberFormat="1" applyFont="1" applyBorder="1"/>
    <xf numFmtId="0" fontId="4" fillId="0" borderId="4" xfId="0" applyFont="1" applyBorder="1"/>
    <xf numFmtId="0" fontId="4" fillId="0" borderId="3" xfId="0" applyFont="1" applyBorder="1"/>
    <xf numFmtId="165" fontId="4" fillId="0" borderId="14" xfId="0" applyNumberFormat="1" applyFont="1" applyBorder="1"/>
    <xf numFmtId="0" fontId="5" fillId="4" borderId="0" xfId="0" applyFont="1" applyFill="1" applyBorder="1" applyAlignment="1">
      <alignment horizontal="left" vertical="center" wrapText="1"/>
    </xf>
    <xf numFmtId="0" fontId="4" fillId="0" borderId="0" xfId="0" applyFont="1"/>
    <xf numFmtId="4" fontId="3" fillId="0" borderId="10" xfId="0" applyNumberFormat="1" applyFont="1" applyFill="1" applyBorder="1" applyAlignment="1">
      <alignment horizontal="left" wrapText="1"/>
    </xf>
    <xf numFmtId="4" fontId="4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6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4" fillId="0" borderId="5" xfId="0" applyFont="1" applyBorder="1"/>
    <xf numFmtId="0" fontId="6" fillId="0" borderId="0" xfId="0" applyFont="1" applyBorder="1"/>
    <xf numFmtId="0" fontId="6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0" xfId="0" applyFont="1" applyFill="1" applyBorder="1"/>
    <xf numFmtId="0" fontId="4" fillId="2" borderId="6" xfId="0" applyFont="1" applyFill="1" applyBorder="1"/>
    <xf numFmtId="0" fontId="4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4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4" fillId="0" borderId="16" xfId="0" applyFont="1" applyFill="1" applyBorder="1"/>
    <xf numFmtId="0" fontId="0" fillId="0" borderId="0" xfId="0" applyAlignment="1">
      <alignment wrapText="1"/>
    </xf>
    <xf numFmtId="0" fontId="4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4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4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4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4" fillId="9" borderId="8" xfId="0" applyFont="1" applyFill="1" applyBorder="1"/>
    <xf numFmtId="0" fontId="0" fillId="9" borderId="5" xfId="0" applyFill="1" applyBorder="1"/>
    <xf numFmtId="0" fontId="4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4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4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3" fillId="4" borderId="0" xfId="0" applyFont="1" applyFill="1" applyBorder="1" applyAlignment="1">
      <alignment horizontal="left" vertical="center" wrapText="1"/>
    </xf>
    <xf numFmtId="0" fontId="3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5" fillId="0" borderId="2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0" fontId="5" fillId="0" borderId="15" xfId="0" applyFont="1" applyFill="1" applyBorder="1" applyAlignment="1">
      <alignment horizontal="left" vertical="center" wrapText="1"/>
    </xf>
    <xf numFmtId="0" fontId="4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8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8" fillId="0" borderId="20" xfId="0" applyFont="1" applyFill="1" applyBorder="1" applyAlignment="1">
      <alignment horizontal="left" wrapText="1"/>
    </xf>
    <xf numFmtId="0" fontId="8" fillId="0" borderId="10" xfId="0" applyFont="1" applyFill="1" applyBorder="1" applyAlignment="1">
      <alignment horizontal="left" wrapText="1"/>
    </xf>
    <xf numFmtId="9" fontId="8" fillId="0" borderId="10" xfId="0" applyNumberFormat="1" applyFont="1" applyFill="1" applyBorder="1" applyAlignment="1">
      <alignment horizontal="left" wrapText="1"/>
    </xf>
    <xf numFmtId="3" fontId="8" fillId="0" borderId="10" xfId="0" applyNumberFormat="1" applyFont="1" applyFill="1" applyBorder="1" applyAlignment="1">
      <alignment horizontal="left" wrapText="1"/>
    </xf>
    <xf numFmtId="4" fontId="8" fillId="0" borderId="10" xfId="0" applyNumberFormat="1" applyFont="1" applyFill="1" applyBorder="1" applyAlignment="1">
      <alignment horizontal="left" wrapText="1"/>
    </xf>
    <xf numFmtId="0" fontId="8" fillId="0" borderId="21" xfId="0" applyFont="1" applyFill="1" applyBorder="1" applyAlignment="1">
      <alignment horizontal="left" wrapText="1"/>
    </xf>
    <xf numFmtId="0" fontId="8" fillId="0" borderId="22" xfId="0" applyFont="1" applyFill="1" applyBorder="1" applyAlignment="1">
      <alignment horizontal="left" wrapText="1"/>
    </xf>
    <xf numFmtId="9" fontId="8" fillId="0" borderId="22" xfId="0" applyNumberFormat="1" applyFont="1" applyFill="1" applyBorder="1" applyAlignment="1">
      <alignment horizontal="left" wrapText="1"/>
    </xf>
    <xf numFmtId="3" fontId="8" fillId="0" borderId="22" xfId="0" applyNumberFormat="1" applyFont="1" applyFill="1" applyBorder="1" applyAlignment="1">
      <alignment horizontal="left" wrapText="1"/>
    </xf>
    <xf numFmtId="4" fontId="8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1" fillId="0" borderId="0" xfId="2"/>
    <xf numFmtId="0" fontId="1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" fillId="14" borderId="0" xfId="2" applyFill="1" applyAlignment="1">
      <alignment vertical="center" wrapText="1"/>
    </xf>
    <xf numFmtId="0" fontId="12" fillId="0" borderId="0" xfId="2" applyFont="1" applyAlignment="1">
      <alignment vertical="center" wrapText="1"/>
    </xf>
    <xf numFmtId="0" fontId="9" fillId="0" borderId="0" xfId="2" applyFont="1" applyAlignment="1">
      <alignment vertical="center" wrapText="1"/>
    </xf>
    <xf numFmtId="0" fontId="9" fillId="14" borderId="0" xfId="2" applyFont="1" applyFill="1" applyAlignment="1">
      <alignment vertical="center" wrapText="1"/>
    </xf>
    <xf numFmtId="0" fontId="1" fillId="5" borderId="0" xfId="2" applyFill="1" applyAlignment="1">
      <alignment vertical="center" wrapText="1"/>
    </xf>
    <xf numFmtId="0" fontId="11" fillId="4" borderId="0" xfId="2" applyFont="1" applyFill="1" applyAlignment="1">
      <alignment vertical="center" wrapText="1"/>
    </xf>
    <xf numFmtId="0" fontId="12" fillId="14" borderId="0" xfId="2" applyFont="1" applyFill="1" applyAlignment="1">
      <alignment vertical="center" wrapText="1"/>
    </xf>
    <xf numFmtId="0" fontId="0" fillId="15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00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8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2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7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26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2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1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0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29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99">
      <calculatedColumnFormula>MAXA(-(4*M1-Tabela6[[#This Row],[Done]]),0)</calculatedColumnFormula>
    </tableColumn>
    <tableColumn id="4" name="XP to gain" dataDxfId="9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9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9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9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9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9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9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91">
      <calculatedColumnFormula>4*LocFeatures[[#This Row],[XP Gain per member]]</calculatedColumnFormula>
    </tableColumn>
    <tableColumn id="11" name="XP Train Gain"/>
    <tableColumn id="22" name="XP drop" dataDxfId="9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8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8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8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84" tableBorderDxfId="83">
  <autoFilter ref="Q3:W6"/>
  <tableColumns count="7">
    <tableColumn id="1" name="Kolumna1">
      <calculatedColumnFormula>G5</calculatedColumnFormula>
    </tableColumn>
    <tableColumn id="2" name="4" dataDxfId="82"/>
    <tableColumn id="3" name="5" dataDxfId="81"/>
    <tableColumn id="4" name="7" dataDxfId="80"/>
    <tableColumn id="5" name="8" dataDxfId="79"/>
    <tableColumn id="6" name="9" dataDxfId="78"/>
    <tableColumn id="7" name="10" dataDxfId="7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76">
  <autoFilter ref="X1:AB5"/>
  <tableColumns count="5">
    <tableColumn id="1" name="Set Name" dataDxfId="75"/>
    <tableColumn id="2" name="Attack" dataDxfId="74"/>
    <tableColumn id="3" name="Crit.Dmg" dataDxfId="73"/>
    <tableColumn id="4" name="Crit.Cha" dataDxfId="72"/>
    <tableColumn id="5" name="Speed" dataDxfId="7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70" dataDxfId="69" tableBorderDxfId="68">
  <autoFilter ref="A1:U74"/>
  <tableColumns count="21">
    <tableColumn id="1" name="Set" dataDxfId="67"/>
    <tableColumn id="2" name="Runes" dataDxfId="66"/>
    <tableColumn id="3" name="Fatal Nbr" dataDxfId="65"/>
    <tableColumn id="4" name="Rage Nbr" dataDxfId="64"/>
    <tableColumn id="5" name="Blade Nbr" dataDxfId="63"/>
    <tableColumn id="6" name="Atk Mult" dataDxfId="62"/>
    <tableColumn id="7" name="CritD" dataDxfId="61"/>
    <tableColumn id="8" name="Atk % from subs" dataDxfId="60"/>
    <tableColumn id="9" name="Crit D % from subs" dataDxfId="59"/>
    <tableColumn id="10" name="% of Crit C from subs" dataDxfId="58"/>
    <tableColumn id="11" name="Nbr of Atk rune" dataDxfId="57"/>
    <tableColumn id="12" name="Nbr of Crit D rune" dataDxfId="56"/>
    <tableColumn id="13" name="Nbr of Crit C rune" dataDxfId="55"/>
    <tableColumn id="14" name="Atk" dataDxfId="54"/>
    <tableColumn id="15" name="Dmg" dataDxfId="53"/>
    <tableColumn id="16" name="DmgC" dataDxfId="52"/>
    <tableColumn id="17" name="Crit Chance Basic" dataDxfId="51"/>
    <tableColumn id="18" name="Final Crit Chance" dataDxfId="50"/>
    <tableColumn id="19" name="AvgDmg" dataDxfId="49"/>
    <tableColumn id="20" name="AvgDmg Basic" dataDxfId="48"/>
    <tableColumn id="21" name="% change to basic" dataDxfId="4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46">
  <autoFilter ref="W20:AF42"/>
  <tableColumns count="10">
    <tableColumn id="1" name="Crit C" dataDxfId="45"/>
    <tableColumn id="2" name="Crit D" dataDxfId="44"/>
    <tableColumn id="3" name="Atk " dataDxfId="43"/>
    <tableColumn id="4" name="Set1" dataDxfId="42"/>
    <tableColumn id="5" name="Set2" dataDxfId="41"/>
    <tableColumn id="6" name="Rune1" dataDxfId="40"/>
    <tableColumn id="7" name="NBR R1"/>
    <tableColumn id="8" name="Rune2" dataDxfId="3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38"/>
    <tableColumn id="5" name="HP"/>
    <tableColumn id="6" name="Acc%"/>
    <tableColumn id="7" name="SPD"/>
    <tableColumn id="8" name="Crit Rate%" dataDxfId="37"/>
    <tableColumn id="9" name="Crit DMG%" dataDxfId="36"/>
    <tableColumn id="10" name="Att%" dataDxfId="35"/>
    <tableColumn id="16" name="Att"/>
    <tableColumn id="11" name="Def%" dataDxfId="34"/>
    <tableColumn id="14" name="Def"/>
    <tableColumn id="12" name="Res%" dataDxfId="33"/>
    <tableColumn id="13" name="Enchant2"/>
    <tableColumn id="19" name="GO to 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6" name="Tabela16" displayName="Tabela16" ref="A6:R38" totalsRowShown="0" headerRowDxfId="25">
  <autoFilter ref="A6:R38"/>
  <tableColumns count="18">
    <tableColumn id="1" name="Scenario"/>
    <tableColumn id="2" name="XP" dataDxfId="24">
      <calculatedColumnFormula>(2*$J7+$K7)/($R7-$Q7)*O7</calculatedColumnFormula>
    </tableColumn>
    <tableColumn id="3" name="Gold" dataDxfId="23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2"/>
    <tableColumn id="11" name="Ene normal" dataDxfId="21"/>
    <tableColumn id="12" name="Location" dataDxfId="20"/>
    <tableColumn id="13" name="LVL" dataDxfId="19"/>
    <tableColumn id="14" name="Stage" dataDxfId="18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17">
      <calculatedColumnFormula>FLOOR((J$17+J$18*(Tabela1318[[#This Row],[Type]]-1))*1.2,1)</calculatedColumnFormula>
    </tableColumn>
    <tableColumn id="9" name="Att" dataDxfId="16">
      <calculatedColumnFormula>FLOOR((K$17+K$18*(Tabela1318[[#This Row],[Type]]-1))*1.2,1)</calculatedColumnFormula>
    </tableColumn>
    <tableColumn id="10" name="Def" dataDxfId="15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M344" totalsRowShown="0" headerRowDxfId="14" dataDxfId="13">
  <autoFilter ref="A1:M344">
    <filterColumn colId="5">
      <filters>
        <filter val="3"/>
        <filter val="4"/>
        <filter val="5"/>
      </filters>
    </filterColumn>
  </autoFilter>
  <tableColumns count="13">
    <tableColumn id="1" name="Awakened" dataDxfId="12"/>
    <tableColumn id="2" name="Name" dataDxfId="11"/>
    <tableColumn id="3" name="Stars" dataDxfId="10"/>
    <tableColumn id="4" name="Attribute" dataDxfId="9"/>
    <tableColumn id="5" name="G" dataDxfId="8"/>
    <tableColumn id="6" name="D" dataDxfId="7"/>
    <tableColumn id="7" name="N" dataDxfId="6"/>
    <tableColumn id="8" name="AO" dataDxfId="5"/>
    <tableColumn id="9" name="AD" dataDxfId="4"/>
    <tableColumn id="10" name="HM" dataDxfId="3"/>
    <tableColumn id="11" name="GWO" dataDxfId="2"/>
    <tableColumn id="12" name="GWD" dataDxfId="1"/>
    <tableColumn id="13" name="Fus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Views>
    <sheetView tabSelected="1" workbookViewId="0">
      <selection activeCell="N33" sqref="N33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347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f>5-Tabela6[[#This Row],[Done]]</f>
        <v>5</v>
      </c>
      <c r="N3">
        <v>0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7</v>
      </c>
      <c r="O4" s="43">
        <v>0</v>
      </c>
      <c r="P4" s="1">
        <f>M4*$B$5</f>
        <v>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8</v>
      </c>
      <c r="N5">
        <v>12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19</v>
      </c>
      <c r="O6" s="43">
        <f>MAXA(-(M5+M4-O5-Tabela6[[#This Row],[Done]]),0)</f>
        <v>11</v>
      </c>
      <c r="P6" s="1">
        <f>M6*$B$4</f>
        <v>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24</v>
      </c>
      <c r="N7">
        <v>0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23</v>
      </c>
      <c r="N8">
        <v>1</v>
      </c>
      <c r="O8" s="43">
        <f>MAXA(-(M7+M6-O7-Tabela6[[#This Row],[Done]]),0)</f>
        <v>0</v>
      </c>
      <c r="P8" s="1">
        <f>M8*$B$3</f>
        <v>823906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42</v>
      </c>
      <c r="N9">
        <v>6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38">
        <f>SUM(Tabela6[XP to gain])</f>
        <v>823906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46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38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240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348</v>
      </c>
      <c r="M28">
        <f>4-Tabela610[[#This Row],[Done]]</f>
        <v>2</v>
      </c>
      <c r="N28">
        <v>2</v>
      </c>
      <c r="O28" s="1">
        <f>Tabela610[[#This Row],[Missing]]*$B$6</f>
        <v>893294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8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v>11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24</v>
      </c>
      <c r="N32"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MAXA(3+M32-Tabela610[[#This Row],[Done]],0)</f>
        <v>27</v>
      </c>
      <c r="N33">
        <v>0</v>
      </c>
      <c r="O33" s="1">
        <f>M33*$B$3</f>
        <v>967194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MAXA(2*(M31+M32-10)-Tabela610[[#This Row],[Done]],0)</f>
        <v>28</v>
      </c>
      <c r="N34"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128</v>
      </c>
      <c r="O37" s="38">
        <f>SUM(Tabela610[XP to gain])</f>
        <v>2239988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1083" activePane="bottomLeft" state="frozen"/>
      <selection pane="bottomLeft" activeCell="A1126" sqref="A11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209</v>
      </c>
      <c r="I1" t="s">
        <v>182</v>
      </c>
      <c r="J1" t="s">
        <v>181</v>
      </c>
      <c r="K1" t="s">
        <v>188</v>
      </c>
      <c r="L1" t="s">
        <v>186</v>
      </c>
      <c r="M1" t="s">
        <v>280</v>
      </c>
      <c r="O1" t="s">
        <v>11</v>
      </c>
      <c r="P1" t="s">
        <v>209</v>
      </c>
      <c r="Q1" t="s">
        <v>181</v>
      </c>
      <c r="R1" t="s">
        <v>188</v>
      </c>
      <c r="S1" t="s">
        <v>186</v>
      </c>
      <c r="T1" t="s">
        <v>308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307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212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271</v>
      </c>
      <c r="G120">
        <v>2</v>
      </c>
      <c r="H120" t="s">
        <v>289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271</v>
      </c>
      <c r="G170">
        <v>2</v>
      </c>
      <c r="H170" t="s">
        <v>289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271</v>
      </c>
      <c r="G174">
        <v>1</v>
      </c>
      <c r="H174" t="s">
        <v>311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268</v>
      </c>
      <c r="G176">
        <v>2</v>
      </c>
      <c r="H176" t="s">
        <v>289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271</v>
      </c>
      <c r="G284">
        <v>4</v>
      </c>
      <c r="H284" t="s">
        <v>289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291</v>
      </c>
      <c r="G285">
        <v>3</v>
      </c>
      <c r="H285" t="s">
        <v>289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291</v>
      </c>
      <c r="G286">
        <v>2</v>
      </c>
      <c r="H286" t="s">
        <v>289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291</v>
      </c>
      <c r="G287">
        <v>1</v>
      </c>
      <c r="H287" t="s">
        <v>311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291</v>
      </c>
      <c r="G288">
        <v>2</v>
      </c>
      <c r="H288" t="s">
        <v>289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291</v>
      </c>
      <c r="G289">
        <v>1</v>
      </c>
      <c r="H289" t="s">
        <v>311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291</v>
      </c>
      <c r="G290">
        <v>2</v>
      </c>
      <c r="H290" t="s">
        <v>289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291</v>
      </c>
      <c r="G292">
        <v>2</v>
      </c>
      <c r="H292" t="s">
        <v>311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291</v>
      </c>
      <c r="G293">
        <v>1</v>
      </c>
      <c r="H293" t="s">
        <v>311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212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291</v>
      </c>
      <c r="G297">
        <v>1</v>
      </c>
      <c r="H297" t="s">
        <v>311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291</v>
      </c>
      <c r="G298">
        <v>3</v>
      </c>
      <c r="H298" t="s">
        <v>311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291</v>
      </c>
      <c r="G300">
        <v>4</v>
      </c>
      <c r="H300" t="s">
        <v>289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271</v>
      </c>
      <c r="G335">
        <v>1</v>
      </c>
      <c r="H335" t="s">
        <v>311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270</v>
      </c>
      <c r="G336">
        <v>5</v>
      </c>
      <c r="H336" t="s">
        <v>289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271</v>
      </c>
      <c r="G522">
        <v>1</v>
      </c>
      <c r="H522" t="s">
        <v>311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271</v>
      </c>
      <c r="G523">
        <v>1</v>
      </c>
      <c r="H523" t="s">
        <v>311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271</v>
      </c>
      <c r="G524">
        <v>4</v>
      </c>
      <c r="H524" t="s">
        <v>289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214</v>
      </c>
      <c r="B535" t="s">
        <v>9</v>
      </c>
      <c r="C535">
        <v>8</v>
      </c>
      <c r="D535">
        <v>2498</v>
      </c>
      <c r="E535">
        <v>2</v>
      </c>
      <c r="F535" t="s">
        <v>268</v>
      </c>
      <c r="G535">
        <v>3</v>
      </c>
      <c r="H535" t="s">
        <v>289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214</v>
      </c>
      <c r="B536" t="s">
        <v>9</v>
      </c>
      <c r="C536">
        <v>7</v>
      </c>
      <c r="D536">
        <v>2073</v>
      </c>
      <c r="E536">
        <v>0</v>
      </c>
      <c r="F536" t="s">
        <v>268</v>
      </c>
      <c r="G536">
        <v>1</v>
      </c>
      <c r="H536" t="s">
        <v>311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214</v>
      </c>
      <c r="B537" t="s">
        <v>9</v>
      </c>
      <c r="C537">
        <v>7</v>
      </c>
      <c r="D537">
        <v>2143</v>
      </c>
      <c r="E537">
        <v>0</v>
      </c>
      <c r="F537" t="s">
        <v>268</v>
      </c>
      <c r="G537">
        <v>3</v>
      </c>
      <c r="H537" t="s">
        <v>289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214</v>
      </c>
      <c r="B538" t="s">
        <v>9</v>
      </c>
      <c r="C538">
        <v>7</v>
      </c>
      <c r="D538">
        <v>1852</v>
      </c>
      <c r="E538">
        <v>1</v>
      </c>
      <c r="F538" t="s">
        <v>268</v>
      </c>
      <c r="G538">
        <v>1</v>
      </c>
      <c r="H538" t="s">
        <v>311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214</v>
      </c>
      <c r="B539" t="s">
        <v>9</v>
      </c>
      <c r="C539">
        <v>7</v>
      </c>
      <c r="D539">
        <v>2417</v>
      </c>
      <c r="E539">
        <v>0</v>
      </c>
      <c r="F539" t="s">
        <v>212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214</v>
      </c>
      <c r="B540" t="s">
        <v>9</v>
      </c>
      <c r="C540">
        <v>8</v>
      </c>
      <c r="D540">
        <v>2146</v>
      </c>
      <c r="E540">
        <v>0</v>
      </c>
      <c r="F540" t="s">
        <v>268</v>
      </c>
      <c r="G540">
        <v>2</v>
      </c>
      <c r="H540" t="s">
        <v>311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214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214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214</v>
      </c>
      <c r="B543" t="s">
        <v>9</v>
      </c>
      <c r="C543">
        <v>8</v>
      </c>
      <c r="D543">
        <v>2223</v>
      </c>
      <c r="E543">
        <v>1</v>
      </c>
      <c r="F543" t="s">
        <v>268</v>
      </c>
      <c r="G543">
        <v>5</v>
      </c>
      <c r="H543" t="s">
        <v>289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214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214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214</v>
      </c>
      <c r="B546" t="s">
        <v>9</v>
      </c>
      <c r="C546">
        <v>8</v>
      </c>
      <c r="D546">
        <v>2404</v>
      </c>
      <c r="E546">
        <v>1</v>
      </c>
      <c r="F546" t="s">
        <v>268</v>
      </c>
      <c r="G546">
        <v>4</v>
      </c>
      <c r="H546" t="s">
        <v>289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214</v>
      </c>
      <c r="B547" t="s">
        <v>9</v>
      </c>
      <c r="C547">
        <v>8</v>
      </c>
      <c r="D547">
        <v>3017</v>
      </c>
      <c r="E547">
        <v>1</v>
      </c>
      <c r="F547" t="s">
        <v>268</v>
      </c>
      <c r="G547">
        <v>4</v>
      </c>
      <c r="H547" t="s">
        <v>289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214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214</v>
      </c>
      <c r="B549" t="s">
        <v>9</v>
      </c>
      <c r="C549">
        <v>8</v>
      </c>
      <c r="D549">
        <v>2276</v>
      </c>
      <c r="E549">
        <v>0</v>
      </c>
      <c r="F549" t="s">
        <v>268</v>
      </c>
      <c r="G549">
        <v>4</v>
      </c>
      <c r="H549" t="s">
        <v>289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214</v>
      </c>
      <c r="B550" t="s">
        <v>9</v>
      </c>
      <c r="C550">
        <v>8</v>
      </c>
      <c r="D550">
        <v>2576</v>
      </c>
      <c r="E550">
        <v>3</v>
      </c>
      <c r="F550" t="s">
        <v>268</v>
      </c>
      <c r="G550">
        <v>4</v>
      </c>
      <c r="H550" t="s">
        <v>289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214</v>
      </c>
      <c r="B551" t="s">
        <v>9</v>
      </c>
      <c r="C551">
        <v>8</v>
      </c>
      <c r="D551">
        <v>2058</v>
      </c>
      <c r="E551">
        <v>1</v>
      </c>
      <c r="F551" t="s">
        <v>268</v>
      </c>
      <c r="G551">
        <v>5</v>
      </c>
      <c r="H551" t="s">
        <v>289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214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214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214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214</v>
      </c>
      <c r="B555" t="s">
        <v>9</v>
      </c>
      <c r="C555">
        <v>8</v>
      </c>
      <c r="D555">
        <v>2526</v>
      </c>
      <c r="E555">
        <v>0</v>
      </c>
      <c r="F555" t="s">
        <v>268</v>
      </c>
      <c r="G555">
        <v>1</v>
      </c>
      <c r="H555" t="s">
        <v>290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214</v>
      </c>
      <c r="B556" t="s">
        <v>9</v>
      </c>
      <c r="C556">
        <v>8</v>
      </c>
      <c r="D556">
        <v>2483</v>
      </c>
      <c r="E556">
        <v>3</v>
      </c>
      <c r="F556" t="s">
        <v>268</v>
      </c>
      <c r="G556">
        <v>1</v>
      </c>
      <c r="H556" t="s">
        <v>290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214</v>
      </c>
      <c r="B557" t="s">
        <v>9</v>
      </c>
      <c r="C557">
        <v>8</v>
      </c>
      <c r="D557">
        <v>2491</v>
      </c>
      <c r="E557">
        <v>0</v>
      </c>
      <c r="F557" t="s">
        <v>234</v>
      </c>
      <c r="G557" t="s">
        <v>309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214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214</v>
      </c>
      <c r="B559" t="s">
        <v>9</v>
      </c>
      <c r="C559">
        <v>8</v>
      </c>
      <c r="D559">
        <v>2671</v>
      </c>
      <c r="E559">
        <v>2</v>
      </c>
      <c r="F559" t="s">
        <v>268</v>
      </c>
      <c r="G559">
        <v>4</v>
      </c>
      <c r="H559" t="s">
        <v>289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214</v>
      </c>
      <c r="B560" t="s">
        <v>9</v>
      </c>
      <c r="C560">
        <v>8</v>
      </c>
      <c r="D560">
        <v>2186</v>
      </c>
      <c r="E560">
        <v>1</v>
      </c>
      <c r="F560" t="s">
        <v>213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214</v>
      </c>
      <c r="B561" t="s">
        <v>9</v>
      </c>
      <c r="C561">
        <v>8</v>
      </c>
      <c r="D561">
        <v>2316</v>
      </c>
      <c r="E561">
        <v>0</v>
      </c>
      <c r="F561" t="s">
        <v>268</v>
      </c>
      <c r="G561">
        <v>3</v>
      </c>
      <c r="H561" t="s">
        <v>289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214</v>
      </c>
      <c r="B562" t="s">
        <v>9</v>
      </c>
      <c r="C562">
        <v>8</v>
      </c>
      <c r="D562">
        <v>2046</v>
      </c>
      <c r="E562">
        <v>1</v>
      </c>
      <c r="F562" t="s">
        <v>268</v>
      </c>
      <c r="G562">
        <v>4</v>
      </c>
      <c r="H562" t="s">
        <v>289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214</v>
      </c>
      <c r="B563" t="s">
        <v>9</v>
      </c>
      <c r="C563">
        <v>8</v>
      </c>
      <c r="D563">
        <v>2303</v>
      </c>
      <c r="E563">
        <v>3</v>
      </c>
      <c r="F563" t="s">
        <v>268</v>
      </c>
      <c r="G563">
        <v>1</v>
      </c>
      <c r="H563" t="s">
        <v>311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214</v>
      </c>
      <c r="B564" t="s">
        <v>9</v>
      </c>
      <c r="C564">
        <v>8</v>
      </c>
      <c r="D564">
        <v>2396</v>
      </c>
      <c r="E564">
        <v>1</v>
      </c>
      <c r="F564" t="s">
        <v>268</v>
      </c>
      <c r="G564">
        <v>1</v>
      </c>
      <c r="H564" t="s">
        <v>311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214</v>
      </c>
      <c r="B565" t="s">
        <v>9</v>
      </c>
      <c r="C565">
        <v>8</v>
      </c>
      <c r="D565">
        <v>2325</v>
      </c>
      <c r="E565">
        <v>1</v>
      </c>
      <c r="F565" t="s">
        <v>268</v>
      </c>
      <c r="G565">
        <v>2</v>
      </c>
      <c r="H565" t="s">
        <v>290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214</v>
      </c>
      <c r="B566" t="s">
        <v>9</v>
      </c>
      <c r="C566">
        <v>8</v>
      </c>
      <c r="D566">
        <v>2398</v>
      </c>
      <c r="E566">
        <v>1</v>
      </c>
      <c r="F566" t="s">
        <v>268</v>
      </c>
      <c r="G566">
        <v>3</v>
      </c>
      <c r="H566" t="s">
        <v>289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214</v>
      </c>
      <c r="B567" t="s">
        <v>9</v>
      </c>
      <c r="C567">
        <v>8</v>
      </c>
      <c r="D567">
        <v>2668</v>
      </c>
      <c r="E567">
        <v>0</v>
      </c>
      <c r="F567" t="s">
        <v>268</v>
      </c>
      <c r="G567">
        <v>3</v>
      </c>
      <c r="H567" t="s">
        <v>290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271</v>
      </c>
      <c r="G568">
        <v>2</v>
      </c>
      <c r="H568" t="s">
        <v>311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271</v>
      </c>
      <c r="G569">
        <v>1</v>
      </c>
      <c r="H569" t="s">
        <v>311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271</v>
      </c>
      <c r="G570">
        <v>4</v>
      </c>
      <c r="H570" t="s">
        <v>289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271</v>
      </c>
      <c r="G571">
        <v>1</v>
      </c>
      <c r="H571" t="s">
        <v>311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271</v>
      </c>
      <c r="G572">
        <v>1</v>
      </c>
      <c r="H572" t="s">
        <v>311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271</v>
      </c>
      <c r="G573">
        <v>4</v>
      </c>
      <c r="H573" t="s">
        <v>289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271</v>
      </c>
      <c r="G574">
        <v>3</v>
      </c>
      <c r="H574" t="s">
        <v>311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271</v>
      </c>
      <c r="G575">
        <v>3</v>
      </c>
      <c r="H575" t="s">
        <v>311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271</v>
      </c>
      <c r="G576">
        <v>4</v>
      </c>
      <c r="H576" t="s">
        <v>289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271</v>
      </c>
      <c r="G577">
        <v>3</v>
      </c>
      <c r="H577" t="s">
        <v>289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268</v>
      </c>
      <c r="G578">
        <v>3</v>
      </c>
      <c r="H578" t="s">
        <v>289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271</v>
      </c>
      <c r="G579">
        <v>5</v>
      </c>
      <c r="H579" t="s">
        <v>289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271</v>
      </c>
      <c r="G582">
        <v>3</v>
      </c>
      <c r="H582" t="s">
        <v>289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271</v>
      </c>
      <c r="G583">
        <v>2</v>
      </c>
      <c r="H583" t="s">
        <v>290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277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271</v>
      </c>
      <c r="G655">
        <v>4</v>
      </c>
      <c r="H655" t="s">
        <v>289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271</v>
      </c>
      <c r="G656">
        <v>1</v>
      </c>
      <c r="H656" t="s">
        <v>290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271</v>
      </c>
      <c r="G657">
        <v>1</v>
      </c>
      <c r="H657" t="s">
        <v>311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268</v>
      </c>
      <c r="G658">
        <v>1</v>
      </c>
      <c r="H658" t="s">
        <v>311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271</v>
      </c>
      <c r="G660">
        <v>1</v>
      </c>
      <c r="H660" t="s">
        <v>311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271</v>
      </c>
      <c r="G662">
        <v>1</v>
      </c>
      <c r="H662" t="s">
        <v>311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271</v>
      </c>
      <c r="G663">
        <v>5</v>
      </c>
      <c r="H663" t="s">
        <v>289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271</v>
      </c>
      <c r="G664">
        <v>4</v>
      </c>
      <c r="H664" t="s">
        <v>289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271</v>
      </c>
      <c r="G665">
        <v>2</v>
      </c>
      <c r="H665" t="s">
        <v>311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271</v>
      </c>
      <c r="G666">
        <v>1</v>
      </c>
      <c r="H666" t="s">
        <v>311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271</v>
      </c>
      <c r="G667">
        <v>3</v>
      </c>
      <c r="H667" t="s">
        <v>289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269</v>
      </c>
      <c r="G668">
        <v>1</v>
      </c>
      <c r="H668" t="s">
        <v>311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269</v>
      </c>
      <c r="G669">
        <v>2</v>
      </c>
      <c r="H669" t="s">
        <v>311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271</v>
      </c>
      <c r="G670">
        <v>5</v>
      </c>
      <c r="H670" t="s">
        <v>289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271</v>
      </c>
      <c r="G672">
        <v>3</v>
      </c>
      <c r="H672" t="s">
        <v>289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271</v>
      </c>
      <c r="G673">
        <v>4</v>
      </c>
      <c r="H673" t="s">
        <v>289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269</v>
      </c>
      <c r="G674">
        <v>3</v>
      </c>
      <c r="H674" t="s">
        <v>311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271</v>
      </c>
      <c r="G675">
        <v>5</v>
      </c>
      <c r="H675" t="s">
        <v>289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271</v>
      </c>
      <c r="G677">
        <v>5</v>
      </c>
      <c r="H677" t="s">
        <v>289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269</v>
      </c>
      <c r="G678">
        <v>1</v>
      </c>
      <c r="H678" t="s">
        <v>311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277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271</v>
      </c>
      <c r="G690">
        <v>1</v>
      </c>
      <c r="H690" t="s">
        <v>311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271</v>
      </c>
      <c r="G691">
        <v>1</v>
      </c>
      <c r="H691" t="s">
        <v>290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271</v>
      </c>
      <c r="G692">
        <v>1</v>
      </c>
      <c r="H692" t="s">
        <v>311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269</v>
      </c>
      <c r="G693">
        <v>1</v>
      </c>
      <c r="H693" t="s">
        <v>311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271</v>
      </c>
      <c r="G694">
        <v>4</v>
      </c>
      <c r="H694" t="s">
        <v>289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290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271</v>
      </c>
      <c r="G696">
        <v>1</v>
      </c>
      <c r="H696" t="s">
        <v>311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271</v>
      </c>
      <c r="G697">
        <v>5</v>
      </c>
      <c r="H697" t="s">
        <v>289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271</v>
      </c>
      <c r="G698">
        <v>1</v>
      </c>
      <c r="H698" t="s">
        <v>290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271</v>
      </c>
      <c r="G699">
        <v>3</v>
      </c>
      <c r="H699" t="s">
        <v>289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271</v>
      </c>
      <c r="G701">
        <v>5</v>
      </c>
      <c r="H701" t="s">
        <v>289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271</v>
      </c>
      <c r="G702">
        <v>1</v>
      </c>
      <c r="H702" t="s">
        <v>311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271</v>
      </c>
      <c r="G703">
        <v>1</v>
      </c>
      <c r="H703" t="s">
        <v>290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271</v>
      </c>
      <c r="G704">
        <v>1</v>
      </c>
      <c r="H704" t="s">
        <v>311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271</v>
      </c>
      <c r="G706">
        <v>3</v>
      </c>
      <c r="H706" t="s">
        <v>289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271</v>
      </c>
      <c r="G707">
        <v>4</v>
      </c>
      <c r="H707" t="s">
        <v>289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270</v>
      </c>
      <c r="G708">
        <v>2</v>
      </c>
      <c r="H708" t="s">
        <v>311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270</v>
      </c>
      <c r="G710">
        <v>2</v>
      </c>
      <c r="H710" t="s">
        <v>311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270</v>
      </c>
      <c r="G711">
        <v>1</v>
      </c>
      <c r="H711" t="s">
        <v>311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270</v>
      </c>
      <c r="G712">
        <v>3</v>
      </c>
      <c r="H712" t="s">
        <v>311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270</v>
      </c>
      <c r="G713">
        <v>1</v>
      </c>
      <c r="H713" t="s">
        <v>311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270</v>
      </c>
      <c r="G714">
        <v>3</v>
      </c>
      <c r="H714" t="s">
        <v>290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270</v>
      </c>
      <c r="G715">
        <v>5</v>
      </c>
      <c r="H715" t="s">
        <v>289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270</v>
      </c>
      <c r="G716">
        <v>5</v>
      </c>
      <c r="H716" t="s">
        <v>289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271</v>
      </c>
      <c r="G717">
        <v>2</v>
      </c>
      <c r="H717" t="s">
        <v>290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271</v>
      </c>
      <c r="G718">
        <v>1</v>
      </c>
      <c r="H718" t="s">
        <v>311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271</v>
      </c>
      <c r="G719">
        <v>5</v>
      </c>
      <c r="H719" t="s">
        <v>289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271</v>
      </c>
      <c r="G720">
        <v>5</v>
      </c>
      <c r="H720" t="s">
        <v>289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271</v>
      </c>
      <c r="G721">
        <v>1</v>
      </c>
      <c r="H721" t="s">
        <v>311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271</v>
      </c>
      <c r="G722">
        <v>5</v>
      </c>
      <c r="H722" t="s">
        <v>289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271</v>
      </c>
      <c r="G723">
        <v>2</v>
      </c>
      <c r="H723" t="s">
        <v>311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271</v>
      </c>
      <c r="G724">
        <v>3</v>
      </c>
      <c r="H724" t="s">
        <v>289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277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211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271</v>
      </c>
      <c r="G728">
        <v>1</v>
      </c>
      <c r="H728" t="s">
        <v>290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271</v>
      </c>
      <c r="G730">
        <v>3</v>
      </c>
      <c r="H730" t="s">
        <v>311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268</v>
      </c>
      <c r="G731">
        <v>2</v>
      </c>
      <c r="H731" t="s">
        <v>311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268</v>
      </c>
      <c r="G732">
        <v>4</v>
      </c>
      <c r="H732" t="s">
        <v>289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271</v>
      </c>
      <c r="G733">
        <v>1</v>
      </c>
      <c r="H733" t="s">
        <v>290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277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271</v>
      </c>
      <c r="G756">
        <v>1</v>
      </c>
      <c r="H756" t="s">
        <v>311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271</v>
      </c>
      <c r="G757">
        <v>2</v>
      </c>
      <c r="H757" t="s">
        <v>311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271</v>
      </c>
      <c r="G758">
        <v>4</v>
      </c>
      <c r="H758" t="s">
        <v>289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271</v>
      </c>
      <c r="G759">
        <v>1</v>
      </c>
      <c r="H759" t="s">
        <v>290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281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281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289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281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311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281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281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281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311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281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211</v>
      </c>
    </row>
    <row r="768" spans="1:13">
      <c r="A768" t="s">
        <v>281</v>
      </c>
      <c r="B768" t="s">
        <v>9</v>
      </c>
      <c r="C768">
        <v>9</v>
      </c>
      <c r="D768">
        <v>2875</v>
      </c>
      <c r="E768">
        <v>0</v>
      </c>
      <c r="F768" t="s">
        <v>213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281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290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281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311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281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311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281</v>
      </c>
      <c r="B772" t="s">
        <v>9</v>
      </c>
      <c r="C772">
        <v>9</v>
      </c>
      <c r="D772">
        <v>2758</v>
      </c>
      <c r="E772">
        <v>0</v>
      </c>
      <c r="F772" t="s">
        <v>283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281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311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281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281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290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281</v>
      </c>
      <c r="B776" t="s">
        <v>9</v>
      </c>
      <c r="C776">
        <v>9</v>
      </c>
      <c r="D776">
        <v>2516</v>
      </c>
      <c r="E776">
        <v>1</v>
      </c>
      <c r="F776" t="s">
        <v>283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281</v>
      </c>
      <c r="B777" t="s">
        <v>9</v>
      </c>
      <c r="C777">
        <v>9</v>
      </c>
      <c r="D777">
        <v>2850</v>
      </c>
      <c r="E777">
        <v>2</v>
      </c>
      <c r="F777" t="s">
        <v>282</v>
      </c>
      <c r="G777">
        <v>3</v>
      </c>
      <c r="H777" t="s">
        <v>289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271</v>
      </c>
      <c r="G778">
        <v>3</v>
      </c>
      <c r="H778" t="s">
        <v>311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284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281</v>
      </c>
      <c r="B780" t="s">
        <v>9</v>
      </c>
      <c r="C780">
        <v>9</v>
      </c>
      <c r="D780">
        <v>2517</v>
      </c>
      <c r="E780">
        <v>0</v>
      </c>
      <c r="F780" t="s">
        <v>283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281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290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281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281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311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281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311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281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211</v>
      </c>
    </row>
    <row r="786" spans="1:13">
      <c r="A786" t="s">
        <v>281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311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281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311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281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289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281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289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281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289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283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281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277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283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277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285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277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277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277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214</v>
      </c>
      <c r="B821" t="s">
        <v>9</v>
      </c>
      <c r="C821">
        <v>9</v>
      </c>
      <c r="D821">
        <v>2924</v>
      </c>
      <c r="E821">
        <v>1</v>
      </c>
      <c r="F821" t="s">
        <v>268</v>
      </c>
      <c r="G821">
        <v>1</v>
      </c>
      <c r="H821" t="s">
        <v>311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214</v>
      </c>
      <c r="B822" t="s">
        <v>9</v>
      </c>
      <c r="C822">
        <v>9</v>
      </c>
      <c r="D822">
        <v>3192</v>
      </c>
      <c r="E822">
        <v>2</v>
      </c>
      <c r="F822" t="s">
        <v>268</v>
      </c>
      <c r="G822">
        <v>2</v>
      </c>
      <c r="H822" t="s">
        <v>311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214</v>
      </c>
      <c r="B823" t="s">
        <v>9</v>
      </c>
      <c r="C823">
        <v>9</v>
      </c>
      <c r="D823">
        <v>2967</v>
      </c>
      <c r="E823">
        <v>1</v>
      </c>
      <c r="F823" t="s">
        <v>268</v>
      </c>
      <c r="G823">
        <v>2</v>
      </c>
      <c r="H823" t="s">
        <v>311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214</v>
      </c>
      <c r="B824" t="s">
        <v>9</v>
      </c>
      <c r="C824">
        <v>9</v>
      </c>
      <c r="D824">
        <v>2926</v>
      </c>
      <c r="E824">
        <v>0</v>
      </c>
      <c r="F824" t="s">
        <v>268</v>
      </c>
      <c r="G824">
        <v>3</v>
      </c>
      <c r="H824" t="s">
        <v>289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214</v>
      </c>
      <c r="B825" t="s">
        <v>9</v>
      </c>
      <c r="C825">
        <v>9</v>
      </c>
      <c r="D825">
        <v>2801</v>
      </c>
      <c r="E825">
        <v>1</v>
      </c>
      <c r="F825" t="s">
        <v>268</v>
      </c>
      <c r="G825">
        <v>3</v>
      </c>
      <c r="H825" t="s">
        <v>289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214</v>
      </c>
      <c r="B826" t="s">
        <v>9</v>
      </c>
      <c r="C826">
        <v>9</v>
      </c>
      <c r="D826">
        <v>2800</v>
      </c>
      <c r="E826">
        <v>0</v>
      </c>
      <c r="F826" t="s">
        <v>234</v>
      </c>
      <c r="G826" t="s">
        <v>286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214</v>
      </c>
      <c r="B827" t="s">
        <v>9</v>
      </c>
      <c r="C827">
        <v>9</v>
      </c>
      <c r="D827">
        <v>2913</v>
      </c>
      <c r="E827">
        <v>0</v>
      </c>
      <c r="F827" t="s">
        <v>268</v>
      </c>
      <c r="G827">
        <v>1</v>
      </c>
      <c r="H827" t="s">
        <v>290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214</v>
      </c>
      <c r="B828" t="s">
        <v>9</v>
      </c>
      <c r="C828">
        <v>9</v>
      </c>
      <c r="D828">
        <v>2812</v>
      </c>
      <c r="E828">
        <v>1</v>
      </c>
      <c r="F828" t="s">
        <v>268</v>
      </c>
      <c r="G828">
        <v>1</v>
      </c>
      <c r="H828" t="s">
        <v>311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214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214</v>
      </c>
      <c r="B830" t="s">
        <v>9</v>
      </c>
      <c r="C830">
        <v>9</v>
      </c>
      <c r="D830">
        <v>2754</v>
      </c>
      <c r="E830">
        <v>1</v>
      </c>
      <c r="F830" t="s">
        <v>307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214</v>
      </c>
      <c r="B831" t="s">
        <v>9</v>
      </c>
      <c r="C831">
        <v>9</v>
      </c>
      <c r="D831">
        <v>2824</v>
      </c>
      <c r="E831">
        <v>1</v>
      </c>
      <c r="F831" t="s">
        <v>234</v>
      </c>
      <c r="G831" t="s">
        <v>287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214</v>
      </c>
      <c r="B832" t="s">
        <v>9</v>
      </c>
      <c r="C832">
        <v>9</v>
      </c>
      <c r="D832">
        <v>2980</v>
      </c>
      <c r="E832">
        <v>0</v>
      </c>
      <c r="F832" t="s">
        <v>268</v>
      </c>
      <c r="G832">
        <v>1</v>
      </c>
      <c r="H832" t="s">
        <v>311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214</v>
      </c>
      <c r="B833" t="s">
        <v>9</v>
      </c>
      <c r="C833">
        <v>9</v>
      </c>
      <c r="D833">
        <v>2957</v>
      </c>
      <c r="E833">
        <v>0</v>
      </c>
      <c r="F833" t="s">
        <v>213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214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214</v>
      </c>
      <c r="B835" t="s">
        <v>9</v>
      </c>
      <c r="C835">
        <v>9</v>
      </c>
      <c r="D835">
        <v>2671</v>
      </c>
      <c r="E835">
        <v>0</v>
      </c>
      <c r="F835" t="s">
        <v>268</v>
      </c>
      <c r="G835">
        <v>5</v>
      </c>
      <c r="H835" t="s">
        <v>289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214</v>
      </c>
      <c r="B836" t="s">
        <v>9</v>
      </c>
      <c r="C836">
        <v>9</v>
      </c>
      <c r="D836">
        <v>2947</v>
      </c>
      <c r="E836">
        <v>1</v>
      </c>
      <c r="F836" t="s">
        <v>268</v>
      </c>
      <c r="G836">
        <v>1</v>
      </c>
      <c r="H836" t="s">
        <v>290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214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214</v>
      </c>
      <c r="B838" t="s">
        <v>9</v>
      </c>
      <c r="C838">
        <v>9</v>
      </c>
      <c r="D838">
        <v>2184</v>
      </c>
      <c r="E838">
        <v>0</v>
      </c>
      <c r="F838" t="s">
        <v>268</v>
      </c>
      <c r="G838">
        <v>4</v>
      </c>
      <c r="H838" t="s">
        <v>289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214</v>
      </c>
      <c r="B839" t="s">
        <v>9</v>
      </c>
      <c r="C839">
        <v>9</v>
      </c>
      <c r="D839">
        <v>2654</v>
      </c>
      <c r="E839">
        <v>3</v>
      </c>
      <c r="F839" t="s">
        <v>268</v>
      </c>
      <c r="G839">
        <v>1</v>
      </c>
      <c r="H839" t="s">
        <v>311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214</v>
      </c>
      <c r="B840" t="s">
        <v>9</v>
      </c>
      <c r="C840">
        <v>9</v>
      </c>
      <c r="D840">
        <v>2592</v>
      </c>
      <c r="E840">
        <v>1</v>
      </c>
      <c r="F840" t="s">
        <v>268</v>
      </c>
      <c r="G840">
        <v>1</v>
      </c>
      <c r="H840" t="s">
        <v>311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214</v>
      </c>
      <c r="B841" t="s">
        <v>9</v>
      </c>
      <c r="C841">
        <v>9</v>
      </c>
      <c r="D841">
        <v>2625</v>
      </c>
      <c r="E841">
        <v>0</v>
      </c>
      <c r="F841" t="s">
        <v>268</v>
      </c>
      <c r="G841">
        <v>1</v>
      </c>
      <c r="H841" t="s">
        <v>290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214</v>
      </c>
      <c r="B842" t="s">
        <v>9</v>
      </c>
      <c r="C842">
        <v>9</v>
      </c>
      <c r="D842">
        <v>3029</v>
      </c>
      <c r="E842">
        <v>0</v>
      </c>
      <c r="F842" t="s">
        <v>268</v>
      </c>
      <c r="G842">
        <v>1</v>
      </c>
      <c r="H842" t="s">
        <v>311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214</v>
      </c>
      <c r="B843" t="s">
        <v>9</v>
      </c>
      <c r="C843">
        <v>9</v>
      </c>
      <c r="D843">
        <v>2865</v>
      </c>
      <c r="E843">
        <v>1</v>
      </c>
      <c r="F843" t="s">
        <v>268</v>
      </c>
      <c r="G843">
        <v>1</v>
      </c>
      <c r="H843" t="s">
        <v>311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214</v>
      </c>
      <c r="B844" t="s">
        <v>9</v>
      </c>
      <c r="C844">
        <v>9</v>
      </c>
      <c r="D844">
        <v>3075</v>
      </c>
      <c r="E844">
        <v>3</v>
      </c>
      <c r="F844" t="s">
        <v>268</v>
      </c>
      <c r="G844">
        <v>5</v>
      </c>
      <c r="H844" t="s">
        <v>289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214</v>
      </c>
      <c r="B845" t="s">
        <v>9</v>
      </c>
      <c r="C845">
        <v>9</v>
      </c>
      <c r="D845">
        <v>3767</v>
      </c>
      <c r="E845">
        <v>2</v>
      </c>
      <c r="F845" t="s">
        <v>268</v>
      </c>
      <c r="G845">
        <v>4</v>
      </c>
      <c r="H845" t="s">
        <v>289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214</v>
      </c>
      <c r="B846" t="s">
        <v>9</v>
      </c>
      <c r="C846">
        <v>9</v>
      </c>
      <c r="D846">
        <v>3007</v>
      </c>
      <c r="E846">
        <v>2</v>
      </c>
      <c r="F846" t="s">
        <v>268</v>
      </c>
      <c r="G846">
        <v>3</v>
      </c>
      <c r="H846" t="s">
        <v>311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214</v>
      </c>
      <c r="B847" t="s">
        <v>9</v>
      </c>
      <c r="C847">
        <v>9</v>
      </c>
      <c r="D847">
        <v>2942</v>
      </c>
      <c r="E847">
        <v>0</v>
      </c>
      <c r="F847" t="s">
        <v>268</v>
      </c>
      <c r="G847">
        <v>1</v>
      </c>
      <c r="H847" t="s">
        <v>311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214</v>
      </c>
      <c r="B848" t="s">
        <v>9</v>
      </c>
      <c r="C848">
        <v>9</v>
      </c>
      <c r="D848">
        <v>2701</v>
      </c>
      <c r="E848">
        <v>0</v>
      </c>
      <c r="F848" t="s">
        <v>268</v>
      </c>
      <c r="G848">
        <v>5</v>
      </c>
      <c r="H848" t="s">
        <v>289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214</v>
      </c>
      <c r="B849" t="s">
        <v>9</v>
      </c>
      <c r="C849">
        <v>9</v>
      </c>
      <c r="D849">
        <v>3320</v>
      </c>
      <c r="E849">
        <v>0</v>
      </c>
      <c r="F849" t="s">
        <v>268</v>
      </c>
      <c r="G849">
        <v>3</v>
      </c>
      <c r="H849" t="s">
        <v>290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214</v>
      </c>
      <c r="B850" t="s">
        <v>9</v>
      </c>
      <c r="C850">
        <v>9</v>
      </c>
      <c r="D850">
        <v>2890</v>
      </c>
      <c r="E850">
        <v>2</v>
      </c>
      <c r="F850" t="s">
        <v>268</v>
      </c>
      <c r="G850">
        <v>3</v>
      </c>
      <c r="H850" t="s">
        <v>289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214</v>
      </c>
      <c r="B851" t="s">
        <v>9</v>
      </c>
      <c r="C851">
        <v>9</v>
      </c>
      <c r="D851">
        <v>3274</v>
      </c>
      <c r="E851">
        <v>1</v>
      </c>
      <c r="F851" t="s">
        <v>268</v>
      </c>
      <c r="G851">
        <v>2</v>
      </c>
      <c r="H851" t="s">
        <v>290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214</v>
      </c>
      <c r="B852" t="s">
        <v>9</v>
      </c>
      <c r="C852">
        <v>9</v>
      </c>
      <c r="D852">
        <v>2847</v>
      </c>
      <c r="E852">
        <v>1</v>
      </c>
      <c r="F852" t="s">
        <v>268</v>
      </c>
      <c r="G852">
        <v>1</v>
      </c>
      <c r="H852" t="s">
        <v>290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214</v>
      </c>
      <c r="B853" t="s">
        <v>9</v>
      </c>
      <c r="C853">
        <v>9</v>
      </c>
      <c r="D853">
        <v>2602</v>
      </c>
      <c r="E853">
        <v>0</v>
      </c>
      <c r="F853" t="s">
        <v>268</v>
      </c>
      <c r="G853">
        <v>4</v>
      </c>
      <c r="H853" t="s">
        <v>289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214</v>
      </c>
      <c r="B854" t="s">
        <v>9</v>
      </c>
      <c r="C854">
        <v>9</v>
      </c>
      <c r="D854">
        <v>2901</v>
      </c>
      <c r="E854">
        <v>1</v>
      </c>
      <c r="F854" t="s">
        <v>234</v>
      </c>
      <c r="G854" t="s">
        <v>302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214</v>
      </c>
      <c r="B855" t="s">
        <v>9</v>
      </c>
      <c r="C855">
        <v>9</v>
      </c>
      <c r="D855">
        <v>2768</v>
      </c>
      <c r="E855">
        <v>0</v>
      </c>
      <c r="F855" t="s">
        <v>268</v>
      </c>
      <c r="G855">
        <v>5</v>
      </c>
      <c r="H855" t="s">
        <v>289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214</v>
      </c>
      <c r="B856" t="s">
        <v>9</v>
      </c>
      <c r="C856">
        <v>9</v>
      </c>
      <c r="D856">
        <v>2401</v>
      </c>
      <c r="E856">
        <v>1</v>
      </c>
      <c r="F856" t="s">
        <v>268</v>
      </c>
      <c r="G856">
        <v>1</v>
      </c>
      <c r="H856" t="s">
        <v>311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214</v>
      </c>
      <c r="B857" t="s">
        <v>9</v>
      </c>
      <c r="C857">
        <v>9</v>
      </c>
      <c r="D857">
        <v>2915</v>
      </c>
      <c r="E857">
        <v>0</v>
      </c>
      <c r="F857" t="s">
        <v>212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214</v>
      </c>
      <c r="B858" t="s">
        <v>9</v>
      </c>
      <c r="C858">
        <v>9</v>
      </c>
      <c r="D858">
        <v>2978</v>
      </c>
      <c r="E858">
        <v>0</v>
      </c>
      <c r="F858" t="s">
        <v>268</v>
      </c>
      <c r="G858">
        <v>4</v>
      </c>
      <c r="H858" t="s">
        <v>289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214</v>
      </c>
      <c r="B859" t="s">
        <v>9</v>
      </c>
      <c r="C859">
        <v>9</v>
      </c>
      <c r="D859">
        <v>2956</v>
      </c>
      <c r="E859">
        <v>0</v>
      </c>
      <c r="F859" t="s">
        <v>268</v>
      </c>
      <c r="G859">
        <v>5</v>
      </c>
      <c r="H859" t="s">
        <v>289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214</v>
      </c>
      <c r="B860" t="s">
        <v>9</v>
      </c>
      <c r="C860">
        <v>9</v>
      </c>
      <c r="D860">
        <v>2657</v>
      </c>
      <c r="E860">
        <v>1</v>
      </c>
      <c r="F860" t="s">
        <v>268</v>
      </c>
      <c r="G860">
        <v>5</v>
      </c>
      <c r="H860" t="s">
        <v>289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214</v>
      </c>
      <c r="B861" t="s">
        <v>9</v>
      </c>
      <c r="C861">
        <v>9</v>
      </c>
      <c r="D861">
        <v>2789</v>
      </c>
      <c r="E861">
        <v>0</v>
      </c>
      <c r="F861" t="s">
        <v>213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214</v>
      </c>
      <c r="B862" t="s">
        <v>9</v>
      </c>
      <c r="C862">
        <v>9</v>
      </c>
      <c r="D862">
        <v>2793</v>
      </c>
      <c r="E862">
        <v>1</v>
      </c>
      <c r="F862" t="s">
        <v>268</v>
      </c>
      <c r="G862">
        <v>5</v>
      </c>
      <c r="H862" t="s">
        <v>289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214</v>
      </c>
      <c r="B863" t="s">
        <v>9</v>
      </c>
      <c r="C863">
        <v>9</v>
      </c>
      <c r="D863">
        <v>2869</v>
      </c>
      <c r="E863">
        <v>2</v>
      </c>
      <c r="F863" t="s">
        <v>268</v>
      </c>
      <c r="G863">
        <v>4</v>
      </c>
      <c r="H863" t="s">
        <v>289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214</v>
      </c>
      <c r="B864" t="s">
        <v>9</v>
      </c>
      <c r="C864">
        <v>9</v>
      </c>
      <c r="D864">
        <v>2638</v>
      </c>
      <c r="E864">
        <v>1</v>
      </c>
      <c r="F864" t="s">
        <v>213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214</v>
      </c>
      <c r="B865" t="s">
        <v>9</v>
      </c>
      <c r="C865">
        <v>9</v>
      </c>
      <c r="D865">
        <v>2929</v>
      </c>
      <c r="E865">
        <v>1</v>
      </c>
      <c r="F865" t="s">
        <v>268</v>
      </c>
      <c r="G865">
        <v>1</v>
      </c>
      <c r="H865" t="s">
        <v>311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214</v>
      </c>
      <c r="B866" t="s">
        <v>9</v>
      </c>
      <c r="C866">
        <v>9</v>
      </c>
      <c r="D866">
        <v>2423</v>
      </c>
      <c r="E866">
        <v>1</v>
      </c>
      <c r="F866" t="s">
        <v>268</v>
      </c>
      <c r="G866">
        <v>3</v>
      </c>
      <c r="H866" t="s">
        <v>289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214</v>
      </c>
      <c r="B867" t="s">
        <v>9</v>
      </c>
      <c r="C867">
        <v>9</v>
      </c>
      <c r="D867">
        <v>2881</v>
      </c>
      <c r="E867">
        <v>0</v>
      </c>
      <c r="F867" t="s">
        <v>268</v>
      </c>
      <c r="G867">
        <v>5</v>
      </c>
      <c r="H867" t="s">
        <v>289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214</v>
      </c>
      <c r="B868" t="s">
        <v>9</v>
      </c>
      <c r="C868">
        <v>9</v>
      </c>
      <c r="D868">
        <v>3128</v>
      </c>
      <c r="E868">
        <v>1</v>
      </c>
      <c r="F868" t="s">
        <v>268</v>
      </c>
      <c r="G868">
        <v>4</v>
      </c>
      <c r="H868" t="s">
        <v>289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214</v>
      </c>
      <c r="B869" t="s">
        <v>9</v>
      </c>
      <c r="C869">
        <v>9</v>
      </c>
      <c r="D869">
        <v>3042</v>
      </c>
      <c r="E869">
        <v>0</v>
      </c>
      <c r="F869" t="s">
        <v>268</v>
      </c>
      <c r="G869">
        <v>3</v>
      </c>
      <c r="H869" t="s">
        <v>290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214</v>
      </c>
      <c r="B870" t="s">
        <v>9</v>
      </c>
      <c r="C870">
        <v>9</v>
      </c>
      <c r="D870">
        <v>2846</v>
      </c>
      <c r="E870">
        <v>1</v>
      </c>
      <c r="F870" t="s">
        <v>268</v>
      </c>
      <c r="G870">
        <v>1</v>
      </c>
      <c r="H870" t="s">
        <v>290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214</v>
      </c>
      <c r="B871" t="s">
        <v>9</v>
      </c>
      <c r="C871">
        <v>9</v>
      </c>
      <c r="D871">
        <v>3112</v>
      </c>
      <c r="E871">
        <v>1</v>
      </c>
      <c r="F871" t="s">
        <v>268</v>
      </c>
      <c r="G871">
        <v>1</v>
      </c>
      <c r="H871" t="s">
        <v>290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214</v>
      </c>
      <c r="B872" t="s">
        <v>9</v>
      </c>
      <c r="C872">
        <v>9</v>
      </c>
      <c r="D872">
        <v>2928</v>
      </c>
      <c r="E872">
        <v>1</v>
      </c>
      <c r="F872" t="s">
        <v>268</v>
      </c>
      <c r="G872">
        <v>4</v>
      </c>
      <c r="H872" t="s">
        <v>289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214</v>
      </c>
      <c r="B873" t="s">
        <v>9</v>
      </c>
      <c r="C873">
        <v>9</v>
      </c>
      <c r="D873">
        <v>2702</v>
      </c>
      <c r="E873">
        <v>1</v>
      </c>
      <c r="F873" t="s">
        <v>268</v>
      </c>
      <c r="G873">
        <v>2</v>
      </c>
      <c r="H873" t="s">
        <v>311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234</v>
      </c>
      <c r="B874" t="s">
        <v>9</v>
      </c>
      <c r="C874" t="s">
        <v>26</v>
      </c>
      <c r="D874">
        <v>6071</v>
      </c>
      <c r="E874">
        <v>0</v>
      </c>
      <c r="F874" t="s">
        <v>212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234</v>
      </c>
      <c r="B875" t="s">
        <v>9</v>
      </c>
      <c r="C875" t="s">
        <v>26</v>
      </c>
      <c r="D875">
        <v>5719</v>
      </c>
      <c r="E875">
        <v>0</v>
      </c>
      <c r="F875" t="s">
        <v>212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234</v>
      </c>
      <c r="B876" t="s">
        <v>9</v>
      </c>
      <c r="C876" t="s">
        <v>26</v>
      </c>
      <c r="D876">
        <v>5444</v>
      </c>
      <c r="E876">
        <v>0</v>
      </c>
      <c r="F876" t="s">
        <v>212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234</v>
      </c>
      <c r="B877" t="s">
        <v>9</v>
      </c>
      <c r="C877" t="s">
        <v>26</v>
      </c>
      <c r="D877">
        <v>5741</v>
      </c>
      <c r="E877">
        <v>0</v>
      </c>
      <c r="F877" t="s">
        <v>212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234</v>
      </c>
      <c r="B878" t="s">
        <v>9</v>
      </c>
      <c r="C878" t="s">
        <v>26</v>
      </c>
      <c r="D878">
        <v>6031</v>
      </c>
      <c r="E878">
        <v>0</v>
      </c>
      <c r="F878" t="s">
        <v>212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234</v>
      </c>
      <c r="B879" t="s">
        <v>9</v>
      </c>
      <c r="C879" t="s">
        <v>26</v>
      </c>
      <c r="D879">
        <v>5574</v>
      </c>
      <c r="E879">
        <v>0</v>
      </c>
      <c r="F879" t="s">
        <v>212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234</v>
      </c>
      <c r="B880" t="s">
        <v>9</v>
      </c>
      <c r="C880" t="s">
        <v>26</v>
      </c>
      <c r="D880">
        <v>6065</v>
      </c>
      <c r="E880">
        <v>0</v>
      </c>
      <c r="F880" t="s">
        <v>212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234</v>
      </c>
      <c r="B881" t="s">
        <v>9</v>
      </c>
      <c r="C881" t="s">
        <v>26</v>
      </c>
      <c r="D881">
        <v>5631</v>
      </c>
      <c r="E881">
        <v>0</v>
      </c>
      <c r="F881" t="s">
        <v>212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214</v>
      </c>
      <c r="B882" t="s">
        <v>9</v>
      </c>
      <c r="C882">
        <v>9</v>
      </c>
      <c r="D882">
        <v>2671</v>
      </c>
      <c r="E882">
        <v>0</v>
      </c>
      <c r="F882" t="s">
        <v>268</v>
      </c>
      <c r="G882">
        <v>1</v>
      </c>
      <c r="H882" t="s">
        <v>311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214</v>
      </c>
      <c r="B883" t="s">
        <v>9</v>
      </c>
      <c r="C883">
        <v>9</v>
      </c>
      <c r="D883">
        <v>2940</v>
      </c>
      <c r="E883">
        <v>0</v>
      </c>
      <c r="F883" t="s">
        <v>268</v>
      </c>
      <c r="G883">
        <v>1</v>
      </c>
      <c r="H883" t="s">
        <v>290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214</v>
      </c>
      <c r="B884" t="s">
        <v>9</v>
      </c>
      <c r="C884">
        <v>9</v>
      </c>
      <c r="D884">
        <v>2643</v>
      </c>
      <c r="E884">
        <v>2</v>
      </c>
      <c r="F884" t="s">
        <v>268</v>
      </c>
      <c r="G884">
        <v>1</v>
      </c>
      <c r="H884" t="s">
        <v>290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214</v>
      </c>
      <c r="B885" t="s">
        <v>9</v>
      </c>
      <c r="C885">
        <v>9</v>
      </c>
      <c r="D885">
        <v>2968</v>
      </c>
      <c r="E885">
        <v>0</v>
      </c>
      <c r="F885" t="s">
        <v>268</v>
      </c>
      <c r="G885">
        <v>3</v>
      </c>
      <c r="H885" t="s">
        <v>311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214</v>
      </c>
      <c r="B886" t="s">
        <v>9</v>
      </c>
      <c r="C886">
        <v>9</v>
      </c>
      <c r="D886">
        <v>2502</v>
      </c>
      <c r="E886">
        <v>2</v>
      </c>
      <c r="F886" t="s">
        <v>268</v>
      </c>
      <c r="G886">
        <v>2</v>
      </c>
      <c r="H886" t="s">
        <v>311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214</v>
      </c>
      <c r="B887" t="s">
        <v>9</v>
      </c>
      <c r="C887">
        <v>9</v>
      </c>
      <c r="D887">
        <v>2719</v>
      </c>
      <c r="E887">
        <v>3</v>
      </c>
      <c r="F887" t="s">
        <v>234</v>
      </c>
      <c r="G887" t="s">
        <v>303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214</v>
      </c>
      <c r="B888" t="s">
        <v>9</v>
      </c>
      <c r="C888">
        <v>9</v>
      </c>
      <c r="D888">
        <v>2733</v>
      </c>
      <c r="E888">
        <v>1</v>
      </c>
      <c r="F888" t="s">
        <v>268</v>
      </c>
      <c r="G888">
        <v>1</v>
      </c>
      <c r="H888" t="s">
        <v>311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214</v>
      </c>
      <c r="B889" t="s">
        <v>9</v>
      </c>
      <c r="C889">
        <v>9</v>
      </c>
      <c r="D889">
        <v>2917</v>
      </c>
      <c r="E889">
        <v>1</v>
      </c>
      <c r="F889" t="s">
        <v>268</v>
      </c>
      <c r="G889">
        <v>1</v>
      </c>
      <c r="H889" t="s">
        <v>311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214</v>
      </c>
      <c r="B890" t="s">
        <v>9</v>
      </c>
      <c r="C890">
        <v>9</v>
      </c>
      <c r="D890">
        <v>2662</v>
      </c>
      <c r="E890">
        <v>0</v>
      </c>
      <c r="F890" t="s">
        <v>268</v>
      </c>
      <c r="G890">
        <v>3</v>
      </c>
      <c r="H890" t="s">
        <v>290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214</v>
      </c>
      <c r="B891" t="s">
        <v>9</v>
      </c>
      <c r="C891">
        <v>9</v>
      </c>
      <c r="D891">
        <v>2980</v>
      </c>
      <c r="E891">
        <v>1</v>
      </c>
      <c r="F891" t="s">
        <v>268</v>
      </c>
      <c r="G891">
        <v>2</v>
      </c>
      <c r="H891" t="s">
        <v>311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214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214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214</v>
      </c>
      <c r="B894" t="s">
        <v>9</v>
      </c>
      <c r="C894">
        <v>9</v>
      </c>
      <c r="D894">
        <v>2705</v>
      </c>
      <c r="E894">
        <v>1</v>
      </c>
      <c r="F894" t="s">
        <v>268</v>
      </c>
      <c r="G894">
        <v>1</v>
      </c>
      <c r="H894" t="s">
        <v>290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214</v>
      </c>
      <c r="B895" t="s">
        <v>9</v>
      </c>
      <c r="C895">
        <v>9</v>
      </c>
      <c r="D895">
        <v>2769</v>
      </c>
      <c r="E895">
        <v>1</v>
      </c>
      <c r="F895" t="s">
        <v>268</v>
      </c>
      <c r="G895">
        <v>1</v>
      </c>
      <c r="H895" t="s">
        <v>290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271</v>
      </c>
      <c r="G896">
        <v>5</v>
      </c>
      <c r="H896" t="s">
        <v>289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304</v>
      </c>
      <c r="B897" t="s">
        <v>9</v>
      </c>
      <c r="C897">
        <v>9</v>
      </c>
      <c r="D897">
        <v>2838</v>
      </c>
      <c r="E897">
        <v>0</v>
      </c>
      <c r="F897" t="s">
        <v>269</v>
      </c>
      <c r="G897">
        <v>4</v>
      </c>
      <c r="H897" t="s">
        <v>289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304</v>
      </c>
      <c r="B898" t="s">
        <v>9</v>
      </c>
      <c r="C898">
        <v>9</v>
      </c>
      <c r="D898">
        <v>2427</v>
      </c>
      <c r="E898">
        <v>1</v>
      </c>
      <c r="F898" t="s">
        <v>283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304</v>
      </c>
      <c r="B899" t="s">
        <v>9</v>
      </c>
      <c r="C899">
        <v>9</v>
      </c>
      <c r="D899">
        <v>3047</v>
      </c>
      <c r="E899">
        <v>2</v>
      </c>
      <c r="F899" t="s">
        <v>269</v>
      </c>
      <c r="G899">
        <v>1</v>
      </c>
      <c r="H899" t="s">
        <v>311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304</v>
      </c>
      <c r="B900" t="s">
        <v>9</v>
      </c>
      <c r="C900">
        <v>9</v>
      </c>
      <c r="D900">
        <v>2866</v>
      </c>
      <c r="E900">
        <v>1</v>
      </c>
      <c r="F900" t="s">
        <v>213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304</v>
      </c>
      <c r="B901" t="s">
        <v>9</v>
      </c>
      <c r="C901">
        <v>9</v>
      </c>
      <c r="D901">
        <v>2763</v>
      </c>
      <c r="E901">
        <v>0</v>
      </c>
      <c r="F901" t="s">
        <v>283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304</v>
      </c>
      <c r="B902" t="s">
        <v>9</v>
      </c>
      <c r="C902">
        <v>9</v>
      </c>
      <c r="D902">
        <v>3056</v>
      </c>
      <c r="E902">
        <v>1</v>
      </c>
      <c r="F902" t="s">
        <v>283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304</v>
      </c>
      <c r="B903" t="s">
        <v>9</v>
      </c>
      <c r="C903">
        <v>9</v>
      </c>
      <c r="D903">
        <v>2719</v>
      </c>
      <c r="E903">
        <v>0</v>
      </c>
      <c r="F903" t="s">
        <v>269</v>
      </c>
      <c r="G903">
        <v>5</v>
      </c>
      <c r="H903" t="s">
        <v>289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304</v>
      </c>
      <c r="B904" t="s">
        <v>9</v>
      </c>
      <c r="C904">
        <v>9</v>
      </c>
      <c r="D904">
        <v>2911</v>
      </c>
      <c r="E904">
        <v>1</v>
      </c>
      <c r="F904" t="s">
        <v>269</v>
      </c>
      <c r="G904">
        <v>5</v>
      </c>
      <c r="H904" t="s">
        <v>289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304</v>
      </c>
      <c r="B905" t="s">
        <v>9</v>
      </c>
      <c r="C905">
        <v>9</v>
      </c>
      <c r="D905">
        <v>2858</v>
      </c>
      <c r="E905">
        <v>0</v>
      </c>
      <c r="F905" t="s">
        <v>269</v>
      </c>
      <c r="G905">
        <v>1</v>
      </c>
      <c r="H905" t="s">
        <v>311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304</v>
      </c>
      <c r="B906" t="s">
        <v>9</v>
      </c>
      <c r="C906">
        <v>9</v>
      </c>
      <c r="D906">
        <v>2965</v>
      </c>
      <c r="E906">
        <v>1</v>
      </c>
      <c r="F906" t="s">
        <v>269</v>
      </c>
      <c r="G906">
        <v>3</v>
      </c>
      <c r="H906" t="s">
        <v>311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304</v>
      </c>
      <c r="B907" t="s">
        <v>9</v>
      </c>
      <c r="C907">
        <v>9</v>
      </c>
      <c r="D907">
        <v>3486</v>
      </c>
      <c r="E907">
        <v>1</v>
      </c>
      <c r="F907" t="s">
        <v>213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304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304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304</v>
      </c>
      <c r="B910" t="s">
        <v>9</v>
      </c>
      <c r="C910">
        <v>9</v>
      </c>
      <c r="D910">
        <v>2744</v>
      </c>
      <c r="E910">
        <v>1</v>
      </c>
      <c r="F910" t="s">
        <v>269</v>
      </c>
      <c r="G910">
        <v>1</v>
      </c>
      <c r="H910" t="s">
        <v>290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304</v>
      </c>
      <c r="B911" t="s">
        <v>9</v>
      </c>
      <c r="C911">
        <v>9</v>
      </c>
      <c r="D911">
        <v>2564</v>
      </c>
      <c r="E911">
        <v>0</v>
      </c>
      <c r="F911" t="s">
        <v>269</v>
      </c>
      <c r="G911">
        <v>5</v>
      </c>
      <c r="H911" t="s">
        <v>289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304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304</v>
      </c>
      <c r="B913" t="s">
        <v>9</v>
      </c>
      <c r="C913">
        <v>9</v>
      </c>
      <c r="D913">
        <v>2779</v>
      </c>
      <c r="E913">
        <v>0</v>
      </c>
      <c r="F913" t="s">
        <v>283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271</v>
      </c>
      <c r="G914">
        <v>3</v>
      </c>
      <c r="H914" t="s">
        <v>311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304</v>
      </c>
      <c r="B915" t="s">
        <v>9</v>
      </c>
      <c r="C915">
        <v>9</v>
      </c>
      <c r="D915">
        <v>3032</v>
      </c>
      <c r="E915">
        <v>0</v>
      </c>
      <c r="F915" t="s">
        <v>269</v>
      </c>
      <c r="G915">
        <v>5</v>
      </c>
      <c r="H915" t="s">
        <v>289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304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304</v>
      </c>
      <c r="B917" t="s">
        <v>9</v>
      </c>
      <c r="C917">
        <v>9</v>
      </c>
      <c r="D917">
        <v>2891</v>
      </c>
      <c r="E917">
        <v>2</v>
      </c>
      <c r="F917" t="s">
        <v>269</v>
      </c>
      <c r="G917">
        <v>1</v>
      </c>
      <c r="H917" t="s">
        <v>311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304</v>
      </c>
      <c r="B918" t="s">
        <v>9</v>
      </c>
      <c r="C918">
        <v>9</v>
      </c>
      <c r="D918">
        <v>2799</v>
      </c>
      <c r="E918">
        <v>0</v>
      </c>
      <c r="F918" t="s">
        <v>269</v>
      </c>
      <c r="G918">
        <v>2</v>
      </c>
      <c r="H918" t="s">
        <v>311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304</v>
      </c>
      <c r="B919" t="s">
        <v>9</v>
      </c>
      <c r="C919">
        <v>9</v>
      </c>
      <c r="D919">
        <v>3197</v>
      </c>
      <c r="E919">
        <v>1</v>
      </c>
      <c r="F919" t="s">
        <v>269</v>
      </c>
      <c r="G919">
        <v>2</v>
      </c>
      <c r="H919" t="s">
        <v>311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304</v>
      </c>
      <c r="B920" t="s">
        <v>9</v>
      </c>
      <c r="C920">
        <v>9</v>
      </c>
      <c r="D920">
        <v>3013</v>
      </c>
      <c r="E920">
        <v>0</v>
      </c>
      <c r="F920" t="s">
        <v>269</v>
      </c>
      <c r="G920">
        <v>4</v>
      </c>
      <c r="H920" t="s">
        <v>289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304</v>
      </c>
      <c r="B921" t="s">
        <v>9</v>
      </c>
      <c r="C921">
        <v>9</v>
      </c>
      <c r="D921">
        <v>3393</v>
      </c>
      <c r="E921">
        <v>1</v>
      </c>
      <c r="F921" t="s">
        <v>269</v>
      </c>
      <c r="G921">
        <v>4</v>
      </c>
      <c r="H921" t="s">
        <v>289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304</v>
      </c>
      <c r="B922" t="s">
        <v>9</v>
      </c>
      <c r="C922">
        <v>9</v>
      </c>
      <c r="D922">
        <v>3290</v>
      </c>
      <c r="E922">
        <v>0</v>
      </c>
      <c r="F922" t="s">
        <v>307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305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304</v>
      </c>
      <c r="B924" t="s">
        <v>9</v>
      </c>
      <c r="C924">
        <v>9</v>
      </c>
      <c r="D924">
        <v>2551</v>
      </c>
      <c r="E924">
        <v>1</v>
      </c>
      <c r="F924" t="s">
        <v>234</v>
      </c>
      <c r="G924" t="s">
        <v>306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304</v>
      </c>
      <c r="B925" t="s">
        <v>9</v>
      </c>
      <c r="C925">
        <v>9</v>
      </c>
      <c r="D925">
        <v>2856</v>
      </c>
      <c r="E925">
        <v>0</v>
      </c>
      <c r="F925" t="s">
        <v>269</v>
      </c>
      <c r="G925">
        <v>1</v>
      </c>
      <c r="H925" t="s">
        <v>290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304</v>
      </c>
      <c r="B926" t="s">
        <v>9</v>
      </c>
      <c r="C926">
        <v>9</v>
      </c>
      <c r="D926">
        <v>2488</v>
      </c>
      <c r="E926">
        <v>1</v>
      </c>
      <c r="F926" t="s">
        <v>269</v>
      </c>
      <c r="G926">
        <v>3</v>
      </c>
      <c r="H926" t="s">
        <v>311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304</v>
      </c>
      <c r="B927" t="s">
        <v>9</v>
      </c>
      <c r="C927">
        <v>9</v>
      </c>
      <c r="D927">
        <v>2583</v>
      </c>
      <c r="E927">
        <v>0</v>
      </c>
      <c r="F927" t="s">
        <v>269</v>
      </c>
      <c r="G927">
        <v>5</v>
      </c>
      <c r="H927" t="s">
        <v>289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304</v>
      </c>
      <c r="B928" t="s">
        <v>9</v>
      </c>
      <c r="C928">
        <v>9</v>
      </c>
      <c r="D928">
        <v>2394</v>
      </c>
      <c r="E928">
        <v>0</v>
      </c>
      <c r="F928" t="s">
        <v>269</v>
      </c>
      <c r="G928">
        <v>4</v>
      </c>
      <c r="H928" t="s">
        <v>289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304</v>
      </c>
      <c r="B929" t="s">
        <v>9</v>
      </c>
      <c r="C929">
        <v>9</v>
      </c>
      <c r="D929">
        <v>2703</v>
      </c>
      <c r="E929">
        <v>0</v>
      </c>
      <c r="F929" t="s">
        <v>269</v>
      </c>
      <c r="G929">
        <v>1</v>
      </c>
      <c r="H929" t="s">
        <v>290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304</v>
      </c>
      <c r="B930" t="s">
        <v>9</v>
      </c>
      <c r="C930">
        <v>9</v>
      </c>
      <c r="D930">
        <v>2880</v>
      </c>
      <c r="E930">
        <v>1</v>
      </c>
      <c r="F930" t="s">
        <v>269</v>
      </c>
      <c r="G930">
        <v>4</v>
      </c>
      <c r="H930" t="s">
        <v>289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304</v>
      </c>
      <c r="B931" t="s">
        <v>9</v>
      </c>
      <c r="C931">
        <v>9</v>
      </c>
      <c r="D931">
        <v>2802</v>
      </c>
      <c r="E931">
        <v>0</v>
      </c>
      <c r="F931" t="s">
        <v>269</v>
      </c>
      <c r="G931">
        <v>3</v>
      </c>
      <c r="H931" t="s">
        <v>311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304</v>
      </c>
      <c r="B932" t="s">
        <v>9</v>
      </c>
      <c r="C932">
        <v>9</v>
      </c>
      <c r="D932">
        <v>2784</v>
      </c>
      <c r="E932">
        <v>2</v>
      </c>
      <c r="F932" t="s">
        <v>283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304</v>
      </c>
      <c r="B933" t="s">
        <v>9</v>
      </c>
      <c r="C933">
        <v>9</v>
      </c>
      <c r="D933">
        <v>2856</v>
      </c>
      <c r="E933">
        <v>0</v>
      </c>
      <c r="F933" t="s">
        <v>269</v>
      </c>
      <c r="G933">
        <v>3</v>
      </c>
      <c r="H933" t="s">
        <v>311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304</v>
      </c>
      <c r="B934" t="s">
        <v>9</v>
      </c>
      <c r="C934">
        <v>9</v>
      </c>
      <c r="D934">
        <v>3481</v>
      </c>
      <c r="E934">
        <v>0</v>
      </c>
      <c r="F934" t="s">
        <v>269</v>
      </c>
      <c r="G934">
        <v>4</v>
      </c>
      <c r="H934" t="s">
        <v>289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304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304</v>
      </c>
      <c r="B936" t="s">
        <v>9</v>
      </c>
      <c r="C936">
        <v>9</v>
      </c>
      <c r="D936">
        <v>2809</v>
      </c>
      <c r="E936">
        <v>1</v>
      </c>
      <c r="F936" t="s">
        <v>213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304</v>
      </c>
      <c r="B937" t="s">
        <v>9</v>
      </c>
      <c r="C937">
        <v>9</v>
      </c>
      <c r="D937">
        <v>2999</v>
      </c>
      <c r="E937">
        <v>0</v>
      </c>
      <c r="F937" t="s">
        <v>269</v>
      </c>
      <c r="G937">
        <v>5</v>
      </c>
      <c r="H937" t="s">
        <v>289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304</v>
      </c>
      <c r="B938" t="s">
        <v>9</v>
      </c>
      <c r="C938">
        <v>9</v>
      </c>
      <c r="D938">
        <v>2639</v>
      </c>
      <c r="E938">
        <v>1</v>
      </c>
      <c r="F938" t="s">
        <v>269</v>
      </c>
      <c r="G938">
        <v>2</v>
      </c>
      <c r="H938" t="s">
        <v>311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304</v>
      </c>
      <c r="B939" t="s">
        <v>9</v>
      </c>
      <c r="C939">
        <v>9</v>
      </c>
      <c r="D939">
        <v>2853</v>
      </c>
      <c r="E939">
        <v>0</v>
      </c>
      <c r="F939" t="s">
        <v>269</v>
      </c>
      <c r="G939">
        <v>2</v>
      </c>
      <c r="H939" t="s">
        <v>290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304</v>
      </c>
      <c r="B940" t="s">
        <v>9</v>
      </c>
      <c r="C940">
        <v>9</v>
      </c>
      <c r="D940">
        <v>3206</v>
      </c>
      <c r="E940">
        <v>1</v>
      </c>
      <c r="F940" t="s">
        <v>269</v>
      </c>
      <c r="G940">
        <v>4</v>
      </c>
      <c r="H940" t="s">
        <v>289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304</v>
      </c>
      <c r="B941" t="s">
        <v>9</v>
      </c>
      <c r="C941">
        <v>9</v>
      </c>
      <c r="D941">
        <v>3218</v>
      </c>
      <c r="E941">
        <v>0</v>
      </c>
      <c r="F941" t="s">
        <v>269</v>
      </c>
      <c r="G941">
        <v>3</v>
      </c>
      <c r="H941" t="s">
        <v>311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304</v>
      </c>
      <c r="B942" t="s">
        <v>9</v>
      </c>
      <c r="C942">
        <v>9</v>
      </c>
      <c r="D942">
        <v>2853</v>
      </c>
      <c r="E942">
        <v>2</v>
      </c>
      <c r="F942" t="s">
        <v>269</v>
      </c>
      <c r="G942">
        <v>3</v>
      </c>
      <c r="H942" t="s">
        <v>290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304</v>
      </c>
      <c r="B943" t="s">
        <v>9</v>
      </c>
      <c r="C943">
        <v>9</v>
      </c>
      <c r="D943">
        <v>2921</v>
      </c>
      <c r="E943">
        <v>0</v>
      </c>
      <c r="F943" t="s">
        <v>269</v>
      </c>
      <c r="G943">
        <v>1</v>
      </c>
      <c r="H943" t="s">
        <v>290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304</v>
      </c>
      <c r="B944" t="s">
        <v>9</v>
      </c>
      <c r="C944">
        <v>9</v>
      </c>
      <c r="D944">
        <v>2840</v>
      </c>
      <c r="E944">
        <v>0</v>
      </c>
      <c r="F944" t="s">
        <v>213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304</v>
      </c>
      <c r="B945" t="s">
        <v>9</v>
      </c>
      <c r="C945">
        <v>9</v>
      </c>
      <c r="D945">
        <v>3444</v>
      </c>
      <c r="E945">
        <v>0</v>
      </c>
      <c r="F945" t="s">
        <v>283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304</v>
      </c>
      <c r="B946" t="s">
        <v>9</v>
      </c>
      <c r="C946">
        <v>9</v>
      </c>
      <c r="D946">
        <v>2844</v>
      </c>
      <c r="E946">
        <v>0</v>
      </c>
      <c r="F946" t="s">
        <v>269</v>
      </c>
      <c r="G946">
        <v>2</v>
      </c>
      <c r="H946" t="s">
        <v>311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304</v>
      </c>
      <c r="B947" t="s">
        <v>9</v>
      </c>
      <c r="C947">
        <v>9</v>
      </c>
      <c r="D947">
        <v>2720</v>
      </c>
      <c r="E947">
        <v>0</v>
      </c>
      <c r="F947" t="s">
        <v>269</v>
      </c>
      <c r="G947">
        <v>4</v>
      </c>
      <c r="H947" t="s">
        <v>289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304</v>
      </c>
      <c r="B948" t="s">
        <v>9</v>
      </c>
      <c r="C948">
        <v>9</v>
      </c>
      <c r="D948">
        <v>2990</v>
      </c>
      <c r="E948">
        <v>1</v>
      </c>
      <c r="F948" t="s">
        <v>269</v>
      </c>
      <c r="G948">
        <v>4</v>
      </c>
      <c r="H948" t="s">
        <v>289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304</v>
      </c>
      <c r="B949" t="s">
        <v>9</v>
      </c>
      <c r="C949">
        <v>9</v>
      </c>
      <c r="D949">
        <v>2846</v>
      </c>
      <c r="E949">
        <v>4</v>
      </c>
      <c r="F949" t="s">
        <v>269</v>
      </c>
      <c r="G949">
        <v>1</v>
      </c>
      <c r="H949" t="s">
        <v>311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304</v>
      </c>
      <c r="B950" t="s">
        <v>9</v>
      </c>
      <c r="C950">
        <v>9</v>
      </c>
      <c r="D950">
        <v>2740</v>
      </c>
      <c r="E950">
        <v>1</v>
      </c>
      <c r="F950" t="s">
        <v>283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304</v>
      </c>
      <c r="B951" t="s">
        <v>9</v>
      </c>
      <c r="C951">
        <v>9</v>
      </c>
      <c r="D951">
        <v>2619</v>
      </c>
      <c r="E951">
        <v>2</v>
      </c>
      <c r="F951" t="s">
        <v>269</v>
      </c>
      <c r="G951">
        <v>1</v>
      </c>
      <c r="H951" t="s">
        <v>311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304</v>
      </c>
      <c r="B952" t="s">
        <v>9</v>
      </c>
      <c r="C952">
        <v>9</v>
      </c>
      <c r="D952">
        <v>3000</v>
      </c>
      <c r="E952">
        <v>1</v>
      </c>
      <c r="F952" t="s">
        <v>269</v>
      </c>
      <c r="G952">
        <v>2</v>
      </c>
      <c r="H952" t="s">
        <v>311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304</v>
      </c>
      <c r="B953" t="s">
        <v>9</v>
      </c>
      <c r="C953">
        <v>9</v>
      </c>
      <c r="D953">
        <v>2846</v>
      </c>
      <c r="E953">
        <v>3</v>
      </c>
      <c r="F953" t="s">
        <v>269</v>
      </c>
      <c r="G953">
        <v>4</v>
      </c>
      <c r="H953" t="s">
        <v>289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304</v>
      </c>
      <c r="B954" t="s">
        <v>9</v>
      </c>
      <c r="C954">
        <v>9</v>
      </c>
      <c r="D954">
        <v>2824</v>
      </c>
      <c r="E954">
        <v>2</v>
      </c>
      <c r="F954" t="s">
        <v>283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304</v>
      </c>
      <c r="B955" t="s">
        <v>9</v>
      </c>
      <c r="C955">
        <v>9</v>
      </c>
      <c r="D955">
        <v>3201</v>
      </c>
      <c r="E955">
        <v>0</v>
      </c>
      <c r="F955" t="s">
        <v>269</v>
      </c>
      <c r="G955">
        <v>5</v>
      </c>
      <c r="H955" t="s">
        <v>289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304</v>
      </c>
      <c r="B956" t="s">
        <v>9</v>
      </c>
      <c r="C956">
        <v>9</v>
      </c>
      <c r="D956">
        <v>2638</v>
      </c>
      <c r="E956">
        <v>0</v>
      </c>
      <c r="F956" t="s">
        <v>269</v>
      </c>
      <c r="G956">
        <v>3</v>
      </c>
      <c r="H956" t="s">
        <v>289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304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304</v>
      </c>
      <c r="B958" t="s">
        <v>9</v>
      </c>
      <c r="C958">
        <v>9</v>
      </c>
      <c r="D958">
        <v>2399</v>
      </c>
      <c r="E958">
        <v>0</v>
      </c>
      <c r="F958" t="s">
        <v>269</v>
      </c>
      <c r="G958">
        <v>3</v>
      </c>
      <c r="H958" t="s">
        <v>290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304</v>
      </c>
      <c r="B959" t="s">
        <v>9</v>
      </c>
      <c r="C959">
        <v>9</v>
      </c>
      <c r="D959">
        <v>3055</v>
      </c>
      <c r="E959">
        <v>1</v>
      </c>
      <c r="F959" t="s">
        <v>269</v>
      </c>
      <c r="G959">
        <v>1</v>
      </c>
      <c r="H959" t="s">
        <v>311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304</v>
      </c>
      <c r="B960" t="s">
        <v>9</v>
      </c>
      <c r="C960">
        <v>9</v>
      </c>
      <c r="D960">
        <v>2841</v>
      </c>
      <c r="E960">
        <v>0</v>
      </c>
      <c r="F960" t="s">
        <v>269</v>
      </c>
      <c r="G960">
        <v>5</v>
      </c>
      <c r="H960" t="s">
        <v>289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304</v>
      </c>
      <c r="B961" t="s">
        <v>9</v>
      </c>
      <c r="C961">
        <v>9</v>
      </c>
      <c r="D961">
        <v>2937</v>
      </c>
      <c r="E961">
        <v>0</v>
      </c>
      <c r="F961" t="s">
        <v>234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304</v>
      </c>
      <c r="B962" t="s">
        <v>9</v>
      </c>
      <c r="C962">
        <v>9</v>
      </c>
      <c r="D962">
        <v>2426</v>
      </c>
      <c r="E962">
        <v>0</v>
      </c>
      <c r="F962" t="s">
        <v>269</v>
      </c>
      <c r="G962">
        <v>1</v>
      </c>
      <c r="H962" t="s">
        <v>290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304</v>
      </c>
      <c r="B963" t="s">
        <v>9</v>
      </c>
      <c r="C963">
        <v>9</v>
      </c>
      <c r="D963">
        <v>2552</v>
      </c>
      <c r="E963">
        <v>1</v>
      </c>
      <c r="F963" t="s">
        <v>269</v>
      </c>
      <c r="G963">
        <v>3</v>
      </c>
      <c r="H963" t="s">
        <v>311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304</v>
      </c>
      <c r="B964" t="s">
        <v>9</v>
      </c>
      <c r="C964">
        <v>9</v>
      </c>
      <c r="D964">
        <v>2771</v>
      </c>
      <c r="E964">
        <v>2</v>
      </c>
      <c r="F964" t="s">
        <v>269</v>
      </c>
      <c r="G964">
        <v>1</v>
      </c>
      <c r="H964" t="s">
        <v>311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304</v>
      </c>
      <c r="B965" t="s">
        <v>9</v>
      </c>
      <c r="C965">
        <v>9</v>
      </c>
      <c r="D965">
        <v>2652</v>
      </c>
      <c r="E965">
        <v>2</v>
      </c>
      <c r="F965" t="s">
        <v>269</v>
      </c>
      <c r="G965">
        <v>4</v>
      </c>
      <c r="H965" t="s">
        <v>289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304</v>
      </c>
      <c r="B966" t="s">
        <v>9</v>
      </c>
      <c r="C966">
        <v>9</v>
      </c>
      <c r="D966">
        <v>2708</v>
      </c>
      <c r="E966">
        <v>0</v>
      </c>
      <c r="F966" t="s">
        <v>269</v>
      </c>
      <c r="G966">
        <v>1</v>
      </c>
      <c r="H966" t="s">
        <v>290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304</v>
      </c>
      <c r="B967" t="s">
        <v>9</v>
      </c>
      <c r="C967">
        <v>9</v>
      </c>
      <c r="D967">
        <v>2684</v>
      </c>
      <c r="E967">
        <v>1</v>
      </c>
      <c r="F967" t="s">
        <v>269</v>
      </c>
      <c r="G967">
        <v>1</v>
      </c>
      <c r="H967" t="s">
        <v>290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304</v>
      </c>
      <c r="B968" t="s">
        <v>9</v>
      </c>
      <c r="C968">
        <v>9</v>
      </c>
      <c r="D968">
        <v>3108</v>
      </c>
      <c r="E968">
        <v>3</v>
      </c>
      <c r="F968" t="s">
        <v>269</v>
      </c>
      <c r="G968">
        <v>4</v>
      </c>
      <c r="H968" t="s">
        <v>289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304</v>
      </c>
      <c r="B969" t="s">
        <v>9</v>
      </c>
      <c r="C969">
        <v>9</v>
      </c>
      <c r="D969">
        <v>2839</v>
      </c>
      <c r="E969">
        <v>1</v>
      </c>
      <c r="F969" t="s">
        <v>269</v>
      </c>
      <c r="G969">
        <v>1</v>
      </c>
      <c r="H969" t="s">
        <v>290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271</v>
      </c>
      <c r="G989">
        <v>5</v>
      </c>
      <c r="H989" t="s">
        <v>289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277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277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277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277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310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310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277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277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310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277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277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277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277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310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277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277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310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310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310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277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212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310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277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277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277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277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277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277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277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310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310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211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310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310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277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277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277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277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277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310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277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310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277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277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277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310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277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337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277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305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305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305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305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305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305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305</v>
      </c>
      <c r="B1071" t="s">
        <v>32</v>
      </c>
      <c r="C1071">
        <v>5</v>
      </c>
      <c r="D1071">
        <v>1020</v>
      </c>
      <c r="E1071">
        <v>1</v>
      </c>
      <c r="F1071" t="s">
        <v>283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305</v>
      </c>
      <c r="B1072" t="s">
        <v>32</v>
      </c>
      <c r="C1072">
        <v>5</v>
      </c>
      <c r="D1072">
        <v>1937</v>
      </c>
      <c r="E1072">
        <v>1</v>
      </c>
      <c r="F1072" t="s">
        <v>283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305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305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305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305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338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338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338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338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338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338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338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338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305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305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305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305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305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305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305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305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305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305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305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305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305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zoomScale="85" zoomScaleNormal="85" workbookViewId="0">
      <selection activeCell="D30" sqref="D3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202" t="s">
        <v>239</v>
      </c>
      <c r="B2" s="203"/>
      <c r="C2" s="203"/>
      <c r="D2" s="203"/>
      <c r="E2" s="203"/>
      <c r="F2" s="203"/>
      <c r="G2" s="203"/>
      <c r="H2" s="203"/>
      <c r="I2" s="203"/>
      <c r="J2" s="203"/>
      <c r="K2" s="203"/>
      <c r="L2" s="204"/>
    </row>
    <row r="3" spans="1:16" ht="15">
      <c r="A3" s="33" t="s">
        <v>217</v>
      </c>
      <c r="B3" s="32" t="s">
        <v>232</v>
      </c>
      <c r="C3" s="32" t="s">
        <v>238</v>
      </c>
      <c r="D3" s="32" t="s">
        <v>222</v>
      </c>
      <c r="E3" s="32" t="s">
        <v>232</v>
      </c>
      <c r="F3" s="32" t="s">
        <v>238</v>
      </c>
      <c r="G3" s="32" t="s">
        <v>227</v>
      </c>
      <c r="H3" s="32" t="s">
        <v>232</v>
      </c>
      <c r="I3" s="32" t="s">
        <v>238</v>
      </c>
      <c r="J3" s="51"/>
      <c r="K3" s="32" t="s">
        <v>232</v>
      </c>
      <c r="L3" s="52" t="s">
        <v>238</v>
      </c>
    </row>
    <row r="4" spans="1:16">
      <c r="A4" s="5" t="s">
        <v>220</v>
      </c>
      <c r="B4" s="6" t="s">
        <v>233</v>
      </c>
      <c r="C4" s="6" t="s">
        <v>211</v>
      </c>
      <c r="D4" s="6" t="s">
        <v>223</v>
      </c>
      <c r="E4" s="6" t="s">
        <v>233</v>
      </c>
      <c r="F4" s="6"/>
      <c r="G4" s="6" t="s">
        <v>228</v>
      </c>
      <c r="H4" s="6" t="s">
        <v>233</v>
      </c>
      <c r="I4" s="56" t="s">
        <v>211</v>
      </c>
      <c r="J4" s="53" t="s">
        <v>236</v>
      </c>
      <c r="K4" s="53" t="s">
        <v>34</v>
      </c>
      <c r="L4" s="54" t="s">
        <v>211</v>
      </c>
    </row>
    <row r="5" spans="1:16">
      <c r="A5" s="5" t="s">
        <v>219</v>
      </c>
      <c r="B5" s="6" t="s">
        <v>234</v>
      </c>
      <c r="C5" s="6" t="s">
        <v>211</v>
      </c>
      <c r="D5" s="6" t="s">
        <v>224</v>
      </c>
      <c r="E5" s="6" t="s">
        <v>234</v>
      </c>
      <c r="F5" s="56" t="s">
        <v>211</v>
      </c>
      <c r="G5" s="6" t="s">
        <v>229</v>
      </c>
      <c r="H5" s="6" t="s">
        <v>34</v>
      </c>
      <c r="I5" s="6" t="s">
        <v>211</v>
      </c>
      <c r="J5" s="6"/>
      <c r="K5" s="6"/>
      <c r="L5" s="55"/>
    </row>
    <row r="6" spans="1:16">
      <c r="A6" s="5" t="s">
        <v>218</v>
      </c>
      <c r="B6" s="6" t="s">
        <v>234</v>
      </c>
      <c r="C6" s="56" t="s">
        <v>211</v>
      </c>
      <c r="D6" s="6" t="s">
        <v>225</v>
      </c>
      <c r="E6" s="6" t="s">
        <v>234</v>
      </c>
      <c r="F6" s="6" t="s">
        <v>211</v>
      </c>
      <c r="G6" s="6" t="s">
        <v>230</v>
      </c>
      <c r="H6" s="6" t="s">
        <v>233</v>
      </c>
      <c r="I6" s="56" t="s">
        <v>211</v>
      </c>
      <c r="J6" s="6"/>
      <c r="K6" s="6"/>
      <c r="L6" s="55"/>
    </row>
    <row r="7" spans="1:16" ht="15" thickBot="1">
      <c r="A7" s="7" t="s">
        <v>221</v>
      </c>
      <c r="B7" s="8" t="s">
        <v>237</v>
      </c>
      <c r="C7" s="8" t="s">
        <v>211</v>
      </c>
      <c r="D7" s="8" t="s">
        <v>226</v>
      </c>
      <c r="E7" s="8" t="s">
        <v>235</v>
      </c>
      <c r="F7" s="8" t="s">
        <v>211</v>
      </c>
      <c r="G7" s="8" t="s">
        <v>231</v>
      </c>
      <c r="H7" s="8" t="s">
        <v>235</v>
      </c>
      <c r="I7" s="8" t="s">
        <v>211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205" t="s">
        <v>240</v>
      </c>
      <c r="E9" s="206"/>
      <c r="F9" s="206"/>
      <c r="G9" s="206"/>
      <c r="H9" s="206"/>
      <c r="I9" s="206"/>
      <c r="J9" s="206"/>
      <c r="K9" s="206"/>
      <c r="L9" s="206"/>
      <c r="M9" s="206"/>
      <c r="N9" s="206"/>
      <c r="O9" s="206"/>
      <c r="P9" s="207"/>
    </row>
    <row r="10" spans="1:16" ht="15">
      <c r="A10" s="33" t="s">
        <v>241</v>
      </c>
      <c r="B10" s="32" t="s">
        <v>232</v>
      </c>
      <c r="C10" s="32" t="s">
        <v>238</v>
      </c>
      <c r="D10" s="66" t="s">
        <v>242</v>
      </c>
      <c r="E10" s="65" t="s">
        <v>232</v>
      </c>
      <c r="F10" s="65" t="s">
        <v>238</v>
      </c>
      <c r="G10" s="65" t="s">
        <v>243</v>
      </c>
      <c r="H10" s="65" t="s">
        <v>232</v>
      </c>
      <c r="I10" s="65" t="s">
        <v>238</v>
      </c>
      <c r="J10" s="65" t="s">
        <v>191</v>
      </c>
      <c r="K10" s="65"/>
      <c r="L10" s="65" t="s">
        <v>232</v>
      </c>
      <c r="M10" s="65" t="s">
        <v>238</v>
      </c>
      <c r="N10" s="59"/>
      <c r="O10" s="65" t="s">
        <v>232</v>
      </c>
      <c r="P10" s="67" t="s">
        <v>238</v>
      </c>
    </row>
    <row r="11" spans="1:16">
      <c r="A11" s="5" t="s">
        <v>257</v>
      </c>
      <c r="B11" s="6" t="s">
        <v>234</v>
      </c>
      <c r="C11" s="68" t="s">
        <v>211</v>
      </c>
      <c r="D11" s="63" t="s">
        <v>244</v>
      </c>
      <c r="E11" s="59" t="s">
        <v>234</v>
      </c>
      <c r="F11" s="59" t="s">
        <v>211</v>
      </c>
      <c r="G11" s="59" t="s">
        <v>248</v>
      </c>
      <c r="H11" s="59" t="s">
        <v>34</v>
      </c>
      <c r="I11" s="59" t="s">
        <v>211</v>
      </c>
      <c r="J11" s="59" t="s">
        <v>252</v>
      </c>
      <c r="K11" s="59"/>
      <c r="L11" s="59" t="s">
        <v>34</v>
      </c>
      <c r="M11" s="59"/>
      <c r="N11" s="59" t="s">
        <v>256</v>
      </c>
      <c r="O11" s="59"/>
      <c r="P11" s="60" t="s">
        <v>211</v>
      </c>
    </row>
    <row r="12" spans="1:16">
      <c r="A12" s="5" t="s">
        <v>258</v>
      </c>
      <c r="B12" s="6" t="s">
        <v>34</v>
      </c>
      <c r="C12" s="68" t="s">
        <v>211</v>
      </c>
      <c r="D12" s="63" t="s">
        <v>245</v>
      </c>
      <c r="E12" s="59" t="s">
        <v>34</v>
      </c>
      <c r="F12" s="59" t="s">
        <v>211</v>
      </c>
      <c r="G12" s="59" t="s">
        <v>249</v>
      </c>
      <c r="H12" s="59" t="s">
        <v>233</v>
      </c>
      <c r="I12" s="59" t="s">
        <v>211</v>
      </c>
      <c r="J12" s="59" t="s">
        <v>253</v>
      </c>
      <c r="K12" s="59"/>
      <c r="L12" s="59" t="s">
        <v>233</v>
      </c>
      <c r="M12" s="59" t="s">
        <v>211</v>
      </c>
      <c r="N12" s="59"/>
      <c r="O12" s="59"/>
      <c r="P12" s="60"/>
    </row>
    <row r="13" spans="1:16">
      <c r="A13" s="5" t="s">
        <v>259</v>
      </c>
      <c r="B13" s="6" t="s">
        <v>234</v>
      </c>
      <c r="C13" s="68" t="s">
        <v>211</v>
      </c>
      <c r="D13" s="63" t="s">
        <v>246</v>
      </c>
      <c r="E13" s="59" t="s">
        <v>234</v>
      </c>
      <c r="F13" s="59" t="s">
        <v>211</v>
      </c>
      <c r="G13" s="59" t="s">
        <v>250</v>
      </c>
      <c r="H13" s="59" t="s">
        <v>234</v>
      </c>
      <c r="I13" s="59" t="s">
        <v>211</v>
      </c>
      <c r="J13" s="59" t="s">
        <v>254</v>
      </c>
      <c r="K13" s="59"/>
      <c r="L13" s="59" t="s">
        <v>233</v>
      </c>
      <c r="M13" s="59" t="s">
        <v>211</v>
      </c>
      <c r="N13" s="59"/>
      <c r="O13" s="59"/>
      <c r="P13" s="60"/>
    </row>
    <row r="14" spans="1:16" ht="15" thickBot="1">
      <c r="A14" s="7" t="s">
        <v>260</v>
      </c>
      <c r="B14" s="8" t="s">
        <v>233</v>
      </c>
      <c r="C14" s="69" t="s">
        <v>211</v>
      </c>
      <c r="D14" s="64" t="s">
        <v>247</v>
      </c>
      <c r="E14" s="61" t="s">
        <v>261</v>
      </c>
      <c r="F14" s="61" t="s">
        <v>211</v>
      </c>
      <c r="G14" s="61" t="s">
        <v>251</v>
      </c>
      <c r="H14" s="61" t="s">
        <v>261</v>
      </c>
      <c r="I14" s="61" t="s">
        <v>211</v>
      </c>
      <c r="J14" s="61" t="s">
        <v>255</v>
      </c>
      <c r="K14" s="61"/>
      <c r="L14" s="61" t="s">
        <v>261</v>
      </c>
      <c r="M14" s="61" t="s">
        <v>211</v>
      </c>
      <c r="N14" s="61"/>
      <c r="O14" s="61"/>
      <c r="P14" s="62"/>
    </row>
    <row r="17" spans="1:20" ht="15" thickBot="1"/>
    <row r="18" spans="1:20" ht="15" thickBot="1">
      <c r="F18" s="208" t="s">
        <v>268</v>
      </c>
      <c r="G18" s="209"/>
      <c r="H18" s="210"/>
      <c r="I18" s="211" t="s">
        <v>269</v>
      </c>
      <c r="J18" s="212"/>
      <c r="K18" s="213"/>
      <c r="L18" s="214" t="s">
        <v>18</v>
      </c>
      <c r="M18" s="215"/>
      <c r="N18" s="216"/>
      <c r="O18" s="217" t="s">
        <v>271</v>
      </c>
      <c r="P18" s="218"/>
      <c r="Q18" s="219"/>
      <c r="R18" s="199" t="s">
        <v>270</v>
      </c>
      <c r="S18" s="200"/>
      <c r="T18" s="201"/>
    </row>
    <row r="19" spans="1:20" ht="15.75" thickBot="1">
      <c r="C19" s="33" t="s">
        <v>264</v>
      </c>
      <c r="D19" s="32" t="s">
        <v>265</v>
      </c>
      <c r="E19" s="52" t="s">
        <v>266</v>
      </c>
      <c r="F19" s="85" t="s">
        <v>272</v>
      </c>
      <c r="G19" s="86" t="s">
        <v>312</v>
      </c>
      <c r="H19" s="87" t="s">
        <v>273</v>
      </c>
      <c r="I19" s="93" t="s">
        <v>272</v>
      </c>
      <c r="J19" s="94" t="s">
        <v>312</v>
      </c>
      <c r="K19" s="95" t="s">
        <v>273</v>
      </c>
      <c r="L19" s="101" t="s">
        <v>272</v>
      </c>
      <c r="M19" s="102" t="s">
        <v>312</v>
      </c>
      <c r="N19" s="103" t="s">
        <v>273</v>
      </c>
      <c r="O19" s="119" t="s">
        <v>272</v>
      </c>
      <c r="P19" s="120" t="s">
        <v>312</v>
      </c>
      <c r="Q19" s="121" t="s">
        <v>273</v>
      </c>
      <c r="R19" s="109" t="s">
        <v>272</v>
      </c>
      <c r="S19" s="110" t="s">
        <v>312</v>
      </c>
      <c r="T19" s="111" t="s">
        <v>273</v>
      </c>
    </row>
    <row r="20" spans="1:20" ht="15">
      <c r="A20" s="70" t="s">
        <v>267</v>
      </c>
      <c r="B20" s="75" t="s">
        <v>242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267</v>
      </c>
      <c r="B21" s="76" t="s">
        <v>244</v>
      </c>
      <c r="C21" s="5" t="s">
        <v>211</v>
      </c>
      <c r="D21" s="63" t="s">
        <v>346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267</v>
      </c>
      <c r="B22" s="76" t="s">
        <v>245</v>
      </c>
      <c r="C22" s="5" t="s">
        <v>211</v>
      </c>
      <c r="D22" s="63" t="s">
        <v>346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267</v>
      </c>
      <c r="B23" s="76" t="s">
        <v>246</v>
      </c>
      <c r="C23" s="5" t="s">
        <v>211</v>
      </c>
      <c r="D23" s="63" t="s">
        <v>346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267</v>
      </c>
      <c r="B24" s="77" t="s">
        <v>247</v>
      </c>
      <c r="C24" s="5" t="s">
        <v>211</v>
      </c>
      <c r="D24" s="63" t="s">
        <v>346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267</v>
      </c>
      <c r="B25" s="75" t="s">
        <v>243</v>
      </c>
      <c r="C25" s="5"/>
      <c r="D25" s="63" t="s">
        <v>349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267</v>
      </c>
      <c r="B26" s="76" t="s">
        <v>248</v>
      </c>
      <c r="C26" s="5" t="s">
        <v>211</v>
      </c>
      <c r="D26" s="63" t="s">
        <v>346</v>
      </c>
      <c r="E26" s="55"/>
      <c r="F26" s="88"/>
      <c r="G26" s="89"/>
      <c r="H26" s="90"/>
      <c r="I26" s="96"/>
      <c r="J26" s="97"/>
      <c r="K26" s="98"/>
      <c r="L26" s="104"/>
      <c r="M26" s="105"/>
      <c r="N26" s="106"/>
      <c r="O26" s="122"/>
      <c r="P26" s="123"/>
      <c r="Q26" s="124"/>
      <c r="R26" s="112"/>
      <c r="S26" s="113"/>
      <c r="T26" s="114"/>
    </row>
    <row r="27" spans="1:20">
      <c r="A27" s="71" t="s">
        <v>267</v>
      </c>
      <c r="B27" s="76" t="s">
        <v>249</v>
      </c>
      <c r="C27" s="5" t="s">
        <v>211</v>
      </c>
      <c r="D27" s="63" t="s">
        <v>346</v>
      </c>
      <c r="E27" s="55"/>
      <c r="F27" s="88"/>
      <c r="G27" s="89"/>
      <c r="H27" s="90"/>
      <c r="I27" s="96"/>
      <c r="J27" s="97"/>
      <c r="K27" s="98"/>
      <c r="L27" s="104"/>
      <c r="M27" s="105"/>
      <c r="N27" s="106"/>
      <c r="O27" s="122"/>
      <c r="P27" s="123"/>
      <c r="Q27" s="124"/>
      <c r="R27" s="112"/>
      <c r="S27" s="113"/>
      <c r="T27" s="114"/>
    </row>
    <row r="28" spans="1:20">
      <c r="A28" s="71" t="s">
        <v>267</v>
      </c>
      <c r="B28" s="76" t="s">
        <v>250</v>
      </c>
      <c r="C28" s="5" t="s">
        <v>211</v>
      </c>
      <c r="D28" s="63" t="s">
        <v>346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267</v>
      </c>
      <c r="B29" s="77" t="s">
        <v>251</v>
      </c>
      <c r="C29" s="5" t="s">
        <v>211</v>
      </c>
      <c r="D29" s="63" t="s">
        <v>346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267</v>
      </c>
      <c r="B30" s="75" t="s">
        <v>191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267</v>
      </c>
      <c r="B31" s="142" t="s">
        <v>252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267</v>
      </c>
      <c r="B32" s="76" t="s">
        <v>253</v>
      </c>
      <c r="C32" s="5" t="s">
        <v>211</v>
      </c>
      <c r="D32" s="63" t="s">
        <v>346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267</v>
      </c>
      <c r="B33" s="76" t="s">
        <v>254</v>
      </c>
      <c r="C33" s="5" t="s">
        <v>211</v>
      </c>
      <c r="D33" s="63" t="s">
        <v>346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267</v>
      </c>
      <c r="B34" s="77" t="s">
        <v>255</v>
      </c>
      <c r="C34" s="5" t="s">
        <v>211</v>
      </c>
      <c r="D34" s="63" t="s">
        <v>346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" thickBot="1">
      <c r="A35" s="71"/>
      <c r="B35" s="77" t="s">
        <v>240</v>
      </c>
      <c r="C35" s="5"/>
      <c r="D35" s="193"/>
      <c r="E35" s="55"/>
      <c r="F35" s="88"/>
      <c r="G35" s="89"/>
      <c r="H35" s="90"/>
      <c r="I35" s="96"/>
      <c r="J35" s="97"/>
      <c r="K35" s="98"/>
      <c r="L35" s="104"/>
      <c r="M35" s="105"/>
      <c r="N35" s="106"/>
      <c r="O35" s="122"/>
      <c r="P35" s="123">
        <v>5</v>
      </c>
      <c r="Q35" s="124">
        <v>15</v>
      </c>
      <c r="R35" s="112"/>
      <c r="S35" s="113">
        <v>10</v>
      </c>
      <c r="T35" s="114">
        <v>20</v>
      </c>
    </row>
    <row r="36" spans="1:21" ht="15.75" thickBot="1">
      <c r="A36" s="72" t="s">
        <v>267</v>
      </c>
      <c r="B36" s="78" t="s">
        <v>256</v>
      </c>
      <c r="C36" s="7" t="s">
        <v>211</v>
      </c>
      <c r="D36" s="64" t="s">
        <v>349</v>
      </c>
      <c r="E36" s="9"/>
      <c r="F36" s="88"/>
      <c r="G36" s="89"/>
      <c r="H36" s="90"/>
      <c r="I36" s="96"/>
      <c r="J36" s="97"/>
      <c r="K36" s="98"/>
      <c r="L36" s="104"/>
      <c r="M36" s="105"/>
      <c r="N36" s="106"/>
      <c r="O36" s="122">
        <v>20</v>
      </c>
      <c r="P36" s="123"/>
      <c r="Q36" s="124"/>
      <c r="R36" s="112"/>
      <c r="S36" s="113"/>
      <c r="T36" s="114"/>
    </row>
    <row r="37" spans="1:21">
      <c r="E37" s="71" t="s">
        <v>274</v>
      </c>
      <c r="F37" s="91">
        <f t="shared" ref="F37:T37" si="0">SUM(F$20:F$36)</f>
        <v>50</v>
      </c>
      <c r="G37" s="91">
        <f t="shared" si="0"/>
        <v>65</v>
      </c>
      <c r="H37" s="91">
        <f t="shared" si="0"/>
        <v>10</v>
      </c>
      <c r="I37" s="99">
        <f t="shared" si="0"/>
        <v>45</v>
      </c>
      <c r="J37" s="99">
        <f t="shared" si="0"/>
        <v>65</v>
      </c>
      <c r="K37" s="99">
        <f t="shared" si="0"/>
        <v>12</v>
      </c>
      <c r="L37" s="107">
        <f t="shared" si="0"/>
        <v>30</v>
      </c>
      <c r="M37" s="107">
        <f t="shared" si="0"/>
        <v>35</v>
      </c>
      <c r="N37" s="107">
        <f t="shared" si="0"/>
        <v>10</v>
      </c>
      <c r="O37" s="125">
        <f t="shared" si="0"/>
        <v>80</v>
      </c>
      <c r="P37" s="125">
        <f t="shared" si="0"/>
        <v>110</v>
      </c>
      <c r="Q37" s="125">
        <f t="shared" si="0"/>
        <v>35</v>
      </c>
      <c r="R37" s="115">
        <f t="shared" si="0"/>
        <v>0</v>
      </c>
      <c r="S37" s="115">
        <f t="shared" si="0"/>
        <v>10</v>
      </c>
      <c r="T37" s="117">
        <f t="shared" si="0"/>
        <v>20</v>
      </c>
    </row>
    <row r="38" spans="1:21">
      <c r="E38" s="71" t="s">
        <v>275</v>
      </c>
      <c r="F38" s="89">
        <v>261</v>
      </c>
      <c r="G38" s="89">
        <v>66</v>
      </c>
      <c r="H38" s="89">
        <v>36</v>
      </c>
      <c r="I38" s="97">
        <v>82</v>
      </c>
      <c r="J38" s="97">
        <v>49</v>
      </c>
      <c r="K38" s="97">
        <v>32</v>
      </c>
      <c r="L38" s="105">
        <v>90</v>
      </c>
      <c r="M38" s="105">
        <v>53</v>
      </c>
      <c r="N38" s="105">
        <v>31</v>
      </c>
      <c r="O38" s="123">
        <v>205</v>
      </c>
      <c r="P38" s="123">
        <v>68</v>
      </c>
      <c r="Q38" s="123">
        <v>58</v>
      </c>
      <c r="R38" s="113">
        <v>8</v>
      </c>
      <c r="S38" s="113">
        <v>19</v>
      </c>
      <c r="T38" s="114">
        <v>7</v>
      </c>
    </row>
    <row r="39" spans="1:21" ht="15.75" thickBot="1">
      <c r="E39" s="80" t="s">
        <v>123</v>
      </c>
      <c r="F39" s="92">
        <f>MAXA(F37-F38,0)</f>
        <v>0</v>
      </c>
      <c r="G39" s="92">
        <f t="shared" ref="G39:T39" si="1">MAXA(G37-G38,0)</f>
        <v>0</v>
      </c>
      <c r="H39" s="92">
        <f t="shared" si="1"/>
        <v>0</v>
      </c>
      <c r="I39" s="100">
        <f t="shared" si="1"/>
        <v>0</v>
      </c>
      <c r="J39" s="100">
        <f t="shared" si="1"/>
        <v>16</v>
      </c>
      <c r="K39" s="100">
        <f t="shared" si="1"/>
        <v>0</v>
      </c>
      <c r="L39" s="108">
        <f t="shared" si="1"/>
        <v>0</v>
      </c>
      <c r="M39" s="108">
        <f t="shared" si="1"/>
        <v>0</v>
      </c>
      <c r="N39" s="108">
        <f t="shared" si="1"/>
        <v>0</v>
      </c>
      <c r="O39" s="126">
        <f t="shared" si="1"/>
        <v>0</v>
      </c>
      <c r="P39" s="126">
        <f t="shared" si="1"/>
        <v>42</v>
      </c>
      <c r="Q39" s="126">
        <f t="shared" si="1"/>
        <v>0</v>
      </c>
      <c r="R39" s="116">
        <f t="shared" si="1"/>
        <v>0</v>
      </c>
      <c r="S39" s="116">
        <f t="shared" si="1"/>
        <v>0</v>
      </c>
      <c r="T39" s="118">
        <f t="shared" si="1"/>
        <v>13</v>
      </c>
    </row>
    <row r="40" spans="1:21">
      <c r="E40" s="73"/>
      <c r="F40" s="51"/>
      <c r="G40" s="197" t="s">
        <v>300</v>
      </c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8"/>
    </row>
    <row r="41" spans="1:21">
      <c r="E41" s="5">
        <v>9</v>
      </c>
      <c r="F41" s="6">
        <f>F$39/VLOOKUP(F$19,Tabela11[#All],6,FALSE)</f>
        <v>0</v>
      </c>
      <c r="G41" s="130">
        <f>G$39/VLOOKUP(G$19,Tabela11[#All],6,FALSE)</f>
        <v>0</v>
      </c>
      <c r="H41" s="130">
        <f>H$39/VLOOKUP(H$19,Tabela11[#All],6,FALSE)</f>
        <v>0</v>
      </c>
      <c r="I41" s="130">
        <f>I$39/VLOOKUP(I$19,Tabela11[#All],6,FALSE)</f>
        <v>0</v>
      </c>
      <c r="J41" s="130">
        <f>J$39/VLOOKUP(J$19,Tabela11[#All],6,FALSE)</f>
        <v>28.656716417910449</v>
      </c>
      <c r="K41" s="130">
        <f>K$39/VLOOKUP(K$19,Tabela11[#All],6,FALSE)</f>
        <v>0</v>
      </c>
      <c r="L41" s="130">
        <f>L$39/VLOOKUP(L$19,Tabela11[#All],6,FALSE)</f>
        <v>0</v>
      </c>
      <c r="M41" s="130">
        <f>M$39/VLOOKUP(M$19,Tabela11[#All],6,FALSE)</f>
        <v>0</v>
      </c>
      <c r="N41" s="130">
        <f>N$39/VLOOKUP(N$19,Tabela11[#All],6,FALSE)</f>
        <v>0</v>
      </c>
      <c r="O41" s="130">
        <f>O$39/VLOOKUP(O$19,Tabela11[#All],6,FALSE)</f>
        <v>0</v>
      </c>
      <c r="P41" s="130">
        <f>P$39/VLOOKUP(P$19,Tabela11[#All],6,FALSE)</f>
        <v>75.223880597014926</v>
      </c>
      <c r="Q41" s="130">
        <f>Q$39/VLOOKUP(Q$19,Tabela11[#All],6,FALSE)</f>
        <v>0</v>
      </c>
      <c r="R41" s="130">
        <f>R$39/VLOOKUP(R$19,Tabela11[#All],6,FALSE)</f>
        <v>0</v>
      </c>
      <c r="S41" s="130">
        <f>S$39/VLOOKUP(S$19,Tabela11[#All],6,FALSE)</f>
        <v>0</v>
      </c>
      <c r="T41" s="131">
        <f>T$39/VLOOKUP(T$19,Tabela11[#All],6,FALSE)</f>
        <v>48.75</v>
      </c>
    </row>
    <row r="42" spans="1:21">
      <c r="E42" s="5">
        <v>8</v>
      </c>
      <c r="F42" s="6">
        <f>F$39/VLOOKUP(F$19,Tabela11[#All],5,FALSE)</f>
        <v>0</v>
      </c>
      <c r="G42" s="130">
        <f>G$39/VLOOKUP(G$19,Tabela11[#All],5,FALSE)</f>
        <v>0</v>
      </c>
      <c r="H42" s="130">
        <f>H$39/VLOOKUP(H$19,Tabela11[#All],5,FALSE)</f>
        <v>0</v>
      </c>
      <c r="I42" s="130">
        <f>I$39/VLOOKUP(I$19,Tabela11[#All],5,FALSE)</f>
        <v>0</v>
      </c>
      <c r="J42" s="130">
        <f>J$39/VLOOKUP(J$19,Tabela11[#All],5,FALSE)</f>
        <v>73.142857142857139</v>
      </c>
      <c r="K42" s="130">
        <f>K$39/VLOOKUP(K$19,Tabela11[#All],5,FALSE)</f>
        <v>0</v>
      </c>
      <c r="L42" s="130">
        <f>L$39/VLOOKUP(L$19,Tabela11[#All],5,FALSE)</f>
        <v>0</v>
      </c>
      <c r="M42" s="130">
        <f>M$39/VLOOKUP(M$19,Tabela11[#All],5,FALSE)</f>
        <v>0</v>
      </c>
      <c r="N42" s="130">
        <f>N$39/VLOOKUP(N$19,Tabela11[#All],5,FALSE)</f>
        <v>0</v>
      </c>
      <c r="O42" s="130">
        <f>O$39/VLOOKUP(O$19,Tabela11[#All],5,FALSE)</f>
        <v>0</v>
      </c>
      <c r="P42" s="130">
        <f>P$39/VLOOKUP(P$19,Tabela11[#All],5,FALSE)</f>
        <v>192</v>
      </c>
      <c r="Q42" s="130">
        <f>Q$39/VLOOKUP(Q$19,Tabela11[#All],5,FALSE)</f>
        <v>0</v>
      </c>
      <c r="R42" s="130">
        <f>R$39/VLOOKUP(R$19,Tabela11[#All],5,FALSE)</f>
        <v>0</v>
      </c>
      <c r="S42" s="130">
        <f>S$39/VLOOKUP(S$19,Tabela11[#All],5,FALSE)</f>
        <v>0</v>
      </c>
      <c r="T42" s="131">
        <f>T$39/VLOOKUP(T$19,Tabela11[#All],5,FALSE)</f>
        <v>59.428571428571431</v>
      </c>
    </row>
    <row r="43" spans="1:21" ht="15" thickBot="1">
      <c r="E43" s="7">
        <v>7</v>
      </c>
      <c r="F43" s="8">
        <f>F$39/VLOOKUP(F$19,Tabela11[#All],4,FALSE)</f>
        <v>0</v>
      </c>
      <c r="G43" s="132">
        <f>G$39/VLOOKUP(G$19,Tabela11[#All],4,FALSE)</f>
        <v>0</v>
      </c>
      <c r="H43" s="132">
        <f>H$39/VLOOKUP(H$19,Tabela11[#All],4,FALSE)</f>
        <v>0</v>
      </c>
      <c r="I43" s="132">
        <f>I$39/VLOOKUP(I$19,Tabela11[#All],4,FALSE)</f>
        <v>0</v>
      </c>
      <c r="J43" s="132">
        <f>J$39/VLOOKUP(J$19,Tabela11[#All],4,FALSE)</f>
        <v>28.972972972972972</v>
      </c>
      <c r="K43" s="132">
        <f>K$39/VLOOKUP(K$19,Tabela11[#All],4,FALSE)</f>
        <v>0</v>
      </c>
      <c r="L43" s="132">
        <f>L$39/VLOOKUP(L$19,Tabela11[#All],4,FALSE)</f>
        <v>0</v>
      </c>
      <c r="M43" s="132">
        <f>M$39/VLOOKUP(M$19,Tabela11[#All],4,FALSE)</f>
        <v>0</v>
      </c>
      <c r="N43" s="132">
        <f>N$39/VLOOKUP(N$19,Tabela11[#All],4,FALSE)</f>
        <v>0</v>
      </c>
      <c r="O43" s="132">
        <f>O$39/VLOOKUP(O$19,Tabela11[#All],4,FALSE)</f>
        <v>0</v>
      </c>
      <c r="P43" s="132">
        <f>P$39/VLOOKUP(P$19,Tabela11[#All],4,FALSE)</f>
        <v>76.054054054054049</v>
      </c>
      <c r="Q43" s="132">
        <f>Q$39/VLOOKUP(Q$19,Tabela11[#All],4,FALSE)</f>
        <v>0</v>
      </c>
      <c r="R43" s="132">
        <f>R$39/VLOOKUP(R$19,Tabela11[#All],4,FALSE)</f>
        <v>0</v>
      </c>
      <c r="S43" s="132">
        <f>S$39/VLOOKUP(S$19,Tabela11[#All],4,FALSE)</f>
        <v>0</v>
      </c>
      <c r="T43" s="133">
        <f>T$39/VLOOKUP(T$19,Tabela11[#All],4,FALSE)</f>
        <v>96.777777777777771</v>
      </c>
    </row>
    <row r="44" spans="1:21" ht="15" thickBot="1"/>
    <row r="45" spans="1:21" ht="15.75" thickBot="1">
      <c r="E45" s="73"/>
      <c r="F45" s="51"/>
      <c r="G45" s="194" t="s">
        <v>299</v>
      </c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6"/>
      <c r="U45" s="134" t="s">
        <v>301</v>
      </c>
    </row>
    <row r="46" spans="1:21">
      <c r="E46" s="5">
        <v>9</v>
      </c>
      <c r="F46" s="6">
        <f>F$39/VLOOKUP(F$19,Tabela11[#All],6,FALSE)*(7-12*0.065)</f>
        <v>0</v>
      </c>
      <c r="G46" s="138">
        <f>G$39/VLOOKUP(G$19,Tabela11[#All],6,FALSE)*(7-12*0.065)</f>
        <v>0</v>
      </c>
      <c r="H46" s="138">
        <f>H$39/VLOOKUP(H$19,Tabela11[#All],6,FALSE)*(7-12*0.065)</f>
        <v>0</v>
      </c>
      <c r="I46" s="138">
        <f>I$39/VLOOKUP(I$19,Tabela11[#All],6,FALSE)*(7-12*0.065)</f>
        <v>0</v>
      </c>
      <c r="J46" s="138">
        <f>J$39/VLOOKUP(J$19,Tabela11[#All],6,FALSE)*(7-12*0.065)</f>
        <v>178.24477611940299</v>
      </c>
      <c r="K46" s="138">
        <f>K$39/VLOOKUP(K$19,Tabela11[#All],6,FALSE)*(7-12*0.065)</f>
        <v>0</v>
      </c>
      <c r="L46" s="138">
        <f>L$39/VLOOKUP(L$19,Tabela11[#All],6,FALSE)*(7-12*0.065)</f>
        <v>0</v>
      </c>
      <c r="M46" s="138">
        <f>M$39/VLOOKUP(M$19,Tabela11[#All],6,FALSE)*(7-12*0.065)</f>
        <v>0</v>
      </c>
      <c r="N46" s="138">
        <f>N$39/VLOOKUP(N$19,Tabela11[#All],6,FALSE)*(7-12*0.065)</f>
        <v>0</v>
      </c>
      <c r="O46" s="138">
        <f>O$39/VLOOKUP(O$19,Tabela11[#All],6,FALSE)*(7-12*0.065)</f>
        <v>0</v>
      </c>
      <c r="P46" s="138">
        <f>P$39/VLOOKUP(P$19,Tabela11[#All],6,FALSE)*(7-12*0.065)</f>
        <v>467.8925373134328</v>
      </c>
      <c r="Q46" s="138">
        <f>Q$39/VLOOKUP(Q$19,Tabela11[#All],6,FALSE)*(7-12*0.065)</f>
        <v>0</v>
      </c>
      <c r="R46" s="138">
        <f>R$39/VLOOKUP(R$19,Tabela11[#All],6,FALSE)*(7-12*0.065)</f>
        <v>0</v>
      </c>
      <c r="S46" s="138">
        <f>S$39/VLOOKUP(S$19,Tabela11[#All],6,FALSE)*(7-12*0.065)</f>
        <v>0</v>
      </c>
      <c r="T46" s="139">
        <f>T$39/VLOOKUP(T$19,Tabela11[#All],6,FALSE)*(7-12*0.065)</f>
        <v>303.22499999999997</v>
      </c>
      <c r="U46" s="135">
        <f>MAX(F46:H46)+MAX(I46:K46)+MAX(L46:N46)+MAX(O46:Q46)+MAX(R46:T46)</f>
        <v>949.36231343283566</v>
      </c>
    </row>
    <row r="47" spans="1:21">
      <c r="E47" s="5">
        <v>8</v>
      </c>
      <c r="F47" s="6">
        <f>F$39/VLOOKUP(F$19,Tabela11[#All],5,FALSE)*(7-12*0.065)</f>
        <v>0</v>
      </c>
      <c r="G47" s="138">
        <f>G$39/VLOOKUP(G$19,Tabela11[#All],5,FALSE)*(7-12*0.065)</f>
        <v>0</v>
      </c>
      <c r="H47" s="138">
        <f>H$39/VLOOKUP(H$19,Tabela11[#All],5,FALSE)*(7-12*0.065)</f>
        <v>0</v>
      </c>
      <c r="I47" s="138">
        <f>I$39/VLOOKUP(I$19,Tabela11[#All],5,FALSE)*(7-12*0.065)</f>
        <v>0</v>
      </c>
      <c r="J47" s="138">
        <f>J$39/VLOOKUP(J$19,Tabela11[#All],5,FALSE)*(7-12*0.065)</f>
        <v>454.94857142857137</v>
      </c>
      <c r="K47" s="138">
        <f>K$39/VLOOKUP(K$19,Tabela11[#All],5,FALSE)*(7-12*0.065)</f>
        <v>0</v>
      </c>
      <c r="L47" s="138">
        <f>L$39/VLOOKUP(L$19,Tabela11[#All],5,FALSE)*(7-12*0.065)</f>
        <v>0</v>
      </c>
      <c r="M47" s="138">
        <f>M$39/VLOOKUP(M$19,Tabela11[#All],5,FALSE)*(7-12*0.065)</f>
        <v>0</v>
      </c>
      <c r="N47" s="138">
        <f>N$39/VLOOKUP(N$19,Tabela11[#All],5,FALSE)*(7-12*0.065)</f>
        <v>0</v>
      </c>
      <c r="O47" s="138">
        <f>O$39/VLOOKUP(O$19,Tabela11[#All],5,FALSE)*(7-12*0.065)</f>
        <v>0</v>
      </c>
      <c r="P47" s="138">
        <f>P$39/VLOOKUP(P$19,Tabela11[#All],5,FALSE)*(7-12*0.065)</f>
        <v>1194.24</v>
      </c>
      <c r="Q47" s="138">
        <f>Q$39/VLOOKUP(Q$19,Tabela11[#All],5,FALSE)*(7-12*0.065)</f>
        <v>0</v>
      </c>
      <c r="R47" s="138">
        <f>R$39/VLOOKUP(R$19,Tabela11[#All],5,FALSE)*(7-12*0.065)</f>
        <v>0</v>
      </c>
      <c r="S47" s="138">
        <f>S$39/VLOOKUP(S$19,Tabela11[#All],5,FALSE)*(7-12*0.065)</f>
        <v>0</v>
      </c>
      <c r="T47" s="139">
        <f>T$39/VLOOKUP(T$19,Tabela11[#All],5,FALSE)*(7-12*0.065)</f>
        <v>369.64571428571429</v>
      </c>
      <c r="U47" s="136">
        <f>MAX(F47:H47)+MAX(I47:K47)+MAX(L47:N47)+MAX(O47:Q47)+MAX(R47:T47)</f>
        <v>2018.8342857142857</v>
      </c>
    </row>
    <row r="48" spans="1:21" ht="15" thickBot="1">
      <c r="E48" s="7">
        <v>7</v>
      </c>
      <c r="F48" s="8">
        <f>F$39/VLOOKUP(F$19,Tabela11[#All],4,FALSE)*(6-12*0.065)</f>
        <v>0</v>
      </c>
      <c r="G48" s="140">
        <f>G$39/VLOOKUP(G$19,Tabela11[#All],4,FALSE)*(6-12*0.065)</f>
        <v>0</v>
      </c>
      <c r="H48" s="140">
        <f>H$39/VLOOKUP(H$19,Tabela11[#All],4,FALSE)*(6-12*0.065)</f>
        <v>0</v>
      </c>
      <c r="I48" s="140">
        <f>I$39/VLOOKUP(I$19,Tabela11[#All],4,FALSE)*(6-12*0.065)</f>
        <v>0</v>
      </c>
      <c r="J48" s="140">
        <f>J$39/VLOOKUP(J$19,Tabela11[#All],4,FALSE)*(6-12*0.065)</f>
        <v>151.2389189189189</v>
      </c>
      <c r="K48" s="140">
        <f>K$39/VLOOKUP(K$19,Tabela11[#All],4,FALSE)*(6-12*0.065)</f>
        <v>0</v>
      </c>
      <c r="L48" s="140">
        <f>L$39/VLOOKUP(L$19,Tabela11[#All],4,FALSE)*(6-12*0.065)</f>
        <v>0</v>
      </c>
      <c r="M48" s="140">
        <f>M$39/VLOOKUP(M$19,Tabela11[#All],4,FALSE)*(6-12*0.065)</f>
        <v>0</v>
      </c>
      <c r="N48" s="140">
        <f>N$39/VLOOKUP(N$19,Tabela11[#All],4,FALSE)*(6-12*0.065)</f>
        <v>0</v>
      </c>
      <c r="O48" s="140">
        <f>O$39/VLOOKUP(O$19,Tabela11[#All],4,FALSE)*(6-12*0.065)</f>
        <v>0</v>
      </c>
      <c r="P48" s="140">
        <f>P$39/VLOOKUP(P$19,Tabela11[#All],4,FALSE)*(6-12*0.065)</f>
        <v>397.00216216216211</v>
      </c>
      <c r="Q48" s="140">
        <f>Q$39/VLOOKUP(Q$19,Tabela11[#All],4,FALSE)*(6-12*0.065)</f>
        <v>0</v>
      </c>
      <c r="R48" s="140">
        <f>R$39/VLOOKUP(R$19,Tabela11[#All],4,FALSE)*(6-12*0.065)</f>
        <v>0</v>
      </c>
      <c r="S48" s="140">
        <f>S$39/VLOOKUP(S$19,Tabela11[#All],4,FALSE)*(6-12*0.065)</f>
        <v>0</v>
      </c>
      <c r="T48" s="141">
        <f>T$39/VLOOKUP(T$19,Tabela11[#All],4,FALSE)*(6-12*0.065)</f>
        <v>505.17999999999995</v>
      </c>
      <c r="U48" s="137">
        <f>MAX(F48:H48)+MAX(I48:K48)+MAX(L48:N48)+MAX(O48:Q48)+MAX(R48:T48)</f>
        <v>1053.421081081081</v>
      </c>
    </row>
  </sheetData>
  <mergeCells count="9">
    <mergeCell ref="G45:T45"/>
    <mergeCell ref="G40:T40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183</v>
      </c>
      <c r="J1" s="79" t="s">
        <v>22</v>
      </c>
      <c r="K1" s="79" t="s">
        <v>56</v>
      </c>
      <c r="L1" s="79" t="s">
        <v>55</v>
      </c>
      <c r="M1" s="79" t="s">
        <v>187</v>
      </c>
      <c r="N1" s="79" t="s">
        <v>184</v>
      </c>
      <c r="O1" s="79" t="s">
        <v>189</v>
      </c>
      <c r="P1" s="79" t="s">
        <v>24</v>
      </c>
      <c r="Q1" s="79" t="s">
        <v>262</v>
      </c>
      <c r="R1" s="79" t="s">
        <v>276</v>
      </c>
      <c r="S1" s="79" t="s">
        <v>137</v>
      </c>
      <c r="T1" s="79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338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263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305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263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304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214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281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214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288</v>
      </c>
    </row>
    <row r="2" spans="1:23">
      <c r="R2" s="220" t="s">
        <v>292</v>
      </c>
      <c r="S2" s="220"/>
      <c r="T2" s="220"/>
      <c r="U2" s="220"/>
      <c r="V2" s="220"/>
      <c r="W2" s="220"/>
    </row>
    <row r="3" spans="1:23" ht="15" thickBot="1">
      <c r="B3" s="11" t="s">
        <v>69</v>
      </c>
      <c r="G3" s="11" t="s">
        <v>278</v>
      </c>
      <c r="H3" s="11" t="s">
        <v>149</v>
      </c>
      <c r="Q3" s="6" t="s">
        <v>33</v>
      </c>
      <c r="R3" s="127" t="s">
        <v>293</v>
      </c>
      <c r="S3" s="128" t="s">
        <v>294</v>
      </c>
      <c r="T3" s="128" t="s">
        <v>295</v>
      </c>
      <c r="U3" s="128" t="s">
        <v>296</v>
      </c>
      <c r="V3" s="128" t="s">
        <v>297</v>
      </c>
      <c r="W3" s="129" t="s">
        <v>298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290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289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311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279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180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146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214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281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74"/>
  <sheetViews>
    <sheetView topLeftCell="A21" zoomScale="85" zoomScaleNormal="85" workbookViewId="0">
      <selection activeCell="H45" sqref="H45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46" t="s">
        <v>119</v>
      </c>
      <c r="B1" s="147" t="s">
        <v>118</v>
      </c>
      <c r="C1" s="148" t="s">
        <v>319</v>
      </c>
      <c r="D1" s="148" t="s">
        <v>320</v>
      </c>
      <c r="E1" s="148" t="s">
        <v>321</v>
      </c>
      <c r="F1" s="147" t="s">
        <v>117</v>
      </c>
      <c r="G1" s="147" t="s">
        <v>116</v>
      </c>
      <c r="H1" s="147" t="s">
        <v>115</v>
      </c>
      <c r="I1" s="147" t="s">
        <v>114</v>
      </c>
      <c r="J1" s="147" t="s">
        <v>113</v>
      </c>
      <c r="K1" s="147" t="s">
        <v>112</v>
      </c>
      <c r="L1" s="147" t="s">
        <v>111</v>
      </c>
      <c r="M1" s="149" t="s">
        <v>110</v>
      </c>
      <c r="N1" s="147" t="s">
        <v>109</v>
      </c>
      <c r="O1" s="147" t="s">
        <v>108</v>
      </c>
      <c r="P1" s="147" t="s">
        <v>107</v>
      </c>
      <c r="Q1" s="147" t="s">
        <v>106</v>
      </c>
      <c r="R1" s="148" t="s">
        <v>322</v>
      </c>
      <c r="S1" s="147" t="s">
        <v>105</v>
      </c>
      <c r="T1" s="150" t="s">
        <v>104</v>
      </c>
      <c r="U1" s="149" t="s">
        <v>103</v>
      </c>
      <c r="V1" s="35"/>
      <c r="W1" s="35"/>
      <c r="X1" s="143" t="s">
        <v>316</v>
      </c>
      <c r="Y1" s="143" t="s">
        <v>313</v>
      </c>
      <c r="Z1" s="143" t="s">
        <v>314</v>
      </c>
      <c r="AA1" s="143" t="s">
        <v>315</v>
      </c>
      <c r="AB1" s="153" t="s">
        <v>362</v>
      </c>
      <c r="AC1" s="35"/>
      <c r="AD1" s="35"/>
      <c r="AE1" s="35" t="s">
        <v>5</v>
      </c>
      <c r="AF1" t="s">
        <v>102</v>
      </c>
      <c r="AG1" t="s">
        <v>101</v>
      </c>
      <c r="AH1" t="s">
        <v>84</v>
      </c>
      <c r="AJ1" s="143" t="s">
        <v>209</v>
      </c>
      <c r="AK1" s="143" t="s">
        <v>5</v>
      </c>
      <c r="AL1" t="s">
        <v>102</v>
      </c>
      <c r="AM1" t="s">
        <v>101</v>
      </c>
      <c r="AN1" t="s">
        <v>84</v>
      </c>
    </row>
    <row r="2" spans="1:40" ht="15" thickBot="1">
      <c r="A2" s="144" t="s">
        <v>100</v>
      </c>
      <c r="B2" s="21" t="s">
        <v>99</v>
      </c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 t="shared" ref="R2:R8" si="1">MINA(Q2+M2*$AN$2+0.12*E2+J2, 1)</f>
        <v>0.15</v>
      </c>
      <c r="S2" s="37">
        <f t="shared" ref="S2:S8" si="2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88</v>
      </c>
      <c r="Y2" s="18">
        <v>0.36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44" t="s">
        <v>98</v>
      </c>
      <c r="B3" s="21" t="s">
        <v>361</v>
      </c>
      <c r="C3" s="21"/>
      <c r="D3" s="21"/>
      <c r="E3" s="21"/>
      <c r="F3" s="20">
        <f>$F$2+H3+K3*$AF$2+C3*0.35</f>
        <v>2.0500000000000003</v>
      </c>
      <c r="G3" s="20">
        <f>$G$2+I3+L3*$AG$2+D3*0.4</f>
        <v>1.53</v>
      </c>
      <c r="H3" s="20">
        <f>16%+25%</f>
        <v>0.41000000000000003</v>
      </c>
      <c r="I3" s="20">
        <v>0.03</v>
      </c>
      <c r="J3" s="20">
        <v>0.23</v>
      </c>
      <c r="K3" s="22">
        <v>2</v>
      </c>
      <c r="L3" s="22"/>
      <c r="M3" s="22"/>
      <c r="N3" s="37">
        <f>N$2*$F3</f>
        <v>1508.8000000000002</v>
      </c>
      <c r="O3" s="37">
        <f t="shared" ref="O3:O28" si="3">O$2*$F3</f>
        <v>4305.0000000000009</v>
      </c>
      <c r="P3" s="37">
        <f t="shared" ref="P3" si="4">O3*G3</f>
        <v>6586.6500000000015</v>
      </c>
      <c r="Q3" s="20">
        <v>0.15</v>
      </c>
      <c r="R3" s="20">
        <f t="shared" ref="R3" si="5">MINA(Q3+M3*$AN$2+0.12*E3+J3, 1)</f>
        <v>0.38</v>
      </c>
      <c r="S3" s="37">
        <f t="shared" ref="S3" si="6">R3*P3+(1-R3)*O3</f>
        <v>5172.027000000001</v>
      </c>
      <c r="T3" s="151">
        <v>5172.027000000001</v>
      </c>
      <c r="U3" s="152">
        <f t="shared" ref="U3" si="7">S3/T3-1</f>
        <v>0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44" t="s">
        <v>98</v>
      </c>
      <c r="B4" s="21" t="s">
        <v>90</v>
      </c>
      <c r="C4" s="21"/>
      <c r="D4" s="21"/>
      <c r="E4" s="21"/>
      <c r="F4" s="20">
        <f>$F$2+H4+K4*$AF$2+C4*0.35</f>
        <v>2.37</v>
      </c>
      <c r="G4" s="20">
        <f>$G$2+I4+L4*$AG$2+D4*0.4</f>
        <v>1.53</v>
      </c>
      <c r="H4" s="20">
        <f>16%+25%</f>
        <v>0.41000000000000003</v>
      </c>
      <c r="I4" s="20">
        <v>0.03</v>
      </c>
      <c r="J4" s="20">
        <v>0.23</v>
      </c>
      <c r="K4" s="22">
        <v>3</v>
      </c>
      <c r="L4" s="22"/>
      <c r="M4" s="22"/>
      <c r="N4" s="37">
        <f>N$2*$F4</f>
        <v>1744.3200000000002</v>
      </c>
      <c r="O4" s="37">
        <f t="shared" si="3"/>
        <v>4977</v>
      </c>
      <c r="P4" s="37">
        <f t="shared" si="0"/>
        <v>7614.81</v>
      </c>
      <c r="Q4" s="20">
        <v>0.15</v>
      </c>
      <c r="R4" s="20">
        <f t="shared" si="1"/>
        <v>0.38</v>
      </c>
      <c r="S4" s="37">
        <f t="shared" si="2"/>
        <v>5979.3678</v>
      </c>
      <c r="T4" s="151">
        <v>5979.3678</v>
      </c>
      <c r="U4" s="152">
        <f t="shared" ref="U4:U17" si="8">S4/T4-1</f>
        <v>0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0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44" t="s">
        <v>98</v>
      </c>
      <c r="B5" s="21" t="s">
        <v>89</v>
      </c>
      <c r="C5" s="21"/>
      <c r="D5" s="21"/>
      <c r="E5" s="21"/>
      <c r="F5" s="20">
        <f>$F$2+H5+K5*$AF$2+IF(OR(A5 = "Fatal", A5 = "Fatal+Blade"), 0.35,0)</f>
        <v>2.0500000000000003</v>
      </c>
      <c r="G5" s="20">
        <f>$G$2+I5+L5*$AG$2+IF(OR(A5 = "Rage", A5 = "Rage+Blade"), 0.4, 0)</f>
        <v>1.95</v>
      </c>
      <c r="H5" s="20">
        <f>H4</f>
        <v>0.41000000000000003</v>
      </c>
      <c r="I5" s="20">
        <f t="shared" ref="I5:J6" si="9">I4</f>
        <v>0.03</v>
      </c>
      <c r="J5" s="20">
        <f>J4</f>
        <v>0.23</v>
      </c>
      <c r="K5" s="22">
        <v>2</v>
      </c>
      <c r="L5" s="22">
        <v>1</v>
      </c>
      <c r="M5" s="22"/>
      <c r="N5" s="37">
        <f t="shared" ref="N5:N28" si="10">N$2*$F5</f>
        <v>1508.8000000000002</v>
      </c>
      <c r="O5" s="37">
        <f t="shared" si="3"/>
        <v>4305.0000000000009</v>
      </c>
      <c r="P5" s="37">
        <f t="shared" si="0"/>
        <v>8394.7500000000018</v>
      </c>
      <c r="Q5" s="20">
        <f>Q4</f>
        <v>0.15</v>
      </c>
      <c r="R5" s="20">
        <f t="shared" si="1"/>
        <v>0.38</v>
      </c>
      <c r="S5" s="37">
        <f t="shared" si="2"/>
        <v>5859.1050000000014</v>
      </c>
      <c r="T5" s="151">
        <v>5859.1050000000014</v>
      </c>
      <c r="U5" s="152">
        <f t="shared" si="8"/>
        <v>0</v>
      </c>
      <c r="V5" s="18"/>
      <c r="W5" s="18"/>
      <c r="X5" s="145" t="s">
        <v>362</v>
      </c>
      <c r="Y5" s="145"/>
      <c r="Z5" s="145"/>
      <c r="AA5" s="145"/>
      <c r="AB5" s="50">
        <v>22</v>
      </c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44" t="s">
        <v>98</v>
      </c>
      <c r="B6" s="21" t="s">
        <v>85</v>
      </c>
      <c r="C6" s="21"/>
      <c r="D6" s="21"/>
      <c r="E6" s="21"/>
      <c r="F6" s="20">
        <f>$F$2+H6+K6*$AF$2+IF(OR(A6 = "Fatal", A6 = "Fatal+Blade"), 0.35,0)</f>
        <v>2.0500000000000003</v>
      </c>
      <c r="G6" s="20">
        <f>$G$2+I6+L6*$AG$2+IF(OR(A6 = "Rage", A6 = "Rage+Blade"), 0.4, 0)</f>
        <v>1.53</v>
      </c>
      <c r="H6" s="20">
        <f>H5</f>
        <v>0.41000000000000003</v>
      </c>
      <c r="I6" s="20">
        <f t="shared" si="9"/>
        <v>0.03</v>
      </c>
      <c r="J6" s="20">
        <f t="shared" si="9"/>
        <v>0.23</v>
      </c>
      <c r="K6" s="22">
        <v>2</v>
      </c>
      <c r="L6" s="22"/>
      <c r="M6" s="22">
        <v>1</v>
      </c>
      <c r="N6" s="37">
        <f t="shared" si="10"/>
        <v>1508.8000000000002</v>
      </c>
      <c r="O6" s="37">
        <f t="shared" si="3"/>
        <v>4305.0000000000009</v>
      </c>
      <c r="P6" s="37">
        <f t="shared" si="0"/>
        <v>6586.6500000000015</v>
      </c>
      <c r="Q6" s="20">
        <f>Q5</f>
        <v>0.15</v>
      </c>
      <c r="R6" s="20">
        <f t="shared" si="1"/>
        <v>0.69</v>
      </c>
      <c r="S6" s="37">
        <f t="shared" si="2"/>
        <v>5879.3385000000007</v>
      </c>
      <c r="T6" s="151">
        <v>5879.3385000000007</v>
      </c>
      <c r="U6" s="152">
        <f t="shared" si="8"/>
        <v>0</v>
      </c>
      <c r="V6" s="18"/>
      <c r="W6" s="18"/>
      <c r="X6" s="18"/>
      <c r="Y6" s="18"/>
      <c r="Z6" s="18"/>
      <c r="AA6" s="18"/>
      <c r="AB6" s="18"/>
      <c r="AC6" s="18"/>
      <c r="AD6" t="s">
        <v>209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44" t="s">
        <v>88</v>
      </c>
      <c r="B7" s="21" t="s">
        <v>90</v>
      </c>
      <c r="C7" s="21">
        <v>1</v>
      </c>
      <c r="D7" s="21"/>
      <c r="E7" s="21"/>
      <c r="F7" s="20">
        <f t="shared" ref="F7:F8" si="11">$F$2+H7+K7*$AF$2+IF(OR(A7 = "Fatal", A7 = "Fatal+Blade"), 0.35,0)</f>
        <v>2.72</v>
      </c>
      <c r="G7" s="20">
        <f t="shared" ref="G7:G8" si="12">$G$2+I7+L7*$AG$2+IF(OR(A7 = "Rage", A7 = "Rage+Blade"), 0.4, 0)</f>
        <v>1.53</v>
      </c>
      <c r="H7" s="20">
        <f t="shared" ref="H7:J8" si="13">H6</f>
        <v>0.41000000000000003</v>
      </c>
      <c r="I7" s="20">
        <f t="shared" si="13"/>
        <v>0.03</v>
      </c>
      <c r="J7" s="20">
        <f t="shared" si="13"/>
        <v>0.23</v>
      </c>
      <c r="K7" s="22">
        <v>3</v>
      </c>
      <c r="L7" s="22"/>
      <c r="M7" s="22"/>
      <c r="N7" s="37">
        <f t="shared" si="10"/>
        <v>2001.92</v>
      </c>
      <c r="O7" s="37">
        <f t="shared" si="3"/>
        <v>5712</v>
      </c>
      <c r="P7" s="37">
        <f t="shared" si="0"/>
        <v>8739.36</v>
      </c>
      <c r="Q7" s="20">
        <f>Q5</f>
        <v>0.15</v>
      </c>
      <c r="R7" s="20">
        <f t="shared" si="1"/>
        <v>0.38</v>
      </c>
      <c r="S7" s="37">
        <f t="shared" si="2"/>
        <v>6862.3968000000004</v>
      </c>
      <c r="T7" s="151">
        <v>6862.3968000000004</v>
      </c>
      <c r="U7" s="152">
        <f t="shared" si="8"/>
        <v>0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317</v>
      </c>
      <c r="AF7" s="1">
        <v>4</v>
      </c>
      <c r="AG7" s="1">
        <v>4</v>
      </c>
      <c r="AH7" s="1">
        <v>3</v>
      </c>
    </row>
    <row r="8" spans="1:40" ht="15" thickBot="1">
      <c r="A8" s="144" t="s">
        <v>87</v>
      </c>
      <c r="B8" s="21" t="s">
        <v>90</v>
      </c>
      <c r="C8" s="21"/>
      <c r="D8" s="21">
        <v>1</v>
      </c>
      <c r="E8" s="21"/>
      <c r="F8" s="20">
        <f t="shared" si="11"/>
        <v>2.37</v>
      </c>
      <c r="G8" s="20">
        <f t="shared" si="12"/>
        <v>1.9300000000000002</v>
      </c>
      <c r="H8" s="20">
        <f t="shared" si="13"/>
        <v>0.41000000000000003</v>
      </c>
      <c r="I8" s="20">
        <f t="shared" si="13"/>
        <v>0.03</v>
      </c>
      <c r="J8" s="20">
        <f t="shared" si="13"/>
        <v>0.23</v>
      </c>
      <c r="K8" s="22">
        <v>3</v>
      </c>
      <c r="L8" s="22"/>
      <c r="M8" s="22"/>
      <c r="N8" s="37">
        <f t="shared" si="10"/>
        <v>1744.3200000000002</v>
      </c>
      <c r="O8" s="37">
        <f t="shared" si="3"/>
        <v>4977</v>
      </c>
      <c r="P8" s="37">
        <f t="shared" si="0"/>
        <v>9605.61</v>
      </c>
      <c r="Q8" s="20">
        <f t="shared" ref="Q8:Q28" si="14">Q7</f>
        <v>0.15</v>
      </c>
      <c r="R8" s="20">
        <f t="shared" si="1"/>
        <v>0.38</v>
      </c>
      <c r="S8" s="37">
        <f t="shared" si="2"/>
        <v>6735.8717999999999</v>
      </c>
      <c r="T8" s="151">
        <v>6735.8717999999999</v>
      </c>
      <c r="U8" s="152">
        <f t="shared" si="8"/>
        <v>0</v>
      </c>
      <c r="V8" s="18"/>
      <c r="W8" s="18"/>
      <c r="X8" s="18"/>
      <c r="Y8" s="18"/>
      <c r="Z8" t="s">
        <v>97</v>
      </c>
      <c r="AD8" t="s">
        <v>26</v>
      </c>
      <c r="AE8" t="s">
        <v>318</v>
      </c>
      <c r="AF8" s="1">
        <v>2</v>
      </c>
      <c r="AG8" s="1">
        <v>2.25</v>
      </c>
      <c r="AH8" s="1">
        <v>2</v>
      </c>
    </row>
    <row r="9" spans="1:40" ht="15.75" thickBot="1">
      <c r="A9" s="144" t="s">
        <v>92</v>
      </c>
      <c r="B9" s="21" t="s">
        <v>90</v>
      </c>
      <c r="C9" s="21"/>
      <c r="D9" s="21"/>
      <c r="E9" s="21">
        <v>3</v>
      </c>
      <c r="F9" s="20">
        <f t="shared" ref="F9:F17" si="15">$F$2+H9+K9*$AF$2+IF(OR(A9 = "Fatal", A9 = "Fatal+Blade"), 0.35,0)</f>
        <v>2.37</v>
      </c>
      <c r="G9" s="20">
        <f t="shared" ref="G9:G17" si="16">$G$2+I9+L9*$AG$2+IF(OR(A9 = "Rage", A9 = "Rage+Blade"), 0.4, 0)</f>
        <v>1.53</v>
      </c>
      <c r="H9" s="20">
        <f t="shared" ref="H9:H18" si="17">H8</f>
        <v>0.41000000000000003</v>
      </c>
      <c r="I9" s="20">
        <f t="shared" ref="I9:I18" si="18">I8</f>
        <v>0.03</v>
      </c>
      <c r="J9" s="20">
        <f t="shared" ref="J9:J18" si="19">J8</f>
        <v>0.23</v>
      </c>
      <c r="K9" s="22">
        <v>3</v>
      </c>
      <c r="L9" s="22"/>
      <c r="M9" s="22"/>
      <c r="N9" s="37">
        <f t="shared" si="10"/>
        <v>1744.3200000000002</v>
      </c>
      <c r="O9" s="37">
        <f t="shared" si="3"/>
        <v>4977</v>
      </c>
      <c r="P9" s="37">
        <f t="shared" si="0"/>
        <v>7614.81</v>
      </c>
      <c r="Q9" s="20">
        <f t="shared" si="14"/>
        <v>0.15</v>
      </c>
      <c r="R9" s="20">
        <f t="shared" ref="R9:R17" si="20">MINA(Q9+M9*$AN$2+0.12*E9+J9, 1)</f>
        <v>0.74</v>
      </c>
      <c r="S9" s="37">
        <f t="shared" ref="S9:S17" si="21">R9*P9+(1-R9)*O9</f>
        <v>6928.9794000000002</v>
      </c>
      <c r="T9" s="151">
        <v>6928.9794000000002</v>
      </c>
      <c r="U9" s="152">
        <f t="shared" si="8"/>
        <v>0</v>
      </c>
      <c r="V9" s="18"/>
      <c r="W9" s="18"/>
      <c r="X9" s="18" t="s">
        <v>121</v>
      </c>
      <c r="Y9" s="34" t="s">
        <v>96</v>
      </c>
      <c r="Z9" s="33" t="s">
        <v>95</v>
      </c>
      <c r="AA9" s="32" t="s">
        <v>94</v>
      </c>
      <c r="AB9" s="31" t="s">
        <v>93</v>
      </c>
    </row>
    <row r="10" spans="1:40" ht="15" thickBot="1">
      <c r="A10" s="144" t="s">
        <v>91</v>
      </c>
      <c r="B10" s="21" t="s">
        <v>90</v>
      </c>
      <c r="C10" s="21">
        <v>1</v>
      </c>
      <c r="D10" s="21"/>
      <c r="E10" s="21">
        <v>1</v>
      </c>
      <c r="F10" s="20">
        <f t="shared" si="15"/>
        <v>2.72</v>
      </c>
      <c r="G10" s="20">
        <f t="shared" si="16"/>
        <v>1.53</v>
      </c>
      <c r="H10" s="20">
        <f t="shared" si="17"/>
        <v>0.41000000000000003</v>
      </c>
      <c r="I10" s="20">
        <f t="shared" si="18"/>
        <v>0.03</v>
      </c>
      <c r="J10" s="20">
        <f t="shared" si="19"/>
        <v>0.23</v>
      </c>
      <c r="K10" s="22">
        <v>3</v>
      </c>
      <c r="L10" s="22"/>
      <c r="M10" s="22"/>
      <c r="N10" s="37">
        <f t="shared" si="10"/>
        <v>2001.92</v>
      </c>
      <c r="O10" s="37">
        <f t="shared" si="3"/>
        <v>5712</v>
      </c>
      <c r="P10" s="37">
        <f t="shared" si="0"/>
        <v>8739.36</v>
      </c>
      <c r="Q10" s="20">
        <f t="shared" si="14"/>
        <v>0.15</v>
      </c>
      <c r="R10" s="20">
        <f t="shared" si="20"/>
        <v>0.5</v>
      </c>
      <c r="S10" s="37">
        <f t="shared" si="21"/>
        <v>7225.68</v>
      </c>
      <c r="T10" s="151">
        <v>7225.68</v>
      </c>
      <c r="U10" s="152">
        <f t="shared" si="8"/>
        <v>0</v>
      </c>
      <c r="V10" s="18"/>
      <c r="W10" s="18"/>
      <c r="X10" s="18" t="s">
        <v>122</v>
      </c>
      <c r="Y10" s="30">
        <v>0.15</v>
      </c>
      <c r="Z10" s="29">
        <v>0.1</v>
      </c>
      <c r="AA10" s="28">
        <v>0.12</v>
      </c>
      <c r="AB10" s="27">
        <v>0.2</v>
      </c>
      <c r="AD10" t="s">
        <v>27</v>
      </c>
      <c r="AE10" t="s">
        <v>317</v>
      </c>
      <c r="AF10">
        <v>5</v>
      </c>
      <c r="AG10">
        <v>6</v>
      </c>
      <c r="AH10">
        <v>4</v>
      </c>
    </row>
    <row r="11" spans="1:40" ht="15" thickBot="1">
      <c r="A11" s="144" t="s">
        <v>120</v>
      </c>
      <c r="B11" s="21" t="s">
        <v>90</v>
      </c>
      <c r="C11" s="21"/>
      <c r="D11" s="21">
        <v>1</v>
      </c>
      <c r="E11" s="21">
        <v>1</v>
      </c>
      <c r="F11" s="20">
        <f t="shared" si="15"/>
        <v>2.37</v>
      </c>
      <c r="G11" s="20">
        <f t="shared" si="16"/>
        <v>1.9300000000000002</v>
      </c>
      <c r="H11" s="20">
        <f t="shared" si="17"/>
        <v>0.41000000000000003</v>
      </c>
      <c r="I11" s="20">
        <f t="shared" si="18"/>
        <v>0.03</v>
      </c>
      <c r="J11" s="20">
        <f t="shared" si="19"/>
        <v>0.23</v>
      </c>
      <c r="K11" s="22">
        <v>3</v>
      </c>
      <c r="L11" s="22"/>
      <c r="M11" s="22"/>
      <c r="N11" s="37">
        <f t="shared" si="10"/>
        <v>1744.3200000000002</v>
      </c>
      <c r="O11" s="37">
        <f t="shared" si="3"/>
        <v>4977</v>
      </c>
      <c r="P11" s="37">
        <f t="shared" si="0"/>
        <v>9605.61</v>
      </c>
      <c r="Q11" s="20">
        <f t="shared" si="14"/>
        <v>0.15</v>
      </c>
      <c r="R11" s="20">
        <f t="shared" si="20"/>
        <v>0.5</v>
      </c>
      <c r="S11" s="37">
        <f t="shared" si="21"/>
        <v>7291.3050000000003</v>
      </c>
      <c r="T11" s="151">
        <v>7291.3050000000003</v>
      </c>
      <c r="U11" s="152">
        <f t="shared" si="8"/>
        <v>0</v>
      </c>
      <c r="V11" s="18"/>
      <c r="W11" s="18"/>
      <c r="X11" s="18" t="s">
        <v>122</v>
      </c>
      <c r="Y11" s="30">
        <v>0.3</v>
      </c>
      <c r="Z11" s="29">
        <v>0.1</v>
      </c>
      <c r="AA11" s="28">
        <v>0.12</v>
      </c>
      <c r="AB11" s="27">
        <v>0.15</v>
      </c>
      <c r="AD11" t="s">
        <v>27</v>
      </c>
      <c r="AE11" t="s">
        <v>318</v>
      </c>
      <c r="AF11">
        <v>2.25</v>
      </c>
      <c r="AG11">
        <v>3</v>
      </c>
      <c r="AH11">
        <v>2.25</v>
      </c>
    </row>
    <row r="12" spans="1:40" ht="15" thickBot="1">
      <c r="A12" s="144" t="s">
        <v>92</v>
      </c>
      <c r="B12" s="21" t="s">
        <v>90</v>
      </c>
      <c r="C12" s="21"/>
      <c r="D12" s="21"/>
      <c r="E12" s="21">
        <v>3</v>
      </c>
      <c r="F12" s="20">
        <f t="shared" si="15"/>
        <v>2.0500000000000003</v>
      </c>
      <c r="G12" s="20">
        <f t="shared" si="16"/>
        <v>1.95</v>
      </c>
      <c r="H12" s="20">
        <f t="shared" si="17"/>
        <v>0.41000000000000003</v>
      </c>
      <c r="I12" s="20">
        <f t="shared" si="18"/>
        <v>0.03</v>
      </c>
      <c r="J12" s="20">
        <f t="shared" si="19"/>
        <v>0.23</v>
      </c>
      <c r="K12" s="22">
        <v>2</v>
      </c>
      <c r="L12" s="22">
        <v>1</v>
      </c>
      <c r="M12" s="22"/>
      <c r="N12" s="37">
        <f t="shared" si="10"/>
        <v>1508.8000000000002</v>
      </c>
      <c r="O12" s="37">
        <f t="shared" si="3"/>
        <v>4305.0000000000009</v>
      </c>
      <c r="P12" s="37">
        <f t="shared" si="0"/>
        <v>8394.7500000000018</v>
      </c>
      <c r="Q12" s="20">
        <f t="shared" si="14"/>
        <v>0.15</v>
      </c>
      <c r="R12" s="20">
        <f t="shared" si="20"/>
        <v>0.74</v>
      </c>
      <c r="S12" s="37">
        <f t="shared" si="21"/>
        <v>7331.4150000000018</v>
      </c>
      <c r="T12" s="151">
        <v>7331.4150000000018</v>
      </c>
      <c r="U12" s="152">
        <f t="shared" si="8"/>
        <v>0</v>
      </c>
      <c r="V12" s="18"/>
      <c r="W12" s="18"/>
      <c r="X12" s="18" t="s">
        <v>122</v>
      </c>
      <c r="Y12" s="30">
        <v>0.5</v>
      </c>
      <c r="Z12" s="29">
        <v>0.1</v>
      </c>
      <c r="AA12" s="28">
        <v>0.12</v>
      </c>
      <c r="AB12" s="27">
        <v>0.11</v>
      </c>
    </row>
    <row r="13" spans="1:40" ht="15" thickBot="1">
      <c r="A13" s="144" t="s">
        <v>385</v>
      </c>
      <c r="B13" s="21" t="s">
        <v>90</v>
      </c>
      <c r="C13" s="21">
        <v>1</v>
      </c>
      <c r="D13" s="21"/>
      <c r="E13" s="21">
        <v>1</v>
      </c>
      <c r="F13" s="20">
        <f t="shared" si="15"/>
        <v>2.0500000000000003</v>
      </c>
      <c r="G13" s="20">
        <f t="shared" si="16"/>
        <v>1.95</v>
      </c>
      <c r="H13" s="20">
        <f t="shared" si="17"/>
        <v>0.41000000000000003</v>
      </c>
      <c r="I13" s="20">
        <f t="shared" si="18"/>
        <v>0.03</v>
      </c>
      <c r="J13" s="20">
        <f t="shared" si="19"/>
        <v>0.23</v>
      </c>
      <c r="K13" s="22">
        <v>2</v>
      </c>
      <c r="L13" s="22">
        <v>1</v>
      </c>
      <c r="M13" s="22"/>
      <c r="N13" s="37">
        <f t="shared" si="10"/>
        <v>1508.8000000000002</v>
      </c>
      <c r="O13" s="37">
        <f t="shared" si="3"/>
        <v>4305.0000000000009</v>
      </c>
      <c r="P13" s="37">
        <f t="shared" si="0"/>
        <v>8394.7500000000018</v>
      </c>
      <c r="Q13" s="20">
        <f t="shared" si="14"/>
        <v>0.15</v>
      </c>
      <c r="R13" s="20">
        <f t="shared" si="20"/>
        <v>0.5</v>
      </c>
      <c r="S13" s="37">
        <f t="shared" si="21"/>
        <v>6349.8750000000018</v>
      </c>
      <c r="T13" s="151">
        <v>7434.0000000000018</v>
      </c>
      <c r="U13" s="152">
        <f t="shared" si="8"/>
        <v>-0.14583333333333326</v>
      </c>
      <c r="V13" s="18"/>
      <c r="W13" s="18"/>
      <c r="X13" s="18"/>
      <c r="Y13" s="30"/>
      <c r="Z13" s="29"/>
      <c r="AA13" s="28"/>
      <c r="AB13" s="27"/>
      <c r="AD13" t="s">
        <v>28</v>
      </c>
      <c r="AE13" t="s">
        <v>317</v>
      </c>
      <c r="AF13">
        <v>8</v>
      </c>
      <c r="AG13">
        <v>8</v>
      </c>
      <c r="AH13">
        <v>5</v>
      </c>
    </row>
    <row r="14" spans="1:40" ht="15" thickBot="1">
      <c r="A14" s="144" t="s">
        <v>120</v>
      </c>
      <c r="B14" s="21" t="s">
        <v>90</v>
      </c>
      <c r="C14" s="21"/>
      <c r="D14" s="21">
        <v>1</v>
      </c>
      <c r="E14" s="21">
        <v>1</v>
      </c>
      <c r="F14" s="20">
        <f t="shared" si="15"/>
        <v>2.0500000000000003</v>
      </c>
      <c r="G14" s="20">
        <f t="shared" si="16"/>
        <v>2.35</v>
      </c>
      <c r="H14" s="20">
        <f t="shared" si="17"/>
        <v>0.41000000000000003</v>
      </c>
      <c r="I14" s="20">
        <f t="shared" si="18"/>
        <v>0.03</v>
      </c>
      <c r="J14" s="20">
        <f t="shared" si="19"/>
        <v>0.23</v>
      </c>
      <c r="K14" s="22">
        <v>2</v>
      </c>
      <c r="L14" s="22">
        <v>1</v>
      </c>
      <c r="M14" s="22"/>
      <c r="N14" s="37">
        <f t="shared" si="10"/>
        <v>1508.8000000000002</v>
      </c>
      <c r="O14" s="37">
        <f t="shared" si="3"/>
        <v>4305.0000000000009</v>
      </c>
      <c r="P14" s="37">
        <f t="shared" si="0"/>
        <v>10116.750000000002</v>
      </c>
      <c r="Q14" s="20">
        <f t="shared" si="14"/>
        <v>0.15</v>
      </c>
      <c r="R14" s="20">
        <f t="shared" si="20"/>
        <v>0.5</v>
      </c>
      <c r="S14" s="37">
        <f t="shared" si="21"/>
        <v>7210.8750000000018</v>
      </c>
      <c r="T14" s="151">
        <v>7210.8750000000018</v>
      </c>
      <c r="U14" s="152">
        <f t="shared" si="8"/>
        <v>0</v>
      </c>
      <c r="V14" s="18"/>
      <c r="W14" s="18"/>
      <c r="X14" s="18"/>
      <c r="Y14" s="30"/>
      <c r="Z14" s="29"/>
      <c r="AA14" s="28"/>
      <c r="AB14" s="27"/>
      <c r="AD14" t="s">
        <v>28</v>
      </c>
      <c r="AE14" t="s">
        <v>318</v>
      </c>
      <c r="AF14">
        <v>2.25</v>
      </c>
      <c r="AG14">
        <v>3.33</v>
      </c>
      <c r="AH14">
        <v>2.5</v>
      </c>
    </row>
    <row r="15" spans="1:40" ht="15" thickBot="1">
      <c r="A15" s="144" t="s">
        <v>92</v>
      </c>
      <c r="B15" s="21" t="s">
        <v>90</v>
      </c>
      <c r="C15" s="21"/>
      <c r="D15" s="21"/>
      <c r="E15" s="21">
        <v>3</v>
      </c>
      <c r="F15" s="20">
        <f t="shared" si="15"/>
        <v>2.0500000000000003</v>
      </c>
      <c r="G15" s="20">
        <f t="shared" si="16"/>
        <v>1.53</v>
      </c>
      <c r="H15" s="20">
        <f t="shared" si="17"/>
        <v>0.41000000000000003</v>
      </c>
      <c r="I15" s="20">
        <f t="shared" si="18"/>
        <v>0.03</v>
      </c>
      <c r="J15" s="20">
        <f t="shared" si="19"/>
        <v>0.23</v>
      </c>
      <c r="K15" s="22">
        <v>2</v>
      </c>
      <c r="L15" s="22"/>
      <c r="M15" s="22">
        <v>1</v>
      </c>
      <c r="N15" s="37">
        <f t="shared" si="10"/>
        <v>1508.8000000000002</v>
      </c>
      <c r="O15" s="37">
        <f t="shared" si="3"/>
        <v>4305.0000000000009</v>
      </c>
      <c r="P15" s="37">
        <f t="shared" si="0"/>
        <v>6586.6500000000015</v>
      </c>
      <c r="Q15" s="20">
        <f t="shared" si="14"/>
        <v>0.15</v>
      </c>
      <c r="R15" s="20">
        <f t="shared" si="20"/>
        <v>1</v>
      </c>
      <c r="S15" s="37">
        <f t="shared" si="21"/>
        <v>6586.6500000000015</v>
      </c>
      <c r="T15" s="151">
        <v>6586.6500000000015</v>
      </c>
      <c r="U15" s="152">
        <f t="shared" si="8"/>
        <v>0</v>
      </c>
      <c r="V15" s="18"/>
      <c r="W15" s="18"/>
      <c r="X15" s="18"/>
      <c r="Y15" s="30"/>
      <c r="Z15" s="29"/>
      <c r="AA15" s="28"/>
      <c r="AB15" s="27"/>
    </row>
    <row r="16" spans="1:40" ht="15" thickBot="1">
      <c r="A16" s="144" t="s">
        <v>91</v>
      </c>
      <c r="B16" s="21" t="s">
        <v>90</v>
      </c>
      <c r="C16" s="21">
        <v>1</v>
      </c>
      <c r="D16" s="21"/>
      <c r="E16" s="21">
        <v>1</v>
      </c>
      <c r="F16" s="20">
        <f t="shared" si="15"/>
        <v>2.4000000000000004</v>
      </c>
      <c r="G16" s="20">
        <f t="shared" si="16"/>
        <v>1.53</v>
      </c>
      <c r="H16" s="20">
        <f t="shared" si="17"/>
        <v>0.41000000000000003</v>
      </c>
      <c r="I16" s="20">
        <f t="shared" si="18"/>
        <v>0.03</v>
      </c>
      <c r="J16" s="20">
        <f t="shared" si="19"/>
        <v>0.23</v>
      </c>
      <c r="K16" s="22">
        <v>2</v>
      </c>
      <c r="L16" s="22"/>
      <c r="M16" s="22">
        <v>1</v>
      </c>
      <c r="N16" s="37">
        <f t="shared" si="10"/>
        <v>1766.4000000000003</v>
      </c>
      <c r="O16" s="37">
        <f t="shared" si="3"/>
        <v>5040.0000000000009</v>
      </c>
      <c r="P16" s="37">
        <f t="shared" si="0"/>
        <v>7711.2000000000016</v>
      </c>
      <c r="Q16" s="20">
        <f t="shared" si="14"/>
        <v>0.15</v>
      </c>
      <c r="R16" s="20">
        <f t="shared" si="20"/>
        <v>0.80999999999999994</v>
      </c>
      <c r="S16" s="37">
        <f t="shared" si="21"/>
        <v>7203.6720000000014</v>
      </c>
      <c r="T16" s="151">
        <v>7203.6720000000014</v>
      </c>
      <c r="U16" s="152">
        <f t="shared" si="8"/>
        <v>0</v>
      </c>
      <c r="V16" s="18"/>
      <c r="W16" s="18"/>
      <c r="X16" s="18"/>
      <c r="Y16" s="30"/>
      <c r="Z16" s="29"/>
      <c r="AA16" s="28"/>
      <c r="AB16" s="27"/>
      <c r="AD16" t="s">
        <v>29</v>
      </c>
      <c r="AE16" t="s">
        <v>317</v>
      </c>
      <c r="AF16">
        <v>11</v>
      </c>
      <c r="AG16">
        <v>11</v>
      </c>
      <c r="AH16">
        <v>7</v>
      </c>
    </row>
    <row r="17" spans="1:34" ht="15" thickBot="1">
      <c r="A17" s="144" t="s">
        <v>120</v>
      </c>
      <c r="B17" s="21" t="s">
        <v>90</v>
      </c>
      <c r="C17" s="21"/>
      <c r="D17" s="21">
        <v>1</v>
      </c>
      <c r="E17" s="21">
        <v>1</v>
      </c>
      <c r="F17" s="20">
        <f t="shared" si="15"/>
        <v>2.0500000000000003</v>
      </c>
      <c r="G17" s="20">
        <f t="shared" si="16"/>
        <v>1.9300000000000002</v>
      </c>
      <c r="H17" s="20">
        <f t="shared" si="17"/>
        <v>0.41000000000000003</v>
      </c>
      <c r="I17" s="20">
        <f t="shared" si="18"/>
        <v>0.03</v>
      </c>
      <c r="J17" s="20">
        <f t="shared" si="19"/>
        <v>0.23</v>
      </c>
      <c r="K17" s="22">
        <v>2</v>
      </c>
      <c r="L17" s="22"/>
      <c r="M17" s="22">
        <v>1</v>
      </c>
      <c r="N17" s="37">
        <f t="shared" si="10"/>
        <v>1508.8000000000002</v>
      </c>
      <c r="O17" s="37">
        <f t="shared" si="3"/>
        <v>4305.0000000000009</v>
      </c>
      <c r="P17" s="37">
        <f t="shared" si="0"/>
        <v>8308.6500000000033</v>
      </c>
      <c r="Q17" s="20">
        <f t="shared" si="14"/>
        <v>0.15</v>
      </c>
      <c r="R17" s="20">
        <f t="shared" si="20"/>
        <v>0.80999999999999994</v>
      </c>
      <c r="S17" s="37">
        <f t="shared" si="21"/>
        <v>7547.956500000003</v>
      </c>
      <c r="T17" s="151">
        <v>7547.956500000003</v>
      </c>
      <c r="U17" s="152">
        <f t="shared" si="8"/>
        <v>0</v>
      </c>
      <c r="V17" s="18"/>
      <c r="W17" s="18"/>
      <c r="X17" s="18"/>
      <c r="Y17" s="26"/>
      <c r="Z17" s="25"/>
      <c r="AA17" s="24"/>
      <c r="AB17" s="23"/>
      <c r="AC17" s="18"/>
      <c r="AD17" t="s">
        <v>29</v>
      </c>
      <c r="AE17" t="s">
        <v>318</v>
      </c>
      <c r="AF17">
        <v>3</v>
      </c>
      <c r="AG17">
        <v>4</v>
      </c>
      <c r="AH17">
        <v>3</v>
      </c>
    </row>
    <row r="18" spans="1:34" ht="15" thickBot="1">
      <c r="A18" s="144" t="s">
        <v>120</v>
      </c>
      <c r="B18" s="21" t="s">
        <v>90</v>
      </c>
      <c r="C18" s="21"/>
      <c r="D18" s="21">
        <v>1</v>
      </c>
      <c r="E18" s="21"/>
      <c r="F18" s="20">
        <f t="shared" ref="F18" si="22">$F$2+H18+K18*$AF$2+IF(OR(A18 = "Fatal", A18 = "Fatal+Blade"), 0.35,0)</f>
        <v>1.7300000000000002</v>
      </c>
      <c r="G18" s="20">
        <f t="shared" ref="G18" si="23">$G$2+I18+L18*$AG$2+IF(OR(A18 = "Rage", A18 = "Rage+Blade"), 0.4, 0)</f>
        <v>1.9300000000000002</v>
      </c>
      <c r="H18" s="20">
        <f t="shared" si="17"/>
        <v>0.41000000000000003</v>
      </c>
      <c r="I18" s="20">
        <f t="shared" si="18"/>
        <v>0.03</v>
      </c>
      <c r="J18" s="20">
        <f t="shared" si="19"/>
        <v>0.23</v>
      </c>
      <c r="K18" s="22">
        <v>1</v>
      </c>
      <c r="L18" s="22"/>
      <c r="M18" s="22">
        <v>1</v>
      </c>
      <c r="N18" s="37">
        <f t="shared" si="10"/>
        <v>1273.2800000000002</v>
      </c>
      <c r="O18" s="37">
        <f t="shared" si="3"/>
        <v>3633.0000000000005</v>
      </c>
      <c r="P18" s="37">
        <f t="shared" ref="P18" si="24">O18*G18</f>
        <v>7011.6900000000014</v>
      </c>
      <c r="Q18" s="20">
        <f t="shared" si="14"/>
        <v>0.15</v>
      </c>
      <c r="R18" s="20">
        <f t="shared" ref="R18" si="25">MINA(Q18+M18*$AN$2+0.12*E18+J18, 1)</f>
        <v>0.69</v>
      </c>
      <c r="S18" s="37">
        <f t="shared" ref="S18" si="26">R18*P18+(1-R18)*O18</f>
        <v>5964.2961000000014</v>
      </c>
      <c r="T18" s="151">
        <v>7547.956500000003</v>
      </c>
      <c r="U18" s="152">
        <f t="shared" ref="U18" si="27">S18/T18-1</f>
        <v>-0.20981313286582948</v>
      </c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44" t="s">
        <v>91</v>
      </c>
      <c r="B19" s="21"/>
      <c r="C19" s="21">
        <v>1</v>
      </c>
      <c r="D19" s="21"/>
      <c r="E19" s="21">
        <v>1</v>
      </c>
      <c r="F19" s="20">
        <f t="shared" ref="F19" si="28">$F$2+H19+K19*$AF$2+IF(OR(A19 = "Fatal", A19 = "Fatal+Blade"), 0.35,0)</f>
        <v>2.8000000000000003</v>
      </c>
      <c r="G19" s="20">
        <f t="shared" ref="G19" si="29">$G$2+I19+L19*$AG$2+IF(OR(A19 = "Rage", A19 = "Rage+Blade"), 0.4, 0)</f>
        <v>1.63</v>
      </c>
      <c r="H19" s="20">
        <v>0.49</v>
      </c>
      <c r="I19" s="20">
        <v>0.13</v>
      </c>
      <c r="J19" s="20">
        <v>0.13</v>
      </c>
      <c r="K19" s="22">
        <v>3</v>
      </c>
      <c r="L19" s="22"/>
      <c r="M19" s="22"/>
      <c r="N19" s="37">
        <f t="shared" si="10"/>
        <v>2060.8000000000002</v>
      </c>
      <c r="O19" s="37">
        <f t="shared" si="3"/>
        <v>5880.0000000000009</v>
      </c>
      <c r="P19" s="37">
        <f t="shared" ref="P19" si="30">O19*G19</f>
        <v>9584.4000000000015</v>
      </c>
      <c r="Q19" s="20">
        <f t="shared" si="14"/>
        <v>0.15</v>
      </c>
      <c r="R19" s="20">
        <f t="shared" ref="R19" si="31">MINA(Q19+M19*$AN$2+0.12*E19+J19, 1)</f>
        <v>0.4</v>
      </c>
      <c r="S19" s="37">
        <f t="shared" ref="S19" si="32">R19*P19+(1-R19)*O19</f>
        <v>7361.7600000000011</v>
      </c>
      <c r="T19" s="151">
        <v>7547.956500000003</v>
      </c>
      <c r="U19" s="152">
        <f t="shared" ref="U19" si="33">S19/T19-1</f>
        <v>-2.4668464901725584E-2</v>
      </c>
      <c r="V19" s="18"/>
      <c r="W19" s="221" t="s">
        <v>334</v>
      </c>
      <c r="X19" s="221"/>
      <c r="Y19" s="221"/>
      <c r="Z19" s="221"/>
      <c r="AA19" s="221"/>
      <c r="AB19" s="221"/>
      <c r="AC19" s="221"/>
      <c r="AD19" s="221"/>
      <c r="AE19" s="221"/>
      <c r="AF19" s="221"/>
    </row>
    <row r="20" spans="1:34" ht="15" thickBot="1">
      <c r="A20" s="144" t="s">
        <v>91</v>
      </c>
      <c r="B20" s="21"/>
      <c r="C20" s="21">
        <v>1</v>
      </c>
      <c r="D20" s="21"/>
      <c r="E20" s="21">
        <v>1</v>
      </c>
      <c r="F20" s="20">
        <f t="shared" ref="F20" si="34">$F$2+H20+K20*$AF$2+IF(OR(A20 = "Fatal", A20 = "Fatal+Blade"), 0.35,0)</f>
        <v>2.8000000000000003</v>
      </c>
      <c r="G20" s="20">
        <f t="shared" ref="G20" si="35">$G$2+I20+L20*$AG$2+IF(OR(A20 = "Rage", A20 = "Rage+Blade"), 0.4, 0)</f>
        <v>1.63</v>
      </c>
      <c r="H20" s="20">
        <v>0.49</v>
      </c>
      <c r="I20" s="20">
        <v>0.13</v>
      </c>
      <c r="J20" s="20">
        <v>0.3</v>
      </c>
      <c r="K20" s="22">
        <v>3</v>
      </c>
      <c r="L20" s="22"/>
      <c r="M20" s="22"/>
      <c r="N20" s="37">
        <f t="shared" si="10"/>
        <v>2060.8000000000002</v>
      </c>
      <c r="O20" s="37">
        <f t="shared" si="3"/>
        <v>5880.0000000000009</v>
      </c>
      <c r="P20" s="37">
        <f t="shared" ref="P20" si="36">O20*G20</f>
        <v>9584.4000000000015</v>
      </c>
      <c r="Q20" s="20">
        <f t="shared" si="14"/>
        <v>0.15</v>
      </c>
      <c r="R20" s="20">
        <f t="shared" ref="R20" si="37">MINA(Q20+M20*$AN$2+0.12*E20+J20, 1)</f>
        <v>0.57000000000000006</v>
      </c>
      <c r="S20" s="37">
        <f t="shared" ref="S20" si="38">R20*P20+(1-R20)*O20</f>
        <v>7991.5080000000016</v>
      </c>
      <c r="T20" s="151">
        <v>7547.956500000003</v>
      </c>
      <c r="U20" s="152">
        <f t="shared" ref="U20" si="39">S20/T20-1</f>
        <v>5.8764448364269084E-2</v>
      </c>
      <c r="V20" s="18"/>
      <c r="W20" s="18" t="s">
        <v>84</v>
      </c>
      <c r="X20" s="18" t="s">
        <v>83</v>
      </c>
      <c r="Y20" s="18" t="s">
        <v>82</v>
      </c>
      <c r="Z20" s="18" t="s">
        <v>327</v>
      </c>
      <c r="AA20" s="18" t="s">
        <v>328</v>
      </c>
      <c r="AB20" s="18" t="s">
        <v>329</v>
      </c>
      <c r="AC20" s="18" t="s">
        <v>330</v>
      </c>
      <c r="AD20" s="18" t="s">
        <v>331</v>
      </c>
      <c r="AE20" s="18" t="s">
        <v>332</v>
      </c>
      <c r="AF20" t="s">
        <v>333</v>
      </c>
    </row>
    <row r="21" spans="1:34" ht="15" thickBot="1">
      <c r="A21" s="144" t="s">
        <v>91</v>
      </c>
      <c r="B21" s="21"/>
      <c r="C21" s="21">
        <v>1</v>
      </c>
      <c r="D21" s="21"/>
      <c r="E21" s="21">
        <v>1</v>
      </c>
      <c r="F21" s="20">
        <f t="shared" ref="F21:F22" si="40">$F$2+H21+K21*$AF$2+IF(OR(A21 = "Fatal", A21 = "Fatal+Blade"), 0.35,0)</f>
        <v>2.48</v>
      </c>
      <c r="G21" s="20">
        <f t="shared" ref="G21:G22" si="41">$G$2+I21+L21*$AG$2+IF(OR(A21 = "Rage", A21 = "Rage+Blade"), 0.4, 0)</f>
        <v>2.0499999999999998</v>
      </c>
      <c r="H21" s="20">
        <v>0.49</v>
      </c>
      <c r="I21" s="20">
        <v>0.13</v>
      </c>
      <c r="J21" s="20">
        <v>0.3</v>
      </c>
      <c r="K21" s="22">
        <v>2</v>
      </c>
      <c r="L21" s="22">
        <v>1</v>
      </c>
      <c r="M21" s="22"/>
      <c r="N21" s="37">
        <f t="shared" si="10"/>
        <v>1825.28</v>
      </c>
      <c r="O21" s="37">
        <f t="shared" si="3"/>
        <v>5208</v>
      </c>
      <c r="P21" s="37">
        <f t="shared" ref="P21:P22" si="42">O21*G21</f>
        <v>10676.4</v>
      </c>
      <c r="Q21" s="20">
        <f t="shared" si="14"/>
        <v>0.15</v>
      </c>
      <c r="R21" s="20">
        <f t="shared" ref="R21:R22" si="43">MINA(Q21+M21*$AN$2+0.12*E21+J21, 1)</f>
        <v>0.57000000000000006</v>
      </c>
      <c r="S21" s="37">
        <f t="shared" ref="S21:S22" si="44">R21*P21+(1-R21)*O21</f>
        <v>8324.9880000000012</v>
      </c>
      <c r="T21" s="151">
        <v>7547.956500000003</v>
      </c>
      <c r="U21" s="152">
        <f t="shared" ref="U21:U22" si="45">S21/T21-1</f>
        <v>0.1029459430509434</v>
      </c>
      <c r="V21" s="18"/>
      <c r="W21" s="18" t="s">
        <v>324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323</v>
      </c>
      <c r="AC21">
        <v>3</v>
      </c>
      <c r="AD21" s="18"/>
      <c r="AF21">
        <v>1</v>
      </c>
    </row>
    <row r="22" spans="1:34" ht="15" thickBot="1">
      <c r="A22" s="144" t="s">
        <v>91</v>
      </c>
      <c r="B22" s="21"/>
      <c r="C22" s="21">
        <v>1</v>
      </c>
      <c r="D22" s="21"/>
      <c r="E22" s="21">
        <v>1</v>
      </c>
      <c r="F22" s="20">
        <f t="shared" si="40"/>
        <v>2.48</v>
      </c>
      <c r="G22" s="20">
        <f t="shared" si="41"/>
        <v>1.63</v>
      </c>
      <c r="H22" s="20">
        <v>0.49</v>
      </c>
      <c r="I22" s="20">
        <v>0.13</v>
      </c>
      <c r="J22" s="20">
        <v>0.3</v>
      </c>
      <c r="K22" s="22">
        <v>2</v>
      </c>
      <c r="L22" s="22"/>
      <c r="M22" s="22">
        <v>1</v>
      </c>
      <c r="N22" s="37">
        <f t="shared" si="10"/>
        <v>1825.28</v>
      </c>
      <c r="O22" s="37">
        <f t="shared" si="3"/>
        <v>5208</v>
      </c>
      <c r="P22" s="37">
        <f t="shared" si="42"/>
        <v>8489.0399999999991</v>
      </c>
      <c r="Q22" s="20">
        <f t="shared" si="14"/>
        <v>0.15</v>
      </c>
      <c r="R22" s="20">
        <f t="shared" si="43"/>
        <v>0.87999999999999989</v>
      </c>
      <c r="S22" s="37">
        <f t="shared" si="44"/>
        <v>8095.3151999999991</v>
      </c>
      <c r="T22" s="151">
        <v>7547.956500000003</v>
      </c>
      <c r="U22" s="152">
        <f t="shared" si="45"/>
        <v>7.2517468800992191E-2</v>
      </c>
      <c r="V22" s="18"/>
      <c r="W22" s="18" t="s">
        <v>325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323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44" t="s">
        <v>120</v>
      </c>
      <c r="B23" s="21"/>
      <c r="C23" s="21"/>
      <c r="D23" s="21">
        <v>1</v>
      </c>
      <c r="E23" s="21">
        <v>1</v>
      </c>
      <c r="F23" s="20">
        <f t="shared" ref="F23" si="46">$F$2+H23+K23*$AF$2+IF(OR(A23 = "Fatal", A23 = "Fatal+Blade"), 0.35,0)</f>
        <v>2.4500000000000002</v>
      </c>
      <c r="G23" s="20">
        <f t="shared" ref="G23" si="47">$G$2+I23+L23*$AG$2+IF(OR(A23 = "Rage", A23 = "Rage+Blade"), 0.4, 0)</f>
        <v>2.0299999999999998</v>
      </c>
      <c r="H23" s="20">
        <v>0.49</v>
      </c>
      <c r="I23" s="20">
        <v>0.13</v>
      </c>
      <c r="J23" s="20">
        <v>0.3</v>
      </c>
      <c r="K23" s="22">
        <v>3</v>
      </c>
      <c r="L23" s="22"/>
      <c r="M23" s="22"/>
      <c r="N23" s="37">
        <f t="shared" si="10"/>
        <v>1803.2</v>
      </c>
      <c r="O23" s="37">
        <f t="shared" si="3"/>
        <v>5145</v>
      </c>
      <c r="P23" s="37">
        <f t="shared" ref="P23" si="48">O23*G23</f>
        <v>10444.349999999999</v>
      </c>
      <c r="Q23" s="20">
        <f t="shared" si="14"/>
        <v>0.15</v>
      </c>
      <c r="R23" s="20">
        <f t="shared" ref="R23" si="49">MINA(Q23+M23*$AN$2+0.12*E23+J23, 1)</f>
        <v>0.57000000000000006</v>
      </c>
      <c r="S23" s="37">
        <f t="shared" ref="S23" si="50">R23*P23+(1-R23)*O23</f>
        <v>8165.6294999999991</v>
      </c>
      <c r="T23" s="151">
        <v>7547.956500000003</v>
      </c>
      <c r="U23" s="152">
        <f t="shared" ref="U23" si="51">S23/T23-1</f>
        <v>8.1833142520097546E-2</v>
      </c>
      <c r="V23" s="18"/>
      <c r="W23" s="18" t="s">
        <v>326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323</v>
      </c>
      <c r="AC23">
        <v>3</v>
      </c>
      <c r="AD23" s="18"/>
      <c r="AF23">
        <v>3</v>
      </c>
    </row>
    <row r="24" spans="1:34" ht="15" thickBot="1">
      <c r="A24" s="144" t="s">
        <v>120</v>
      </c>
      <c r="B24" s="21"/>
      <c r="C24" s="21"/>
      <c r="D24" s="21">
        <v>1</v>
      </c>
      <c r="E24" s="21">
        <v>1</v>
      </c>
      <c r="F24" s="20">
        <f t="shared" ref="F24:F26" si="52">$F$2+H24+K24*$AF$2+IF(OR(A24 = "Fatal", A24 = "Fatal+Blade"), 0.35,0)</f>
        <v>2.13</v>
      </c>
      <c r="G24" s="20">
        <f t="shared" ref="G24:G26" si="53">$G$2+I24+L24*$AG$2+IF(OR(A24 = "Rage", A24 = "Rage+Blade"), 0.4, 0)</f>
        <v>2.4499999999999997</v>
      </c>
      <c r="H24" s="20">
        <v>0.49</v>
      </c>
      <c r="I24" s="20">
        <v>0.13</v>
      </c>
      <c r="J24" s="20">
        <v>0.3</v>
      </c>
      <c r="K24" s="22">
        <v>2</v>
      </c>
      <c r="L24" s="22">
        <v>1</v>
      </c>
      <c r="M24" s="22"/>
      <c r="N24" s="37">
        <f t="shared" si="10"/>
        <v>1567.6799999999998</v>
      </c>
      <c r="O24" s="37">
        <f t="shared" si="3"/>
        <v>4473</v>
      </c>
      <c r="P24" s="37">
        <f t="shared" ref="P24:P26" si="54">O24*G24</f>
        <v>10958.849999999999</v>
      </c>
      <c r="Q24" s="20">
        <f t="shared" si="14"/>
        <v>0.15</v>
      </c>
      <c r="R24" s="20">
        <f t="shared" ref="R24:R26" si="55">MINA(Q24+M24*$AN$2+0.12*E24+J24, 1)</f>
        <v>0.57000000000000006</v>
      </c>
      <c r="S24" s="37">
        <f t="shared" ref="S24:S26" si="56">R24*P24+(1-R24)*O24</f>
        <v>8169.9344999999994</v>
      </c>
      <c r="T24" s="151">
        <v>7547.956500000003</v>
      </c>
      <c r="U24" s="152">
        <f t="shared" ref="U24:U26" si="57">S24/T24-1</f>
        <v>8.2403495568634577E-2</v>
      </c>
      <c r="V24" s="18"/>
      <c r="W24" s="18" t="s">
        <v>326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323</v>
      </c>
      <c r="AC24">
        <v>3</v>
      </c>
      <c r="AD24" s="18"/>
      <c r="AF24">
        <v>2</v>
      </c>
    </row>
    <row r="25" spans="1:34" ht="15" thickBot="1">
      <c r="A25" s="144" t="s">
        <v>120</v>
      </c>
      <c r="B25" s="21"/>
      <c r="C25" s="21"/>
      <c r="D25" s="21">
        <v>1</v>
      </c>
      <c r="E25" s="21">
        <v>1</v>
      </c>
      <c r="F25" s="20">
        <f t="shared" si="52"/>
        <v>2.13</v>
      </c>
      <c r="G25" s="20">
        <f t="shared" si="53"/>
        <v>2.0299999999999998</v>
      </c>
      <c r="H25" s="20">
        <v>0.49</v>
      </c>
      <c r="I25" s="20">
        <v>0.13</v>
      </c>
      <c r="J25" s="20">
        <v>0.3</v>
      </c>
      <c r="K25" s="22">
        <v>2</v>
      </c>
      <c r="L25" s="22"/>
      <c r="M25" s="22">
        <v>1</v>
      </c>
      <c r="N25" s="37">
        <f t="shared" si="10"/>
        <v>1567.6799999999998</v>
      </c>
      <c r="O25" s="37">
        <f t="shared" si="3"/>
        <v>4473</v>
      </c>
      <c r="P25" s="37">
        <f t="shared" si="54"/>
        <v>9080.1899999999987</v>
      </c>
      <c r="Q25" s="20">
        <f t="shared" si="14"/>
        <v>0.15</v>
      </c>
      <c r="R25" s="20">
        <f t="shared" si="55"/>
        <v>0.87999999999999989</v>
      </c>
      <c r="S25" s="37">
        <f t="shared" si="56"/>
        <v>8527.3271999999979</v>
      </c>
      <c r="T25" s="151">
        <v>7547.956500000003</v>
      </c>
      <c r="U25" s="152">
        <f t="shared" si="57"/>
        <v>0.12975309277418257</v>
      </c>
      <c r="V25" s="18"/>
      <c r="W25" s="18" t="s">
        <v>326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323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44" t="s">
        <v>92</v>
      </c>
      <c r="B26" s="21"/>
      <c r="C26" s="21"/>
      <c r="D26" s="21"/>
      <c r="E26" s="21">
        <v>3</v>
      </c>
      <c r="F26" s="20">
        <f t="shared" si="52"/>
        <v>2.4500000000000002</v>
      </c>
      <c r="G26" s="20">
        <f t="shared" si="53"/>
        <v>1.63</v>
      </c>
      <c r="H26" s="20">
        <v>0.49</v>
      </c>
      <c r="I26" s="20">
        <v>0.13</v>
      </c>
      <c r="J26" s="20">
        <v>0.3</v>
      </c>
      <c r="K26" s="22">
        <v>3</v>
      </c>
      <c r="L26" s="22"/>
      <c r="M26" s="22"/>
      <c r="N26" s="37">
        <f t="shared" si="10"/>
        <v>1803.2</v>
      </c>
      <c r="O26" s="37">
        <f t="shared" si="3"/>
        <v>5145</v>
      </c>
      <c r="P26" s="37">
        <f t="shared" si="54"/>
        <v>8386.3499999999985</v>
      </c>
      <c r="Q26" s="20">
        <f t="shared" si="14"/>
        <v>0.15</v>
      </c>
      <c r="R26" s="20">
        <f t="shared" si="55"/>
        <v>0.81</v>
      </c>
      <c r="S26" s="37">
        <f t="shared" si="56"/>
        <v>7770.4934999999987</v>
      </c>
      <c r="T26" s="151">
        <v>7547.956500000003</v>
      </c>
      <c r="U26" s="152">
        <f t="shared" si="57"/>
        <v>2.9483079294375214E-2</v>
      </c>
      <c r="V26" s="18"/>
      <c r="W26" s="18" t="s">
        <v>324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323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44" t="s">
        <v>92</v>
      </c>
      <c r="B27" s="21"/>
      <c r="C27" s="21"/>
      <c r="D27" s="21"/>
      <c r="E27" s="21">
        <v>3</v>
      </c>
      <c r="F27" s="20">
        <f t="shared" ref="F27:F28" si="58">$F$2+H27+K27*$AF$2+IF(OR(A27 = "Fatal", A27 = "Fatal+Blade"), 0.35,0)</f>
        <v>2.13</v>
      </c>
      <c r="G27" s="20">
        <f t="shared" ref="G27:G28" si="59">$G$2+I27+L27*$AG$2+IF(OR(A27 = "Rage", A27 = "Rage+Blade"), 0.4, 0)</f>
        <v>2.0499999999999998</v>
      </c>
      <c r="H27" s="20">
        <v>0.49</v>
      </c>
      <c r="I27" s="20">
        <v>0.13</v>
      </c>
      <c r="J27" s="20">
        <v>0.3</v>
      </c>
      <c r="K27" s="22">
        <v>2</v>
      </c>
      <c r="L27" s="22">
        <v>1</v>
      </c>
      <c r="M27" s="22"/>
      <c r="N27" s="37">
        <f t="shared" si="10"/>
        <v>1567.6799999999998</v>
      </c>
      <c r="O27" s="37">
        <f t="shared" si="3"/>
        <v>4473</v>
      </c>
      <c r="P27" s="37">
        <f t="shared" ref="P27:P28" si="60">O27*G27</f>
        <v>9169.65</v>
      </c>
      <c r="Q27" s="20">
        <f t="shared" si="14"/>
        <v>0.15</v>
      </c>
      <c r="R27" s="20">
        <f t="shared" ref="R27:R28" si="61">MINA(Q27+M27*$AN$2+0.12*E27+J27, 1)</f>
        <v>0.81</v>
      </c>
      <c r="S27" s="37">
        <f t="shared" ref="S27:S28" si="62">R27*P27+(1-R27)*O27</f>
        <v>8277.2865000000002</v>
      </c>
      <c r="T27" s="151">
        <v>7547.956500000003</v>
      </c>
      <c r="U27" s="152">
        <f t="shared" ref="U27:U28" si="63">S27/T27-1</f>
        <v>9.6626153052153496E-2</v>
      </c>
      <c r="V27" s="18"/>
      <c r="W27" s="18" t="s">
        <v>325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323</v>
      </c>
      <c r="AC27">
        <v>3</v>
      </c>
      <c r="AD27" s="18"/>
      <c r="AF27">
        <v>1</v>
      </c>
    </row>
    <row r="28" spans="1:34" ht="15" thickBot="1">
      <c r="A28" s="144" t="s">
        <v>92</v>
      </c>
      <c r="B28" s="21"/>
      <c r="C28" s="21"/>
      <c r="D28" s="21"/>
      <c r="E28" s="21">
        <v>3</v>
      </c>
      <c r="F28" s="20">
        <f t="shared" si="58"/>
        <v>2.13</v>
      </c>
      <c r="G28" s="20">
        <f t="shared" si="59"/>
        <v>1.63</v>
      </c>
      <c r="H28" s="20">
        <v>0.49</v>
      </c>
      <c r="I28" s="20">
        <v>0.13</v>
      </c>
      <c r="J28" s="20">
        <v>0.3</v>
      </c>
      <c r="K28" s="22">
        <v>2</v>
      </c>
      <c r="L28" s="22"/>
      <c r="M28" s="22">
        <v>1</v>
      </c>
      <c r="N28" s="37">
        <f t="shared" si="10"/>
        <v>1567.6799999999998</v>
      </c>
      <c r="O28" s="37">
        <f t="shared" si="3"/>
        <v>4473</v>
      </c>
      <c r="P28" s="37">
        <f t="shared" si="60"/>
        <v>7290.99</v>
      </c>
      <c r="Q28" s="20">
        <f t="shared" si="14"/>
        <v>0.15</v>
      </c>
      <c r="R28" s="20">
        <f t="shared" si="61"/>
        <v>1</v>
      </c>
      <c r="S28" s="37">
        <f t="shared" si="62"/>
        <v>7290.99</v>
      </c>
      <c r="T28" s="151">
        <v>7547.956500000003</v>
      </c>
      <c r="U28" s="152">
        <f t="shared" si="63"/>
        <v>-3.4044512577676267E-2</v>
      </c>
      <c r="V28" s="18"/>
      <c r="W28" s="18" t="s">
        <v>325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323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325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323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326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323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45" t="s">
        <v>324</v>
      </c>
      <c r="X31" s="145">
        <v>0.2</v>
      </c>
      <c r="Y31" s="145">
        <v>0.2</v>
      </c>
      <c r="Z31" s="18" t="s">
        <v>88</v>
      </c>
      <c r="AA31" s="18" t="s">
        <v>86</v>
      </c>
      <c r="AB31" s="18" t="s">
        <v>323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324</v>
      </c>
      <c r="X32" s="145">
        <v>0.2</v>
      </c>
      <c r="Y32" s="145">
        <v>0.2</v>
      </c>
      <c r="Z32" s="18" t="s">
        <v>87</v>
      </c>
      <c r="AA32" s="18" t="s">
        <v>86</v>
      </c>
      <c r="AB32" s="18" t="s">
        <v>323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8" t="s">
        <v>335</v>
      </c>
      <c r="X33" s="145">
        <v>0.2</v>
      </c>
      <c r="Y33" s="145">
        <v>0.2</v>
      </c>
      <c r="Z33" s="18" t="s">
        <v>87</v>
      </c>
      <c r="AA33" s="18" t="s">
        <v>86</v>
      </c>
      <c r="AB33" s="18" t="s">
        <v>323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335</v>
      </c>
      <c r="X34" s="145">
        <v>0.2</v>
      </c>
      <c r="Y34" s="145">
        <v>0.2</v>
      </c>
      <c r="Z34" s="18" t="s">
        <v>88</v>
      </c>
      <c r="AA34" s="18" t="s">
        <v>86</v>
      </c>
      <c r="AB34" s="18" t="s">
        <v>323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336</v>
      </c>
      <c r="X35" s="145">
        <v>0.2</v>
      </c>
      <c r="Y35" s="145">
        <v>0.2</v>
      </c>
      <c r="Z35" s="18" t="s">
        <v>88</v>
      </c>
      <c r="AA35" s="18" t="s">
        <v>86</v>
      </c>
      <c r="AB35" s="18" t="s">
        <v>323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45"/>
      <c r="X38" s="145"/>
      <c r="Y38" s="145"/>
      <c r="Z38" s="145"/>
      <c r="AA38" s="145"/>
      <c r="AB38" s="145"/>
      <c r="AC38" s="145"/>
      <c r="AD38" s="145"/>
      <c r="AE38" s="6"/>
      <c r="AF38" s="6"/>
    </row>
    <row r="39" spans="1:32" ht="15" thickBot="1">
      <c r="A39" s="144"/>
      <c r="B39" s="21" t="s">
        <v>386</v>
      </c>
      <c r="C39" s="21" t="s">
        <v>394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8"/>
      <c r="X39" s="18"/>
      <c r="Y39" s="18"/>
      <c r="Z39" s="18"/>
      <c r="AA39" s="18"/>
      <c r="AB39" s="18"/>
      <c r="AC39" s="18"/>
      <c r="AD39" s="18"/>
    </row>
    <row r="40" spans="1:32" ht="15" thickBot="1">
      <c r="A40" s="170"/>
      <c r="B40" s="21" t="s">
        <v>388</v>
      </c>
      <c r="C40" s="21" t="s">
        <v>393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51"/>
      <c r="U40" s="152"/>
      <c r="V40" s="18"/>
      <c r="W40" s="18"/>
      <c r="X40" s="18"/>
      <c r="Y40" s="18"/>
      <c r="Z40" s="18"/>
      <c r="AA40" s="18"/>
      <c r="AB40" s="18"/>
      <c r="AC40" s="18"/>
      <c r="AD40" s="18"/>
    </row>
    <row r="41" spans="1:32" ht="15" thickBot="1">
      <c r="A41" s="170"/>
      <c r="B41" s="21" t="s">
        <v>389</v>
      </c>
      <c r="C41" s="21" t="s">
        <v>394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51"/>
      <c r="U41" s="152"/>
      <c r="V41" s="18"/>
      <c r="W41" s="18"/>
      <c r="X41" s="18"/>
      <c r="Y41" s="18"/>
      <c r="Z41" s="18"/>
      <c r="AA41" s="18"/>
      <c r="AB41" s="18"/>
      <c r="AC41" s="18"/>
      <c r="AD41" s="18"/>
    </row>
    <row r="42" spans="1:32" ht="15" thickBot="1">
      <c r="A42" s="170"/>
      <c r="B42" s="21" t="s">
        <v>390</v>
      </c>
      <c r="C42" s="21" t="s">
        <v>393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51"/>
      <c r="U42" s="152"/>
      <c r="V42" s="18"/>
      <c r="W42" s="145"/>
      <c r="X42" s="145"/>
      <c r="Y42" s="145"/>
      <c r="Z42" s="145"/>
      <c r="AA42" s="145"/>
      <c r="AB42" s="145"/>
      <c r="AC42" s="145"/>
      <c r="AD42" s="145"/>
      <c r="AE42" s="6"/>
      <c r="AF42" s="6"/>
    </row>
    <row r="43" spans="1:32" ht="15" thickBot="1">
      <c r="A43" s="170"/>
      <c r="B43" s="21" t="s">
        <v>391</v>
      </c>
      <c r="C43" s="21" t="s">
        <v>393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51"/>
      <c r="U43" s="152"/>
      <c r="V43" s="18"/>
      <c r="W43" s="18"/>
      <c r="X43" s="18"/>
      <c r="Y43" s="18"/>
      <c r="Z43" s="18"/>
      <c r="AA43" s="18"/>
      <c r="AB43" s="18"/>
      <c r="AC43" s="18"/>
      <c r="AD43" s="18"/>
    </row>
    <row r="44" spans="1:32" ht="15" thickBot="1">
      <c r="A44" s="170"/>
      <c r="B44" s="21" t="s">
        <v>392</v>
      </c>
      <c r="C44" s="21" t="s">
        <v>393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51"/>
      <c r="U44" s="152"/>
      <c r="V44" s="18"/>
      <c r="W44" s="18"/>
      <c r="X44" s="18"/>
      <c r="Y44" s="18"/>
      <c r="Z44" s="18"/>
      <c r="AA44" s="18"/>
      <c r="AB44" s="18"/>
      <c r="AC44" s="18"/>
      <c r="AD44" s="18"/>
    </row>
    <row r="45" spans="1:32" ht="15" thickBot="1">
      <c r="A45" s="170"/>
      <c r="B45" s="21" t="s">
        <v>387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51"/>
      <c r="U45" s="152"/>
      <c r="V45" s="18"/>
      <c r="W45" s="18"/>
      <c r="X45" s="18"/>
      <c r="Y45" s="18"/>
      <c r="Z45" s="18"/>
      <c r="AA45" s="18"/>
      <c r="AB45" s="18"/>
      <c r="AC45" s="18"/>
      <c r="AD45" s="18"/>
    </row>
    <row r="46" spans="1:32" ht="15" thickBot="1">
      <c r="A46" s="170"/>
      <c r="B46" s="21"/>
      <c r="C46" s="21"/>
      <c r="D46" s="21"/>
      <c r="E46" s="21"/>
      <c r="F46" s="20">
        <f t="shared" ref="F46" si="64">$F$2+H46+K46*$AF$2+IF(OR(A46 = "Fatal", A46 = "Fatal+Blade"), 0.35,0)</f>
        <v>2.27</v>
      </c>
      <c r="G46" s="20">
        <f t="shared" ref="G46" si="65">$G$2+I46+L46*$AG$2+IF(OR(A46 = "Rage", A46 = "Rage+Blade"), 0.4, 0)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66">N$2*$F46</f>
        <v>1670.72</v>
      </c>
      <c r="O46" s="37">
        <f t="shared" si="66"/>
        <v>4767</v>
      </c>
      <c r="P46" s="37">
        <f t="shared" ref="P46" si="67">O46*G46</f>
        <v>9629.34</v>
      </c>
      <c r="Q46" s="20">
        <v>0.15</v>
      </c>
      <c r="R46" s="20">
        <f t="shared" ref="R46" si="68">MINA(Q46+M46*$AN$2+0.12*E46+J46, 1)</f>
        <v>0.97000000000000008</v>
      </c>
      <c r="S46" s="37">
        <f t="shared" ref="S46" si="69">R46*P46+(1-R46)*O46</f>
        <v>9483.4698000000008</v>
      </c>
      <c r="T46" s="151">
        <v>7547.956500000003</v>
      </c>
      <c r="U46" s="152">
        <f t="shared" ref="U46" si="70">S46/T46-1</f>
        <v>0.25642878307525985</v>
      </c>
    </row>
    <row r="47" spans="1:32" ht="15" thickBot="1">
      <c r="A47" s="170"/>
      <c r="B47" s="171"/>
      <c r="C47" s="171"/>
      <c r="D47" s="171"/>
      <c r="E47" s="171"/>
      <c r="F47" s="172"/>
      <c r="G47" s="172"/>
      <c r="H47" s="172"/>
      <c r="I47" s="172"/>
      <c r="J47" s="172"/>
      <c r="K47" s="173"/>
      <c r="L47" s="173"/>
      <c r="M47" s="56"/>
      <c r="N47" s="171"/>
      <c r="O47" s="171"/>
      <c r="P47" s="171"/>
      <c r="Q47" s="172"/>
      <c r="R47" s="172"/>
      <c r="S47" s="174"/>
      <c r="T47" s="180"/>
      <c r="U47" s="181"/>
    </row>
    <row r="48" spans="1:32" ht="15" thickBot="1">
      <c r="A48" s="170"/>
      <c r="B48" s="21" t="s">
        <v>386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51"/>
      <c r="U48" s="152"/>
    </row>
    <row r="49" spans="1:21" ht="15" thickBot="1">
      <c r="A49" s="170"/>
      <c r="B49" s="21" t="s">
        <v>388</v>
      </c>
      <c r="C49" s="21" t="s">
        <v>393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51"/>
      <c r="U49" s="152"/>
    </row>
    <row r="50" spans="1:21" ht="15" thickBot="1">
      <c r="A50" s="170"/>
      <c r="B50" s="21" t="s">
        <v>389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51"/>
      <c r="U50" s="152"/>
    </row>
    <row r="51" spans="1:21" ht="15" thickBot="1">
      <c r="A51" s="170"/>
      <c r="B51" s="21" t="s">
        <v>390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51"/>
      <c r="U51" s="152"/>
    </row>
    <row r="52" spans="1:21" ht="15" thickBot="1">
      <c r="A52" s="170"/>
      <c r="B52" s="21" t="s">
        <v>391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51"/>
      <c r="U52" s="152"/>
    </row>
    <row r="53" spans="1:21" ht="15" thickBot="1">
      <c r="A53" s="170"/>
      <c r="B53" s="21" t="s">
        <v>392</v>
      </c>
      <c r="C53" s="21" t="s">
        <v>393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51"/>
      <c r="U53" s="152"/>
    </row>
    <row r="54" spans="1:21" ht="15" thickBot="1">
      <c r="A54" s="170"/>
      <c r="B54" s="21" t="s">
        <v>387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51"/>
      <c r="U54" s="152"/>
    </row>
    <row r="55" spans="1:21" ht="15" thickBot="1">
      <c r="A55" s="170"/>
      <c r="B55" s="21"/>
      <c r="C55" s="21"/>
      <c r="D55" s="21"/>
      <c r="E55" s="21"/>
      <c r="F55" s="20">
        <f t="shared" ref="F55" si="71">$F$2+H55+K55*$AF$2+IF(OR(A55 = "Fatal", A55 = "Fatal+Blade"), 0.35,0)</f>
        <v>2.37</v>
      </c>
      <c r="G55" s="20">
        <f t="shared" ref="G55" si="72">$G$2+I55+L55*$AG$2+IF(OR(A55 = "Rage", A55 = "Rage+Blade"), 0.4, 0)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73">N$2*$F55</f>
        <v>1744.3200000000002</v>
      </c>
      <c r="O55" s="37">
        <f t="shared" si="73"/>
        <v>4977</v>
      </c>
      <c r="P55" s="37">
        <f t="shared" ref="P55" si="74">O55*G55</f>
        <v>8460.9</v>
      </c>
      <c r="Q55" s="20">
        <v>0.15</v>
      </c>
      <c r="R55" s="20">
        <f t="shared" ref="R55" si="75">MINA(Q55+M55*$AN$2+0.12*E55+J55, 1)</f>
        <v>0.92</v>
      </c>
      <c r="S55" s="37">
        <f t="shared" ref="S55" si="76">R55*P55+(1-R55)*O55</f>
        <v>8182.1880000000001</v>
      </c>
      <c r="T55" s="151">
        <v>7547.956500000003</v>
      </c>
      <c r="U55" s="152">
        <f t="shared" ref="U55" si="77">S55/T55-1</f>
        <v>8.4026915099470578E-2</v>
      </c>
    </row>
    <row r="56" spans="1:21" ht="15" thickBot="1">
      <c r="A56" s="170"/>
      <c r="B56" s="171"/>
      <c r="C56" s="171"/>
      <c r="D56" s="171"/>
      <c r="E56" s="171"/>
      <c r="F56" s="172"/>
      <c r="G56" s="172"/>
      <c r="H56" s="172"/>
      <c r="I56" s="172"/>
      <c r="J56" s="172"/>
      <c r="K56" s="173"/>
      <c r="L56" s="173"/>
      <c r="M56" s="56"/>
      <c r="N56" s="171"/>
      <c r="O56" s="171"/>
      <c r="P56" s="171"/>
      <c r="Q56" s="172"/>
      <c r="R56" s="172"/>
      <c r="S56" s="174"/>
      <c r="T56" s="180"/>
      <c r="U56" s="181"/>
    </row>
    <row r="57" spans="1:21" ht="15" thickBot="1">
      <c r="A57" s="170"/>
      <c r="B57" s="171"/>
      <c r="C57" s="171"/>
      <c r="D57" s="171"/>
      <c r="E57" s="171"/>
      <c r="F57" s="172"/>
      <c r="G57" s="172"/>
      <c r="H57" s="172"/>
      <c r="I57" s="172"/>
      <c r="J57" s="172"/>
      <c r="K57" s="173"/>
      <c r="L57" s="173"/>
      <c r="M57" s="56"/>
      <c r="N57" s="171"/>
      <c r="O57" s="171"/>
      <c r="P57" s="171"/>
      <c r="Q57" s="172"/>
      <c r="R57" s="172"/>
      <c r="S57" s="174"/>
      <c r="T57" s="180"/>
      <c r="U57" s="181"/>
    </row>
    <row r="58" spans="1:21" ht="15" thickBot="1">
      <c r="A58" s="170"/>
      <c r="B58" s="171"/>
      <c r="C58" s="171"/>
      <c r="D58" s="171"/>
      <c r="E58" s="171"/>
      <c r="F58" s="172"/>
      <c r="G58" s="172"/>
      <c r="H58" s="172"/>
      <c r="I58" s="172"/>
      <c r="J58" s="172"/>
      <c r="K58" s="173"/>
      <c r="L58" s="173"/>
      <c r="M58" s="56"/>
      <c r="N58" s="171"/>
      <c r="O58" s="171"/>
      <c r="P58" s="171"/>
      <c r="Q58" s="172"/>
      <c r="R58" s="172"/>
      <c r="S58" s="174"/>
      <c r="T58" s="180"/>
      <c r="U58" s="181"/>
    </row>
    <row r="59" spans="1:21" ht="15" thickBot="1">
      <c r="A59" s="170"/>
      <c r="B59" s="171"/>
      <c r="C59" s="171"/>
      <c r="D59" s="171"/>
      <c r="E59" s="171"/>
      <c r="F59" s="172"/>
      <c r="G59" s="172"/>
      <c r="H59" s="172"/>
      <c r="I59" s="172"/>
      <c r="J59" s="172"/>
      <c r="K59" s="173"/>
      <c r="L59" s="173"/>
      <c r="M59" s="56"/>
      <c r="N59" s="171"/>
      <c r="O59" s="171"/>
      <c r="P59" s="171"/>
      <c r="Q59" s="172"/>
      <c r="R59" s="172"/>
      <c r="S59" s="174"/>
      <c r="T59" s="180"/>
      <c r="U59" s="181"/>
    </row>
    <row r="60" spans="1:21" ht="15" thickBot="1">
      <c r="A60" s="170"/>
      <c r="B60" s="171"/>
      <c r="C60" s="171"/>
      <c r="D60" s="171"/>
      <c r="E60" s="171"/>
      <c r="F60" s="172"/>
      <c r="G60" s="172"/>
      <c r="H60" s="172"/>
      <c r="I60" s="172"/>
      <c r="J60" s="172"/>
      <c r="K60" s="173"/>
      <c r="L60" s="173"/>
      <c r="M60" s="56"/>
      <c r="N60" s="171"/>
      <c r="O60" s="171"/>
      <c r="P60" s="171"/>
      <c r="Q60" s="172"/>
      <c r="R60" s="172"/>
      <c r="S60" s="174"/>
      <c r="T60" s="180"/>
      <c r="U60" s="181"/>
    </row>
    <row r="61" spans="1:21" ht="15" thickBot="1">
      <c r="A61" s="170"/>
      <c r="B61" s="171"/>
      <c r="C61" s="171"/>
      <c r="D61" s="171"/>
      <c r="E61" s="171"/>
      <c r="F61" s="172"/>
      <c r="G61" s="172"/>
      <c r="H61" s="172"/>
      <c r="I61" s="172"/>
      <c r="J61" s="172"/>
      <c r="K61" s="173"/>
      <c r="L61" s="173"/>
      <c r="M61" s="56"/>
      <c r="N61" s="171"/>
      <c r="O61" s="171"/>
      <c r="P61" s="171"/>
      <c r="Q61" s="172"/>
      <c r="R61" s="172"/>
      <c r="S61" s="174"/>
      <c r="T61" s="180"/>
      <c r="U61" s="181"/>
    </row>
    <row r="62" spans="1:21" ht="15" thickBot="1">
      <c r="A62" s="170"/>
      <c r="B62" s="171"/>
      <c r="C62" s="171"/>
      <c r="D62" s="171"/>
      <c r="E62" s="171"/>
      <c r="F62" s="172"/>
      <c r="G62" s="172"/>
      <c r="H62" s="172"/>
      <c r="I62" s="172"/>
      <c r="J62" s="172"/>
      <c r="K62" s="173"/>
      <c r="L62" s="173"/>
      <c r="M62" s="56"/>
      <c r="N62" s="171"/>
      <c r="O62" s="171"/>
      <c r="P62" s="171"/>
      <c r="Q62" s="172"/>
      <c r="R62" s="172"/>
      <c r="S62" s="174"/>
      <c r="T62" s="180"/>
      <c r="U62" s="181"/>
    </row>
    <row r="63" spans="1:21" ht="15" thickBot="1">
      <c r="A63" s="170"/>
      <c r="B63" s="171"/>
      <c r="C63" s="171"/>
      <c r="D63" s="171"/>
      <c r="E63" s="171"/>
      <c r="F63" s="172"/>
      <c r="G63" s="172"/>
      <c r="H63" s="172"/>
      <c r="I63" s="172"/>
      <c r="J63" s="172"/>
      <c r="K63" s="173"/>
      <c r="L63" s="173"/>
      <c r="M63" s="56"/>
      <c r="N63" s="171"/>
      <c r="O63" s="171"/>
      <c r="P63" s="171"/>
      <c r="Q63" s="172"/>
      <c r="R63" s="172"/>
      <c r="S63" s="174"/>
      <c r="T63" s="180"/>
      <c r="U63" s="181"/>
    </row>
    <row r="64" spans="1:21" ht="15" thickBot="1">
      <c r="A64" s="170"/>
      <c r="B64" s="171"/>
      <c r="C64" s="171"/>
      <c r="D64" s="171"/>
      <c r="E64" s="171"/>
      <c r="F64" s="172"/>
      <c r="G64" s="172"/>
      <c r="H64" s="172"/>
      <c r="I64" s="172"/>
      <c r="J64" s="172"/>
      <c r="K64" s="173"/>
      <c r="L64" s="173"/>
      <c r="M64" s="56"/>
      <c r="N64" s="171"/>
      <c r="O64" s="171"/>
      <c r="P64" s="171"/>
      <c r="Q64" s="172"/>
      <c r="R64" s="172"/>
      <c r="S64" s="174"/>
      <c r="T64" s="180"/>
      <c r="U64" s="181"/>
    </row>
    <row r="65" spans="1:21" ht="15" thickBot="1">
      <c r="A65" s="170"/>
      <c r="B65" s="171"/>
      <c r="C65" s="171"/>
      <c r="D65" s="171"/>
      <c r="E65" s="171"/>
      <c r="F65" s="172"/>
      <c r="G65" s="172"/>
      <c r="H65" s="172"/>
      <c r="I65" s="172"/>
      <c r="J65" s="172"/>
      <c r="K65" s="173"/>
      <c r="L65" s="173"/>
      <c r="M65" s="56"/>
      <c r="N65" s="171"/>
      <c r="O65" s="171"/>
      <c r="P65" s="171"/>
      <c r="Q65" s="172"/>
      <c r="R65" s="172"/>
      <c r="S65" s="174"/>
      <c r="T65" s="180"/>
      <c r="U65" s="181"/>
    </row>
    <row r="66" spans="1:21" ht="15" thickBot="1">
      <c r="A66" s="170"/>
      <c r="B66" s="171"/>
      <c r="C66" s="171"/>
      <c r="D66" s="171"/>
      <c r="E66" s="171"/>
      <c r="F66" s="172"/>
      <c r="G66" s="172"/>
      <c r="H66" s="172"/>
      <c r="I66" s="172"/>
      <c r="J66" s="172"/>
      <c r="K66" s="173"/>
      <c r="L66" s="173"/>
      <c r="M66" s="56"/>
      <c r="N66" s="171"/>
      <c r="O66" s="171"/>
      <c r="P66" s="171"/>
      <c r="Q66" s="172"/>
      <c r="R66" s="172"/>
      <c r="S66" s="174"/>
      <c r="T66" s="180"/>
      <c r="U66" s="181"/>
    </row>
    <row r="67" spans="1:21" ht="15" thickBot="1">
      <c r="A67" s="170"/>
      <c r="B67" s="171"/>
      <c r="C67" s="171"/>
      <c r="D67" s="171"/>
      <c r="E67" s="171"/>
      <c r="F67" s="172"/>
      <c r="G67" s="172"/>
      <c r="H67" s="172"/>
      <c r="I67" s="172"/>
      <c r="J67" s="172"/>
      <c r="K67" s="173"/>
      <c r="L67" s="173"/>
      <c r="M67" s="56"/>
      <c r="N67" s="171"/>
      <c r="O67" s="171"/>
      <c r="P67" s="171"/>
      <c r="Q67" s="172"/>
      <c r="R67" s="172"/>
      <c r="S67" s="174"/>
      <c r="T67" s="180"/>
      <c r="U67" s="181"/>
    </row>
    <row r="68" spans="1:21" ht="15" thickBot="1">
      <c r="A68" s="170"/>
      <c r="B68" s="171"/>
      <c r="C68" s="171"/>
      <c r="D68" s="171"/>
      <c r="E68" s="171"/>
      <c r="F68" s="172"/>
      <c r="G68" s="172"/>
      <c r="H68" s="172"/>
      <c r="I68" s="172"/>
      <c r="J68" s="172"/>
      <c r="K68" s="173"/>
      <c r="L68" s="173"/>
      <c r="M68" s="56"/>
      <c r="N68" s="171"/>
      <c r="O68" s="171"/>
      <c r="P68" s="171"/>
      <c r="Q68" s="172"/>
      <c r="R68" s="172"/>
      <c r="S68" s="174"/>
      <c r="T68" s="180"/>
      <c r="U68" s="181"/>
    </row>
    <row r="69" spans="1:21" ht="15" thickBot="1">
      <c r="A69" s="170"/>
      <c r="B69" s="171"/>
      <c r="C69" s="171"/>
      <c r="D69" s="171"/>
      <c r="E69" s="171"/>
      <c r="F69" s="172"/>
      <c r="G69" s="172"/>
      <c r="H69" s="172"/>
      <c r="I69" s="172"/>
      <c r="J69" s="172"/>
      <c r="K69" s="173"/>
      <c r="L69" s="173"/>
      <c r="M69" s="56"/>
      <c r="N69" s="171"/>
      <c r="O69" s="171"/>
      <c r="P69" s="171"/>
      <c r="Q69" s="172"/>
      <c r="R69" s="172"/>
      <c r="S69" s="174"/>
      <c r="T69" s="180"/>
      <c r="U69" s="181"/>
    </row>
    <row r="70" spans="1:21" ht="15" thickBot="1">
      <c r="A70" s="170"/>
      <c r="B70" s="171"/>
      <c r="C70" s="171"/>
      <c r="D70" s="171"/>
      <c r="E70" s="171"/>
      <c r="F70" s="172"/>
      <c r="G70" s="172"/>
      <c r="H70" s="172"/>
      <c r="I70" s="172"/>
      <c r="J70" s="172"/>
      <c r="K70" s="173"/>
      <c r="L70" s="173"/>
      <c r="M70" s="56"/>
      <c r="N70" s="171"/>
      <c r="O70" s="171"/>
      <c r="P70" s="171"/>
      <c r="Q70" s="172"/>
      <c r="R70" s="172"/>
      <c r="S70" s="174"/>
      <c r="T70" s="180"/>
      <c r="U70" s="181"/>
    </row>
    <row r="71" spans="1:21" ht="15" thickBot="1">
      <c r="A71" s="170"/>
      <c r="B71" s="171"/>
      <c r="C71" s="171"/>
      <c r="D71" s="171"/>
      <c r="E71" s="171"/>
      <c r="F71" s="172"/>
      <c r="G71" s="172"/>
      <c r="H71" s="172"/>
      <c r="I71" s="172"/>
      <c r="J71" s="172"/>
      <c r="K71" s="173"/>
      <c r="L71" s="173"/>
      <c r="M71" s="56"/>
      <c r="N71" s="171"/>
      <c r="O71" s="171"/>
      <c r="P71" s="171"/>
      <c r="Q71" s="172"/>
      <c r="R71" s="172"/>
      <c r="S71" s="174"/>
      <c r="T71" s="180"/>
      <c r="U71" s="181"/>
    </row>
    <row r="72" spans="1:21" ht="15" thickBot="1">
      <c r="A72" s="170"/>
      <c r="B72" s="171"/>
      <c r="C72" s="171"/>
      <c r="D72" s="171"/>
      <c r="E72" s="171"/>
      <c r="F72" s="172"/>
      <c r="G72" s="172"/>
      <c r="H72" s="172"/>
      <c r="I72" s="172"/>
      <c r="J72" s="172"/>
      <c r="K72" s="173"/>
      <c r="L72" s="173"/>
      <c r="M72" s="56"/>
      <c r="N72" s="171"/>
      <c r="O72" s="171"/>
      <c r="P72" s="171"/>
      <c r="Q72" s="172"/>
      <c r="R72" s="172"/>
      <c r="S72" s="174"/>
      <c r="T72" s="180"/>
      <c r="U72" s="181"/>
    </row>
    <row r="73" spans="1:21" ht="15" thickBot="1">
      <c r="A73" s="170"/>
      <c r="B73" s="171"/>
      <c r="C73" s="171"/>
      <c r="D73" s="171"/>
      <c r="E73" s="171"/>
      <c r="F73" s="172"/>
      <c r="G73" s="172"/>
      <c r="H73" s="172"/>
      <c r="I73" s="172"/>
      <c r="J73" s="172"/>
      <c r="K73" s="173"/>
      <c r="L73" s="173"/>
      <c r="M73" s="56"/>
      <c r="N73" s="171"/>
      <c r="O73" s="171"/>
      <c r="P73" s="171"/>
      <c r="Q73" s="172"/>
      <c r="R73" s="172"/>
      <c r="S73" s="174"/>
      <c r="T73" s="180"/>
      <c r="U73" s="181"/>
    </row>
    <row r="74" spans="1:21">
      <c r="A74" s="175"/>
      <c r="B74" s="176"/>
      <c r="C74" s="176"/>
      <c r="D74" s="176"/>
      <c r="E74" s="176"/>
      <c r="F74" s="177"/>
      <c r="G74" s="177"/>
      <c r="H74" s="177"/>
      <c r="I74" s="177"/>
      <c r="J74" s="177"/>
      <c r="K74" s="178"/>
      <c r="L74" s="178"/>
      <c r="M74" s="56"/>
      <c r="N74" s="176"/>
      <c r="O74" s="176"/>
      <c r="P74" s="176"/>
      <c r="Q74" s="177"/>
      <c r="R74" s="177"/>
      <c r="S74" s="179"/>
      <c r="T74" s="180"/>
      <c r="U74" s="181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351</v>
      </c>
      <c r="B1" t="s">
        <v>382</v>
      </c>
      <c r="C1" t="s">
        <v>200</v>
      </c>
      <c r="D1" t="s">
        <v>201</v>
      </c>
      <c r="E1" t="s">
        <v>353</v>
      </c>
      <c r="F1" t="s">
        <v>209</v>
      </c>
      <c r="G1" t="s">
        <v>202</v>
      </c>
      <c r="H1" t="s">
        <v>203</v>
      </c>
      <c r="I1" t="s">
        <v>204</v>
      </c>
      <c r="J1" t="s">
        <v>166</v>
      </c>
      <c r="K1" t="s">
        <v>205</v>
      </c>
      <c r="L1" t="s">
        <v>206</v>
      </c>
      <c r="M1" t="s">
        <v>207</v>
      </c>
      <c r="N1" t="s">
        <v>323</v>
      </c>
      <c r="O1" t="s">
        <v>208</v>
      </c>
      <c r="P1" t="s">
        <v>350</v>
      </c>
      <c r="Q1" t="s">
        <v>210</v>
      </c>
      <c r="R1" t="s">
        <v>380</v>
      </c>
      <c r="S1" t="s">
        <v>381</v>
      </c>
    </row>
    <row r="2" spans="1:19" hidden="1">
      <c r="A2" t="s">
        <v>354</v>
      </c>
      <c r="B2" t="s">
        <v>354</v>
      </c>
      <c r="C2" t="s">
        <v>352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354</v>
      </c>
      <c r="B3" t="s">
        <v>354</v>
      </c>
      <c r="C3" t="s">
        <v>191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354</v>
      </c>
      <c r="B4" t="s">
        <v>354</v>
      </c>
      <c r="C4" t="s">
        <v>191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354</v>
      </c>
      <c r="B5" t="s">
        <v>354</v>
      </c>
      <c r="C5" t="s">
        <v>191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354</v>
      </c>
      <c r="B6" t="s">
        <v>354</v>
      </c>
      <c r="C6" t="s">
        <v>352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354</v>
      </c>
      <c r="B7" t="s">
        <v>354</v>
      </c>
      <c r="C7" t="s">
        <v>191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363</v>
      </c>
      <c r="B8" t="s">
        <v>363</v>
      </c>
      <c r="C8" t="s">
        <v>160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363</v>
      </c>
      <c r="B9" t="s">
        <v>363</v>
      </c>
      <c r="C9" t="s">
        <v>197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363</v>
      </c>
      <c r="B10" t="s">
        <v>363</v>
      </c>
      <c r="C10" t="s">
        <v>160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363</v>
      </c>
      <c r="B11" t="s">
        <v>363</v>
      </c>
      <c r="C11" t="s">
        <v>160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363</v>
      </c>
      <c r="B12" s="155" t="s">
        <v>363</v>
      </c>
      <c r="C12" s="155" t="s">
        <v>197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363</v>
      </c>
      <c r="B13" t="s">
        <v>363</v>
      </c>
      <c r="C13" t="s">
        <v>160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364</v>
      </c>
      <c r="B14" t="s">
        <v>364</v>
      </c>
      <c r="C14" t="s">
        <v>88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364</v>
      </c>
      <c r="B15" t="s">
        <v>364</v>
      </c>
      <c r="C15" t="s">
        <v>88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364</v>
      </c>
      <c r="B16" t="s">
        <v>364</v>
      </c>
      <c r="C16" t="s">
        <v>88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364</v>
      </c>
      <c r="B17" t="s">
        <v>364</v>
      </c>
      <c r="C17" t="s">
        <v>88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364</v>
      </c>
      <c r="B18" t="s">
        <v>364</v>
      </c>
      <c r="C18" t="s">
        <v>86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364</v>
      </c>
      <c r="B19" t="s">
        <v>364</v>
      </c>
      <c r="C19" t="s">
        <v>86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157</v>
      </c>
      <c r="B20" t="s">
        <v>157</v>
      </c>
      <c r="C20" t="s">
        <v>158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157</v>
      </c>
      <c r="B21" t="s">
        <v>157</v>
      </c>
      <c r="C21" t="s">
        <v>197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157</v>
      </c>
      <c r="B22" t="s">
        <v>157</v>
      </c>
      <c r="C22" t="s">
        <v>158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157</v>
      </c>
      <c r="B23" t="s">
        <v>157</v>
      </c>
      <c r="C23" t="s">
        <v>197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157</v>
      </c>
      <c r="B24" t="s">
        <v>157</v>
      </c>
      <c r="C24" t="s">
        <v>158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157</v>
      </c>
      <c r="B25" t="s">
        <v>157</v>
      </c>
      <c r="C25" t="s">
        <v>158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193</v>
      </c>
      <c r="C26" t="s">
        <v>86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383</v>
      </c>
    </row>
    <row r="27" spans="1:19" hidden="1">
      <c r="A27" t="s">
        <v>193</v>
      </c>
      <c r="B27" t="s">
        <v>193</v>
      </c>
      <c r="C27" t="s">
        <v>154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193</v>
      </c>
    </row>
    <row r="28" spans="1:19" hidden="1">
      <c r="A28" t="s">
        <v>193</v>
      </c>
      <c r="B28" t="s">
        <v>193</v>
      </c>
      <c r="C28" t="s">
        <v>158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193</v>
      </c>
    </row>
    <row r="29" spans="1:19">
      <c r="A29" t="s">
        <v>193</v>
      </c>
      <c r="B29" t="s">
        <v>193</v>
      </c>
      <c r="C29" t="s">
        <v>197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193</v>
      </c>
    </row>
    <row r="30" spans="1:19" hidden="1">
      <c r="A30" t="s">
        <v>193</v>
      </c>
      <c r="B30" t="s">
        <v>193</v>
      </c>
      <c r="C30" t="s">
        <v>86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193</v>
      </c>
    </row>
    <row r="31" spans="1:19" hidden="1">
      <c r="A31" s="155" t="s">
        <v>193</v>
      </c>
      <c r="B31" s="155"/>
      <c r="C31" s="155" t="s">
        <v>154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193</v>
      </c>
    </row>
    <row r="32" spans="1:19">
      <c r="A32" t="s">
        <v>151</v>
      </c>
      <c r="B32" t="s">
        <v>151</v>
      </c>
      <c r="C32" t="s">
        <v>155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151</v>
      </c>
      <c r="B33" t="s">
        <v>151</v>
      </c>
      <c r="C33" t="s">
        <v>197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151</v>
      </c>
      <c r="B34" t="s">
        <v>151</v>
      </c>
      <c r="C34" t="s">
        <v>197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151</v>
      </c>
      <c r="B35" t="s">
        <v>151</v>
      </c>
      <c r="C35" t="s">
        <v>155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151</v>
      </c>
      <c r="B36" t="s">
        <v>151</v>
      </c>
      <c r="C36" t="s">
        <v>155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151</v>
      </c>
      <c r="B37" t="s">
        <v>151</v>
      </c>
      <c r="C37" t="s">
        <v>155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365</v>
      </c>
      <c r="B38" s="159" t="s">
        <v>365</v>
      </c>
      <c r="C38" s="159" t="s">
        <v>155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365</v>
      </c>
      <c r="B39" t="s">
        <v>365</v>
      </c>
      <c r="C39" t="s">
        <v>155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365</v>
      </c>
      <c r="B40" t="s">
        <v>365</v>
      </c>
      <c r="C40" t="s">
        <v>155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365</v>
      </c>
      <c r="B41" t="s">
        <v>365</v>
      </c>
      <c r="C41" t="s">
        <v>154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365</v>
      </c>
      <c r="B42" t="s">
        <v>365</v>
      </c>
      <c r="C42" t="s">
        <v>155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365</v>
      </c>
      <c r="B43" t="s">
        <v>193</v>
      </c>
      <c r="C43" t="s">
        <v>154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384</v>
      </c>
    </row>
    <row r="44" spans="1:19" hidden="1">
      <c r="A44" t="s">
        <v>366</v>
      </c>
      <c r="B44" t="s">
        <v>366</v>
      </c>
      <c r="C44" t="s">
        <v>160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366</v>
      </c>
      <c r="B45" t="s">
        <v>366</v>
      </c>
      <c r="C45" t="s">
        <v>160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366</v>
      </c>
      <c r="B46" t="s">
        <v>366</v>
      </c>
      <c r="C46" t="s">
        <v>160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366</v>
      </c>
      <c r="B47" s="2" t="s">
        <v>366</v>
      </c>
      <c r="C47" s="2" t="s">
        <v>154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211</v>
      </c>
    </row>
    <row r="48" spans="1:19" hidden="1">
      <c r="A48" t="s">
        <v>366</v>
      </c>
      <c r="B48" t="s">
        <v>366</v>
      </c>
      <c r="C48" t="s">
        <v>160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366</v>
      </c>
      <c r="B49" s="2" t="s">
        <v>366</v>
      </c>
      <c r="C49" s="2" t="s">
        <v>154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211</v>
      </c>
    </row>
    <row r="50" spans="1:19" hidden="1">
      <c r="A50" t="s">
        <v>141</v>
      </c>
      <c r="B50" t="s">
        <v>141</v>
      </c>
      <c r="C50" t="s">
        <v>154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141</v>
      </c>
      <c r="B51" t="s">
        <v>141</v>
      </c>
      <c r="C51" t="s">
        <v>154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141</v>
      </c>
      <c r="B52" t="s">
        <v>141</v>
      </c>
      <c r="C52" t="s">
        <v>154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141</v>
      </c>
      <c r="B53" s="162" t="s">
        <v>141</v>
      </c>
      <c r="C53" s="162" t="s">
        <v>158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141</v>
      </c>
      <c r="B54" t="s">
        <v>141</v>
      </c>
      <c r="C54" t="s">
        <v>154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141</v>
      </c>
      <c r="B55" s="162" t="s">
        <v>141</v>
      </c>
      <c r="C55" s="162" t="s">
        <v>197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156</v>
      </c>
      <c r="B56" t="s">
        <v>156</v>
      </c>
      <c r="C56" t="s">
        <v>155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156</v>
      </c>
      <c r="B57" t="s">
        <v>156</v>
      </c>
      <c r="C57" t="s">
        <v>155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156</v>
      </c>
      <c r="B58" t="s">
        <v>156</v>
      </c>
      <c r="C58" t="s">
        <v>197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156</v>
      </c>
      <c r="B59" t="s">
        <v>156</v>
      </c>
      <c r="C59" t="s">
        <v>155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156</v>
      </c>
      <c r="B60" t="s">
        <v>156</v>
      </c>
      <c r="C60" t="s">
        <v>155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156</v>
      </c>
      <c r="B61" s="155" t="s">
        <v>156</v>
      </c>
      <c r="C61" s="155" t="s">
        <v>197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152</v>
      </c>
      <c r="B62" t="s">
        <v>152</v>
      </c>
      <c r="C62" t="s">
        <v>86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152</v>
      </c>
    </row>
    <row r="63" spans="1:19" hidden="1">
      <c r="A63" s="10"/>
      <c r="B63" s="10"/>
      <c r="C63" s="10" t="s">
        <v>154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383</v>
      </c>
    </row>
    <row r="64" spans="1:19" hidden="1">
      <c r="C64" t="s">
        <v>86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383</v>
      </c>
    </row>
    <row r="65" spans="1:19" hidden="1">
      <c r="C65" t="s">
        <v>86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383</v>
      </c>
    </row>
    <row r="66" spans="1:19">
      <c r="C66" t="s">
        <v>197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383</v>
      </c>
    </row>
    <row r="67" spans="1:19" hidden="1">
      <c r="A67" t="s">
        <v>152</v>
      </c>
      <c r="B67" t="s">
        <v>152</v>
      </c>
      <c r="C67" t="s">
        <v>86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152</v>
      </c>
    </row>
    <row r="68" spans="1:19" hidden="1">
      <c r="A68" t="s">
        <v>376</v>
      </c>
      <c r="B68" t="s">
        <v>376</v>
      </c>
      <c r="C68" t="s">
        <v>86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376</v>
      </c>
      <c r="B69" t="s">
        <v>376</v>
      </c>
      <c r="C69" t="s">
        <v>86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376</v>
      </c>
      <c r="B70" t="s">
        <v>376</v>
      </c>
      <c r="C70" t="s">
        <v>86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376</v>
      </c>
      <c r="B71" t="s">
        <v>376</v>
      </c>
      <c r="C71" t="s">
        <v>86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376</v>
      </c>
      <c r="B72" t="s">
        <v>376</v>
      </c>
      <c r="C72" t="s">
        <v>86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376</v>
      </c>
      <c r="B73" t="s">
        <v>376</v>
      </c>
      <c r="C73" t="s">
        <v>86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377</v>
      </c>
      <c r="B74" t="s">
        <v>377</v>
      </c>
      <c r="C74" t="s">
        <v>154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377</v>
      </c>
      <c r="B75" t="s">
        <v>377</v>
      </c>
      <c r="C75" t="s">
        <v>154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377</v>
      </c>
      <c r="B76" t="s">
        <v>377</v>
      </c>
      <c r="C76" t="s">
        <v>154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377</v>
      </c>
      <c r="B77" t="s">
        <v>377</v>
      </c>
      <c r="C77" t="s">
        <v>154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377</v>
      </c>
      <c r="B78" t="s">
        <v>377</v>
      </c>
      <c r="C78" t="s">
        <v>154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377</v>
      </c>
      <c r="B79" t="s">
        <v>377</v>
      </c>
      <c r="C79" t="s">
        <v>154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378</v>
      </c>
      <c r="B80" t="s">
        <v>378</v>
      </c>
      <c r="C80" t="s">
        <v>88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378</v>
      </c>
      <c r="B81" t="s">
        <v>378</v>
      </c>
      <c r="C81" t="s">
        <v>88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378</v>
      </c>
      <c r="B82" t="s">
        <v>378</v>
      </c>
      <c r="C82" t="s">
        <v>88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378</v>
      </c>
      <c r="B83" t="s">
        <v>378</v>
      </c>
      <c r="C83" t="s">
        <v>86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378</v>
      </c>
      <c r="B84" t="s">
        <v>378</v>
      </c>
      <c r="C84" t="s">
        <v>86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378</v>
      </c>
      <c r="B85" t="s">
        <v>378</v>
      </c>
      <c r="C85" t="s">
        <v>88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154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154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154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154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154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193</v>
      </c>
      <c r="C91" s="2" t="s">
        <v>154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211</v>
      </c>
      <c r="S91" s="2" t="s">
        <v>384</v>
      </c>
    </row>
    <row r="92" spans="1:19" hidden="1">
      <c r="C92" t="s">
        <v>154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197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383</v>
      </c>
    </row>
    <row r="94" spans="1:19" hidden="1">
      <c r="C94" t="s">
        <v>154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154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154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154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154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152</v>
      </c>
      <c r="C99" t="s">
        <v>154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152</v>
      </c>
    </row>
    <row r="100" spans="1:19" hidden="1">
      <c r="C100" t="s">
        <v>154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154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154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154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154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154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154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154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154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154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154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154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154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154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154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154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154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154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154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154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86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86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152</v>
      </c>
      <c r="C122" s="2" t="s">
        <v>154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211</v>
      </c>
      <c r="S122" s="2" t="s">
        <v>383</v>
      </c>
    </row>
    <row r="123" spans="1:19" hidden="1">
      <c r="C123" t="s">
        <v>86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383</v>
      </c>
    </row>
    <row r="124" spans="1:19" hidden="1">
      <c r="C124" t="s">
        <v>86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152</v>
      </c>
      <c r="B125" t="s">
        <v>152</v>
      </c>
      <c r="C125" t="s">
        <v>197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152</v>
      </c>
    </row>
    <row r="126" spans="1:19" hidden="1">
      <c r="C126" t="s">
        <v>86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86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383</v>
      </c>
    </row>
    <row r="128" spans="1:19" hidden="1">
      <c r="C128" t="s">
        <v>86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86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86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152</v>
      </c>
      <c r="B131" t="s">
        <v>152</v>
      </c>
      <c r="C131" t="s">
        <v>197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152</v>
      </c>
    </row>
    <row r="132" spans="1:19" hidden="1">
      <c r="C132" t="s">
        <v>86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383</v>
      </c>
    </row>
    <row r="133" spans="1:19" hidden="1">
      <c r="C133" t="s">
        <v>86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86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86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86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86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383</v>
      </c>
    </row>
    <row r="138" spans="1:19" hidden="1">
      <c r="C138" t="s">
        <v>86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155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155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155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155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155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211</v>
      </c>
      <c r="S143" t="s">
        <v>156</v>
      </c>
    </row>
    <row r="144" spans="1:19">
      <c r="C144" t="s">
        <v>155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155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211</v>
      </c>
    </row>
    <row r="146" spans="1:18">
      <c r="C146" t="s">
        <v>155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155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155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155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155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155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155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155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155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155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155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155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155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155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155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155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155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155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155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155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155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197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197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197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383</v>
      </c>
    </row>
    <row r="170" spans="1:19" hidden="1">
      <c r="A170" t="s">
        <v>152</v>
      </c>
      <c r="B170" t="s">
        <v>152</v>
      </c>
      <c r="C170" t="s">
        <v>154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152</v>
      </c>
    </row>
    <row r="171" spans="1:19">
      <c r="C171" t="s">
        <v>197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86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383</v>
      </c>
    </row>
    <row r="173" spans="1:19">
      <c r="C173" t="s">
        <v>197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197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</row>
    <row r="5" spans="1:10">
      <c r="A5" s="12" t="s">
        <v>193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363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151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365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366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354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364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141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157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156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152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376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367</v>
      </c>
      <c r="C22" t="s">
        <v>368</v>
      </c>
      <c r="D22" t="s">
        <v>369</v>
      </c>
      <c r="E22" t="s">
        <v>370</v>
      </c>
      <c r="F22" t="s">
        <v>371</v>
      </c>
      <c r="G22" t="s">
        <v>372</v>
      </c>
      <c r="H22" t="s">
        <v>373</v>
      </c>
      <c r="I22" t="s">
        <v>374</v>
      </c>
      <c r="J22" t="s">
        <v>375</v>
      </c>
    </row>
    <row r="23" spans="1:10">
      <c r="A23" s="12" t="s">
        <v>193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363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151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156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152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365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366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354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376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364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141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157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130</v>
      </c>
      <c r="C1" s="41" t="s">
        <v>131</v>
      </c>
      <c r="D1" s="42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345</v>
      </c>
      <c r="B6" t="s">
        <v>3</v>
      </c>
      <c r="C6" t="s">
        <v>2</v>
      </c>
      <c r="D6" t="s">
        <v>342</v>
      </c>
      <c r="E6" t="s">
        <v>341</v>
      </c>
      <c r="F6" t="s">
        <v>343</v>
      </c>
      <c r="G6" t="s">
        <v>344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340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340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339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379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  <c r="F8" t="s">
        <v>379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379</v>
      </c>
    </row>
    <row r="10" spans="1:6">
      <c r="A10" t="s">
        <v>215</v>
      </c>
      <c r="B10" t="s">
        <v>160</v>
      </c>
      <c r="C10" t="s">
        <v>86</v>
      </c>
    </row>
    <row r="11" spans="1:6">
      <c r="A11" t="s">
        <v>216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K14" sqref="K14"/>
    </sheetView>
  </sheetViews>
  <sheetFormatPr defaultRowHeight="14.25"/>
  <cols>
    <col min="6" max="6" width="9.625" customWidth="1"/>
  </cols>
  <sheetData>
    <row r="1" spans="1:12">
      <c r="A1" t="s">
        <v>209</v>
      </c>
      <c r="B1" t="s">
        <v>200</v>
      </c>
      <c r="C1" t="s">
        <v>359</v>
      </c>
      <c r="D1" t="s">
        <v>355</v>
      </c>
      <c r="E1" t="s">
        <v>356</v>
      </c>
      <c r="F1" t="s">
        <v>357</v>
      </c>
      <c r="G1" t="s">
        <v>358</v>
      </c>
      <c r="H1" t="s">
        <v>360</v>
      </c>
      <c r="I1" t="s">
        <v>166</v>
      </c>
      <c r="J1" t="s">
        <v>203</v>
      </c>
      <c r="K1" t="s">
        <v>323</v>
      </c>
      <c r="L1" t="s">
        <v>350</v>
      </c>
    </row>
    <row r="2" spans="1:12">
      <c r="A2" t="s">
        <v>26</v>
      </c>
      <c r="B2" t="s">
        <v>317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318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317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318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317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318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317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318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4"/>
  <sheetViews>
    <sheetView workbookViewId="0">
      <selection activeCell="J92" sqref="J92"/>
    </sheetView>
  </sheetViews>
  <sheetFormatPr defaultRowHeight="15"/>
  <cols>
    <col min="1" max="1" width="11" style="182" customWidth="1"/>
    <col min="2" max="2" width="9" style="182"/>
    <col min="3" max="3" width="6.625" style="182" bestFit="1" customWidth="1"/>
    <col min="4" max="4" width="10" style="182" bestFit="1" customWidth="1"/>
    <col min="5" max="6" width="4" style="182" bestFit="1" customWidth="1"/>
    <col min="7" max="7" width="4.125" style="182" bestFit="1" customWidth="1"/>
    <col min="8" max="8" width="5.25" style="182" bestFit="1" customWidth="1"/>
    <col min="9" max="9" width="5.125" style="182" bestFit="1" customWidth="1"/>
    <col min="10" max="10" width="5.5" style="182" bestFit="1" customWidth="1"/>
    <col min="11" max="11" width="7" style="182" customWidth="1"/>
    <col min="12" max="12" width="6.875" style="182" customWidth="1"/>
    <col min="13" max="16384" width="9" style="182"/>
  </cols>
  <sheetData>
    <row r="1" spans="1:14">
      <c r="A1" s="183" t="s">
        <v>807</v>
      </c>
      <c r="B1" s="183" t="s">
        <v>161</v>
      </c>
      <c r="C1" s="183" t="s">
        <v>806</v>
      </c>
      <c r="D1" s="183" t="s">
        <v>805</v>
      </c>
      <c r="E1" s="183" t="s">
        <v>804</v>
      </c>
      <c r="F1" s="183" t="s">
        <v>385</v>
      </c>
      <c r="G1" s="183" t="s">
        <v>803</v>
      </c>
      <c r="H1" s="183" t="s">
        <v>802</v>
      </c>
      <c r="I1" s="183" t="s">
        <v>801</v>
      </c>
      <c r="J1" s="183" t="s">
        <v>800</v>
      </c>
      <c r="K1" s="183" t="s">
        <v>799</v>
      </c>
      <c r="L1" s="183" t="s">
        <v>798</v>
      </c>
      <c r="M1" s="186" t="s">
        <v>797</v>
      </c>
      <c r="N1" s="183"/>
    </row>
    <row r="2" spans="1:14" ht="45" hidden="1">
      <c r="A2" s="183" t="s">
        <v>796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 t="s">
        <v>775</v>
      </c>
    </row>
    <row r="3" spans="1:14" ht="30" hidden="1">
      <c r="A3" s="188" t="s">
        <v>795</v>
      </c>
      <c r="B3" s="188" t="s">
        <v>794</v>
      </c>
      <c r="C3" s="188">
        <v>2</v>
      </c>
      <c r="D3" s="188" t="s">
        <v>18</v>
      </c>
      <c r="E3" s="188">
        <v>1</v>
      </c>
      <c r="F3" s="188">
        <v>2</v>
      </c>
      <c r="G3" s="188">
        <v>4</v>
      </c>
      <c r="H3" s="188">
        <v>1</v>
      </c>
      <c r="I3" s="188">
        <v>1</v>
      </c>
      <c r="J3" s="188">
        <v>1</v>
      </c>
      <c r="K3" s="188">
        <v>1</v>
      </c>
      <c r="L3" s="188">
        <v>1</v>
      </c>
      <c r="M3" s="188" t="s">
        <v>465</v>
      </c>
      <c r="N3" s="183" t="s">
        <v>793</v>
      </c>
    </row>
    <row r="4" spans="1:14" ht="30" hidden="1">
      <c r="A4" s="188" t="s">
        <v>792</v>
      </c>
      <c r="B4" s="188" t="s">
        <v>734</v>
      </c>
      <c r="C4" s="188">
        <v>2</v>
      </c>
      <c r="D4" s="188" t="s">
        <v>18</v>
      </c>
      <c r="E4" s="188">
        <v>1</v>
      </c>
      <c r="F4" s="188">
        <v>1</v>
      </c>
      <c r="G4" s="188">
        <v>1</v>
      </c>
      <c r="H4" s="188">
        <v>1</v>
      </c>
      <c r="I4" s="188">
        <v>1</v>
      </c>
      <c r="J4" s="188">
        <v>1</v>
      </c>
      <c r="K4" s="188">
        <v>1</v>
      </c>
      <c r="L4" s="188">
        <v>1</v>
      </c>
      <c r="M4" s="183"/>
      <c r="N4" s="183" t="s">
        <v>791</v>
      </c>
    </row>
    <row r="5" spans="1:14" ht="30" hidden="1">
      <c r="A5" s="188" t="s">
        <v>790</v>
      </c>
      <c r="B5" s="188" t="s">
        <v>306</v>
      </c>
      <c r="C5" s="188">
        <v>2</v>
      </c>
      <c r="D5" s="188" t="s">
        <v>18</v>
      </c>
      <c r="E5" s="188">
        <v>1</v>
      </c>
      <c r="F5" s="188">
        <v>1</v>
      </c>
      <c r="G5" s="188">
        <v>1</v>
      </c>
      <c r="H5" s="188">
        <v>1</v>
      </c>
      <c r="I5" s="188">
        <v>1</v>
      </c>
      <c r="J5" s="188">
        <v>1</v>
      </c>
      <c r="K5" s="188">
        <v>1</v>
      </c>
      <c r="L5" s="188">
        <v>1</v>
      </c>
      <c r="M5" s="188" t="s">
        <v>465</v>
      </c>
      <c r="N5" s="186" t="s">
        <v>789</v>
      </c>
    </row>
    <row r="6" spans="1:14" ht="60">
      <c r="A6" s="188" t="s">
        <v>216</v>
      </c>
      <c r="B6" s="188" t="s">
        <v>788</v>
      </c>
      <c r="C6" s="188">
        <v>2</v>
      </c>
      <c r="D6" s="188" t="s">
        <v>18</v>
      </c>
      <c r="E6" s="188">
        <v>1</v>
      </c>
      <c r="F6" s="188">
        <v>4</v>
      </c>
      <c r="G6" s="188">
        <v>1</v>
      </c>
      <c r="H6" s="188">
        <v>5</v>
      </c>
      <c r="I6" s="188">
        <v>1</v>
      </c>
      <c r="J6" s="188">
        <v>1</v>
      </c>
      <c r="K6" s="188">
        <v>4</v>
      </c>
      <c r="L6" s="188">
        <v>1</v>
      </c>
      <c r="M6" s="183"/>
      <c r="N6" s="183" t="s">
        <v>787</v>
      </c>
    </row>
    <row r="7" spans="1:14" hidden="1">
      <c r="A7" s="188" t="s">
        <v>786</v>
      </c>
      <c r="B7" s="188" t="s">
        <v>743</v>
      </c>
      <c r="C7" s="188">
        <v>2</v>
      </c>
      <c r="D7" s="188" t="s">
        <v>18</v>
      </c>
      <c r="E7" s="188">
        <v>1</v>
      </c>
      <c r="F7" s="188">
        <v>1</v>
      </c>
      <c r="G7" s="188">
        <v>1</v>
      </c>
      <c r="H7" s="188">
        <v>1</v>
      </c>
      <c r="I7" s="188">
        <v>1</v>
      </c>
      <c r="J7" s="188">
        <v>1</v>
      </c>
      <c r="K7" s="188">
        <v>1</v>
      </c>
      <c r="L7" s="188">
        <v>1</v>
      </c>
      <c r="M7" s="183"/>
      <c r="N7" s="183" t="s">
        <v>785</v>
      </c>
    </row>
    <row r="8" spans="1:14" hidden="1">
      <c r="A8" s="188" t="s">
        <v>784</v>
      </c>
      <c r="B8" s="188" t="s">
        <v>783</v>
      </c>
      <c r="C8" s="188">
        <v>2</v>
      </c>
      <c r="D8" s="188" t="s">
        <v>18</v>
      </c>
      <c r="E8" s="188">
        <v>1</v>
      </c>
      <c r="F8" s="188">
        <v>1</v>
      </c>
      <c r="G8" s="188">
        <v>1</v>
      </c>
      <c r="H8" s="188">
        <v>1</v>
      </c>
      <c r="I8" s="188">
        <v>1</v>
      </c>
      <c r="J8" s="188">
        <v>1</v>
      </c>
      <c r="K8" s="188">
        <v>1</v>
      </c>
      <c r="L8" s="188">
        <v>1</v>
      </c>
      <c r="M8" s="183"/>
      <c r="N8" s="183"/>
    </row>
    <row r="9" spans="1:14" ht="75" hidden="1">
      <c r="A9" s="188" t="s">
        <v>782</v>
      </c>
      <c r="B9" s="188" t="s">
        <v>576</v>
      </c>
      <c r="C9" s="188">
        <v>2</v>
      </c>
      <c r="D9" s="188" t="s">
        <v>18</v>
      </c>
      <c r="E9" s="188">
        <v>1</v>
      </c>
      <c r="F9" s="188">
        <v>1</v>
      </c>
      <c r="G9" s="188">
        <v>1</v>
      </c>
      <c r="H9" s="188">
        <v>1</v>
      </c>
      <c r="I9" s="188">
        <v>1</v>
      </c>
      <c r="J9" s="188">
        <v>1</v>
      </c>
      <c r="K9" s="188">
        <v>1</v>
      </c>
      <c r="L9" s="188">
        <v>1</v>
      </c>
      <c r="M9" s="183"/>
      <c r="N9" s="183" t="s">
        <v>781</v>
      </c>
    </row>
    <row r="10" spans="1:14" ht="30" hidden="1">
      <c r="A10" s="188" t="s">
        <v>780</v>
      </c>
      <c r="B10" s="188" t="s">
        <v>569</v>
      </c>
      <c r="C10" s="188">
        <v>2</v>
      </c>
      <c r="D10" s="188" t="s">
        <v>18</v>
      </c>
      <c r="E10" s="188">
        <v>1</v>
      </c>
      <c r="F10" s="188">
        <v>1</v>
      </c>
      <c r="G10" s="188">
        <v>4</v>
      </c>
      <c r="H10" s="188">
        <v>1</v>
      </c>
      <c r="I10" s="188">
        <v>1</v>
      </c>
      <c r="J10" s="188">
        <v>1</v>
      </c>
      <c r="K10" s="188">
        <v>1</v>
      </c>
      <c r="L10" s="188">
        <v>1</v>
      </c>
      <c r="M10" s="183"/>
      <c r="N10" s="183" t="s">
        <v>779</v>
      </c>
    </row>
    <row r="11" spans="1:14" ht="30" hidden="1">
      <c r="A11" s="188" t="s">
        <v>778</v>
      </c>
      <c r="B11" s="188" t="s">
        <v>777</v>
      </c>
      <c r="C11" s="188">
        <v>2</v>
      </c>
      <c r="D11" s="188" t="s">
        <v>18</v>
      </c>
      <c r="E11" s="188">
        <v>1</v>
      </c>
      <c r="F11" s="188">
        <v>1</v>
      </c>
      <c r="G11" s="188">
        <v>1</v>
      </c>
      <c r="H11" s="188">
        <v>1</v>
      </c>
      <c r="I11" s="188">
        <v>1</v>
      </c>
      <c r="J11" s="188">
        <v>1</v>
      </c>
      <c r="K11" s="188">
        <v>1</v>
      </c>
      <c r="L11" s="188">
        <v>1</v>
      </c>
      <c r="M11" s="183"/>
      <c r="N11" s="183" t="s">
        <v>776</v>
      </c>
    </row>
    <row r="12" spans="1:14" ht="45" hidden="1">
      <c r="A12" s="183"/>
      <c r="B12" s="183"/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183" t="s">
        <v>775</v>
      </c>
    </row>
    <row r="13" spans="1:14" hidden="1">
      <c r="A13" s="187" t="s">
        <v>774</v>
      </c>
      <c r="B13" s="187" t="s">
        <v>736</v>
      </c>
      <c r="C13" s="187">
        <v>2</v>
      </c>
      <c r="D13" s="187" t="s">
        <v>268</v>
      </c>
      <c r="E13" s="187">
        <v>2</v>
      </c>
      <c r="F13" s="187">
        <v>1</v>
      </c>
      <c r="G13" s="187">
        <v>2</v>
      </c>
      <c r="H13" s="187">
        <v>1</v>
      </c>
      <c r="I13" s="187">
        <v>1</v>
      </c>
      <c r="J13" s="187">
        <v>1</v>
      </c>
      <c r="K13" s="187">
        <v>1</v>
      </c>
      <c r="L13" s="187">
        <v>1</v>
      </c>
      <c r="M13" s="183"/>
      <c r="N13" s="183"/>
    </row>
    <row r="14" spans="1:14" hidden="1">
      <c r="A14" s="187" t="s">
        <v>773</v>
      </c>
      <c r="B14" s="187" t="s">
        <v>734</v>
      </c>
      <c r="C14" s="187">
        <v>2</v>
      </c>
      <c r="D14" s="187" t="s">
        <v>268</v>
      </c>
      <c r="E14" s="187">
        <v>1</v>
      </c>
      <c r="F14" s="187">
        <v>1</v>
      </c>
      <c r="G14" s="187">
        <v>1</v>
      </c>
      <c r="H14" s="187">
        <v>1</v>
      </c>
      <c r="I14" s="187">
        <v>1</v>
      </c>
      <c r="J14" s="187">
        <v>1</v>
      </c>
      <c r="K14" s="187">
        <v>1</v>
      </c>
      <c r="L14" s="187">
        <v>1</v>
      </c>
      <c r="M14" s="187" t="s">
        <v>465</v>
      </c>
      <c r="N14" s="183"/>
    </row>
    <row r="15" spans="1:14" hidden="1">
      <c r="A15" s="187" t="s">
        <v>772</v>
      </c>
      <c r="B15" s="187" t="s">
        <v>728</v>
      </c>
      <c r="C15" s="187">
        <v>2</v>
      </c>
      <c r="D15" s="187" t="s">
        <v>268</v>
      </c>
      <c r="E15" s="187">
        <v>1</v>
      </c>
      <c r="F15" s="187">
        <v>1</v>
      </c>
      <c r="G15" s="187">
        <v>1</v>
      </c>
      <c r="H15" s="187">
        <v>1</v>
      </c>
      <c r="I15" s="187">
        <v>1</v>
      </c>
      <c r="J15" s="187">
        <v>1</v>
      </c>
      <c r="K15" s="187">
        <v>1</v>
      </c>
      <c r="L15" s="187">
        <v>1</v>
      </c>
      <c r="M15" s="183"/>
      <c r="N15" s="183"/>
    </row>
    <row r="16" spans="1:14" hidden="1">
      <c r="A16" s="187" t="s">
        <v>771</v>
      </c>
      <c r="B16" s="187" t="s">
        <v>615</v>
      </c>
      <c r="C16" s="187">
        <v>2</v>
      </c>
      <c r="D16" s="187" t="s">
        <v>268</v>
      </c>
      <c r="E16" s="187">
        <v>1</v>
      </c>
      <c r="F16" s="187">
        <v>2</v>
      </c>
      <c r="G16" s="187">
        <v>1</v>
      </c>
      <c r="H16" s="187">
        <v>1</v>
      </c>
      <c r="I16" s="187">
        <v>1</v>
      </c>
      <c r="J16" s="187">
        <v>1</v>
      </c>
      <c r="K16" s="187">
        <v>1</v>
      </c>
      <c r="L16" s="187">
        <v>1</v>
      </c>
      <c r="M16" s="183"/>
      <c r="N16" s="183"/>
    </row>
    <row r="17" spans="1:14" hidden="1">
      <c r="A17" s="187" t="s">
        <v>770</v>
      </c>
      <c r="B17" s="187" t="s">
        <v>769</v>
      </c>
      <c r="C17" s="187">
        <v>2</v>
      </c>
      <c r="D17" s="187" t="s">
        <v>268</v>
      </c>
      <c r="E17" s="187">
        <v>1</v>
      </c>
      <c r="F17" s="187">
        <v>1</v>
      </c>
      <c r="G17" s="187">
        <v>1</v>
      </c>
      <c r="H17" s="187">
        <v>1</v>
      </c>
      <c r="I17" s="187">
        <v>1</v>
      </c>
      <c r="J17" s="187">
        <v>1</v>
      </c>
      <c r="K17" s="187">
        <v>1</v>
      </c>
      <c r="L17" s="187">
        <v>1</v>
      </c>
      <c r="M17" s="183"/>
      <c r="N17" s="183"/>
    </row>
    <row r="18" spans="1:14" hidden="1">
      <c r="A18" s="187" t="s">
        <v>768</v>
      </c>
      <c r="B18" s="187" t="s">
        <v>757</v>
      </c>
      <c r="C18" s="187">
        <v>2</v>
      </c>
      <c r="D18" s="187" t="s">
        <v>268</v>
      </c>
      <c r="E18" s="187">
        <v>1</v>
      </c>
      <c r="F18" s="187">
        <v>1</v>
      </c>
      <c r="G18" s="187">
        <v>1</v>
      </c>
      <c r="H18" s="187">
        <v>1</v>
      </c>
      <c r="I18" s="187">
        <v>1</v>
      </c>
      <c r="J18" s="187">
        <v>1</v>
      </c>
      <c r="K18" s="187">
        <v>1</v>
      </c>
      <c r="L18" s="187">
        <v>1</v>
      </c>
      <c r="M18" s="183"/>
      <c r="N18" s="183"/>
    </row>
    <row r="19" spans="1:14" hidden="1">
      <c r="A19" s="187" t="s">
        <v>767</v>
      </c>
      <c r="B19" s="187" t="s">
        <v>732</v>
      </c>
      <c r="C19" s="187">
        <v>2</v>
      </c>
      <c r="D19" s="187" t="s">
        <v>268</v>
      </c>
      <c r="E19" s="187">
        <v>1</v>
      </c>
      <c r="F19" s="187">
        <v>1</v>
      </c>
      <c r="G19" s="187">
        <v>1</v>
      </c>
      <c r="H19" s="187">
        <v>1</v>
      </c>
      <c r="I19" s="187">
        <v>1</v>
      </c>
      <c r="J19" s="187">
        <v>1</v>
      </c>
      <c r="K19" s="187">
        <v>1</v>
      </c>
      <c r="L19" s="187">
        <v>1</v>
      </c>
      <c r="M19" s="183"/>
      <c r="N19" s="183"/>
    </row>
    <row r="20" spans="1:14" hidden="1">
      <c r="A20" s="187" t="s">
        <v>766</v>
      </c>
      <c r="B20" s="187" t="s">
        <v>730</v>
      </c>
      <c r="C20" s="187">
        <v>2</v>
      </c>
      <c r="D20" s="187" t="s">
        <v>268</v>
      </c>
      <c r="E20" s="187">
        <v>1</v>
      </c>
      <c r="F20" s="187">
        <v>1</v>
      </c>
      <c r="G20" s="187">
        <v>1</v>
      </c>
      <c r="H20" s="187">
        <v>1</v>
      </c>
      <c r="I20" s="187">
        <v>1</v>
      </c>
      <c r="J20" s="187">
        <v>1</v>
      </c>
      <c r="K20" s="187">
        <v>1</v>
      </c>
      <c r="L20" s="187">
        <v>1</v>
      </c>
      <c r="M20" s="183"/>
      <c r="N20" s="183"/>
    </row>
    <row r="21" spans="1:14" hidden="1">
      <c r="A21" s="187" t="s">
        <v>765</v>
      </c>
      <c r="B21" s="187" t="s">
        <v>738</v>
      </c>
      <c r="C21" s="187">
        <v>2</v>
      </c>
      <c r="D21" s="187" t="s">
        <v>268</v>
      </c>
      <c r="E21" s="187">
        <v>1</v>
      </c>
      <c r="F21" s="187">
        <v>2</v>
      </c>
      <c r="G21" s="187">
        <v>1</v>
      </c>
      <c r="H21" s="187">
        <v>1</v>
      </c>
      <c r="I21" s="187">
        <v>1</v>
      </c>
      <c r="J21" s="187">
        <v>1</v>
      </c>
      <c r="K21" s="187">
        <v>2</v>
      </c>
      <c r="L21" s="187">
        <v>2</v>
      </c>
      <c r="M21" s="183"/>
      <c r="N21" s="183"/>
    </row>
    <row r="22" spans="1:14">
      <c r="A22" s="187" t="s">
        <v>153</v>
      </c>
      <c r="B22" s="187" t="s">
        <v>747</v>
      </c>
      <c r="C22" s="187">
        <v>2</v>
      </c>
      <c r="D22" s="187" t="s">
        <v>268</v>
      </c>
      <c r="E22" s="187">
        <v>3</v>
      </c>
      <c r="F22" s="187">
        <v>4</v>
      </c>
      <c r="G22" s="187">
        <v>1</v>
      </c>
      <c r="H22" s="187">
        <v>3</v>
      </c>
      <c r="I22" s="187">
        <v>3</v>
      </c>
      <c r="J22" s="187">
        <v>3</v>
      </c>
      <c r="K22" s="187">
        <v>3</v>
      </c>
      <c r="L22" s="187">
        <v>3</v>
      </c>
      <c r="M22" s="187" t="s">
        <v>465</v>
      </c>
      <c r="N22" s="183"/>
    </row>
    <row r="23" spans="1:14" hidden="1">
      <c r="A23" s="187" t="s">
        <v>764</v>
      </c>
      <c r="B23" s="187" t="s">
        <v>751</v>
      </c>
      <c r="C23" s="187">
        <v>2</v>
      </c>
      <c r="D23" s="187" t="s">
        <v>268</v>
      </c>
      <c r="E23" s="187">
        <v>1</v>
      </c>
      <c r="F23" s="187">
        <v>1</v>
      </c>
      <c r="G23" s="187">
        <v>1</v>
      </c>
      <c r="H23" s="187">
        <v>1</v>
      </c>
      <c r="I23" s="187">
        <v>1</v>
      </c>
      <c r="J23" s="187">
        <v>1</v>
      </c>
      <c r="K23" s="187">
        <v>1</v>
      </c>
      <c r="L23" s="187">
        <v>1</v>
      </c>
      <c r="M23" s="183"/>
      <c r="N23" s="183"/>
    </row>
    <row r="24" spans="1:14" hidden="1">
      <c r="A24" s="183"/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</row>
    <row r="25" spans="1:14" hidden="1">
      <c r="A25" s="185" t="s">
        <v>763</v>
      </c>
      <c r="B25" s="185" t="s">
        <v>736</v>
      </c>
      <c r="C25" s="185">
        <v>2</v>
      </c>
      <c r="D25" s="185" t="s">
        <v>269</v>
      </c>
      <c r="E25" s="185">
        <v>1</v>
      </c>
      <c r="F25" s="185">
        <v>1</v>
      </c>
      <c r="G25" s="185">
        <v>1</v>
      </c>
      <c r="H25" s="185">
        <v>1</v>
      </c>
      <c r="I25" s="185">
        <v>1</v>
      </c>
      <c r="J25" s="185">
        <v>1</v>
      </c>
      <c r="K25" s="185">
        <v>1</v>
      </c>
      <c r="L25" s="185">
        <v>1</v>
      </c>
      <c r="M25" s="183"/>
      <c r="N25" s="183"/>
    </row>
    <row r="26" spans="1:14" hidden="1">
      <c r="A26" s="185" t="s">
        <v>157</v>
      </c>
      <c r="B26" s="185" t="s">
        <v>734</v>
      </c>
      <c r="C26" s="185">
        <v>2</v>
      </c>
      <c r="D26" s="185" t="s">
        <v>269</v>
      </c>
      <c r="E26" s="185">
        <v>5</v>
      </c>
      <c r="F26" s="185">
        <v>1</v>
      </c>
      <c r="G26" s="185">
        <v>1</v>
      </c>
      <c r="H26" s="185">
        <v>1</v>
      </c>
      <c r="I26" s="185">
        <v>1</v>
      </c>
      <c r="J26" s="185">
        <v>1</v>
      </c>
      <c r="K26" s="185">
        <v>1</v>
      </c>
      <c r="L26" s="185">
        <v>1</v>
      </c>
      <c r="M26" s="183"/>
      <c r="N26" s="183"/>
    </row>
    <row r="27" spans="1:14" hidden="1">
      <c r="A27" s="185" t="s">
        <v>762</v>
      </c>
      <c r="B27" s="185" t="s">
        <v>728</v>
      </c>
      <c r="C27" s="185">
        <v>2</v>
      </c>
      <c r="D27" s="185" t="s">
        <v>269</v>
      </c>
      <c r="E27" s="185">
        <v>2</v>
      </c>
      <c r="F27" s="185">
        <v>1</v>
      </c>
      <c r="G27" s="185">
        <v>2</v>
      </c>
      <c r="H27" s="185">
        <v>1</v>
      </c>
      <c r="I27" s="185">
        <v>1</v>
      </c>
      <c r="J27" s="185">
        <v>1</v>
      </c>
      <c r="K27" s="185">
        <v>1</v>
      </c>
      <c r="L27" s="185">
        <v>1</v>
      </c>
      <c r="M27" s="183"/>
      <c r="N27" s="183"/>
    </row>
    <row r="28" spans="1:14" hidden="1">
      <c r="A28" s="185" t="s">
        <v>761</v>
      </c>
      <c r="B28" s="185" t="s">
        <v>615</v>
      </c>
      <c r="C28" s="185">
        <v>2</v>
      </c>
      <c r="D28" s="185" t="s">
        <v>269</v>
      </c>
      <c r="E28" s="185">
        <v>1</v>
      </c>
      <c r="F28" s="185">
        <v>1</v>
      </c>
      <c r="G28" s="185">
        <v>1</v>
      </c>
      <c r="H28" s="185">
        <v>1</v>
      </c>
      <c r="I28" s="185">
        <v>1</v>
      </c>
      <c r="J28" s="185">
        <v>1</v>
      </c>
      <c r="K28" s="185">
        <v>1</v>
      </c>
      <c r="L28" s="185">
        <v>1</v>
      </c>
      <c r="M28" s="183"/>
      <c r="N28" s="183"/>
    </row>
    <row r="29" spans="1:14" hidden="1">
      <c r="A29" s="185" t="s">
        <v>760</v>
      </c>
      <c r="B29" s="185" t="s">
        <v>759</v>
      </c>
      <c r="C29" s="185">
        <v>2</v>
      </c>
      <c r="D29" s="185" t="s">
        <v>269</v>
      </c>
      <c r="E29" s="185">
        <v>1</v>
      </c>
      <c r="F29" s="185">
        <v>1</v>
      </c>
      <c r="G29" s="185">
        <v>1</v>
      </c>
      <c r="H29" s="185">
        <v>1</v>
      </c>
      <c r="I29" s="185">
        <v>1</v>
      </c>
      <c r="J29" s="185">
        <v>1</v>
      </c>
      <c r="K29" s="185">
        <v>1</v>
      </c>
      <c r="L29" s="185">
        <v>1</v>
      </c>
      <c r="M29" s="183"/>
      <c r="N29" s="183"/>
    </row>
    <row r="30" spans="1:14" hidden="1">
      <c r="A30" s="185" t="s">
        <v>758</v>
      </c>
      <c r="B30" s="185" t="s">
        <v>757</v>
      </c>
      <c r="C30" s="185">
        <v>2</v>
      </c>
      <c r="D30" s="185" t="s">
        <v>269</v>
      </c>
      <c r="E30" s="185">
        <v>1</v>
      </c>
      <c r="F30" s="185">
        <v>1</v>
      </c>
      <c r="G30" s="185">
        <v>1</v>
      </c>
      <c r="H30" s="185">
        <v>1</v>
      </c>
      <c r="I30" s="185">
        <v>1</v>
      </c>
      <c r="J30" s="185">
        <v>1</v>
      </c>
      <c r="K30" s="185">
        <v>1</v>
      </c>
      <c r="L30" s="185">
        <v>1</v>
      </c>
      <c r="M30" s="185" t="s">
        <v>465</v>
      </c>
      <c r="N30" s="183"/>
    </row>
    <row r="31" spans="1:14" hidden="1">
      <c r="A31" s="185" t="s">
        <v>756</v>
      </c>
      <c r="B31" s="185" t="s">
        <v>730</v>
      </c>
      <c r="C31" s="185">
        <v>2</v>
      </c>
      <c r="D31" s="185" t="s">
        <v>269</v>
      </c>
      <c r="E31" s="185">
        <v>1</v>
      </c>
      <c r="F31" s="185">
        <v>1</v>
      </c>
      <c r="G31" s="185">
        <v>4</v>
      </c>
      <c r="H31" s="185">
        <v>1</v>
      </c>
      <c r="I31" s="185">
        <v>1</v>
      </c>
      <c r="J31" s="185">
        <v>1</v>
      </c>
      <c r="K31" s="185">
        <v>1</v>
      </c>
      <c r="L31" s="185">
        <v>1</v>
      </c>
      <c r="M31" s="183"/>
      <c r="N31" s="183"/>
    </row>
    <row r="32" spans="1:14" hidden="1">
      <c r="A32" s="185" t="s">
        <v>755</v>
      </c>
      <c r="B32" s="185" t="s">
        <v>738</v>
      </c>
      <c r="C32" s="185">
        <v>2</v>
      </c>
      <c r="D32" s="185" t="s">
        <v>269</v>
      </c>
      <c r="E32" s="185">
        <v>1</v>
      </c>
      <c r="F32" s="185">
        <v>1</v>
      </c>
      <c r="G32" s="185">
        <v>1</v>
      </c>
      <c r="H32" s="185">
        <v>1</v>
      </c>
      <c r="I32" s="185">
        <v>1</v>
      </c>
      <c r="J32" s="185">
        <v>1</v>
      </c>
      <c r="K32" s="185">
        <v>1</v>
      </c>
      <c r="L32" s="185">
        <v>1</v>
      </c>
      <c r="M32" s="185" t="s">
        <v>465</v>
      </c>
      <c r="N32" s="183"/>
    </row>
    <row r="33" spans="1:14" hidden="1">
      <c r="A33" s="185" t="s">
        <v>754</v>
      </c>
      <c r="B33" s="185" t="s">
        <v>747</v>
      </c>
      <c r="C33" s="185">
        <v>2</v>
      </c>
      <c r="D33" s="185" t="s">
        <v>269</v>
      </c>
      <c r="E33" s="185">
        <v>1</v>
      </c>
      <c r="F33" s="185">
        <v>1</v>
      </c>
      <c r="G33" s="185">
        <v>1</v>
      </c>
      <c r="H33" s="185">
        <v>1</v>
      </c>
      <c r="I33" s="185">
        <v>1</v>
      </c>
      <c r="J33" s="185">
        <v>1</v>
      </c>
      <c r="K33" s="185">
        <v>1</v>
      </c>
      <c r="L33" s="185">
        <v>1</v>
      </c>
      <c r="M33" s="183"/>
      <c r="N33" s="183"/>
    </row>
    <row r="34" spans="1:14" ht="30" hidden="1">
      <c r="A34" s="185" t="s">
        <v>753</v>
      </c>
      <c r="B34" s="185" t="s">
        <v>692</v>
      </c>
      <c r="C34" s="185">
        <v>2</v>
      </c>
      <c r="D34" s="185" t="s">
        <v>269</v>
      </c>
      <c r="E34" s="185">
        <v>1</v>
      </c>
      <c r="F34" s="185">
        <v>1</v>
      </c>
      <c r="G34" s="185">
        <v>1</v>
      </c>
      <c r="H34" s="185">
        <v>1</v>
      </c>
      <c r="I34" s="185">
        <v>1</v>
      </c>
      <c r="J34" s="185">
        <v>1</v>
      </c>
      <c r="K34" s="185">
        <v>1</v>
      </c>
      <c r="L34" s="185">
        <v>1</v>
      </c>
      <c r="M34" s="185" t="s">
        <v>465</v>
      </c>
      <c r="N34" s="183"/>
    </row>
    <row r="35" spans="1:14" hidden="1">
      <c r="A35" s="185" t="s">
        <v>752</v>
      </c>
      <c r="B35" s="185" t="s">
        <v>751</v>
      </c>
      <c r="C35" s="185">
        <v>2</v>
      </c>
      <c r="D35" s="185" t="s">
        <v>269</v>
      </c>
      <c r="E35" s="185">
        <v>1</v>
      </c>
      <c r="F35" s="185">
        <v>1</v>
      </c>
      <c r="G35" s="185">
        <v>1</v>
      </c>
      <c r="H35" s="185">
        <v>1</v>
      </c>
      <c r="I35" s="185">
        <v>1</v>
      </c>
      <c r="J35" s="185">
        <v>1</v>
      </c>
      <c r="K35" s="185">
        <v>1</v>
      </c>
      <c r="L35" s="185">
        <v>1</v>
      </c>
      <c r="M35" s="183"/>
      <c r="N35" s="183"/>
    </row>
    <row r="36" spans="1:14" hidden="1">
      <c r="A36" s="185" t="s">
        <v>750</v>
      </c>
      <c r="B36" s="185" t="s">
        <v>714</v>
      </c>
      <c r="C36" s="185">
        <v>2</v>
      </c>
      <c r="D36" s="185" t="s">
        <v>269</v>
      </c>
      <c r="E36" s="185">
        <v>1</v>
      </c>
      <c r="F36" s="185">
        <v>1</v>
      </c>
      <c r="G36" s="185">
        <v>1</v>
      </c>
      <c r="H36" s="185">
        <v>1</v>
      </c>
      <c r="I36" s="185">
        <v>1</v>
      </c>
      <c r="J36" s="185">
        <v>1</v>
      </c>
      <c r="K36" s="185">
        <v>1</v>
      </c>
      <c r="L36" s="185">
        <v>1</v>
      </c>
      <c r="M36" s="183"/>
      <c r="N36" s="183"/>
    </row>
    <row r="37" spans="1:14" hidden="1">
      <c r="A37" s="185" t="s">
        <v>141</v>
      </c>
      <c r="B37" s="185" t="s">
        <v>743</v>
      </c>
      <c r="C37" s="185">
        <v>2</v>
      </c>
      <c r="D37" s="185" t="s">
        <v>269</v>
      </c>
      <c r="E37" s="185">
        <v>2</v>
      </c>
      <c r="F37" s="185">
        <v>1</v>
      </c>
      <c r="G37" s="185">
        <v>1</v>
      </c>
      <c r="H37" s="185">
        <v>3</v>
      </c>
      <c r="I37" s="185">
        <v>3</v>
      </c>
      <c r="J37" s="185">
        <v>1</v>
      </c>
      <c r="K37" s="185">
        <v>5</v>
      </c>
      <c r="L37" s="185">
        <v>3</v>
      </c>
      <c r="M37" s="183"/>
      <c r="N37" s="183"/>
    </row>
    <row r="38" spans="1:14" hidden="1">
      <c r="A38" s="183"/>
      <c r="B38" s="183"/>
      <c r="C38" s="183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</row>
    <row r="39" spans="1:14" hidden="1">
      <c r="A39" s="184" t="s">
        <v>749</v>
      </c>
      <c r="B39" s="184" t="s">
        <v>738</v>
      </c>
      <c r="C39" s="184">
        <v>2</v>
      </c>
      <c r="D39" s="184" t="s">
        <v>270</v>
      </c>
      <c r="E39" s="184">
        <v>1</v>
      </c>
      <c r="F39" s="184">
        <v>1</v>
      </c>
      <c r="G39" s="184">
        <v>1</v>
      </c>
      <c r="H39" s="184">
        <v>1</v>
      </c>
      <c r="I39" s="184">
        <v>1</v>
      </c>
      <c r="J39" s="184">
        <v>1</v>
      </c>
      <c r="K39" s="184">
        <v>1</v>
      </c>
      <c r="L39" s="184">
        <v>1</v>
      </c>
      <c r="M39" s="183"/>
      <c r="N39" s="183"/>
    </row>
    <row r="40" spans="1:14" hidden="1">
      <c r="A40" s="184" t="s">
        <v>748</v>
      </c>
      <c r="B40" s="184" t="s">
        <v>747</v>
      </c>
      <c r="C40" s="184">
        <v>2</v>
      </c>
      <c r="D40" s="184" t="s">
        <v>270</v>
      </c>
      <c r="E40" s="184">
        <v>1</v>
      </c>
      <c r="F40" s="184">
        <v>1</v>
      </c>
      <c r="G40" s="184">
        <v>1</v>
      </c>
      <c r="H40" s="184">
        <v>1</v>
      </c>
      <c r="I40" s="184">
        <v>1</v>
      </c>
      <c r="J40" s="184">
        <v>1</v>
      </c>
      <c r="K40" s="184">
        <v>1</v>
      </c>
      <c r="L40" s="184">
        <v>1</v>
      </c>
      <c r="M40" s="183"/>
      <c r="N40" s="183"/>
    </row>
    <row r="41" spans="1:14" hidden="1">
      <c r="A41" s="184" t="s">
        <v>746</v>
      </c>
      <c r="B41" s="184" t="s">
        <v>736</v>
      </c>
      <c r="C41" s="184">
        <v>2</v>
      </c>
      <c r="D41" s="184" t="s">
        <v>270</v>
      </c>
      <c r="E41" s="184">
        <v>1</v>
      </c>
      <c r="F41" s="184">
        <v>1</v>
      </c>
      <c r="G41" s="184">
        <v>1</v>
      </c>
      <c r="H41" s="184">
        <v>1</v>
      </c>
      <c r="I41" s="184">
        <v>1</v>
      </c>
      <c r="J41" s="184">
        <v>1</v>
      </c>
      <c r="K41" s="184">
        <v>1</v>
      </c>
      <c r="L41" s="184">
        <v>1</v>
      </c>
      <c r="M41" s="183"/>
      <c r="N41" s="183"/>
    </row>
    <row r="42" spans="1:14" hidden="1">
      <c r="A42" s="184" t="s">
        <v>745</v>
      </c>
      <c r="B42" s="184" t="s">
        <v>734</v>
      </c>
      <c r="C42" s="184">
        <v>2</v>
      </c>
      <c r="D42" s="184" t="s">
        <v>270</v>
      </c>
      <c r="E42" s="184">
        <v>1</v>
      </c>
      <c r="F42" s="184">
        <v>1</v>
      </c>
      <c r="G42" s="184">
        <v>1</v>
      </c>
      <c r="H42" s="184">
        <v>1</v>
      </c>
      <c r="I42" s="184">
        <v>1</v>
      </c>
      <c r="J42" s="184">
        <v>1</v>
      </c>
      <c r="K42" s="184">
        <v>1</v>
      </c>
      <c r="L42" s="184">
        <v>1</v>
      </c>
      <c r="M42" s="183"/>
      <c r="N42" s="183"/>
    </row>
    <row r="43" spans="1:14" hidden="1">
      <c r="A43" s="184" t="s">
        <v>744</v>
      </c>
      <c r="B43" s="184" t="s">
        <v>743</v>
      </c>
      <c r="C43" s="184">
        <v>2</v>
      </c>
      <c r="D43" s="184" t="s">
        <v>270</v>
      </c>
      <c r="E43" s="184">
        <v>1</v>
      </c>
      <c r="F43" s="184">
        <v>1</v>
      </c>
      <c r="G43" s="184">
        <v>1</v>
      </c>
      <c r="H43" s="184">
        <v>1</v>
      </c>
      <c r="I43" s="184">
        <v>1</v>
      </c>
      <c r="J43" s="184">
        <v>1</v>
      </c>
      <c r="K43" s="184">
        <v>1</v>
      </c>
      <c r="L43" s="184">
        <v>1</v>
      </c>
      <c r="M43" s="183"/>
      <c r="N43" s="183"/>
    </row>
    <row r="44" spans="1:14" hidden="1">
      <c r="A44" s="184" t="s">
        <v>742</v>
      </c>
      <c r="B44" s="184" t="s">
        <v>714</v>
      </c>
      <c r="C44" s="184">
        <v>2</v>
      </c>
      <c r="D44" s="184" t="s">
        <v>270</v>
      </c>
      <c r="E44" s="184">
        <v>1</v>
      </c>
      <c r="F44" s="184">
        <v>1</v>
      </c>
      <c r="G44" s="184">
        <v>1</v>
      </c>
      <c r="H44" s="184">
        <v>1</v>
      </c>
      <c r="I44" s="184">
        <v>1</v>
      </c>
      <c r="J44" s="184">
        <v>1</v>
      </c>
      <c r="K44" s="184">
        <v>1</v>
      </c>
      <c r="L44" s="184">
        <v>1</v>
      </c>
      <c r="M44" s="183"/>
      <c r="N44" s="183"/>
    </row>
    <row r="45" spans="1:14" hidden="1">
      <c r="A45" s="184" t="s">
        <v>741</v>
      </c>
      <c r="B45" s="184" t="s">
        <v>732</v>
      </c>
      <c r="C45" s="184">
        <v>2</v>
      </c>
      <c r="D45" s="184" t="s">
        <v>270</v>
      </c>
      <c r="E45" s="184">
        <v>1</v>
      </c>
      <c r="F45" s="184">
        <v>1</v>
      </c>
      <c r="G45" s="184">
        <v>1</v>
      </c>
      <c r="H45" s="184">
        <v>1</v>
      </c>
      <c r="I45" s="184">
        <v>1</v>
      </c>
      <c r="J45" s="184">
        <v>3</v>
      </c>
      <c r="K45" s="184">
        <v>1</v>
      </c>
      <c r="L45" s="184">
        <v>1</v>
      </c>
      <c r="M45" s="183"/>
      <c r="N45" s="183"/>
    </row>
    <row r="46" spans="1:14" hidden="1">
      <c r="A46" s="183"/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</row>
    <row r="47" spans="1:14" hidden="1">
      <c r="A47" s="183" t="s">
        <v>740</v>
      </c>
      <c r="B47" s="183" t="s">
        <v>615</v>
      </c>
      <c r="C47" s="183">
        <v>2</v>
      </c>
      <c r="D47" s="183" t="s">
        <v>291</v>
      </c>
      <c r="E47" s="183">
        <v>1</v>
      </c>
      <c r="F47" s="183">
        <v>1</v>
      </c>
      <c r="G47" s="183">
        <v>1</v>
      </c>
      <c r="H47" s="183">
        <v>1</v>
      </c>
      <c r="I47" s="183">
        <v>1</v>
      </c>
      <c r="J47" s="183">
        <v>1</v>
      </c>
      <c r="K47" s="183">
        <v>1</v>
      </c>
      <c r="L47" s="183">
        <v>1</v>
      </c>
      <c r="M47" s="183"/>
      <c r="N47" s="183"/>
    </row>
    <row r="48" spans="1:14" hidden="1">
      <c r="A48" s="183" t="s">
        <v>739</v>
      </c>
      <c r="B48" s="183" t="s">
        <v>738</v>
      </c>
      <c r="C48" s="183">
        <v>2</v>
      </c>
      <c r="D48" s="183" t="s">
        <v>291</v>
      </c>
      <c r="E48" s="183">
        <v>1</v>
      </c>
      <c r="F48" s="183">
        <v>1</v>
      </c>
      <c r="G48" s="183">
        <v>1</v>
      </c>
      <c r="H48" s="183">
        <v>1</v>
      </c>
      <c r="I48" s="183">
        <v>1</v>
      </c>
      <c r="J48" s="183">
        <v>1</v>
      </c>
      <c r="K48" s="183">
        <v>1</v>
      </c>
      <c r="L48" s="183">
        <v>1</v>
      </c>
      <c r="M48" s="183"/>
      <c r="N48" s="183"/>
    </row>
    <row r="49" spans="1:14" hidden="1">
      <c r="A49" s="183" t="s">
        <v>737</v>
      </c>
      <c r="B49" s="183" t="s">
        <v>736</v>
      </c>
      <c r="C49" s="183">
        <v>2</v>
      </c>
      <c r="D49" s="183" t="s">
        <v>291</v>
      </c>
      <c r="E49" s="183">
        <v>1</v>
      </c>
      <c r="F49" s="183">
        <v>1</v>
      </c>
      <c r="G49" s="183">
        <v>1</v>
      </c>
      <c r="H49" s="183">
        <v>1</v>
      </c>
      <c r="I49" s="183">
        <v>1</v>
      </c>
      <c r="J49" s="183">
        <v>1</v>
      </c>
      <c r="K49" s="183">
        <v>1</v>
      </c>
      <c r="L49" s="183">
        <v>1</v>
      </c>
      <c r="M49" s="183"/>
      <c r="N49" s="183"/>
    </row>
    <row r="50" spans="1:14" hidden="1">
      <c r="A50" s="183" t="s">
        <v>735</v>
      </c>
      <c r="B50" s="183" t="s">
        <v>734</v>
      </c>
      <c r="C50" s="183">
        <v>2</v>
      </c>
      <c r="D50" s="183" t="s">
        <v>291</v>
      </c>
      <c r="E50" s="183">
        <v>1</v>
      </c>
      <c r="F50" s="183">
        <v>1</v>
      </c>
      <c r="G50" s="183">
        <v>1</v>
      </c>
      <c r="H50" s="183">
        <v>1</v>
      </c>
      <c r="I50" s="183">
        <v>1</v>
      </c>
      <c r="J50" s="183">
        <v>1</v>
      </c>
      <c r="K50" s="183">
        <v>1</v>
      </c>
      <c r="L50" s="183">
        <v>1</v>
      </c>
      <c r="M50" s="183"/>
      <c r="N50" s="183"/>
    </row>
    <row r="51" spans="1:14" hidden="1">
      <c r="A51" s="183" t="s">
        <v>733</v>
      </c>
      <c r="B51" s="183" t="s">
        <v>732</v>
      </c>
      <c r="C51" s="183">
        <v>2</v>
      </c>
      <c r="D51" s="183" t="s">
        <v>291</v>
      </c>
      <c r="E51" s="183">
        <v>1</v>
      </c>
      <c r="F51" s="183">
        <v>1</v>
      </c>
      <c r="G51" s="183">
        <v>1</v>
      </c>
      <c r="H51" s="183">
        <v>1</v>
      </c>
      <c r="I51" s="183">
        <v>1</v>
      </c>
      <c r="J51" s="183">
        <v>1</v>
      </c>
      <c r="K51" s="183">
        <v>1</v>
      </c>
      <c r="L51" s="183">
        <v>1</v>
      </c>
      <c r="M51" s="183"/>
      <c r="N51" s="183"/>
    </row>
    <row r="52" spans="1:14" hidden="1">
      <c r="A52" s="183" t="s">
        <v>731</v>
      </c>
      <c r="B52" s="183" t="s">
        <v>730</v>
      </c>
      <c r="C52" s="183">
        <v>2</v>
      </c>
      <c r="D52" s="183" t="s">
        <v>291</v>
      </c>
      <c r="E52" s="183">
        <v>1</v>
      </c>
      <c r="F52" s="183">
        <v>1</v>
      </c>
      <c r="G52" s="183">
        <v>1</v>
      </c>
      <c r="H52" s="183">
        <v>1</v>
      </c>
      <c r="I52" s="183">
        <v>1</v>
      </c>
      <c r="J52" s="183">
        <v>1</v>
      </c>
      <c r="K52" s="183">
        <v>1</v>
      </c>
      <c r="L52" s="183">
        <v>1</v>
      </c>
      <c r="M52" s="183"/>
      <c r="N52" s="183"/>
    </row>
    <row r="53" spans="1:14" hidden="1">
      <c r="A53" s="183" t="s">
        <v>729</v>
      </c>
      <c r="B53" s="183" t="s">
        <v>728</v>
      </c>
      <c r="C53" s="183">
        <v>2</v>
      </c>
      <c r="D53" s="183" t="s">
        <v>291</v>
      </c>
      <c r="E53" s="183">
        <v>1</v>
      </c>
      <c r="F53" s="183">
        <v>1</v>
      </c>
      <c r="G53" s="183">
        <v>3</v>
      </c>
      <c r="H53" s="183">
        <v>1</v>
      </c>
      <c r="I53" s="183">
        <v>1</v>
      </c>
      <c r="J53" s="183">
        <v>1</v>
      </c>
      <c r="K53" s="183">
        <v>1</v>
      </c>
      <c r="L53" s="183">
        <v>1</v>
      </c>
      <c r="M53" s="183"/>
      <c r="N53" s="183"/>
    </row>
    <row r="54" spans="1:14" hidden="1">
      <c r="A54" s="183"/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</row>
    <row r="55" spans="1:14" hidden="1">
      <c r="A55" s="183" t="s">
        <v>727</v>
      </c>
      <c r="B55" s="183"/>
      <c r="C55" s="183"/>
      <c r="D55" s="183"/>
      <c r="E55" s="183"/>
      <c r="F55" s="183"/>
      <c r="G55" s="183"/>
      <c r="H55" s="183"/>
      <c r="I55" s="183"/>
      <c r="J55" s="183"/>
      <c r="K55" s="183"/>
      <c r="L55" s="183"/>
      <c r="M55" s="183"/>
      <c r="N55" s="183"/>
    </row>
    <row r="56" spans="1:14" hidden="1">
      <c r="A56" s="188" t="s">
        <v>726</v>
      </c>
      <c r="B56" s="188" t="s">
        <v>725</v>
      </c>
      <c r="C56" s="188">
        <v>3</v>
      </c>
      <c r="D56" s="188" t="s">
        <v>18</v>
      </c>
      <c r="E56" s="188">
        <v>1</v>
      </c>
      <c r="F56" s="188">
        <v>2</v>
      </c>
      <c r="G56" s="188">
        <v>1</v>
      </c>
      <c r="H56" s="188">
        <v>3</v>
      </c>
      <c r="I56" s="188">
        <v>1</v>
      </c>
      <c r="J56" s="188">
        <v>1</v>
      </c>
      <c r="K56" s="188">
        <v>3</v>
      </c>
      <c r="L56" s="188">
        <v>1</v>
      </c>
      <c r="M56" s="183"/>
      <c r="N56" s="183"/>
    </row>
    <row r="57" spans="1:14" ht="30" hidden="1">
      <c r="A57" s="188" t="s">
        <v>724</v>
      </c>
      <c r="B57" s="188" t="s">
        <v>593</v>
      </c>
      <c r="C57" s="188">
        <v>3</v>
      </c>
      <c r="D57" s="188" t="s">
        <v>18</v>
      </c>
      <c r="E57" s="188">
        <v>1</v>
      </c>
      <c r="F57" s="188">
        <v>2</v>
      </c>
      <c r="G57" s="188">
        <v>1</v>
      </c>
      <c r="H57" s="188">
        <v>2</v>
      </c>
      <c r="I57" s="188">
        <v>2</v>
      </c>
      <c r="J57" s="188">
        <v>2</v>
      </c>
      <c r="K57" s="188">
        <v>2</v>
      </c>
      <c r="L57" s="188">
        <v>2</v>
      </c>
      <c r="M57" s="183"/>
      <c r="N57" s="183"/>
    </row>
    <row r="58" spans="1:14" hidden="1">
      <c r="A58" s="188" t="s">
        <v>723</v>
      </c>
      <c r="B58" s="188" t="s">
        <v>722</v>
      </c>
      <c r="C58" s="188">
        <v>3</v>
      </c>
      <c r="D58" s="188" t="s">
        <v>18</v>
      </c>
      <c r="E58" s="188">
        <v>1</v>
      </c>
      <c r="F58" s="188">
        <v>1</v>
      </c>
      <c r="G58" s="188">
        <v>2</v>
      </c>
      <c r="H58" s="188">
        <v>2</v>
      </c>
      <c r="I58" s="188">
        <v>2</v>
      </c>
      <c r="J58" s="188">
        <v>1</v>
      </c>
      <c r="K58" s="188">
        <v>2</v>
      </c>
      <c r="L58" s="188">
        <v>2</v>
      </c>
      <c r="M58" s="183"/>
      <c r="N58" s="183"/>
    </row>
    <row r="59" spans="1:14" ht="30" hidden="1">
      <c r="A59" s="188" t="s">
        <v>721</v>
      </c>
      <c r="B59" s="188" t="s">
        <v>591</v>
      </c>
      <c r="C59" s="188">
        <v>3</v>
      </c>
      <c r="D59" s="188" t="s">
        <v>18</v>
      </c>
      <c r="E59" s="188">
        <v>1</v>
      </c>
      <c r="F59" s="188">
        <v>1</v>
      </c>
      <c r="G59" s="188">
        <v>1</v>
      </c>
      <c r="H59" s="188">
        <v>2</v>
      </c>
      <c r="I59" s="188">
        <v>1</v>
      </c>
      <c r="J59" s="188">
        <v>1</v>
      </c>
      <c r="K59" s="188">
        <v>3</v>
      </c>
      <c r="L59" s="188">
        <v>1</v>
      </c>
      <c r="M59" s="188" t="s">
        <v>465</v>
      </c>
      <c r="N59" s="183"/>
    </row>
    <row r="60" spans="1:14" ht="30">
      <c r="A60" s="188" t="s">
        <v>720</v>
      </c>
      <c r="B60" s="188" t="s">
        <v>589</v>
      </c>
      <c r="C60" s="188">
        <v>3</v>
      </c>
      <c r="D60" s="188" t="s">
        <v>18</v>
      </c>
      <c r="E60" s="188">
        <v>1</v>
      </c>
      <c r="F60" s="188">
        <v>3</v>
      </c>
      <c r="G60" s="188">
        <v>5</v>
      </c>
      <c r="H60" s="188">
        <v>4</v>
      </c>
      <c r="I60" s="188">
        <v>2</v>
      </c>
      <c r="J60" s="188">
        <v>1</v>
      </c>
      <c r="K60" s="188">
        <v>5</v>
      </c>
      <c r="L60" s="188">
        <v>2</v>
      </c>
      <c r="M60" s="183"/>
      <c r="N60" s="183"/>
    </row>
    <row r="61" spans="1:14" ht="30" hidden="1">
      <c r="A61" s="188" t="s">
        <v>719</v>
      </c>
      <c r="B61" s="188" t="s">
        <v>587</v>
      </c>
      <c r="C61" s="188">
        <v>3</v>
      </c>
      <c r="D61" s="188" t="s">
        <v>18</v>
      </c>
      <c r="E61" s="188">
        <v>1</v>
      </c>
      <c r="F61" s="188">
        <v>1</v>
      </c>
      <c r="G61" s="188">
        <v>1</v>
      </c>
      <c r="H61" s="188">
        <v>2</v>
      </c>
      <c r="I61" s="188">
        <v>2</v>
      </c>
      <c r="J61" s="188">
        <v>1</v>
      </c>
      <c r="K61" s="188">
        <v>3</v>
      </c>
      <c r="L61" s="188">
        <v>2</v>
      </c>
      <c r="M61" s="183"/>
      <c r="N61" s="183"/>
    </row>
    <row r="62" spans="1:14" hidden="1">
      <c r="A62" s="188" t="s">
        <v>718</v>
      </c>
      <c r="B62" s="188" t="s">
        <v>586</v>
      </c>
      <c r="C62" s="188">
        <v>3</v>
      </c>
      <c r="D62" s="188" t="s">
        <v>18</v>
      </c>
      <c r="E62" s="188">
        <v>1</v>
      </c>
      <c r="F62" s="188">
        <v>1</v>
      </c>
      <c r="G62" s="188">
        <v>2</v>
      </c>
      <c r="H62" s="188">
        <v>1</v>
      </c>
      <c r="I62" s="188">
        <v>1</v>
      </c>
      <c r="J62" s="188">
        <v>1</v>
      </c>
      <c r="K62" s="188">
        <v>3</v>
      </c>
      <c r="L62" s="188">
        <v>1</v>
      </c>
      <c r="M62" s="183"/>
      <c r="N62" s="183"/>
    </row>
    <row r="63" spans="1:14" ht="30" hidden="1">
      <c r="A63" s="188" t="s">
        <v>717</v>
      </c>
      <c r="B63" s="188" t="s">
        <v>716</v>
      </c>
      <c r="C63" s="188">
        <v>3</v>
      </c>
      <c r="D63" s="188" t="s">
        <v>18</v>
      </c>
      <c r="E63" s="188">
        <v>1</v>
      </c>
      <c r="F63" s="188">
        <v>1</v>
      </c>
      <c r="G63" s="188">
        <v>1</v>
      </c>
      <c r="H63" s="188">
        <v>1</v>
      </c>
      <c r="I63" s="188">
        <v>1</v>
      </c>
      <c r="J63" s="188">
        <v>1</v>
      </c>
      <c r="K63" s="188">
        <v>1</v>
      </c>
      <c r="L63" s="188">
        <v>1</v>
      </c>
      <c r="M63" s="183"/>
      <c r="N63" s="183"/>
    </row>
    <row r="64" spans="1:14" hidden="1">
      <c r="A64" s="188" t="s">
        <v>715</v>
      </c>
      <c r="B64" s="188" t="s">
        <v>714</v>
      </c>
      <c r="C64" s="188">
        <v>3</v>
      </c>
      <c r="D64" s="188" t="s">
        <v>18</v>
      </c>
      <c r="E64" s="188">
        <v>1</v>
      </c>
      <c r="F64" s="188">
        <v>1</v>
      </c>
      <c r="G64" s="188">
        <v>1</v>
      </c>
      <c r="H64" s="188">
        <v>1</v>
      </c>
      <c r="I64" s="188">
        <v>1</v>
      </c>
      <c r="J64" s="188">
        <v>1</v>
      </c>
      <c r="K64" s="188">
        <v>1</v>
      </c>
      <c r="L64" s="188">
        <v>1</v>
      </c>
      <c r="M64" s="183"/>
      <c r="N64" s="183"/>
    </row>
    <row r="65" spans="1:14" hidden="1">
      <c r="A65" s="188" t="s">
        <v>713</v>
      </c>
      <c r="B65" s="188" t="s">
        <v>302</v>
      </c>
      <c r="C65" s="188">
        <v>3</v>
      </c>
      <c r="D65" s="188" t="s">
        <v>18</v>
      </c>
      <c r="E65" s="188">
        <v>1</v>
      </c>
      <c r="F65" s="188">
        <v>1</v>
      </c>
      <c r="G65" s="188">
        <v>1</v>
      </c>
      <c r="H65" s="188">
        <v>1</v>
      </c>
      <c r="I65" s="188">
        <v>2</v>
      </c>
      <c r="J65" s="188">
        <v>1</v>
      </c>
      <c r="K65" s="188">
        <v>1</v>
      </c>
      <c r="L65" s="188">
        <v>1</v>
      </c>
      <c r="M65" s="183"/>
      <c r="N65" s="183"/>
    </row>
    <row r="66" spans="1:14">
      <c r="A66" s="188" t="s">
        <v>712</v>
      </c>
      <c r="B66" s="188" t="s">
        <v>711</v>
      </c>
      <c r="C66" s="188">
        <v>3</v>
      </c>
      <c r="D66" s="188" t="s">
        <v>18</v>
      </c>
      <c r="E66" s="188">
        <v>3</v>
      </c>
      <c r="F66" s="188">
        <v>5</v>
      </c>
      <c r="G66" s="188">
        <v>1</v>
      </c>
      <c r="H66" s="188">
        <v>2</v>
      </c>
      <c r="I66" s="188">
        <v>2</v>
      </c>
      <c r="J66" s="188">
        <v>4</v>
      </c>
      <c r="K66" s="188">
        <v>2</v>
      </c>
      <c r="L66" s="188">
        <v>2</v>
      </c>
      <c r="M66" s="183"/>
      <c r="N66" s="183"/>
    </row>
    <row r="67" spans="1:14" ht="30" hidden="1">
      <c r="A67" s="188" t="s">
        <v>710</v>
      </c>
      <c r="B67" s="188" t="s">
        <v>709</v>
      </c>
      <c r="C67" s="188">
        <v>3</v>
      </c>
      <c r="D67" s="188" t="s">
        <v>18</v>
      </c>
      <c r="E67" s="188">
        <v>1</v>
      </c>
      <c r="F67" s="188">
        <v>1</v>
      </c>
      <c r="G67" s="188">
        <v>1</v>
      </c>
      <c r="H67" s="188">
        <v>2</v>
      </c>
      <c r="I67" s="188">
        <v>1</v>
      </c>
      <c r="J67" s="188">
        <v>1</v>
      </c>
      <c r="K67" s="188">
        <v>2</v>
      </c>
      <c r="L67" s="188">
        <v>1</v>
      </c>
      <c r="M67" s="183"/>
      <c r="N67" s="183"/>
    </row>
    <row r="68" spans="1:14" hidden="1">
      <c r="A68" s="188" t="s">
        <v>708</v>
      </c>
      <c r="B68" s="188" t="s">
        <v>567</v>
      </c>
      <c r="C68" s="188">
        <v>3</v>
      </c>
      <c r="D68" s="188" t="s">
        <v>18</v>
      </c>
      <c r="E68" s="188">
        <v>1</v>
      </c>
      <c r="F68" s="188">
        <v>1</v>
      </c>
      <c r="G68" s="188">
        <v>3</v>
      </c>
      <c r="H68" s="188">
        <v>1</v>
      </c>
      <c r="I68" s="188">
        <v>1</v>
      </c>
      <c r="J68" s="188">
        <v>1</v>
      </c>
      <c r="K68" s="188">
        <v>1</v>
      </c>
      <c r="L68" s="188">
        <v>1</v>
      </c>
      <c r="M68" s="183"/>
      <c r="N68" s="183"/>
    </row>
    <row r="69" spans="1:14" ht="30" hidden="1">
      <c r="A69" s="188" t="s">
        <v>707</v>
      </c>
      <c r="B69" s="188" t="s">
        <v>706</v>
      </c>
      <c r="C69" s="188">
        <v>3</v>
      </c>
      <c r="D69" s="188" t="s">
        <v>18</v>
      </c>
      <c r="E69" s="188">
        <v>1</v>
      </c>
      <c r="F69" s="188">
        <v>1</v>
      </c>
      <c r="G69" s="188">
        <v>1</v>
      </c>
      <c r="H69" s="188">
        <v>4</v>
      </c>
      <c r="I69" s="188">
        <v>1</v>
      </c>
      <c r="J69" s="188">
        <v>1</v>
      </c>
      <c r="K69" s="188">
        <v>4</v>
      </c>
      <c r="L69" s="188">
        <v>1</v>
      </c>
      <c r="M69" s="188" t="s">
        <v>465</v>
      </c>
      <c r="N69" s="183"/>
    </row>
    <row r="70" spans="1:14" ht="30" hidden="1">
      <c r="A70" s="188" t="s">
        <v>705</v>
      </c>
      <c r="B70" s="188" t="s">
        <v>563</v>
      </c>
      <c r="C70" s="188">
        <v>3</v>
      </c>
      <c r="D70" s="188" t="s">
        <v>18</v>
      </c>
      <c r="E70" s="188">
        <v>1</v>
      </c>
      <c r="F70" s="188">
        <v>1</v>
      </c>
      <c r="G70" s="188">
        <v>2</v>
      </c>
      <c r="H70" s="188">
        <v>1</v>
      </c>
      <c r="I70" s="188">
        <v>1</v>
      </c>
      <c r="J70" s="188">
        <v>1</v>
      </c>
      <c r="K70" s="188">
        <v>1</v>
      </c>
      <c r="L70" s="188">
        <v>1</v>
      </c>
      <c r="M70" s="183"/>
      <c r="N70" s="183"/>
    </row>
    <row r="71" spans="1:14" hidden="1">
      <c r="A71" s="188" t="s">
        <v>704</v>
      </c>
      <c r="B71" s="188" t="s">
        <v>561</v>
      </c>
      <c r="C71" s="188">
        <v>3</v>
      </c>
      <c r="D71" s="188" t="s">
        <v>18</v>
      </c>
      <c r="E71" s="188">
        <v>1</v>
      </c>
      <c r="F71" s="188">
        <v>1</v>
      </c>
      <c r="G71" s="188">
        <v>1</v>
      </c>
      <c r="H71" s="188">
        <v>1</v>
      </c>
      <c r="I71" s="188">
        <v>1</v>
      </c>
      <c r="J71" s="188">
        <v>1</v>
      </c>
      <c r="K71" s="188">
        <v>1</v>
      </c>
      <c r="L71" s="188">
        <v>1</v>
      </c>
      <c r="M71" s="183"/>
      <c r="N71" s="183"/>
    </row>
    <row r="72" spans="1:14" hidden="1">
      <c r="A72" s="188" t="s">
        <v>215</v>
      </c>
      <c r="B72" s="188" t="s">
        <v>378</v>
      </c>
      <c r="C72" s="188">
        <v>3</v>
      </c>
      <c r="D72" s="188" t="s">
        <v>18</v>
      </c>
      <c r="E72" s="188">
        <v>1</v>
      </c>
      <c r="F72" s="188">
        <v>1</v>
      </c>
      <c r="G72" s="188">
        <v>4</v>
      </c>
      <c r="H72" s="188">
        <v>3</v>
      </c>
      <c r="I72" s="188">
        <v>2</v>
      </c>
      <c r="J72" s="188">
        <v>1</v>
      </c>
      <c r="K72" s="188">
        <v>4</v>
      </c>
      <c r="L72" s="188">
        <v>2</v>
      </c>
      <c r="M72" s="183"/>
      <c r="N72" s="183"/>
    </row>
    <row r="73" spans="1:14" ht="30" hidden="1">
      <c r="A73" s="188" t="s">
        <v>703</v>
      </c>
      <c r="B73" s="188" t="s">
        <v>559</v>
      </c>
      <c r="C73" s="188">
        <v>3</v>
      </c>
      <c r="D73" s="188" t="s">
        <v>18</v>
      </c>
      <c r="E73" s="188">
        <v>1</v>
      </c>
      <c r="F73" s="188">
        <v>1</v>
      </c>
      <c r="G73" s="188">
        <v>1</v>
      </c>
      <c r="H73" s="188">
        <v>1</v>
      </c>
      <c r="I73" s="188">
        <v>2</v>
      </c>
      <c r="J73" s="188">
        <v>1</v>
      </c>
      <c r="K73" s="188">
        <v>1</v>
      </c>
      <c r="L73" s="188">
        <v>2</v>
      </c>
      <c r="M73" s="188" t="s">
        <v>465</v>
      </c>
      <c r="N73" s="183"/>
    </row>
    <row r="74" spans="1:14" hidden="1">
      <c r="A74" s="188" t="s">
        <v>702</v>
      </c>
      <c r="B74" s="188" t="s">
        <v>701</v>
      </c>
      <c r="C74" s="188">
        <v>3</v>
      </c>
      <c r="D74" s="188" t="s">
        <v>18</v>
      </c>
      <c r="E74" s="188">
        <v>1</v>
      </c>
      <c r="F74" s="188">
        <v>1</v>
      </c>
      <c r="G74" s="188">
        <v>1</v>
      </c>
      <c r="H74" s="188">
        <v>1</v>
      </c>
      <c r="I74" s="188">
        <v>1</v>
      </c>
      <c r="J74" s="188">
        <v>1</v>
      </c>
      <c r="K74" s="188">
        <v>1</v>
      </c>
      <c r="L74" s="188">
        <v>1</v>
      </c>
      <c r="M74" s="183"/>
      <c r="N74" s="183"/>
    </row>
    <row r="75" spans="1:14" hidden="1">
      <c r="A75" s="188" t="s">
        <v>700</v>
      </c>
      <c r="B75" s="188" t="s">
        <v>699</v>
      </c>
      <c r="C75" s="188">
        <v>3</v>
      </c>
      <c r="D75" s="188" t="s">
        <v>18</v>
      </c>
      <c r="E75" s="188">
        <v>1</v>
      </c>
      <c r="F75" s="188">
        <v>1</v>
      </c>
      <c r="G75" s="188">
        <v>1</v>
      </c>
      <c r="H75" s="188">
        <v>1</v>
      </c>
      <c r="I75" s="188">
        <v>1</v>
      </c>
      <c r="J75" s="188">
        <v>1</v>
      </c>
      <c r="K75" s="188">
        <v>1</v>
      </c>
      <c r="L75" s="188">
        <v>1</v>
      </c>
      <c r="M75" s="188" t="s">
        <v>465</v>
      </c>
      <c r="N75" s="183"/>
    </row>
    <row r="76" spans="1:14" ht="30" hidden="1">
      <c r="A76" s="188" t="s">
        <v>698</v>
      </c>
      <c r="B76" s="188" t="s">
        <v>555</v>
      </c>
      <c r="C76" s="188">
        <v>3</v>
      </c>
      <c r="D76" s="188" t="s">
        <v>18</v>
      </c>
      <c r="E76" s="188">
        <v>1</v>
      </c>
      <c r="F76" s="188">
        <v>1</v>
      </c>
      <c r="G76" s="188">
        <v>1</v>
      </c>
      <c r="H76" s="188">
        <v>1</v>
      </c>
      <c r="I76" s="188">
        <v>1</v>
      </c>
      <c r="J76" s="188">
        <v>1</v>
      </c>
      <c r="K76" s="188">
        <v>1</v>
      </c>
      <c r="L76" s="188">
        <v>1</v>
      </c>
      <c r="M76" s="183"/>
      <c r="N76" s="183"/>
    </row>
    <row r="77" spans="1:14" ht="30" hidden="1">
      <c r="A77" s="188" t="s">
        <v>697</v>
      </c>
      <c r="B77" s="188" t="s">
        <v>553</v>
      </c>
      <c r="C77" s="188">
        <v>3</v>
      </c>
      <c r="D77" s="188" t="s">
        <v>18</v>
      </c>
      <c r="E77" s="188">
        <v>1</v>
      </c>
      <c r="F77" s="188">
        <v>1</v>
      </c>
      <c r="G77" s="188">
        <v>1</v>
      </c>
      <c r="H77" s="188">
        <v>1</v>
      </c>
      <c r="I77" s="188">
        <v>1</v>
      </c>
      <c r="J77" s="188">
        <v>1</v>
      </c>
      <c r="K77" s="188">
        <v>1</v>
      </c>
      <c r="L77" s="188">
        <v>1</v>
      </c>
      <c r="M77" s="188" t="s">
        <v>465</v>
      </c>
      <c r="N77" s="183"/>
    </row>
    <row r="78" spans="1:14" ht="30" hidden="1">
      <c r="A78" s="188" t="s">
        <v>696</v>
      </c>
      <c r="B78" s="188" t="s">
        <v>551</v>
      </c>
      <c r="C78" s="188">
        <v>3</v>
      </c>
      <c r="D78" s="188" t="s">
        <v>18</v>
      </c>
      <c r="E78" s="188">
        <v>1</v>
      </c>
      <c r="F78" s="188">
        <v>1</v>
      </c>
      <c r="G78" s="188">
        <v>1</v>
      </c>
      <c r="H78" s="188">
        <v>1</v>
      </c>
      <c r="I78" s="188">
        <v>1</v>
      </c>
      <c r="J78" s="188">
        <v>1</v>
      </c>
      <c r="K78" s="188">
        <v>1</v>
      </c>
      <c r="L78" s="188">
        <v>1</v>
      </c>
      <c r="M78" s="183"/>
      <c r="N78" s="183"/>
    </row>
    <row r="79" spans="1:14" ht="30" hidden="1">
      <c r="A79" s="188" t="s">
        <v>695</v>
      </c>
      <c r="B79" s="188" t="s">
        <v>549</v>
      </c>
      <c r="C79" s="188">
        <v>3</v>
      </c>
      <c r="D79" s="188" t="s">
        <v>18</v>
      </c>
      <c r="E79" s="188">
        <v>1</v>
      </c>
      <c r="F79" s="188">
        <v>1</v>
      </c>
      <c r="G79" s="188">
        <v>1</v>
      </c>
      <c r="H79" s="188">
        <v>1</v>
      </c>
      <c r="I79" s="188">
        <v>1</v>
      </c>
      <c r="J79" s="188">
        <v>1</v>
      </c>
      <c r="K79" s="188">
        <v>1</v>
      </c>
      <c r="L79" s="188">
        <v>1</v>
      </c>
      <c r="M79" s="183"/>
      <c r="N79" s="183"/>
    </row>
    <row r="80" spans="1:14" ht="30" hidden="1">
      <c r="A80" s="188" t="s">
        <v>694</v>
      </c>
      <c r="B80" s="188" t="s">
        <v>547</v>
      </c>
      <c r="C80" s="188">
        <v>3</v>
      </c>
      <c r="D80" s="188" t="s">
        <v>18</v>
      </c>
      <c r="E80" s="188">
        <v>1</v>
      </c>
      <c r="F80" s="188">
        <v>1</v>
      </c>
      <c r="G80" s="188">
        <v>1</v>
      </c>
      <c r="H80" s="188">
        <v>1</v>
      </c>
      <c r="I80" s="188">
        <v>1</v>
      </c>
      <c r="J80" s="188">
        <v>1</v>
      </c>
      <c r="K80" s="188">
        <v>1</v>
      </c>
      <c r="L80" s="188">
        <v>1</v>
      </c>
      <c r="M80" s="183"/>
      <c r="N80" s="183"/>
    </row>
    <row r="81" spans="1:14" ht="30" hidden="1">
      <c r="A81" s="188" t="s">
        <v>693</v>
      </c>
      <c r="B81" s="188" t="s">
        <v>692</v>
      </c>
      <c r="C81" s="188">
        <v>3</v>
      </c>
      <c r="D81" s="188" t="s">
        <v>18</v>
      </c>
      <c r="E81" s="188">
        <v>1</v>
      </c>
      <c r="F81" s="188">
        <v>1</v>
      </c>
      <c r="G81" s="188">
        <v>1</v>
      </c>
      <c r="H81" s="188">
        <v>1</v>
      </c>
      <c r="I81" s="188">
        <v>1</v>
      </c>
      <c r="J81" s="188">
        <v>1</v>
      </c>
      <c r="K81" s="188">
        <v>1</v>
      </c>
      <c r="L81" s="188">
        <v>1</v>
      </c>
      <c r="M81" s="188" t="s">
        <v>465</v>
      </c>
      <c r="N81" s="183"/>
    </row>
    <row r="82" spans="1:14" hidden="1">
      <c r="A82" s="188" t="s">
        <v>691</v>
      </c>
      <c r="B82" s="188" t="s">
        <v>303</v>
      </c>
      <c r="C82" s="188">
        <v>3</v>
      </c>
      <c r="D82" s="188" t="s">
        <v>18</v>
      </c>
      <c r="E82" s="188">
        <v>1</v>
      </c>
      <c r="F82" s="188">
        <v>1</v>
      </c>
      <c r="G82" s="188">
        <v>1</v>
      </c>
      <c r="H82" s="188">
        <v>3</v>
      </c>
      <c r="I82" s="188">
        <v>3</v>
      </c>
      <c r="J82" s="188">
        <v>1</v>
      </c>
      <c r="K82" s="188">
        <v>2</v>
      </c>
      <c r="L82" s="188">
        <v>1</v>
      </c>
      <c r="M82" s="188" t="s">
        <v>465</v>
      </c>
      <c r="N82" s="183"/>
    </row>
    <row r="83" spans="1:14" hidden="1">
      <c r="A83" s="188" t="s">
        <v>690</v>
      </c>
      <c r="B83" s="188" t="s">
        <v>396</v>
      </c>
      <c r="C83" s="188">
        <v>3</v>
      </c>
      <c r="D83" s="188" t="s">
        <v>18</v>
      </c>
      <c r="E83" s="188">
        <v>1</v>
      </c>
      <c r="F83" s="188">
        <v>1</v>
      </c>
      <c r="G83" s="188">
        <v>1</v>
      </c>
      <c r="H83" s="188">
        <v>1</v>
      </c>
      <c r="I83" s="188">
        <v>1</v>
      </c>
      <c r="J83" s="188">
        <v>1</v>
      </c>
      <c r="K83" s="188">
        <v>1</v>
      </c>
      <c r="L83" s="188">
        <v>1</v>
      </c>
      <c r="M83" s="183"/>
      <c r="N83" s="183"/>
    </row>
    <row r="84" spans="1:14" hidden="1">
      <c r="A84" s="188" t="s">
        <v>689</v>
      </c>
      <c r="B84" s="188" t="s">
        <v>286</v>
      </c>
      <c r="C84" s="188">
        <v>3</v>
      </c>
      <c r="D84" s="188" t="s">
        <v>18</v>
      </c>
      <c r="E84" s="188">
        <v>1</v>
      </c>
      <c r="F84" s="188">
        <v>1</v>
      </c>
      <c r="G84" s="188">
        <v>1</v>
      </c>
      <c r="H84" s="188">
        <v>2</v>
      </c>
      <c r="I84" s="188">
        <v>2</v>
      </c>
      <c r="J84" s="188">
        <v>1</v>
      </c>
      <c r="K84" s="188">
        <v>1</v>
      </c>
      <c r="L84" s="188">
        <v>1</v>
      </c>
      <c r="M84" s="183"/>
      <c r="N84" s="183"/>
    </row>
    <row r="85" spans="1:14" hidden="1">
      <c r="A85" s="188" t="s">
        <v>688</v>
      </c>
      <c r="B85" s="188" t="s">
        <v>542</v>
      </c>
      <c r="C85" s="188">
        <v>3</v>
      </c>
      <c r="D85" s="188" t="s">
        <v>18</v>
      </c>
      <c r="E85" s="188">
        <v>1</v>
      </c>
      <c r="F85" s="188">
        <v>1</v>
      </c>
      <c r="G85" s="188">
        <v>1</v>
      </c>
      <c r="H85" s="188">
        <v>1</v>
      </c>
      <c r="I85" s="188">
        <v>1</v>
      </c>
      <c r="J85" s="188">
        <v>1</v>
      </c>
      <c r="K85" s="188">
        <v>1</v>
      </c>
      <c r="L85" s="188">
        <v>1</v>
      </c>
      <c r="M85" s="188" t="s">
        <v>465</v>
      </c>
      <c r="N85" s="183"/>
    </row>
    <row r="86" spans="1:14" hidden="1">
      <c r="A86" s="188" t="s">
        <v>687</v>
      </c>
      <c r="B86" s="188" t="s">
        <v>599</v>
      </c>
      <c r="C86" s="188">
        <v>3</v>
      </c>
      <c r="D86" s="188" t="s">
        <v>18</v>
      </c>
      <c r="E86" s="188">
        <v>1</v>
      </c>
      <c r="F86" s="188">
        <v>1</v>
      </c>
      <c r="G86" s="188">
        <v>2</v>
      </c>
      <c r="H86" s="188">
        <v>1</v>
      </c>
      <c r="I86" s="188">
        <v>1</v>
      </c>
      <c r="J86" s="188">
        <v>1</v>
      </c>
      <c r="K86" s="188">
        <v>1</v>
      </c>
      <c r="L86" s="188">
        <v>1</v>
      </c>
      <c r="M86" s="183"/>
      <c r="N86" s="183"/>
    </row>
    <row r="87" spans="1:14" hidden="1">
      <c r="A87" s="183"/>
      <c r="B87" s="183"/>
      <c r="C87" s="183"/>
      <c r="D87" s="183"/>
      <c r="E87" s="183"/>
      <c r="F87" s="183"/>
      <c r="G87" s="183"/>
      <c r="H87" s="183"/>
      <c r="I87" s="183"/>
      <c r="J87" s="183"/>
      <c r="K87" s="183"/>
      <c r="L87" s="183"/>
      <c r="M87" s="183"/>
      <c r="N87" s="183"/>
    </row>
    <row r="88" spans="1:14" hidden="1">
      <c r="A88" s="187" t="s">
        <v>686</v>
      </c>
      <c r="B88" s="187" t="s">
        <v>595</v>
      </c>
      <c r="C88" s="187">
        <v>3</v>
      </c>
      <c r="D88" s="187" t="s">
        <v>268</v>
      </c>
      <c r="E88" s="187">
        <v>2</v>
      </c>
      <c r="F88" s="187">
        <v>2</v>
      </c>
      <c r="G88" s="187">
        <v>3</v>
      </c>
      <c r="H88" s="187">
        <v>3</v>
      </c>
      <c r="I88" s="187">
        <v>1</v>
      </c>
      <c r="J88" s="187">
        <v>2</v>
      </c>
      <c r="K88" s="187">
        <v>2</v>
      </c>
      <c r="L88" s="187">
        <v>1</v>
      </c>
      <c r="M88" s="183"/>
      <c r="N88" s="183"/>
    </row>
    <row r="89" spans="1:14" ht="30">
      <c r="A89" s="187" t="s">
        <v>685</v>
      </c>
      <c r="B89" s="187" t="s">
        <v>593</v>
      </c>
      <c r="C89" s="187">
        <v>3</v>
      </c>
      <c r="D89" s="187" t="s">
        <v>268</v>
      </c>
      <c r="E89" s="187">
        <v>3</v>
      </c>
      <c r="F89" s="187">
        <v>3</v>
      </c>
      <c r="G89" s="187">
        <v>1</v>
      </c>
      <c r="H89" s="187">
        <v>1</v>
      </c>
      <c r="I89" s="187">
        <v>3</v>
      </c>
      <c r="J89" s="187">
        <v>4</v>
      </c>
      <c r="K89" s="187">
        <v>4</v>
      </c>
      <c r="L89" s="187">
        <v>2</v>
      </c>
      <c r="M89" s="183"/>
      <c r="N89" s="183"/>
    </row>
    <row r="90" spans="1:14" hidden="1">
      <c r="A90" s="187" t="s">
        <v>684</v>
      </c>
      <c r="B90" s="187" t="s">
        <v>309</v>
      </c>
      <c r="C90" s="187">
        <v>3</v>
      </c>
      <c r="D90" s="187" t="s">
        <v>268</v>
      </c>
      <c r="E90" s="187">
        <v>1</v>
      </c>
      <c r="F90" s="187">
        <v>1</v>
      </c>
      <c r="G90" s="187">
        <v>1</v>
      </c>
      <c r="H90" s="187">
        <v>1</v>
      </c>
      <c r="I90" s="187">
        <v>1</v>
      </c>
      <c r="J90" s="187">
        <v>1</v>
      </c>
      <c r="K90" s="187">
        <v>1</v>
      </c>
      <c r="L90" s="187">
        <v>1</v>
      </c>
      <c r="M90" s="187" t="s">
        <v>465</v>
      </c>
      <c r="N90" s="183"/>
    </row>
    <row r="91" spans="1:14" ht="30" hidden="1">
      <c r="A91" s="187" t="s">
        <v>683</v>
      </c>
      <c r="B91" s="187" t="s">
        <v>589</v>
      </c>
      <c r="C91" s="187">
        <v>3</v>
      </c>
      <c r="D91" s="187" t="s">
        <v>268</v>
      </c>
      <c r="E91" s="187">
        <v>1</v>
      </c>
      <c r="F91" s="187">
        <v>1</v>
      </c>
      <c r="G91" s="187">
        <v>2</v>
      </c>
      <c r="H91" s="187">
        <v>3</v>
      </c>
      <c r="I91" s="187">
        <v>3</v>
      </c>
      <c r="J91" s="187">
        <v>1</v>
      </c>
      <c r="K91" s="187">
        <v>2</v>
      </c>
      <c r="L91" s="187">
        <v>1</v>
      </c>
      <c r="M91" s="183"/>
      <c r="N91" s="183"/>
    </row>
    <row r="92" spans="1:14" ht="30">
      <c r="A92" s="187" t="s">
        <v>682</v>
      </c>
      <c r="B92" s="187" t="s">
        <v>587</v>
      </c>
      <c r="C92" s="187">
        <v>3</v>
      </c>
      <c r="D92" s="187" t="s">
        <v>268</v>
      </c>
      <c r="E92" s="187">
        <v>1</v>
      </c>
      <c r="F92" s="187">
        <v>3</v>
      </c>
      <c r="G92" s="187">
        <v>1</v>
      </c>
      <c r="H92" s="187">
        <v>1</v>
      </c>
      <c r="I92" s="187">
        <v>1</v>
      </c>
      <c r="J92" s="187">
        <v>1</v>
      </c>
      <c r="K92" s="187">
        <v>1</v>
      </c>
      <c r="L92" s="187">
        <v>1</v>
      </c>
      <c r="M92" s="183"/>
      <c r="N92" s="183"/>
    </row>
    <row r="93" spans="1:14" hidden="1">
      <c r="A93" s="187" t="s">
        <v>681</v>
      </c>
      <c r="B93" s="187" t="s">
        <v>586</v>
      </c>
      <c r="C93" s="187">
        <v>3</v>
      </c>
      <c r="D93" s="187" t="s">
        <v>268</v>
      </c>
      <c r="E93" s="187">
        <v>1</v>
      </c>
      <c r="F93" s="187">
        <v>1</v>
      </c>
      <c r="G93" s="187">
        <v>4</v>
      </c>
      <c r="H93" s="187">
        <v>2</v>
      </c>
      <c r="I93" s="187">
        <v>1</v>
      </c>
      <c r="J93" s="187">
        <v>1</v>
      </c>
      <c r="K93" s="187">
        <v>3</v>
      </c>
      <c r="L93" s="187">
        <v>1</v>
      </c>
      <c r="M93" s="183"/>
      <c r="N93" s="183"/>
    </row>
    <row r="94" spans="1:14" ht="30" hidden="1">
      <c r="A94" s="187" t="s">
        <v>680</v>
      </c>
      <c r="B94" s="187" t="s">
        <v>591</v>
      </c>
      <c r="C94" s="187">
        <v>3</v>
      </c>
      <c r="D94" s="187" t="s">
        <v>268</v>
      </c>
      <c r="E94" s="187">
        <v>1</v>
      </c>
      <c r="F94" s="187">
        <v>1</v>
      </c>
      <c r="G94" s="187">
        <v>1</v>
      </c>
      <c r="H94" s="187">
        <v>2</v>
      </c>
      <c r="I94" s="187">
        <v>1</v>
      </c>
      <c r="J94" s="187">
        <v>1</v>
      </c>
      <c r="K94" s="187">
        <v>2</v>
      </c>
      <c r="L94" s="187">
        <v>1</v>
      </c>
      <c r="M94" s="183"/>
      <c r="N94" s="183"/>
    </row>
    <row r="95" spans="1:14" ht="30" hidden="1">
      <c r="A95" s="187" t="s">
        <v>679</v>
      </c>
      <c r="B95" s="187" t="s">
        <v>432</v>
      </c>
      <c r="C95" s="187">
        <v>3</v>
      </c>
      <c r="D95" s="187" t="s">
        <v>268</v>
      </c>
      <c r="E95" s="187">
        <v>1</v>
      </c>
      <c r="F95" s="187">
        <v>1</v>
      </c>
      <c r="G95" s="187">
        <v>1</v>
      </c>
      <c r="H95" s="187">
        <v>1</v>
      </c>
      <c r="I95" s="187">
        <v>3</v>
      </c>
      <c r="J95" s="187">
        <v>1</v>
      </c>
      <c r="K95" s="187">
        <v>1</v>
      </c>
      <c r="L95" s="187">
        <v>1</v>
      </c>
      <c r="M95" s="183"/>
      <c r="N95" s="183"/>
    </row>
    <row r="96" spans="1:14" ht="30" hidden="1">
      <c r="A96" s="187" t="s">
        <v>678</v>
      </c>
      <c r="B96" s="187" t="s">
        <v>584</v>
      </c>
      <c r="C96" s="187">
        <v>3</v>
      </c>
      <c r="D96" s="187" t="s">
        <v>268</v>
      </c>
      <c r="E96" s="187">
        <v>1</v>
      </c>
      <c r="F96" s="187">
        <v>1</v>
      </c>
      <c r="G96" s="187">
        <v>1</v>
      </c>
      <c r="H96" s="187">
        <v>1</v>
      </c>
      <c r="I96" s="187">
        <v>1</v>
      </c>
      <c r="J96" s="187">
        <v>1</v>
      </c>
      <c r="K96" s="187">
        <v>1</v>
      </c>
      <c r="L96" s="187">
        <v>1</v>
      </c>
      <c r="M96" s="183"/>
      <c r="N96" s="183"/>
    </row>
    <row r="97" spans="1:14" hidden="1">
      <c r="A97" s="187" t="s">
        <v>677</v>
      </c>
      <c r="B97" s="187" t="s">
        <v>580</v>
      </c>
      <c r="C97" s="187">
        <v>3</v>
      </c>
      <c r="D97" s="187" t="s">
        <v>268</v>
      </c>
      <c r="E97" s="187">
        <v>1</v>
      </c>
      <c r="F97" s="187">
        <v>1</v>
      </c>
      <c r="G97" s="187">
        <v>1</v>
      </c>
      <c r="H97" s="187">
        <v>1</v>
      </c>
      <c r="I97" s="187">
        <v>1</v>
      </c>
      <c r="J97" s="187">
        <v>1</v>
      </c>
      <c r="K97" s="187">
        <v>1</v>
      </c>
      <c r="L97" s="187">
        <v>1</v>
      </c>
      <c r="M97" s="183"/>
      <c r="N97" s="183"/>
    </row>
    <row r="98" spans="1:14" hidden="1">
      <c r="A98" s="187" t="s">
        <v>676</v>
      </c>
      <c r="B98" s="187" t="s">
        <v>302</v>
      </c>
      <c r="C98" s="187">
        <v>3</v>
      </c>
      <c r="D98" s="187" t="s">
        <v>268</v>
      </c>
      <c r="E98" s="187">
        <v>1</v>
      </c>
      <c r="F98" s="187">
        <v>1</v>
      </c>
      <c r="G98" s="187">
        <v>1</v>
      </c>
      <c r="H98" s="187">
        <v>1</v>
      </c>
      <c r="I98" s="187">
        <v>2</v>
      </c>
      <c r="J98" s="187">
        <v>1</v>
      </c>
      <c r="K98" s="187">
        <v>1</v>
      </c>
      <c r="L98" s="187">
        <v>1</v>
      </c>
      <c r="M98" s="187" t="s">
        <v>465</v>
      </c>
      <c r="N98" s="183"/>
    </row>
    <row r="99" spans="1:14" hidden="1">
      <c r="A99" s="187" t="s">
        <v>675</v>
      </c>
      <c r="B99" s="187" t="s">
        <v>573</v>
      </c>
      <c r="C99" s="187">
        <v>3</v>
      </c>
      <c r="D99" s="187" t="s">
        <v>268</v>
      </c>
      <c r="E99" s="187">
        <v>1</v>
      </c>
      <c r="F99" s="187">
        <v>1</v>
      </c>
      <c r="G99" s="187">
        <v>1</v>
      </c>
      <c r="H99" s="187">
        <v>1</v>
      </c>
      <c r="I99" s="187">
        <v>1</v>
      </c>
      <c r="J99" s="187">
        <v>1</v>
      </c>
      <c r="K99" s="187">
        <v>1</v>
      </c>
      <c r="L99" s="187">
        <v>1</v>
      </c>
      <c r="M99" s="187" t="s">
        <v>465</v>
      </c>
      <c r="N99" s="183"/>
    </row>
    <row r="100" spans="1:14" ht="30" hidden="1">
      <c r="A100" s="187" t="s">
        <v>674</v>
      </c>
      <c r="B100" s="187" t="s">
        <v>571</v>
      </c>
      <c r="C100" s="187">
        <v>3</v>
      </c>
      <c r="D100" s="187" t="s">
        <v>268</v>
      </c>
      <c r="E100" s="187">
        <v>2</v>
      </c>
      <c r="F100" s="187">
        <v>2</v>
      </c>
      <c r="G100" s="187">
        <v>1</v>
      </c>
      <c r="H100" s="187">
        <v>1</v>
      </c>
      <c r="I100" s="187">
        <v>1</v>
      </c>
      <c r="J100" s="187">
        <v>5</v>
      </c>
      <c r="K100" s="187">
        <v>1</v>
      </c>
      <c r="L100" s="187">
        <v>1</v>
      </c>
      <c r="M100" s="187" t="s">
        <v>465</v>
      </c>
      <c r="N100" s="183"/>
    </row>
    <row r="101" spans="1:14" hidden="1">
      <c r="A101" s="187" t="s">
        <v>673</v>
      </c>
      <c r="B101" s="187" t="s">
        <v>567</v>
      </c>
      <c r="C101" s="187">
        <v>3</v>
      </c>
      <c r="D101" s="187" t="s">
        <v>268</v>
      </c>
      <c r="E101" s="187">
        <v>1</v>
      </c>
      <c r="F101" s="187">
        <v>1</v>
      </c>
      <c r="G101" s="187">
        <v>1</v>
      </c>
      <c r="H101" s="187">
        <v>1</v>
      </c>
      <c r="I101" s="187">
        <v>1</v>
      </c>
      <c r="J101" s="187">
        <v>1</v>
      </c>
      <c r="K101" s="187">
        <v>1</v>
      </c>
      <c r="L101" s="187">
        <v>1</v>
      </c>
      <c r="M101" s="187" t="s">
        <v>465</v>
      </c>
      <c r="N101" s="183"/>
    </row>
    <row r="102" spans="1:14" ht="30" hidden="1">
      <c r="A102" s="187" t="s">
        <v>672</v>
      </c>
      <c r="B102" s="187" t="s">
        <v>565</v>
      </c>
      <c r="C102" s="187">
        <v>3</v>
      </c>
      <c r="D102" s="187" t="s">
        <v>268</v>
      </c>
      <c r="E102" s="187">
        <v>1</v>
      </c>
      <c r="F102" s="187">
        <v>1</v>
      </c>
      <c r="G102" s="187">
        <v>1</v>
      </c>
      <c r="H102" s="187">
        <v>2</v>
      </c>
      <c r="I102" s="187">
        <v>1</v>
      </c>
      <c r="J102" s="187">
        <v>1</v>
      </c>
      <c r="K102" s="187">
        <v>2</v>
      </c>
      <c r="L102" s="187">
        <v>1</v>
      </c>
      <c r="M102" s="183"/>
      <c r="N102" s="183"/>
    </row>
    <row r="103" spans="1:14" ht="30" hidden="1">
      <c r="A103" s="187" t="s">
        <v>671</v>
      </c>
      <c r="B103" s="187" t="s">
        <v>563</v>
      </c>
      <c r="C103" s="187">
        <v>3</v>
      </c>
      <c r="D103" s="187" t="s">
        <v>268</v>
      </c>
      <c r="E103" s="187">
        <v>1</v>
      </c>
      <c r="F103" s="187">
        <v>1</v>
      </c>
      <c r="G103" s="187">
        <v>1</v>
      </c>
      <c r="H103" s="187">
        <v>1</v>
      </c>
      <c r="I103" s="187">
        <v>1</v>
      </c>
      <c r="J103" s="187">
        <v>1</v>
      </c>
      <c r="K103" s="187">
        <v>1</v>
      </c>
      <c r="L103" s="187">
        <v>1</v>
      </c>
      <c r="M103" s="183"/>
      <c r="N103" s="183"/>
    </row>
    <row r="104" spans="1:14" hidden="1">
      <c r="A104" s="187" t="s">
        <v>670</v>
      </c>
      <c r="B104" s="187" t="s">
        <v>561</v>
      </c>
      <c r="C104" s="187">
        <v>3</v>
      </c>
      <c r="D104" s="187" t="s">
        <v>268</v>
      </c>
      <c r="E104" s="187">
        <v>1</v>
      </c>
      <c r="F104" s="187">
        <v>1</v>
      </c>
      <c r="G104" s="187">
        <v>1</v>
      </c>
      <c r="H104" s="187">
        <v>1</v>
      </c>
      <c r="I104" s="187">
        <v>1</v>
      </c>
      <c r="J104" s="187">
        <v>1</v>
      </c>
      <c r="K104" s="187">
        <v>1</v>
      </c>
      <c r="L104" s="187">
        <v>1</v>
      </c>
      <c r="M104" s="183"/>
      <c r="N104" s="183"/>
    </row>
    <row r="105" spans="1:14" hidden="1">
      <c r="A105" s="187" t="s">
        <v>669</v>
      </c>
      <c r="B105" s="187" t="s">
        <v>378</v>
      </c>
      <c r="C105" s="187">
        <v>3</v>
      </c>
      <c r="D105" s="187" t="s">
        <v>268</v>
      </c>
      <c r="E105" s="187">
        <v>1</v>
      </c>
      <c r="F105" s="187">
        <v>1</v>
      </c>
      <c r="G105" s="187">
        <v>1</v>
      </c>
      <c r="H105" s="187">
        <v>1</v>
      </c>
      <c r="I105" s="187">
        <v>1</v>
      </c>
      <c r="J105" s="187">
        <v>1</v>
      </c>
      <c r="K105" s="187">
        <v>1</v>
      </c>
      <c r="L105" s="187">
        <v>1</v>
      </c>
      <c r="M105" s="187" t="s">
        <v>465</v>
      </c>
      <c r="N105" s="183"/>
    </row>
    <row r="106" spans="1:14" ht="30" hidden="1">
      <c r="A106" s="187" t="s">
        <v>668</v>
      </c>
      <c r="B106" s="187" t="s">
        <v>559</v>
      </c>
      <c r="C106" s="187">
        <v>3</v>
      </c>
      <c r="D106" s="187" t="s">
        <v>268</v>
      </c>
      <c r="E106" s="187">
        <v>1</v>
      </c>
      <c r="F106" s="187">
        <v>1</v>
      </c>
      <c r="G106" s="187">
        <v>1</v>
      </c>
      <c r="H106" s="187">
        <v>1</v>
      </c>
      <c r="I106" s="187">
        <v>1</v>
      </c>
      <c r="J106" s="187">
        <v>1</v>
      </c>
      <c r="K106" s="187">
        <v>1</v>
      </c>
      <c r="L106" s="187">
        <v>1</v>
      </c>
      <c r="M106" s="183"/>
      <c r="N106" s="183"/>
    </row>
    <row r="107" spans="1:14">
      <c r="A107" s="187" t="s">
        <v>667</v>
      </c>
      <c r="B107" s="187" t="s">
        <v>557</v>
      </c>
      <c r="C107" s="187">
        <v>3</v>
      </c>
      <c r="D107" s="187" t="s">
        <v>268</v>
      </c>
      <c r="E107" s="187">
        <v>1</v>
      </c>
      <c r="F107" s="187">
        <v>3</v>
      </c>
      <c r="G107" s="187">
        <v>1</v>
      </c>
      <c r="H107" s="187">
        <v>1</v>
      </c>
      <c r="I107" s="187">
        <v>1</v>
      </c>
      <c r="J107" s="187">
        <v>1</v>
      </c>
      <c r="K107" s="187">
        <v>1</v>
      </c>
      <c r="L107" s="187">
        <v>1</v>
      </c>
      <c r="M107" s="183"/>
      <c r="N107" s="183"/>
    </row>
    <row r="108" spans="1:14" ht="30" hidden="1">
      <c r="A108" s="187" t="s">
        <v>666</v>
      </c>
      <c r="B108" s="187" t="s">
        <v>420</v>
      </c>
      <c r="C108" s="187">
        <v>3</v>
      </c>
      <c r="D108" s="187" t="s">
        <v>268</v>
      </c>
      <c r="E108" s="187">
        <v>1</v>
      </c>
      <c r="F108" s="187">
        <v>1</v>
      </c>
      <c r="G108" s="187">
        <v>1</v>
      </c>
      <c r="H108" s="187">
        <v>1</v>
      </c>
      <c r="I108" s="187">
        <v>1</v>
      </c>
      <c r="J108" s="187">
        <v>1</v>
      </c>
      <c r="K108" s="187">
        <v>1</v>
      </c>
      <c r="L108" s="187">
        <v>1</v>
      </c>
      <c r="M108" s="187" t="s">
        <v>465</v>
      </c>
      <c r="N108" s="183"/>
    </row>
    <row r="109" spans="1:14" ht="30" hidden="1">
      <c r="A109" s="192" t="s">
        <v>665</v>
      </c>
      <c r="B109" s="187" t="s">
        <v>555</v>
      </c>
      <c r="C109" s="187">
        <v>3</v>
      </c>
      <c r="D109" s="187" t="s">
        <v>268</v>
      </c>
      <c r="E109" s="187">
        <v>1</v>
      </c>
      <c r="F109" s="187">
        <v>1</v>
      </c>
      <c r="G109" s="187">
        <v>1</v>
      </c>
      <c r="H109" s="187">
        <v>1</v>
      </c>
      <c r="I109" s="187">
        <v>1</v>
      </c>
      <c r="J109" s="187">
        <v>1</v>
      </c>
      <c r="K109" s="187">
        <v>1</v>
      </c>
      <c r="L109" s="187">
        <v>1</v>
      </c>
      <c r="M109" s="183"/>
      <c r="N109" s="183"/>
    </row>
    <row r="110" spans="1:14" ht="30" hidden="1">
      <c r="A110" s="187" t="s">
        <v>664</v>
      </c>
      <c r="B110" s="187" t="s">
        <v>553</v>
      </c>
      <c r="C110" s="187">
        <v>3</v>
      </c>
      <c r="D110" s="187" t="s">
        <v>268</v>
      </c>
      <c r="E110" s="187">
        <v>1</v>
      </c>
      <c r="F110" s="187">
        <v>1</v>
      </c>
      <c r="G110" s="187">
        <v>1</v>
      </c>
      <c r="H110" s="187">
        <v>1</v>
      </c>
      <c r="I110" s="187">
        <v>1</v>
      </c>
      <c r="J110" s="187">
        <v>1</v>
      </c>
      <c r="K110" s="187">
        <v>1</v>
      </c>
      <c r="L110" s="187">
        <v>1</v>
      </c>
      <c r="M110" s="187" t="s">
        <v>465</v>
      </c>
      <c r="N110" s="183"/>
    </row>
    <row r="111" spans="1:14" ht="30" hidden="1">
      <c r="A111" s="187" t="s">
        <v>663</v>
      </c>
      <c r="B111" s="187" t="s">
        <v>551</v>
      </c>
      <c r="C111" s="187">
        <v>3</v>
      </c>
      <c r="D111" s="187" t="s">
        <v>268</v>
      </c>
      <c r="E111" s="187">
        <v>1</v>
      </c>
      <c r="F111" s="187">
        <v>1</v>
      </c>
      <c r="G111" s="187">
        <v>1</v>
      </c>
      <c r="H111" s="187">
        <v>1</v>
      </c>
      <c r="I111" s="187">
        <v>1</v>
      </c>
      <c r="J111" s="187">
        <v>1</v>
      </c>
      <c r="K111" s="187">
        <v>1</v>
      </c>
      <c r="L111" s="187">
        <v>1</v>
      </c>
      <c r="M111" s="183"/>
      <c r="N111" s="183"/>
    </row>
    <row r="112" spans="1:14" ht="30">
      <c r="A112" s="187" t="s">
        <v>662</v>
      </c>
      <c r="B112" s="187" t="s">
        <v>549</v>
      </c>
      <c r="C112" s="187">
        <v>3</v>
      </c>
      <c r="D112" s="187" t="s">
        <v>268</v>
      </c>
      <c r="E112" s="187">
        <v>3</v>
      </c>
      <c r="F112" s="187">
        <v>4</v>
      </c>
      <c r="G112" s="187">
        <v>1</v>
      </c>
      <c r="H112" s="187">
        <v>4</v>
      </c>
      <c r="I112" s="187">
        <v>2</v>
      </c>
      <c r="J112" s="187">
        <v>2</v>
      </c>
      <c r="K112" s="187">
        <v>4</v>
      </c>
      <c r="L112" s="187">
        <v>2</v>
      </c>
      <c r="M112" s="183"/>
      <c r="N112" s="183"/>
    </row>
    <row r="113" spans="1:14" ht="30" hidden="1">
      <c r="A113" s="187" t="s">
        <v>661</v>
      </c>
      <c r="B113" s="187" t="s">
        <v>547</v>
      </c>
      <c r="C113" s="187">
        <v>3</v>
      </c>
      <c r="D113" s="187" t="s">
        <v>268</v>
      </c>
      <c r="E113" s="187">
        <v>1</v>
      </c>
      <c r="F113" s="187">
        <v>1</v>
      </c>
      <c r="G113" s="187">
        <v>1</v>
      </c>
      <c r="H113" s="187">
        <v>1</v>
      </c>
      <c r="I113" s="187">
        <v>1</v>
      </c>
      <c r="J113" s="187">
        <v>1</v>
      </c>
      <c r="K113" s="187">
        <v>1</v>
      </c>
      <c r="L113" s="187">
        <v>1</v>
      </c>
      <c r="M113" s="183"/>
      <c r="N113" s="183"/>
    </row>
    <row r="114" spans="1:14" hidden="1">
      <c r="A114" s="187" t="s">
        <v>660</v>
      </c>
      <c r="B114" s="187" t="s">
        <v>303</v>
      </c>
      <c r="C114" s="187">
        <v>3</v>
      </c>
      <c r="D114" s="187" t="s">
        <v>268</v>
      </c>
      <c r="E114" s="187">
        <v>1</v>
      </c>
      <c r="F114" s="187">
        <v>1</v>
      </c>
      <c r="G114" s="187">
        <v>1</v>
      </c>
      <c r="H114" s="187">
        <v>1</v>
      </c>
      <c r="I114" s="187">
        <v>1</v>
      </c>
      <c r="J114" s="187">
        <v>1</v>
      </c>
      <c r="K114" s="187">
        <v>1</v>
      </c>
      <c r="L114" s="187">
        <v>1</v>
      </c>
      <c r="M114" s="183"/>
      <c r="N114" s="183"/>
    </row>
    <row r="115" spans="1:14" hidden="1">
      <c r="A115" s="187" t="s">
        <v>659</v>
      </c>
      <c r="B115" s="187" t="s">
        <v>544</v>
      </c>
      <c r="C115" s="187">
        <v>3</v>
      </c>
      <c r="D115" s="187" t="s">
        <v>268</v>
      </c>
      <c r="E115" s="187">
        <v>1</v>
      </c>
      <c r="F115" s="187">
        <v>1</v>
      </c>
      <c r="G115" s="187">
        <v>1</v>
      </c>
      <c r="H115" s="187">
        <v>1</v>
      </c>
      <c r="I115" s="187">
        <v>1</v>
      </c>
      <c r="J115" s="187">
        <v>1</v>
      </c>
      <c r="K115" s="187">
        <v>1</v>
      </c>
      <c r="L115" s="187">
        <v>1</v>
      </c>
      <c r="M115" s="183"/>
      <c r="N115" s="183"/>
    </row>
    <row r="116" spans="1:14">
      <c r="A116" s="187" t="s">
        <v>658</v>
      </c>
      <c r="B116" s="187" t="s">
        <v>542</v>
      </c>
      <c r="C116" s="187">
        <v>3</v>
      </c>
      <c r="D116" s="187" t="s">
        <v>268</v>
      </c>
      <c r="E116" s="187">
        <v>2</v>
      </c>
      <c r="F116" s="187">
        <v>3</v>
      </c>
      <c r="G116" s="187">
        <v>3</v>
      </c>
      <c r="H116" s="187">
        <v>3</v>
      </c>
      <c r="I116" s="187">
        <v>3</v>
      </c>
      <c r="J116" s="187">
        <v>1</v>
      </c>
      <c r="K116" s="187">
        <v>4</v>
      </c>
      <c r="L116" s="187">
        <v>3</v>
      </c>
      <c r="M116" s="183"/>
      <c r="N116" s="183"/>
    </row>
    <row r="117" spans="1:14" hidden="1">
      <c r="A117" s="183"/>
      <c r="B117" s="183"/>
      <c r="C117" s="183"/>
      <c r="D117" s="183"/>
      <c r="E117" s="183"/>
      <c r="F117" s="183"/>
      <c r="G117" s="183"/>
      <c r="H117" s="183"/>
      <c r="I117" s="183"/>
      <c r="J117" s="183"/>
      <c r="K117" s="183"/>
      <c r="L117" s="183"/>
      <c r="M117" s="183"/>
      <c r="N117" s="183"/>
    </row>
    <row r="118" spans="1:14" hidden="1">
      <c r="A118" s="185" t="s">
        <v>657</v>
      </c>
      <c r="B118" s="185" t="s">
        <v>595</v>
      </c>
      <c r="C118" s="185">
        <v>3</v>
      </c>
      <c r="D118" s="185" t="s">
        <v>269</v>
      </c>
      <c r="E118" s="185">
        <v>1</v>
      </c>
      <c r="F118" s="185">
        <v>1</v>
      </c>
      <c r="G118" s="185">
        <v>2</v>
      </c>
      <c r="H118" s="185">
        <v>1</v>
      </c>
      <c r="I118" s="185">
        <v>1</v>
      </c>
      <c r="J118" s="185">
        <v>1</v>
      </c>
      <c r="K118" s="185">
        <v>1</v>
      </c>
      <c r="L118" s="185">
        <v>1</v>
      </c>
      <c r="M118" s="185" t="s">
        <v>465</v>
      </c>
      <c r="N118" s="183"/>
    </row>
    <row r="119" spans="1:14" ht="30" hidden="1">
      <c r="A119" s="185" t="s">
        <v>656</v>
      </c>
      <c r="B119" s="185" t="s">
        <v>593</v>
      </c>
      <c r="C119" s="185">
        <v>3</v>
      </c>
      <c r="D119" s="185" t="s">
        <v>269</v>
      </c>
      <c r="E119" s="185">
        <v>2</v>
      </c>
      <c r="F119" s="185">
        <v>1</v>
      </c>
      <c r="G119" s="185">
        <v>1</v>
      </c>
      <c r="H119" s="185">
        <v>1</v>
      </c>
      <c r="I119" s="185">
        <v>1</v>
      </c>
      <c r="J119" s="185">
        <v>1</v>
      </c>
      <c r="K119" s="185">
        <v>1</v>
      </c>
      <c r="L119" s="185">
        <v>1</v>
      </c>
      <c r="M119" s="183"/>
      <c r="N119" s="183"/>
    </row>
    <row r="120" spans="1:14" hidden="1">
      <c r="A120" s="185" t="s">
        <v>655</v>
      </c>
      <c r="B120" s="185" t="s">
        <v>309</v>
      </c>
      <c r="C120" s="185">
        <v>3</v>
      </c>
      <c r="D120" s="185" t="s">
        <v>269</v>
      </c>
      <c r="E120" s="185">
        <v>1</v>
      </c>
      <c r="F120" s="185">
        <v>1</v>
      </c>
      <c r="G120" s="185">
        <v>1</v>
      </c>
      <c r="H120" s="185">
        <v>1</v>
      </c>
      <c r="I120" s="185">
        <v>1</v>
      </c>
      <c r="J120" s="185">
        <v>1</v>
      </c>
      <c r="K120" s="185">
        <v>1</v>
      </c>
      <c r="L120" s="185">
        <v>1</v>
      </c>
      <c r="M120" s="185" t="s">
        <v>465</v>
      </c>
      <c r="N120" s="183"/>
    </row>
    <row r="121" spans="1:14" ht="30" hidden="1">
      <c r="A121" s="191" t="s">
        <v>654</v>
      </c>
      <c r="B121" s="185" t="s">
        <v>591</v>
      </c>
      <c r="C121" s="185">
        <v>3</v>
      </c>
      <c r="D121" s="185" t="s">
        <v>269</v>
      </c>
      <c r="E121" s="185">
        <v>1</v>
      </c>
      <c r="F121" s="185">
        <v>1</v>
      </c>
      <c r="G121" s="185">
        <v>1</v>
      </c>
      <c r="H121" s="185">
        <v>1</v>
      </c>
      <c r="I121" s="185">
        <v>1</v>
      </c>
      <c r="J121" s="185">
        <v>1</v>
      </c>
      <c r="K121" s="185">
        <v>1</v>
      </c>
      <c r="L121" s="185">
        <v>1</v>
      </c>
      <c r="M121" s="183"/>
      <c r="N121" s="183"/>
    </row>
    <row r="122" spans="1:14" ht="30" hidden="1">
      <c r="A122" s="185" t="s">
        <v>653</v>
      </c>
      <c r="B122" s="185" t="s">
        <v>589</v>
      </c>
      <c r="C122" s="185">
        <v>3</v>
      </c>
      <c r="D122" s="185" t="s">
        <v>269</v>
      </c>
      <c r="E122" s="185">
        <v>1</v>
      </c>
      <c r="F122" s="185">
        <v>1</v>
      </c>
      <c r="G122" s="185">
        <v>2</v>
      </c>
      <c r="H122" s="185">
        <v>2</v>
      </c>
      <c r="I122" s="185">
        <v>1</v>
      </c>
      <c r="J122" s="185">
        <v>1</v>
      </c>
      <c r="K122" s="185">
        <v>2</v>
      </c>
      <c r="L122" s="185">
        <v>1</v>
      </c>
      <c r="M122" s="183"/>
      <c r="N122" s="183"/>
    </row>
    <row r="123" spans="1:14" ht="30" hidden="1">
      <c r="A123" s="185" t="s">
        <v>652</v>
      </c>
      <c r="B123" s="185" t="s">
        <v>587</v>
      </c>
      <c r="C123" s="185">
        <v>3</v>
      </c>
      <c r="D123" s="185" t="s">
        <v>269</v>
      </c>
      <c r="E123" s="185">
        <v>1</v>
      </c>
      <c r="F123" s="185">
        <v>1</v>
      </c>
      <c r="G123" s="185">
        <v>1</v>
      </c>
      <c r="H123" s="185">
        <v>1</v>
      </c>
      <c r="I123" s="185">
        <v>1</v>
      </c>
      <c r="J123" s="185">
        <v>1</v>
      </c>
      <c r="K123" s="185">
        <v>1</v>
      </c>
      <c r="L123" s="185">
        <v>1</v>
      </c>
      <c r="M123" s="183"/>
      <c r="N123" s="183"/>
    </row>
    <row r="124" spans="1:14" hidden="1">
      <c r="A124" s="185" t="s">
        <v>651</v>
      </c>
      <c r="B124" s="185" t="s">
        <v>586</v>
      </c>
      <c r="C124" s="185">
        <v>3</v>
      </c>
      <c r="D124" s="185" t="s">
        <v>269</v>
      </c>
      <c r="E124" s="185">
        <v>1</v>
      </c>
      <c r="F124" s="185">
        <v>1</v>
      </c>
      <c r="G124" s="185">
        <v>2</v>
      </c>
      <c r="H124" s="185">
        <v>2</v>
      </c>
      <c r="I124" s="185">
        <v>1</v>
      </c>
      <c r="J124" s="185">
        <v>1</v>
      </c>
      <c r="K124" s="185">
        <v>2</v>
      </c>
      <c r="L124" s="185">
        <v>1</v>
      </c>
      <c r="M124" s="183"/>
      <c r="N124" s="183"/>
    </row>
    <row r="125" spans="1:14" ht="30" hidden="1">
      <c r="A125" s="185" t="s">
        <v>650</v>
      </c>
      <c r="B125" s="185" t="s">
        <v>584</v>
      </c>
      <c r="C125" s="185">
        <v>3</v>
      </c>
      <c r="D125" s="185" t="s">
        <v>269</v>
      </c>
      <c r="E125" s="185">
        <v>1</v>
      </c>
      <c r="F125" s="185">
        <v>1</v>
      </c>
      <c r="G125" s="185">
        <v>1</v>
      </c>
      <c r="H125" s="185">
        <v>1</v>
      </c>
      <c r="I125" s="185">
        <v>1</v>
      </c>
      <c r="J125" s="185">
        <v>1</v>
      </c>
      <c r="K125" s="185">
        <v>1</v>
      </c>
      <c r="L125" s="185">
        <v>1</v>
      </c>
      <c r="M125" s="183"/>
      <c r="N125" s="183"/>
    </row>
    <row r="126" spans="1:14" ht="30" hidden="1">
      <c r="A126" s="185" t="s">
        <v>649</v>
      </c>
      <c r="B126" s="185" t="s">
        <v>432</v>
      </c>
      <c r="C126" s="185">
        <v>3</v>
      </c>
      <c r="D126" s="185" t="s">
        <v>269</v>
      </c>
      <c r="E126" s="185">
        <v>3</v>
      </c>
      <c r="F126" s="185">
        <v>2</v>
      </c>
      <c r="G126" s="185">
        <v>1</v>
      </c>
      <c r="H126" s="185">
        <v>1</v>
      </c>
      <c r="I126" s="185">
        <v>3</v>
      </c>
      <c r="J126" s="185">
        <v>2</v>
      </c>
      <c r="K126" s="185">
        <v>3</v>
      </c>
      <c r="L126" s="185">
        <v>2</v>
      </c>
      <c r="M126" s="186"/>
      <c r="N126" s="186"/>
    </row>
    <row r="127" spans="1:14" hidden="1">
      <c r="A127" s="185" t="s">
        <v>648</v>
      </c>
      <c r="B127" s="185" t="s">
        <v>302</v>
      </c>
      <c r="C127" s="185">
        <v>3</v>
      </c>
      <c r="D127" s="185" t="s">
        <v>269</v>
      </c>
      <c r="E127" s="185">
        <v>2</v>
      </c>
      <c r="F127" s="185">
        <v>1</v>
      </c>
      <c r="G127" s="185">
        <v>1</v>
      </c>
      <c r="H127" s="185">
        <v>2</v>
      </c>
      <c r="I127" s="185">
        <v>1</v>
      </c>
      <c r="J127" s="185">
        <v>1</v>
      </c>
      <c r="K127" s="185">
        <v>3</v>
      </c>
      <c r="L127" s="185">
        <v>1</v>
      </c>
      <c r="M127" s="183"/>
      <c r="N127" s="183"/>
    </row>
    <row r="128" spans="1:14">
      <c r="A128" s="185" t="s">
        <v>156</v>
      </c>
      <c r="B128" s="185" t="s">
        <v>573</v>
      </c>
      <c r="C128" s="185">
        <v>3</v>
      </c>
      <c r="D128" s="185" t="s">
        <v>269</v>
      </c>
      <c r="E128" s="185">
        <v>5</v>
      </c>
      <c r="F128" s="185">
        <v>4</v>
      </c>
      <c r="G128" s="185">
        <v>3</v>
      </c>
      <c r="H128" s="185">
        <v>5</v>
      </c>
      <c r="I128" s="185">
        <v>5</v>
      </c>
      <c r="J128" s="185">
        <v>5</v>
      </c>
      <c r="K128" s="185">
        <v>4</v>
      </c>
      <c r="L128" s="185">
        <v>3</v>
      </c>
      <c r="M128" s="183"/>
      <c r="N128" s="183"/>
    </row>
    <row r="129" spans="1:14" ht="30" hidden="1">
      <c r="A129" s="185" t="s">
        <v>647</v>
      </c>
      <c r="B129" s="185" t="s">
        <v>571</v>
      </c>
      <c r="C129" s="185">
        <v>3</v>
      </c>
      <c r="D129" s="185" t="s">
        <v>269</v>
      </c>
      <c r="E129" s="185">
        <v>1</v>
      </c>
      <c r="F129" s="185">
        <v>1</v>
      </c>
      <c r="G129" s="185">
        <v>1</v>
      </c>
      <c r="H129" s="185">
        <v>1</v>
      </c>
      <c r="I129" s="185">
        <v>1</v>
      </c>
      <c r="J129" s="185">
        <v>1</v>
      </c>
      <c r="K129" s="185">
        <v>1</v>
      </c>
      <c r="L129" s="185">
        <v>1</v>
      </c>
      <c r="M129" s="183"/>
      <c r="N129" s="183"/>
    </row>
    <row r="130" spans="1:14" hidden="1">
      <c r="A130" s="185" t="s">
        <v>646</v>
      </c>
      <c r="B130" s="185" t="s">
        <v>567</v>
      </c>
      <c r="C130" s="185">
        <v>3</v>
      </c>
      <c r="D130" s="185" t="s">
        <v>269</v>
      </c>
      <c r="E130" s="185">
        <v>1</v>
      </c>
      <c r="F130" s="185">
        <v>1</v>
      </c>
      <c r="G130" s="185">
        <v>1</v>
      </c>
      <c r="H130" s="185">
        <v>1</v>
      </c>
      <c r="I130" s="185">
        <v>1</v>
      </c>
      <c r="J130" s="185">
        <v>1</v>
      </c>
      <c r="K130" s="185">
        <v>1</v>
      </c>
      <c r="L130" s="185">
        <v>1</v>
      </c>
      <c r="M130" s="185" t="s">
        <v>465</v>
      </c>
      <c r="N130" s="183"/>
    </row>
    <row r="131" spans="1:14" ht="30" hidden="1">
      <c r="A131" s="185" t="s">
        <v>645</v>
      </c>
      <c r="B131" s="185" t="s">
        <v>565</v>
      </c>
      <c r="C131" s="185">
        <v>3</v>
      </c>
      <c r="D131" s="185" t="s">
        <v>269</v>
      </c>
      <c r="E131" s="185">
        <v>1</v>
      </c>
      <c r="F131" s="185">
        <v>1</v>
      </c>
      <c r="G131" s="185">
        <v>1</v>
      </c>
      <c r="H131" s="185">
        <v>1</v>
      </c>
      <c r="I131" s="185">
        <v>1</v>
      </c>
      <c r="J131" s="185">
        <v>1</v>
      </c>
      <c r="K131" s="185">
        <v>1</v>
      </c>
      <c r="L131" s="185">
        <v>1</v>
      </c>
      <c r="M131" s="183"/>
      <c r="N131" s="183"/>
    </row>
    <row r="132" spans="1:14" ht="30" hidden="1">
      <c r="A132" s="185" t="s">
        <v>644</v>
      </c>
      <c r="B132" s="185" t="s">
        <v>563</v>
      </c>
      <c r="C132" s="185">
        <v>3</v>
      </c>
      <c r="D132" s="185" t="s">
        <v>269</v>
      </c>
      <c r="E132" s="185">
        <v>1</v>
      </c>
      <c r="F132" s="185">
        <v>1</v>
      </c>
      <c r="G132" s="185">
        <v>1</v>
      </c>
      <c r="H132" s="185">
        <v>1</v>
      </c>
      <c r="I132" s="185">
        <v>1</v>
      </c>
      <c r="J132" s="185">
        <v>1</v>
      </c>
      <c r="K132" s="185">
        <v>1</v>
      </c>
      <c r="L132" s="185">
        <v>1</v>
      </c>
      <c r="M132" s="183"/>
      <c r="N132" s="183"/>
    </row>
    <row r="133" spans="1:14" hidden="1">
      <c r="A133" s="185" t="s">
        <v>643</v>
      </c>
      <c r="B133" s="185" t="s">
        <v>561</v>
      </c>
      <c r="C133" s="185">
        <v>3</v>
      </c>
      <c r="D133" s="185" t="s">
        <v>269</v>
      </c>
      <c r="E133" s="185">
        <v>1</v>
      </c>
      <c r="F133" s="185">
        <v>1</v>
      </c>
      <c r="G133" s="185">
        <v>1</v>
      </c>
      <c r="H133" s="185">
        <v>1</v>
      </c>
      <c r="I133" s="185">
        <v>1</v>
      </c>
      <c r="J133" s="185">
        <v>1</v>
      </c>
      <c r="K133" s="185">
        <v>1</v>
      </c>
      <c r="L133" s="185">
        <v>1</v>
      </c>
      <c r="M133" s="185" t="s">
        <v>465</v>
      </c>
      <c r="N133" s="183"/>
    </row>
    <row r="134" spans="1:14" hidden="1">
      <c r="A134" s="185" t="s">
        <v>642</v>
      </c>
      <c r="B134" s="185" t="s">
        <v>378</v>
      </c>
      <c r="C134" s="185">
        <v>3</v>
      </c>
      <c r="D134" s="185" t="s">
        <v>269</v>
      </c>
      <c r="E134" s="185">
        <v>1</v>
      </c>
      <c r="F134" s="185">
        <v>1</v>
      </c>
      <c r="G134" s="185">
        <v>1</v>
      </c>
      <c r="H134" s="185">
        <v>1</v>
      </c>
      <c r="I134" s="185">
        <v>1</v>
      </c>
      <c r="J134" s="185">
        <v>1</v>
      </c>
      <c r="K134" s="185">
        <v>1</v>
      </c>
      <c r="L134" s="185">
        <v>1</v>
      </c>
      <c r="M134" s="183"/>
      <c r="N134" s="183"/>
    </row>
    <row r="135" spans="1:14" ht="30" hidden="1">
      <c r="A135" s="185" t="s">
        <v>641</v>
      </c>
      <c r="B135" s="185" t="s">
        <v>559</v>
      </c>
      <c r="C135" s="185">
        <v>3</v>
      </c>
      <c r="D135" s="185" t="s">
        <v>269</v>
      </c>
      <c r="E135" s="185">
        <v>3</v>
      </c>
      <c r="F135" s="185">
        <v>1</v>
      </c>
      <c r="G135" s="185">
        <v>1</v>
      </c>
      <c r="H135" s="185">
        <v>3</v>
      </c>
      <c r="I135" s="185">
        <v>1</v>
      </c>
      <c r="J135" s="185">
        <v>1</v>
      </c>
      <c r="K135" s="185">
        <v>5</v>
      </c>
      <c r="L135" s="185">
        <v>1</v>
      </c>
      <c r="M135" s="183"/>
      <c r="N135" s="183"/>
    </row>
    <row r="136" spans="1:14" hidden="1">
      <c r="A136" s="185" t="s">
        <v>640</v>
      </c>
      <c r="B136" s="185" t="s">
        <v>557</v>
      </c>
      <c r="C136" s="185">
        <v>3</v>
      </c>
      <c r="D136" s="185" t="s">
        <v>269</v>
      </c>
      <c r="E136" s="185">
        <v>2</v>
      </c>
      <c r="F136" s="185">
        <v>1</v>
      </c>
      <c r="G136" s="185">
        <v>1</v>
      </c>
      <c r="H136" s="185">
        <v>1</v>
      </c>
      <c r="I136" s="185">
        <v>1</v>
      </c>
      <c r="J136" s="185">
        <v>1</v>
      </c>
      <c r="K136" s="185">
        <v>1</v>
      </c>
      <c r="L136" s="185">
        <v>1</v>
      </c>
      <c r="M136" s="185" t="s">
        <v>465</v>
      </c>
      <c r="N136" s="183"/>
    </row>
    <row r="137" spans="1:14" ht="30" hidden="1">
      <c r="A137" s="185" t="s">
        <v>639</v>
      </c>
      <c r="B137" s="185" t="s">
        <v>420</v>
      </c>
      <c r="C137" s="185">
        <v>3</v>
      </c>
      <c r="D137" s="185" t="s">
        <v>269</v>
      </c>
      <c r="E137" s="185">
        <v>1</v>
      </c>
      <c r="F137" s="185">
        <v>1</v>
      </c>
      <c r="G137" s="185">
        <v>1</v>
      </c>
      <c r="H137" s="185">
        <v>1</v>
      </c>
      <c r="I137" s="185">
        <v>1</v>
      </c>
      <c r="J137" s="185">
        <v>1</v>
      </c>
      <c r="K137" s="185">
        <v>1</v>
      </c>
      <c r="L137" s="185">
        <v>1</v>
      </c>
      <c r="M137" s="183"/>
      <c r="N137" s="183"/>
    </row>
    <row r="138" spans="1:14" ht="30" hidden="1">
      <c r="A138" s="185" t="s">
        <v>638</v>
      </c>
      <c r="B138" s="185" t="s">
        <v>555</v>
      </c>
      <c r="C138" s="185">
        <v>3</v>
      </c>
      <c r="D138" s="185" t="s">
        <v>269</v>
      </c>
      <c r="E138" s="185">
        <v>1</v>
      </c>
      <c r="F138" s="185">
        <v>1</v>
      </c>
      <c r="G138" s="185">
        <v>1</v>
      </c>
      <c r="H138" s="185">
        <v>1</v>
      </c>
      <c r="I138" s="185">
        <v>1</v>
      </c>
      <c r="J138" s="185">
        <v>1</v>
      </c>
      <c r="K138" s="185">
        <v>1</v>
      </c>
      <c r="L138" s="185">
        <v>1</v>
      </c>
      <c r="M138" s="183"/>
      <c r="N138" s="183"/>
    </row>
    <row r="139" spans="1:14" ht="30" hidden="1">
      <c r="A139" s="185" t="s">
        <v>637</v>
      </c>
      <c r="B139" s="185" t="s">
        <v>553</v>
      </c>
      <c r="C139" s="185">
        <v>3</v>
      </c>
      <c r="D139" s="185" t="s">
        <v>269</v>
      </c>
      <c r="E139" s="185">
        <v>1</v>
      </c>
      <c r="F139" s="185">
        <v>1</v>
      </c>
      <c r="G139" s="185">
        <v>1</v>
      </c>
      <c r="H139" s="185">
        <v>1</v>
      </c>
      <c r="I139" s="185">
        <v>1</v>
      </c>
      <c r="J139" s="185">
        <v>1</v>
      </c>
      <c r="K139" s="185">
        <v>1</v>
      </c>
      <c r="L139" s="185">
        <v>1</v>
      </c>
      <c r="M139" s="183"/>
      <c r="N139" s="183"/>
    </row>
    <row r="140" spans="1:14" ht="30" hidden="1">
      <c r="A140" s="185" t="s">
        <v>636</v>
      </c>
      <c r="B140" s="185" t="s">
        <v>551</v>
      </c>
      <c r="C140" s="185">
        <v>3</v>
      </c>
      <c r="D140" s="185" t="s">
        <v>269</v>
      </c>
      <c r="E140" s="185">
        <v>1</v>
      </c>
      <c r="F140" s="185">
        <v>1</v>
      </c>
      <c r="G140" s="185">
        <v>1</v>
      </c>
      <c r="H140" s="185">
        <v>1</v>
      </c>
      <c r="I140" s="185">
        <v>1</v>
      </c>
      <c r="J140" s="185">
        <v>1</v>
      </c>
      <c r="K140" s="185">
        <v>1</v>
      </c>
      <c r="L140" s="185">
        <v>1</v>
      </c>
      <c r="M140" s="185" t="s">
        <v>465</v>
      </c>
      <c r="N140" s="183"/>
    </row>
    <row r="141" spans="1:14" ht="30" hidden="1">
      <c r="A141" s="185" t="s">
        <v>635</v>
      </c>
      <c r="B141" s="185" t="s">
        <v>549</v>
      </c>
      <c r="C141" s="185">
        <v>3</v>
      </c>
      <c r="D141" s="185" t="s">
        <v>269</v>
      </c>
      <c r="E141" s="185">
        <v>1</v>
      </c>
      <c r="F141" s="185">
        <v>1</v>
      </c>
      <c r="G141" s="185">
        <v>1</v>
      </c>
      <c r="H141" s="185">
        <v>1</v>
      </c>
      <c r="I141" s="185">
        <v>1</v>
      </c>
      <c r="J141" s="185">
        <v>1</v>
      </c>
      <c r="K141" s="185">
        <v>1</v>
      </c>
      <c r="L141" s="185">
        <v>1</v>
      </c>
      <c r="M141" s="183"/>
      <c r="N141" s="183"/>
    </row>
    <row r="142" spans="1:14" ht="30" hidden="1">
      <c r="A142" s="185" t="s">
        <v>634</v>
      </c>
      <c r="B142" s="185" t="s">
        <v>547</v>
      </c>
      <c r="C142" s="185">
        <v>3</v>
      </c>
      <c r="D142" s="185" t="s">
        <v>269</v>
      </c>
      <c r="E142" s="185">
        <v>1</v>
      </c>
      <c r="F142" s="185">
        <v>1</v>
      </c>
      <c r="G142" s="185">
        <v>1</v>
      </c>
      <c r="H142" s="185">
        <v>1</v>
      </c>
      <c r="I142" s="185">
        <v>1</v>
      </c>
      <c r="J142" s="185">
        <v>1</v>
      </c>
      <c r="K142" s="185">
        <v>1</v>
      </c>
      <c r="L142" s="185">
        <v>1</v>
      </c>
      <c r="M142" s="183"/>
      <c r="N142" s="183"/>
    </row>
    <row r="143" spans="1:14" hidden="1">
      <c r="A143" s="185" t="s">
        <v>633</v>
      </c>
      <c r="B143" s="185" t="s">
        <v>303</v>
      </c>
      <c r="C143" s="185">
        <v>3</v>
      </c>
      <c r="D143" s="185" t="s">
        <v>269</v>
      </c>
      <c r="E143" s="185">
        <v>2</v>
      </c>
      <c r="F143" s="185">
        <v>1</v>
      </c>
      <c r="G143" s="185">
        <v>3</v>
      </c>
      <c r="H143" s="185">
        <v>2</v>
      </c>
      <c r="I143" s="185">
        <v>1</v>
      </c>
      <c r="J143" s="185">
        <v>1</v>
      </c>
      <c r="K143" s="185">
        <v>3</v>
      </c>
      <c r="L143" s="185">
        <v>1</v>
      </c>
      <c r="M143" s="183"/>
      <c r="N143" s="183"/>
    </row>
    <row r="144" spans="1:14" hidden="1">
      <c r="A144" s="185" t="s">
        <v>632</v>
      </c>
      <c r="B144" s="185" t="s">
        <v>542</v>
      </c>
      <c r="C144" s="185">
        <v>3</v>
      </c>
      <c r="D144" s="185" t="s">
        <v>269</v>
      </c>
      <c r="E144" s="185">
        <v>1</v>
      </c>
      <c r="F144" s="185">
        <v>1</v>
      </c>
      <c r="G144" s="185">
        <v>1</v>
      </c>
      <c r="H144" s="185">
        <v>1</v>
      </c>
      <c r="I144" s="185">
        <v>1</v>
      </c>
      <c r="J144" s="185">
        <v>1</v>
      </c>
      <c r="K144" s="185">
        <v>1</v>
      </c>
      <c r="L144" s="185">
        <v>1</v>
      </c>
      <c r="M144" s="185" t="s">
        <v>465</v>
      </c>
      <c r="N144" s="183"/>
    </row>
    <row r="145" spans="1:14" hidden="1">
      <c r="A145" s="183"/>
      <c r="B145" s="183"/>
      <c r="C145" s="183"/>
      <c r="D145" s="183"/>
      <c r="E145" s="183"/>
      <c r="F145" s="183"/>
      <c r="G145" s="183"/>
      <c r="H145" s="183"/>
      <c r="I145" s="183"/>
      <c r="J145" s="183"/>
      <c r="K145" s="183"/>
      <c r="L145" s="183"/>
      <c r="M145" s="183"/>
      <c r="N145" s="183"/>
    </row>
    <row r="146" spans="1:14" hidden="1">
      <c r="A146" s="184" t="s">
        <v>631</v>
      </c>
      <c r="B146" s="184" t="s">
        <v>595</v>
      </c>
      <c r="C146" s="184">
        <v>3</v>
      </c>
      <c r="D146" s="184" t="s">
        <v>270</v>
      </c>
      <c r="E146" s="184">
        <v>1</v>
      </c>
      <c r="F146" s="184">
        <v>1</v>
      </c>
      <c r="G146" s="184">
        <v>1</v>
      </c>
      <c r="H146" s="184">
        <v>2</v>
      </c>
      <c r="I146" s="184">
        <v>1</v>
      </c>
      <c r="J146" s="184">
        <v>1</v>
      </c>
      <c r="K146" s="184">
        <v>2</v>
      </c>
      <c r="L146" s="184">
        <v>1</v>
      </c>
      <c r="M146" s="183"/>
      <c r="N146" s="183"/>
    </row>
    <row r="147" spans="1:14" ht="30" hidden="1">
      <c r="A147" s="184" t="s">
        <v>630</v>
      </c>
      <c r="B147" s="184" t="s">
        <v>593</v>
      </c>
      <c r="C147" s="184">
        <v>3</v>
      </c>
      <c r="D147" s="184" t="s">
        <v>270</v>
      </c>
      <c r="E147" s="184">
        <v>2</v>
      </c>
      <c r="F147" s="184">
        <v>2</v>
      </c>
      <c r="G147" s="184">
        <v>1</v>
      </c>
      <c r="H147" s="184">
        <v>3</v>
      </c>
      <c r="I147" s="184">
        <v>1</v>
      </c>
      <c r="J147" s="184">
        <v>4</v>
      </c>
      <c r="K147" s="184">
        <v>3</v>
      </c>
      <c r="L147" s="184">
        <v>2</v>
      </c>
      <c r="M147" s="183"/>
      <c r="N147" s="183"/>
    </row>
    <row r="148" spans="1:14" hidden="1">
      <c r="A148" s="184" t="s">
        <v>629</v>
      </c>
      <c r="B148" s="184" t="s">
        <v>309</v>
      </c>
      <c r="C148" s="184">
        <v>3</v>
      </c>
      <c r="D148" s="184" t="s">
        <v>270</v>
      </c>
      <c r="E148" s="184">
        <v>1</v>
      </c>
      <c r="F148" s="184">
        <v>1</v>
      </c>
      <c r="G148" s="184">
        <v>1</v>
      </c>
      <c r="H148" s="184">
        <v>1</v>
      </c>
      <c r="I148" s="184">
        <v>1</v>
      </c>
      <c r="J148" s="184">
        <v>1</v>
      </c>
      <c r="K148" s="184">
        <v>1</v>
      </c>
      <c r="L148" s="184">
        <v>1</v>
      </c>
      <c r="M148" s="183"/>
      <c r="N148" s="183"/>
    </row>
    <row r="149" spans="1:14" ht="30" hidden="1">
      <c r="A149" s="184" t="s">
        <v>628</v>
      </c>
      <c r="B149" s="184" t="s">
        <v>591</v>
      </c>
      <c r="C149" s="184">
        <v>3</v>
      </c>
      <c r="D149" s="184" t="s">
        <v>270</v>
      </c>
      <c r="E149" s="184">
        <v>1</v>
      </c>
      <c r="F149" s="184">
        <v>1</v>
      </c>
      <c r="G149" s="184">
        <v>1</v>
      </c>
      <c r="H149" s="184">
        <v>1</v>
      </c>
      <c r="I149" s="184">
        <v>1</v>
      </c>
      <c r="J149" s="184">
        <v>1</v>
      </c>
      <c r="K149" s="184">
        <v>1</v>
      </c>
      <c r="L149" s="184">
        <v>1</v>
      </c>
      <c r="M149" s="183"/>
      <c r="N149" s="183"/>
    </row>
    <row r="150" spans="1:14" ht="30" hidden="1">
      <c r="A150" s="184" t="s">
        <v>627</v>
      </c>
      <c r="B150" s="184" t="s">
        <v>589</v>
      </c>
      <c r="C150" s="184">
        <v>3</v>
      </c>
      <c r="D150" s="184" t="s">
        <v>270</v>
      </c>
      <c r="E150" s="184">
        <v>1</v>
      </c>
      <c r="F150" s="184">
        <v>1</v>
      </c>
      <c r="G150" s="184">
        <v>1</v>
      </c>
      <c r="H150" s="184">
        <v>1</v>
      </c>
      <c r="I150" s="184">
        <v>1</v>
      </c>
      <c r="J150" s="184">
        <v>1</v>
      </c>
      <c r="K150" s="184">
        <v>1</v>
      </c>
      <c r="L150" s="184">
        <v>1</v>
      </c>
      <c r="M150" s="183"/>
      <c r="N150" s="183"/>
    </row>
    <row r="151" spans="1:14" ht="30" hidden="1">
      <c r="A151" s="184" t="s">
        <v>626</v>
      </c>
      <c r="B151" s="184" t="s">
        <v>587</v>
      </c>
      <c r="C151" s="184">
        <v>3</v>
      </c>
      <c r="D151" s="184" t="s">
        <v>270</v>
      </c>
      <c r="E151" s="184">
        <v>1</v>
      </c>
      <c r="F151" s="184">
        <v>1</v>
      </c>
      <c r="G151" s="184">
        <v>1</v>
      </c>
      <c r="H151" s="184">
        <v>1</v>
      </c>
      <c r="I151" s="184">
        <v>1</v>
      </c>
      <c r="J151" s="184">
        <v>1</v>
      </c>
      <c r="K151" s="184">
        <v>1</v>
      </c>
      <c r="L151" s="184">
        <v>1</v>
      </c>
      <c r="M151" s="183"/>
      <c r="N151" s="183"/>
    </row>
    <row r="152" spans="1:14" hidden="1">
      <c r="A152" s="184" t="s">
        <v>625</v>
      </c>
      <c r="B152" s="184" t="s">
        <v>586</v>
      </c>
      <c r="C152" s="184">
        <v>3</v>
      </c>
      <c r="D152" s="184" t="s">
        <v>270</v>
      </c>
      <c r="E152" s="184">
        <v>1</v>
      </c>
      <c r="F152" s="184">
        <v>1</v>
      </c>
      <c r="G152" s="184">
        <v>1</v>
      </c>
      <c r="H152" s="184">
        <v>1</v>
      </c>
      <c r="I152" s="184">
        <v>1</v>
      </c>
      <c r="J152" s="184">
        <v>1</v>
      </c>
      <c r="K152" s="184">
        <v>1</v>
      </c>
      <c r="L152" s="184">
        <v>1</v>
      </c>
      <c r="M152" s="183"/>
      <c r="N152" s="183"/>
    </row>
    <row r="153" spans="1:14" ht="30" hidden="1">
      <c r="A153" s="184" t="s">
        <v>624</v>
      </c>
      <c r="B153" s="184" t="s">
        <v>584</v>
      </c>
      <c r="C153" s="184">
        <v>3</v>
      </c>
      <c r="D153" s="184" t="s">
        <v>270</v>
      </c>
      <c r="E153" s="184">
        <v>1</v>
      </c>
      <c r="F153" s="184">
        <v>1</v>
      </c>
      <c r="G153" s="184">
        <v>1</v>
      </c>
      <c r="H153" s="184">
        <v>1</v>
      </c>
      <c r="I153" s="184">
        <v>1</v>
      </c>
      <c r="J153" s="184">
        <v>1</v>
      </c>
      <c r="K153" s="184">
        <v>1</v>
      </c>
      <c r="L153" s="184">
        <v>1</v>
      </c>
      <c r="M153" s="183"/>
      <c r="N153" s="183"/>
    </row>
    <row r="154" spans="1:14" hidden="1">
      <c r="A154" s="184" t="s">
        <v>623</v>
      </c>
      <c r="B154" s="184" t="s">
        <v>582</v>
      </c>
      <c r="C154" s="184">
        <v>3</v>
      </c>
      <c r="D154" s="184" t="s">
        <v>270</v>
      </c>
      <c r="E154" s="184">
        <v>1</v>
      </c>
      <c r="F154" s="184">
        <v>1</v>
      </c>
      <c r="G154" s="184">
        <v>1</v>
      </c>
      <c r="H154" s="184">
        <v>1</v>
      </c>
      <c r="I154" s="184">
        <v>1</v>
      </c>
      <c r="J154" s="184">
        <v>2</v>
      </c>
      <c r="K154" s="184">
        <v>1</v>
      </c>
      <c r="L154" s="184">
        <v>1</v>
      </c>
      <c r="M154" s="183"/>
      <c r="N154" s="183"/>
    </row>
    <row r="155" spans="1:14" ht="30" hidden="1">
      <c r="A155" s="184" t="s">
        <v>622</v>
      </c>
      <c r="B155" s="184" t="s">
        <v>432</v>
      </c>
      <c r="C155" s="184">
        <v>3</v>
      </c>
      <c r="D155" s="184" t="s">
        <v>270</v>
      </c>
      <c r="E155" s="184">
        <v>1</v>
      </c>
      <c r="F155" s="184">
        <v>1</v>
      </c>
      <c r="G155" s="184">
        <v>1</v>
      </c>
      <c r="H155" s="184">
        <v>1</v>
      </c>
      <c r="I155" s="184">
        <v>1</v>
      </c>
      <c r="J155" s="184">
        <v>2</v>
      </c>
      <c r="K155" s="184">
        <v>2</v>
      </c>
      <c r="L155" s="184">
        <v>1</v>
      </c>
      <c r="M155" s="183"/>
      <c r="N155" s="183"/>
    </row>
    <row r="156" spans="1:14" hidden="1">
      <c r="A156" s="184" t="s">
        <v>621</v>
      </c>
      <c r="B156" s="184" t="s">
        <v>302</v>
      </c>
      <c r="C156" s="184">
        <v>3</v>
      </c>
      <c r="D156" s="184" t="s">
        <v>270</v>
      </c>
      <c r="E156" s="184">
        <v>1</v>
      </c>
      <c r="F156" s="184">
        <v>1</v>
      </c>
      <c r="G156" s="184">
        <v>1</v>
      </c>
      <c r="H156" s="184">
        <v>1</v>
      </c>
      <c r="I156" s="184">
        <v>1</v>
      </c>
      <c r="J156" s="184">
        <v>2</v>
      </c>
      <c r="K156" s="184">
        <v>1</v>
      </c>
      <c r="L156" s="184">
        <v>1</v>
      </c>
      <c r="M156" s="183"/>
      <c r="N156" s="183"/>
    </row>
    <row r="157" spans="1:14" hidden="1">
      <c r="A157" s="184" t="s">
        <v>620</v>
      </c>
      <c r="B157" s="184" t="s">
        <v>573</v>
      </c>
      <c r="C157" s="184">
        <v>3</v>
      </c>
      <c r="D157" s="184" t="s">
        <v>270</v>
      </c>
      <c r="E157" s="184">
        <v>2</v>
      </c>
      <c r="F157" s="184">
        <v>1</v>
      </c>
      <c r="G157" s="184">
        <v>1</v>
      </c>
      <c r="H157" s="184">
        <v>2</v>
      </c>
      <c r="I157" s="184">
        <v>2</v>
      </c>
      <c r="J157" s="184">
        <v>3</v>
      </c>
      <c r="K157" s="184">
        <v>2</v>
      </c>
      <c r="L157" s="184">
        <v>1</v>
      </c>
      <c r="M157" s="183"/>
      <c r="N157" s="183"/>
    </row>
    <row r="158" spans="1:14" ht="30" hidden="1">
      <c r="A158" s="184" t="s">
        <v>619</v>
      </c>
      <c r="B158" s="184" t="s">
        <v>571</v>
      </c>
      <c r="C158" s="184">
        <v>3</v>
      </c>
      <c r="D158" s="184" t="s">
        <v>270</v>
      </c>
      <c r="E158" s="184">
        <v>1</v>
      </c>
      <c r="F158" s="184">
        <v>1</v>
      </c>
      <c r="G158" s="184">
        <v>3</v>
      </c>
      <c r="H158" s="184">
        <v>2</v>
      </c>
      <c r="I158" s="184">
        <v>1</v>
      </c>
      <c r="J158" s="184">
        <v>5</v>
      </c>
      <c r="K158" s="184">
        <v>2</v>
      </c>
      <c r="L158" s="184">
        <v>1</v>
      </c>
      <c r="M158" s="183"/>
      <c r="N158" s="183"/>
    </row>
    <row r="159" spans="1:14" hidden="1">
      <c r="A159" s="184" t="s">
        <v>618</v>
      </c>
      <c r="B159" s="184" t="s">
        <v>569</v>
      </c>
      <c r="C159" s="184">
        <v>3</v>
      </c>
      <c r="D159" s="184" t="s">
        <v>270</v>
      </c>
      <c r="E159" s="184">
        <v>1</v>
      </c>
      <c r="F159" s="184">
        <v>1</v>
      </c>
      <c r="G159" s="184">
        <v>3</v>
      </c>
      <c r="H159" s="184">
        <v>1</v>
      </c>
      <c r="I159" s="184">
        <v>1</v>
      </c>
      <c r="J159" s="184">
        <v>1</v>
      </c>
      <c r="K159" s="184">
        <v>1</v>
      </c>
      <c r="L159" s="184">
        <v>1</v>
      </c>
      <c r="M159" s="183"/>
      <c r="N159" s="183"/>
    </row>
    <row r="160" spans="1:14" hidden="1">
      <c r="A160" s="184" t="s">
        <v>617</v>
      </c>
      <c r="B160" s="184" t="s">
        <v>567</v>
      </c>
      <c r="C160" s="184">
        <v>3</v>
      </c>
      <c r="D160" s="184" t="s">
        <v>270</v>
      </c>
      <c r="E160" s="184">
        <v>1</v>
      </c>
      <c r="F160" s="184">
        <v>1</v>
      </c>
      <c r="G160" s="184">
        <v>1</v>
      </c>
      <c r="H160" s="184">
        <v>1</v>
      </c>
      <c r="I160" s="184">
        <v>1</v>
      </c>
      <c r="J160" s="184">
        <v>1</v>
      </c>
      <c r="K160" s="184">
        <v>1</v>
      </c>
      <c r="L160" s="184">
        <v>1</v>
      </c>
      <c r="M160" s="183"/>
      <c r="N160" s="183"/>
    </row>
    <row r="161" spans="1:14" hidden="1">
      <c r="A161" s="184" t="s">
        <v>616</v>
      </c>
      <c r="B161" s="184" t="s">
        <v>615</v>
      </c>
      <c r="C161" s="184">
        <v>3</v>
      </c>
      <c r="D161" s="184" t="s">
        <v>270</v>
      </c>
      <c r="E161" s="184">
        <v>1</v>
      </c>
      <c r="F161" s="184">
        <v>1</v>
      </c>
      <c r="G161" s="184">
        <v>1</v>
      </c>
      <c r="H161" s="184">
        <v>1</v>
      </c>
      <c r="I161" s="184">
        <v>1</v>
      </c>
      <c r="J161" s="184">
        <v>1</v>
      </c>
      <c r="K161" s="184">
        <v>1</v>
      </c>
      <c r="L161" s="184">
        <v>1</v>
      </c>
      <c r="M161" s="183"/>
      <c r="N161" s="183"/>
    </row>
    <row r="162" spans="1:14" ht="30" hidden="1">
      <c r="A162" s="184" t="s">
        <v>614</v>
      </c>
      <c r="B162" s="184" t="s">
        <v>565</v>
      </c>
      <c r="C162" s="184">
        <v>3</v>
      </c>
      <c r="D162" s="184" t="s">
        <v>270</v>
      </c>
      <c r="E162" s="184">
        <v>1</v>
      </c>
      <c r="F162" s="184">
        <v>1</v>
      </c>
      <c r="G162" s="184">
        <v>1</v>
      </c>
      <c r="H162" s="184">
        <v>1</v>
      </c>
      <c r="I162" s="184">
        <v>1</v>
      </c>
      <c r="J162" s="184">
        <v>1</v>
      </c>
      <c r="K162" s="184">
        <v>1</v>
      </c>
      <c r="L162" s="184">
        <v>1</v>
      </c>
      <c r="M162" s="183"/>
      <c r="N162" s="183"/>
    </row>
    <row r="163" spans="1:14" ht="30" hidden="1">
      <c r="A163" s="184" t="s">
        <v>613</v>
      </c>
      <c r="B163" s="184" t="s">
        <v>563</v>
      </c>
      <c r="C163" s="184">
        <v>3</v>
      </c>
      <c r="D163" s="184" t="s">
        <v>270</v>
      </c>
      <c r="E163" s="184">
        <v>1</v>
      </c>
      <c r="F163" s="184">
        <v>1</v>
      </c>
      <c r="G163" s="184">
        <v>1</v>
      </c>
      <c r="H163" s="184">
        <v>1</v>
      </c>
      <c r="I163" s="184">
        <v>1</v>
      </c>
      <c r="J163" s="184">
        <v>1</v>
      </c>
      <c r="K163" s="184">
        <v>1</v>
      </c>
      <c r="L163" s="184">
        <v>1</v>
      </c>
      <c r="M163" s="183"/>
      <c r="N163" s="183"/>
    </row>
    <row r="164" spans="1:14" hidden="1">
      <c r="A164" s="184" t="s">
        <v>612</v>
      </c>
      <c r="B164" s="184" t="s">
        <v>561</v>
      </c>
      <c r="C164" s="184">
        <v>3</v>
      </c>
      <c r="D164" s="184" t="s">
        <v>270</v>
      </c>
      <c r="E164" s="184">
        <v>1</v>
      </c>
      <c r="F164" s="184">
        <v>1</v>
      </c>
      <c r="G164" s="184">
        <v>1</v>
      </c>
      <c r="H164" s="184">
        <v>1</v>
      </c>
      <c r="I164" s="184">
        <v>1</v>
      </c>
      <c r="J164" s="184">
        <v>1</v>
      </c>
      <c r="K164" s="184">
        <v>1</v>
      </c>
      <c r="L164" s="184">
        <v>1</v>
      </c>
      <c r="M164" s="183"/>
      <c r="N164" s="183"/>
    </row>
    <row r="165" spans="1:14" hidden="1">
      <c r="A165" s="184" t="s">
        <v>611</v>
      </c>
      <c r="B165" s="184" t="s">
        <v>378</v>
      </c>
      <c r="C165" s="184">
        <v>3</v>
      </c>
      <c r="D165" s="184" t="s">
        <v>270</v>
      </c>
      <c r="E165" s="184">
        <v>1</v>
      </c>
      <c r="F165" s="184">
        <v>1</v>
      </c>
      <c r="G165" s="184">
        <v>1</v>
      </c>
      <c r="H165" s="184">
        <v>1</v>
      </c>
      <c r="I165" s="184">
        <v>1</v>
      </c>
      <c r="J165" s="184">
        <v>1</v>
      </c>
      <c r="K165" s="184">
        <v>1</v>
      </c>
      <c r="L165" s="184">
        <v>1</v>
      </c>
      <c r="M165" s="183"/>
      <c r="N165" s="183"/>
    </row>
    <row r="166" spans="1:14" ht="30" hidden="1">
      <c r="A166" s="184" t="s">
        <v>610</v>
      </c>
      <c r="B166" s="184" t="s">
        <v>559</v>
      </c>
      <c r="C166" s="184">
        <v>3</v>
      </c>
      <c r="D166" s="184" t="s">
        <v>270</v>
      </c>
      <c r="E166" s="184">
        <v>1</v>
      </c>
      <c r="F166" s="184">
        <v>1</v>
      </c>
      <c r="G166" s="184">
        <v>1</v>
      </c>
      <c r="H166" s="184">
        <v>1</v>
      </c>
      <c r="I166" s="184">
        <v>1</v>
      </c>
      <c r="J166" s="184">
        <v>1</v>
      </c>
      <c r="K166" s="184">
        <v>1</v>
      </c>
      <c r="L166" s="184">
        <v>1</v>
      </c>
      <c r="M166" s="183"/>
      <c r="N166" s="183"/>
    </row>
    <row r="167" spans="1:14" hidden="1">
      <c r="A167" s="184" t="s">
        <v>609</v>
      </c>
      <c r="B167" s="184" t="s">
        <v>557</v>
      </c>
      <c r="C167" s="184">
        <v>3</v>
      </c>
      <c r="D167" s="184" t="s">
        <v>270</v>
      </c>
      <c r="E167" s="184">
        <v>2</v>
      </c>
      <c r="F167" s="184">
        <v>2</v>
      </c>
      <c r="G167" s="184">
        <v>1</v>
      </c>
      <c r="H167" s="184">
        <v>1</v>
      </c>
      <c r="I167" s="184">
        <v>1</v>
      </c>
      <c r="J167" s="184">
        <v>3</v>
      </c>
      <c r="K167" s="184">
        <v>2</v>
      </c>
      <c r="L167" s="184">
        <v>1</v>
      </c>
      <c r="M167" s="183"/>
      <c r="N167" s="183"/>
    </row>
    <row r="168" spans="1:14" ht="30" hidden="1">
      <c r="A168" s="184" t="s">
        <v>608</v>
      </c>
      <c r="B168" s="184" t="s">
        <v>555</v>
      </c>
      <c r="C168" s="184">
        <v>3</v>
      </c>
      <c r="D168" s="184" t="s">
        <v>270</v>
      </c>
      <c r="E168" s="184">
        <v>1</v>
      </c>
      <c r="F168" s="184">
        <v>1</v>
      </c>
      <c r="G168" s="184">
        <v>1</v>
      </c>
      <c r="H168" s="184">
        <v>1</v>
      </c>
      <c r="I168" s="184">
        <v>1</v>
      </c>
      <c r="J168" s="184">
        <v>1</v>
      </c>
      <c r="K168" s="184">
        <v>1</v>
      </c>
      <c r="L168" s="184">
        <v>1</v>
      </c>
      <c r="M168" s="183"/>
      <c r="N168" s="183"/>
    </row>
    <row r="169" spans="1:14" ht="30" hidden="1">
      <c r="A169" s="184" t="s">
        <v>607</v>
      </c>
      <c r="B169" s="184" t="s">
        <v>553</v>
      </c>
      <c r="C169" s="184">
        <v>3</v>
      </c>
      <c r="D169" s="184" t="s">
        <v>270</v>
      </c>
      <c r="E169" s="184">
        <v>1</v>
      </c>
      <c r="F169" s="184">
        <v>1</v>
      </c>
      <c r="G169" s="184">
        <v>1</v>
      </c>
      <c r="H169" s="184">
        <v>1</v>
      </c>
      <c r="I169" s="184">
        <v>1</v>
      </c>
      <c r="J169" s="184">
        <v>1</v>
      </c>
      <c r="K169" s="184">
        <v>1</v>
      </c>
      <c r="L169" s="184">
        <v>1</v>
      </c>
      <c r="M169" s="183"/>
      <c r="N169" s="183"/>
    </row>
    <row r="170" spans="1:14" ht="30" hidden="1">
      <c r="A170" s="184" t="s">
        <v>606</v>
      </c>
      <c r="B170" s="184" t="s">
        <v>551</v>
      </c>
      <c r="C170" s="184">
        <v>3</v>
      </c>
      <c r="D170" s="184" t="s">
        <v>270</v>
      </c>
      <c r="E170" s="184">
        <v>1</v>
      </c>
      <c r="F170" s="184">
        <v>1</v>
      </c>
      <c r="G170" s="184">
        <v>1</v>
      </c>
      <c r="H170" s="184">
        <v>1</v>
      </c>
      <c r="I170" s="184">
        <v>1</v>
      </c>
      <c r="J170" s="184">
        <v>1</v>
      </c>
      <c r="K170" s="184">
        <v>1</v>
      </c>
      <c r="L170" s="184">
        <v>1</v>
      </c>
      <c r="M170" s="183"/>
      <c r="N170" s="183"/>
    </row>
    <row r="171" spans="1:14" ht="30" hidden="1">
      <c r="A171" s="184" t="s">
        <v>605</v>
      </c>
      <c r="B171" s="184" t="s">
        <v>549</v>
      </c>
      <c r="C171" s="184">
        <v>3</v>
      </c>
      <c r="D171" s="184" t="s">
        <v>270</v>
      </c>
      <c r="E171" s="184">
        <v>1</v>
      </c>
      <c r="F171" s="184">
        <v>1</v>
      </c>
      <c r="G171" s="184">
        <v>1</v>
      </c>
      <c r="H171" s="184">
        <v>1</v>
      </c>
      <c r="I171" s="184">
        <v>1</v>
      </c>
      <c r="J171" s="184">
        <v>1</v>
      </c>
      <c r="K171" s="184">
        <v>1</v>
      </c>
      <c r="L171" s="184">
        <v>1</v>
      </c>
      <c r="M171" s="183"/>
      <c r="N171" s="183"/>
    </row>
    <row r="172" spans="1:14" ht="30" hidden="1">
      <c r="A172" s="184" t="s">
        <v>604</v>
      </c>
      <c r="B172" s="184" t="s">
        <v>547</v>
      </c>
      <c r="C172" s="184">
        <v>3</v>
      </c>
      <c r="D172" s="184" t="s">
        <v>270</v>
      </c>
      <c r="E172" s="184">
        <v>1</v>
      </c>
      <c r="F172" s="184">
        <v>1</v>
      </c>
      <c r="G172" s="184">
        <v>1</v>
      </c>
      <c r="H172" s="184">
        <v>1</v>
      </c>
      <c r="I172" s="184">
        <v>1</v>
      </c>
      <c r="J172" s="184">
        <v>1</v>
      </c>
      <c r="K172" s="184">
        <v>1</v>
      </c>
      <c r="L172" s="184">
        <v>1</v>
      </c>
      <c r="M172" s="183"/>
      <c r="N172" s="183"/>
    </row>
    <row r="173" spans="1:14" hidden="1">
      <c r="A173" s="184" t="s">
        <v>603</v>
      </c>
      <c r="B173" s="184" t="s">
        <v>303</v>
      </c>
      <c r="C173" s="184">
        <v>3</v>
      </c>
      <c r="D173" s="184" t="s">
        <v>270</v>
      </c>
      <c r="E173" s="184">
        <v>1</v>
      </c>
      <c r="F173" s="184">
        <v>1</v>
      </c>
      <c r="G173" s="184">
        <v>1</v>
      </c>
      <c r="H173" s="184">
        <v>1</v>
      </c>
      <c r="I173" s="184">
        <v>1</v>
      </c>
      <c r="J173" s="184">
        <v>1</v>
      </c>
      <c r="K173" s="184">
        <v>1</v>
      </c>
      <c r="L173" s="184">
        <v>1</v>
      </c>
      <c r="M173" s="183"/>
      <c r="N173" s="183"/>
    </row>
    <row r="174" spans="1:14" hidden="1">
      <c r="A174" s="184" t="s">
        <v>602</v>
      </c>
      <c r="B174" s="184" t="s">
        <v>396</v>
      </c>
      <c r="C174" s="184">
        <v>3</v>
      </c>
      <c r="D174" s="184" t="s">
        <v>270</v>
      </c>
      <c r="E174" s="184">
        <v>1</v>
      </c>
      <c r="F174" s="184">
        <v>1</v>
      </c>
      <c r="G174" s="184">
        <v>1</v>
      </c>
      <c r="H174" s="184">
        <v>1</v>
      </c>
      <c r="I174" s="184">
        <v>1</v>
      </c>
      <c r="J174" s="184">
        <v>1</v>
      </c>
      <c r="K174" s="184">
        <v>1</v>
      </c>
      <c r="L174" s="184">
        <v>1</v>
      </c>
      <c r="M174" s="183"/>
      <c r="N174" s="183"/>
    </row>
    <row r="175" spans="1:14" hidden="1">
      <c r="A175" s="184" t="s">
        <v>601</v>
      </c>
      <c r="B175" s="184" t="s">
        <v>286</v>
      </c>
      <c r="C175" s="184">
        <v>3</v>
      </c>
      <c r="D175" s="184" t="s">
        <v>270</v>
      </c>
      <c r="E175" s="184">
        <v>1</v>
      </c>
      <c r="F175" s="184">
        <v>1</v>
      </c>
      <c r="G175" s="184">
        <v>1</v>
      </c>
      <c r="H175" s="184">
        <v>2</v>
      </c>
      <c r="I175" s="184">
        <v>3</v>
      </c>
      <c r="J175" s="184">
        <v>2</v>
      </c>
      <c r="K175" s="184">
        <v>3</v>
      </c>
      <c r="L175" s="184">
        <v>3</v>
      </c>
      <c r="M175" s="183"/>
      <c r="N175" s="183"/>
    </row>
    <row r="176" spans="1:14" hidden="1">
      <c r="A176" s="184" t="s">
        <v>600</v>
      </c>
      <c r="B176" s="184" t="s">
        <v>599</v>
      </c>
      <c r="C176" s="184">
        <v>3</v>
      </c>
      <c r="D176" s="184" t="s">
        <v>270</v>
      </c>
      <c r="E176" s="184">
        <v>1</v>
      </c>
      <c r="F176" s="184">
        <v>1</v>
      </c>
      <c r="G176" s="184">
        <v>1</v>
      </c>
      <c r="H176" s="184">
        <v>1</v>
      </c>
      <c r="I176" s="184">
        <v>1</v>
      </c>
      <c r="J176" s="184">
        <v>1</v>
      </c>
      <c r="K176" s="184">
        <v>1</v>
      </c>
      <c r="L176" s="184">
        <v>1</v>
      </c>
      <c r="M176" s="183"/>
      <c r="N176" s="183"/>
    </row>
    <row r="177" spans="1:14" hidden="1">
      <c r="A177" s="184" t="s">
        <v>598</v>
      </c>
      <c r="B177" s="184" t="s">
        <v>542</v>
      </c>
      <c r="C177" s="184">
        <v>3</v>
      </c>
      <c r="D177" s="184" t="s">
        <v>270</v>
      </c>
      <c r="E177" s="184">
        <v>1</v>
      </c>
      <c r="F177" s="184">
        <v>1</v>
      </c>
      <c r="G177" s="184">
        <v>1</v>
      </c>
      <c r="H177" s="184">
        <v>1</v>
      </c>
      <c r="I177" s="184">
        <v>2</v>
      </c>
      <c r="J177" s="184">
        <v>1</v>
      </c>
      <c r="K177" s="184">
        <v>1</v>
      </c>
      <c r="L177" s="184">
        <v>3</v>
      </c>
      <c r="M177" s="183"/>
      <c r="N177" s="183"/>
    </row>
    <row r="178" spans="1:14" hidden="1">
      <c r="A178" s="184" t="s">
        <v>597</v>
      </c>
      <c r="B178" s="184" t="s">
        <v>306</v>
      </c>
      <c r="C178" s="184">
        <v>3</v>
      </c>
      <c r="D178" s="184" t="s">
        <v>270</v>
      </c>
      <c r="E178" s="184">
        <v>1</v>
      </c>
      <c r="F178" s="184">
        <v>1</v>
      </c>
      <c r="G178" s="184">
        <v>1</v>
      </c>
      <c r="H178" s="184">
        <v>1</v>
      </c>
      <c r="I178" s="184">
        <v>1</v>
      </c>
      <c r="J178" s="184">
        <v>1</v>
      </c>
      <c r="K178" s="184">
        <v>1</v>
      </c>
      <c r="L178" s="184">
        <v>1</v>
      </c>
      <c r="M178" s="184" t="s">
        <v>465</v>
      </c>
      <c r="N178" s="183"/>
    </row>
    <row r="179" spans="1:14" hidden="1">
      <c r="A179" s="183"/>
      <c r="B179" s="183"/>
      <c r="C179" s="183"/>
      <c r="D179" s="183"/>
      <c r="E179" s="183"/>
      <c r="F179" s="183"/>
      <c r="G179" s="183"/>
      <c r="H179" s="183"/>
      <c r="I179" s="183"/>
      <c r="J179" s="183"/>
      <c r="K179" s="183"/>
      <c r="L179" s="183"/>
      <c r="M179" s="183"/>
      <c r="N179" s="183"/>
    </row>
    <row r="180" spans="1:14" hidden="1">
      <c r="A180" s="183" t="s">
        <v>596</v>
      </c>
      <c r="B180" s="183" t="s">
        <v>595</v>
      </c>
      <c r="C180" s="183">
        <v>3</v>
      </c>
      <c r="D180" s="183" t="s">
        <v>291</v>
      </c>
      <c r="E180" s="183">
        <v>1</v>
      </c>
      <c r="F180" s="183">
        <v>1</v>
      </c>
      <c r="G180" s="183">
        <v>2</v>
      </c>
      <c r="H180" s="183">
        <v>1</v>
      </c>
      <c r="I180" s="183">
        <v>1</v>
      </c>
      <c r="J180" s="183">
        <v>1</v>
      </c>
      <c r="K180" s="183">
        <v>1</v>
      </c>
      <c r="L180" s="183">
        <v>1</v>
      </c>
      <c r="M180" s="183"/>
      <c r="N180" s="183"/>
    </row>
    <row r="181" spans="1:14" ht="30" hidden="1">
      <c r="A181" s="183" t="s">
        <v>594</v>
      </c>
      <c r="B181" s="183" t="s">
        <v>593</v>
      </c>
      <c r="C181" s="183">
        <v>3</v>
      </c>
      <c r="D181" s="183" t="s">
        <v>291</v>
      </c>
      <c r="E181" s="183">
        <v>1</v>
      </c>
      <c r="F181" s="183">
        <v>1</v>
      </c>
      <c r="G181" s="183">
        <v>1</v>
      </c>
      <c r="H181" s="183">
        <v>1</v>
      </c>
      <c r="I181" s="183">
        <v>1</v>
      </c>
      <c r="J181" s="183">
        <v>1</v>
      </c>
      <c r="K181" s="183">
        <v>4</v>
      </c>
      <c r="L181" s="183">
        <v>2</v>
      </c>
      <c r="M181" s="183"/>
      <c r="N181" s="183"/>
    </row>
    <row r="182" spans="1:14">
      <c r="A182" s="183" t="s">
        <v>193</v>
      </c>
      <c r="B182" s="183" t="s">
        <v>309</v>
      </c>
      <c r="C182" s="183">
        <v>3</v>
      </c>
      <c r="D182" s="183" t="s">
        <v>291</v>
      </c>
      <c r="E182" s="183">
        <v>3</v>
      </c>
      <c r="F182" s="183">
        <v>3</v>
      </c>
      <c r="G182" s="183">
        <v>1</v>
      </c>
      <c r="H182" s="183">
        <v>2</v>
      </c>
      <c r="I182" s="183">
        <v>2</v>
      </c>
      <c r="J182" s="183">
        <v>3</v>
      </c>
      <c r="K182" s="183">
        <v>2</v>
      </c>
      <c r="L182" s="183">
        <v>2</v>
      </c>
      <c r="M182" s="183"/>
      <c r="N182" s="183"/>
    </row>
    <row r="183" spans="1:14" ht="30" hidden="1">
      <c r="A183" s="183" t="s">
        <v>592</v>
      </c>
      <c r="B183" s="183" t="s">
        <v>591</v>
      </c>
      <c r="C183" s="183">
        <v>3</v>
      </c>
      <c r="D183" s="183" t="s">
        <v>291</v>
      </c>
      <c r="E183" s="183">
        <v>1</v>
      </c>
      <c r="F183" s="183">
        <v>2</v>
      </c>
      <c r="G183" s="183">
        <v>3</v>
      </c>
      <c r="H183" s="183">
        <v>1</v>
      </c>
      <c r="I183" s="183">
        <v>1</v>
      </c>
      <c r="J183" s="183">
        <v>2</v>
      </c>
      <c r="K183" s="183">
        <v>1</v>
      </c>
      <c r="L183" s="183">
        <v>1</v>
      </c>
      <c r="M183" s="183"/>
      <c r="N183" s="183"/>
    </row>
    <row r="184" spans="1:14" ht="30" hidden="1">
      <c r="A184" s="183" t="s">
        <v>590</v>
      </c>
      <c r="B184" s="183" t="s">
        <v>589</v>
      </c>
      <c r="C184" s="183">
        <v>3</v>
      </c>
      <c r="D184" s="183" t="s">
        <v>291</v>
      </c>
      <c r="E184" s="183">
        <v>1</v>
      </c>
      <c r="F184" s="183">
        <v>1</v>
      </c>
      <c r="G184" s="183">
        <v>1</v>
      </c>
      <c r="H184" s="183">
        <v>1</v>
      </c>
      <c r="I184" s="183">
        <v>1</v>
      </c>
      <c r="J184" s="183">
        <v>1</v>
      </c>
      <c r="K184" s="183">
        <v>1</v>
      </c>
      <c r="L184" s="183">
        <v>1</v>
      </c>
      <c r="M184" s="183"/>
      <c r="N184" s="183"/>
    </row>
    <row r="185" spans="1:14" ht="30" hidden="1">
      <c r="A185" s="183" t="s">
        <v>588</v>
      </c>
      <c r="B185" s="183" t="s">
        <v>587</v>
      </c>
      <c r="C185" s="183">
        <v>3</v>
      </c>
      <c r="D185" s="183" t="s">
        <v>291</v>
      </c>
      <c r="E185" s="183">
        <v>1</v>
      </c>
      <c r="F185" s="183">
        <v>1</v>
      </c>
      <c r="G185" s="183">
        <v>1</v>
      </c>
      <c r="H185" s="183">
        <v>1</v>
      </c>
      <c r="I185" s="183">
        <v>1</v>
      </c>
      <c r="J185" s="183">
        <v>1</v>
      </c>
      <c r="K185" s="183">
        <v>1</v>
      </c>
      <c r="L185" s="183">
        <v>1</v>
      </c>
      <c r="M185" s="183"/>
      <c r="N185" s="183"/>
    </row>
    <row r="186" spans="1:14" hidden="1">
      <c r="A186" s="190" t="s">
        <v>586</v>
      </c>
      <c r="B186" s="190" t="s">
        <v>586</v>
      </c>
      <c r="C186" s="190">
        <v>3</v>
      </c>
      <c r="D186" s="190" t="s">
        <v>291</v>
      </c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</row>
    <row r="187" spans="1:14" ht="30" hidden="1">
      <c r="A187" s="183" t="s">
        <v>585</v>
      </c>
      <c r="B187" s="183" t="s">
        <v>584</v>
      </c>
      <c r="C187" s="183">
        <v>3</v>
      </c>
      <c r="D187" s="183" t="s">
        <v>291</v>
      </c>
      <c r="E187" s="183">
        <v>1</v>
      </c>
      <c r="F187" s="183">
        <v>1</v>
      </c>
      <c r="G187" s="183">
        <v>1</v>
      </c>
      <c r="H187" s="183">
        <v>1</v>
      </c>
      <c r="I187" s="183">
        <v>1</v>
      </c>
      <c r="J187" s="183">
        <v>1</v>
      </c>
      <c r="K187" s="183">
        <v>1</v>
      </c>
      <c r="L187" s="183">
        <v>1</v>
      </c>
      <c r="M187" s="183"/>
      <c r="N187" s="183"/>
    </row>
    <row r="188" spans="1:14" hidden="1">
      <c r="A188" s="183" t="s">
        <v>583</v>
      </c>
      <c r="B188" s="183" t="s">
        <v>582</v>
      </c>
      <c r="C188" s="183">
        <v>3</v>
      </c>
      <c r="D188" s="183" t="s">
        <v>291</v>
      </c>
      <c r="E188" s="183">
        <v>1</v>
      </c>
      <c r="F188" s="183">
        <v>1</v>
      </c>
      <c r="G188" s="183">
        <v>1</v>
      </c>
      <c r="H188" s="183">
        <v>1</v>
      </c>
      <c r="I188" s="183">
        <v>1</v>
      </c>
      <c r="J188" s="183">
        <v>1</v>
      </c>
      <c r="K188" s="183">
        <v>2</v>
      </c>
      <c r="L188" s="183">
        <v>1</v>
      </c>
      <c r="M188" s="183"/>
      <c r="N188" s="183"/>
    </row>
    <row r="189" spans="1:14" hidden="1">
      <c r="A189" s="183" t="s">
        <v>581</v>
      </c>
      <c r="B189" s="183" t="s">
        <v>580</v>
      </c>
      <c r="C189" s="183">
        <v>3</v>
      </c>
      <c r="D189" s="183" t="s">
        <v>291</v>
      </c>
      <c r="E189" s="183">
        <v>1</v>
      </c>
      <c r="F189" s="183">
        <v>1</v>
      </c>
      <c r="G189" s="183">
        <v>1</v>
      </c>
      <c r="H189" s="183">
        <v>1</v>
      </c>
      <c r="I189" s="183">
        <v>1</v>
      </c>
      <c r="J189" s="183">
        <v>3</v>
      </c>
      <c r="K189" s="183">
        <v>1</v>
      </c>
      <c r="L189" s="183">
        <v>1</v>
      </c>
      <c r="M189" s="183"/>
      <c r="N189" s="183"/>
    </row>
    <row r="190" spans="1:14" ht="30" hidden="1">
      <c r="A190" s="183" t="s">
        <v>579</v>
      </c>
      <c r="B190" s="183" t="s">
        <v>578</v>
      </c>
      <c r="C190" s="183">
        <v>3</v>
      </c>
      <c r="D190" s="183" t="s">
        <v>291</v>
      </c>
      <c r="E190" s="183">
        <v>1</v>
      </c>
      <c r="F190" s="183">
        <v>1</v>
      </c>
      <c r="G190" s="183">
        <v>1</v>
      </c>
      <c r="H190" s="183">
        <v>1</v>
      </c>
      <c r="I190" s="183">
        <v>1</v>
      </c>
      <c r="J190" s="183">
        <v>1</v>
      </c>
      <c r="K190" s="183">
        <v>1</v>
      </c>
      <c r="L190" s="183">
        <v>1</v>
      </c>
      <c r="M190" s="183"/>
      <c r="N190" s="183"/>
    </row>
    <row r="191" spans="1:14" hidden="1">
      <c r="A191" s="183" t="s">
        <v>577</v>
      </c>
      <c r="B191" s="183" t="s">
        <v>576</v>
      </c>
      <c r="C191" s="183">
        <v>3</v>
      </c>
      <c r="D191" s="183" t="s">
        <v>291</v>
      </c>
      <c r="E191" s="183">
        <v>2</v>
      </c>
      <c r="F191" s="183">
        <v>2</v>
      </c>
      <c r="G191" s="183">
        <v>1</v>
      </c>
      <c r="H191" s="183">
        <v>2</v>
      </c>
      <c r="I191" s="183">
        <v>2</v>
      </c>
      <c r="J191" s="183">
        <v>1</v>
      </c>
      <c r="K191" s="183">
        <v>2</v>
      </c>
      <c r="L191" s="183">
        <v>1</v>
      </c>
      <c r="M191" s="183"/>
      <c r="N191" s="183"/>
    </row>
    <row r="192" spans="1:14" hidden="1">
      <c r="A192" s="183" t="s">
        <v>575</v>
      </c>
      <c r="B192" s="183" t="s">
        <v>302</v>
      </c>
      <c r="C192" s="183">
        <v>3</v>
      </c>
      <c r="D192" s="183" t="s">
        <v>291</v>
      </c>
      <c r="E192" s="183">
        <v>1</v>
      </c>
      <c r="F192" s="183">
        <v>1</v>
      </c>
      <c r="G192" s="183">
        <v>1</v>
      </c>
      <c r="H192" s="183">
        <v>2</v>
      </c>
      <c r="I192" s="183">
        <v>1</v>
      </c>
      <c r="J192" s="183">
        <v>4</v>
      </c>
      <c r="K192" s="183">
        <v>3</v>
      </c>
      <c r="L192" s="183">
        <v>2</v>
      </c>
      <c r="M192" s="183"/>
      <c r="N192" s="183"/>
    </row>
    <row r="193" spans="1:14" hidden="1">
      <c r="A193" s="183" t="s">
        <v>574</v>
      </c>
      <c r="B193" s="183" t="s">
        <v>573</v>
      </c>
      <c r="C193" s="183">
        <v>3</v>
      </c>
      <c r="D193" s="183" t="s">
        <v>291</v>
      </c>
      <c r="E193" s="183">
        <v>1</v>
      </c>
      <c r="F193" s="183">
        <v>1</v>
      </c>
      <c r="G193" s="183">
        <v>1</v>
      </c>
      <c r="H193" s="183">
        <v>1</v>
      </c>
      <c r="I193" s="183">
        <v>1</v>
      </c>
      <c r="J193" s="183">
        <v>1</v>
      </c>
      <c r="K193" s="183">
        <v>1</v>
      </c>
      <c r="L193" s="183">
        <v>1</v>
      </c>
      <c r="M193" s="183"/>
      <c r="N193" s="183"/>
    </row>
    <row r="194" spans="1:14" ht="30" hidden="1">
      <c r="A194" s="183" t="s">
        <v>572</v>
      </c>
      <c r="B194" s="183" t="s">
        <v>571</v>
      </c>
      <c r="C194" s="183">
        <v>3</v>
      </c>
      <c r="D194" s="183" t="s">
        <v>291</v>
      </c>
      <c r="E194" s="183">
        <v>1</v>
      </c>
      <c r="F194" s="183">
        <v>1</v>
      </c>
      <c r="G194" s="183">
        <v>1</v>
      </c>
      <c r="H194" s="183">
        <v>3</v>
      </c>
      <c r="I194" s="183">
        <v>1</v>
      </c>
      <c r="J194" s="183">
        <v>3</v>
      </c>
      <c r="K194" s="183">
        <v>2</v>
      </c>
      <c r="L194" s="183">
        <v>1</v>
      </c>
      <c r="M194" s="183"/>
      <c r="N194" s="183"/>
    </row>
    <row r="195" spans="1:14" hidden="1">
      <c r="A195" s="183" t="s">
        <v>570</v>
      </c>
      <c r="B195" s="183" t="s">
        <v>569</v>
      </c>
      <c r="C195" s="183">
        <v>3</v>
      </c>
      <c r="D195" s="183" t="s">
        <v>291</v>
      </c>
      <c r="E195" s="183">
        <v>1</v>
      </c>
      <c r="F195" s="183">
        <v>1</v>
      </c>
      <c r="G195" s="183">
        <v>3</v>
      </c>
      <c r="H195" s="183">
        <v>1</v>
      </c>
      <c r="I195" s="183">
        <v>1</v>
      </c>
      <c r="J195" s="183">
        <v>1</v>
      </c>
      <c r="K195" s="183">
        <v>1</v>
      </c>
      <c r="L195" s="183">
        <v>1</v>
      </c>
      <c r="M195" s="183"/>
      <c r="N195" s="183"/>
    </row>
    <row r="196" spans="1:14" hidden="1">
      <c r="A196" s="183" t="s">
        <v>568</v>
      </c>
      <c r="B196" s="183" t="s">
        <v>567</v>
      </c>
      <c r="C196" s="183">
        <v>3</v>
      </c>
      <c r="D196" s="183" t="s">
        <v>291</v>
      </c>
      <c r="E196" s="183">
        <v>2</v>
      </c>
      <c r="F196" s="183">
        <v>2</v>
      </c>
      <c r="G196" s="183">
        <v>2</v>
      </c>
      <c r="H196" s="183">
        <v>2</v>
      </c>
      <c r="I196" s="183">
        <v>2</v>
      </c>
      <c r="J196" s="183">
        <v>1</v>
      </c>
      <c r="K196" s="183">
        <v>2</v>
      </c>
      <c r="L196" s="183">
        <v>1</v>
      </c>
      <c r="M196" s="183"/>
      <c r="N196" s="183"/>
    </row>
    <row r="197" spans="1:14" ht="30" hidden="1">
      <c r="A197" s="183" t="s">
        <v>566</v>
      </c>
      <c r="B197" s="183" t="s">
        <v>565</v>
      </c>
      <c r="C197" s="183">
        <v>3</v>
      </c>
      <c r="D197" s="183" t="s">
        <v>291</v>
      </c>
      <c r="E197" s="183">
        <v>1</v>
      </c>
      <c r="F197" s="183">
        <v>1</v>
      </c>
      <c r="G197" s="183">
        <v>1</v>
      </c>
      <c r="H197" s="183">
        <v>2</v>
      </c>
      <c r="I197" s="183">
        <v>1</v>
      </c>
      <c r="J197" s="183">
        <v>1</v>
      </c>
      <c r="K197" s="183">
        <v>2</v>
      </c>
      <c r="L197" s="183">
        <v>1</v>
      </c>
      <c r="M197" s="183"/>
      <c r="N197" s="183"/>
    </row>
    <row r="198" spans="1:14" ht="30" hidden="1">
      <c r="A198" s="183" t="s">
        <v>564</v>
      </c>
      <c r="B198" s="183" t="s">
        <v>563</v>
      </c>
      <c r="C198" s="183">
        <v>3</v>
      </c>
      <c r="D198" s="183" t="s">
        <v>291</v>
      </c>
      <c r="E198" s="183">
        <v>1</v>
      </c>
      <c r="F198" s="183">
        <v>1</v>
      </c>
      <c r="G198" s="183">
        <v>1</v>
      </c>
      <c r="H198" s="183">
        <v>1</v>
      </c>
      <c r="I198" s="183">
        <v>1</v>
      </c>
      <c r="J198" s="183">
        <v>1</v>
      </c>
      <c r="K198" s="183">
        <v>1</v>
      </c>
      <c r="L198" s="183">
        <v>1</v>
      </c>
      <c r="M198" s="183"/>
      <c r="N198" s="183"/>
    </row>
    <row r="199" spans="1:14" hidden="1">
      <c r="A199" s="183" t="s">
        <v>562</v>
      </c>
      <c r="B199" s="183" t="s">
        <v>561</v>
      </c>
      <c r="C199" s="183">
        <v>3</v>
      </c>
      <c r="D199" s="183" t="s">
        <v>291</v>
      </c>
      <c r="E199" s="183">
        <v>1</v>
      </c>
      <c r="F199" s="183">
        <v>1</v>
      </c>
      <c r="G199" s="183">
        <v>1</v>
      </c>
      <c r="H199" s="183">
        <v>1</v>
      </c>
      <c r="I199" s="183">
        <v>1</v>
      </c>
      <c r="J199" s="183">
        <v>1</v>
      </c>
      <c r="K199" s="183">
        <v>1</v>
      </c>
      <c r="L199" s="183">
        <v>1</v>
      </c>
      <c r="M199" s="183"/>
      <c r="N199" s="183"/>
    </row>
    <row r="200" spans="1:14">
      <c r="A200" s="183" t="s">
        <v>151</v>
      </c>
      <c r="B200" s="183" t="s">
        <v>378</v>
      </c>
      <c r="C200" s="183">
        <v>3</v>
      </c>
      <c r="D200" s="183" t="s">
        <v>291</v>
      </c>
      <c r="E200" s="183">
        <v>5</v>
      </c>
      <c r="F200" s="183">
        <v>5</v>
      </c>
      <c r="G200" s="183">
        <v>4</v>
      </c>
      <c r="H200" s="183">
        <v>3</v>
      </c>
      <c r="I200" s="183">
        <v>5</v>
      </c>
      <c r="J200" s="183">
        <v>4</v>
      </c>
      <c r="K200" s="183">
        <v>5</v>
      </c>
      <c r="L200" s="183">
        <v>4</v>
      </c>
      <c r="M200" s="183"/>
      <c r="N200" s="183"/>
    </row>
    <row r="201" spans="1:14" ht="30" hidden="1">
      <c r="A201" s="183" t="s">
        <v>560</v>
      </c>
      <c r="B201" s="183" t="s">
        <v>559</v>
      </c>
      <c r="C201" s="183">
        <v>3</v>
      </c>
      <c r="D201" s="183" t="s">
        <v>291</v>
      </c>
      <c r="E201" s="183">
        <v>1</v>
      </c>
      <c r="F201" s="183">
        <v>1</v>
      </c>
      <c r="G201" s="183">
        <v>1</v>
      </c>
      <c r="H201" s="183">
        <v>2</v>
      </c>
      <c r="I201" s="183">
        <v>1</v>
      </c>
      <c r="J201" s="183">
        <v>1</v>
      </c>
      <c r="K201" s="183">
        <v>2</v>
      </c>
      <c r="L201" s="183">
        <v>1</v>
      </c>
      <c r="M201" s="183"/>
      <c r="N201" s="183"/>
    </row>
    <row r="202" spans="1:14" hidden="1">
      <c r="A202" s="183" t="s">
        <v>558</v>
      </c>
      <c r="B202" s="183" t="s">
        <v>557</v>
      </c>
      <c r="C202" s="183">
        <v>3</v>
      </c>
      <c r="D202" s="183" t="s">
        <v>291</v>
      </c>
      <c r="E202" s="183">
        <v>1</v>
      </c>
      <c r="F202" s="183">
        <v>1</v>
      </c>
      <c r="G202" s="183">
        <v>2</v>
      </c>
      <c r="H202" s="183">
        <v>1</v>
      </c>
      <c r="I202" s="183">
        <v>1</v>
      </c>
      <c r="J202" s="183">
        <v>1</v>
      </c>
      <c r="K202" s="183">
        <v>2</v>
      </c>
      <c r="L202" s="183">
        <v>1</v>
      </c>
      <c r="M202" s="183"/>
      <c r="N202" s="183"/>
    </row>
    <row r="203" spans="1:14" ht="30" hidden="1">
      <c r="A203" s="183" t="s">
        <v>556</v>
      </c>
      <c r="B203" s="183" t="s">
        <v>555</v>
      </c>
      <c r="C203" s="183">
        <v>3</v>
      </c>
      <c r="D203" s="183" t="s">
        <v>291</v>
      </c>
      <c r="E203" s="183">
        <v>1</v>
      </c>
      <c r="F203" s="183">
        <v>1</v>
      </c>
      <c r="G203" s="183">
        <v>1</v>
      </c>
      <c r="H203" s="183">
        <v>1</v>
      </c>
      <c r="I203" s="183">
        <v>1</v>
      </c>
      <c r="J203" s="183">
        <v>1</v>
      </c>
      <c r="K203" s="183">
        <v>1</v>
      </c>
      <c r="L203" s="183">
        <v>1</v>
      </c>
      <c r="M203" s="183"/>
      <c r="N203" s="183"/>
    </row>
    <row r="204" spans="1:14" ht="30" hidden="1">
      <c r="A204" s="183" t="s">
        <v>554</v>
      </c>
      <c r="B204" s="183" t="s">
        <v>553</v>
      </c>
      <c r="C204" s="183">
        <v>3</v>
      </c>
      <c r="D204" s="183" t="s">
        <v>291</v>
      </c>
      <c r="E204" s="183">
        <v>1</v>
      </c>
      <c r="F204" s="183">
        <v>1</v>
      </c>
      <c r="G204" s="183">
        <v>1</v>
      </c>
      <c r="H204" s="183">
        <v>1</v>
      </c>
      <c r="I204" s="183">
        <v>1</v>
      </c>
      <c r="J204" s="183">
        <v>1</v>
      </c>
      <c r="K204" s="183">
        <v>1</v>
      </c>
      <c r="L204" s="183">
        <v>1</v>
      </c>
      <c r="M204" s="183"/>
      <c r="N204" s="183"/>
    </row>
    <row r="205" spans="1:14" ht="30" hidden="1">
      <c r="A205" s="183" t="s">
        <v>552</v>
      </c>
      <c r="B205" s="183" t="s">
        <v>551</v>
      </c>
      <c r="C205" s="183">
        <v>3</v>
      </c>
      <c r="D205" s="183" t="s">
        <v>291</v>
      </c>
      <c r="E205" s="183">
        <v>1</v>
      </c>
      <c r="F205" s="183">
        <v>1</v>
      </c>
      <c r="G205" s="183">
        <v>1</v>
      </c>
      <c r="H205" s="183">
        <v>1</v>
      </c>
      <c r="I205" s="183">
        <v>1</v>
      </c>
      <c r="J205" s="183">
        <v>1</v>
      </c>
      <c r="K205" s="183">
        <v>1</v>
      </c>
      <c r="L205" s="183">
        <v>1</v>
      </c>
      <c r="M205" s="183"/>
      <c r="N205" s="183"/>
    </row>
    <row r="206" spans="1:14" ht="30" hidden="1">
      <c r="A206" s="183" t="s">
        <v>550</v>
      </c>
      <c r="B206" s="183" t="s">
        <v>549</v>
      </c>
      <c r="C206" s="183">
        <v>3</v>
      </c>
      <c r="D206" s="183" t="s">
        <v>291</v>
      </c>
      <c r="E206" s="183">
        <v>1</v>
      </c>
      <c r="F206" s="183">
        <v>1</v>
      </c>
      <c r="G206" s="183">
        <v>1</v>
      </c>
      <c r="H206" s="183">
        <v>1</v>
      </c>
      <c r="I206" s="183">
        <v>1</v>
      </c>
      <c r="J206" s="183">
        <v>2</v>
      </c>
      <c r="K206" s="183">
        <v>1</v>
      </c>
      <c r="L206" s="183">
        <v>1</v>
      </c>
      <c r="M206" s="183"/>
      <c r="N206" s="183"/>
    </row>
    <row r="207" spans="1:14" ht="30" hidden="1">
      <c r="A207" s="183" t="s">
        <v>548</v>
      </c>
      <c r="B207" s="183" t="s">
        <v>547</v>
      </c>
      <c r="C207" s="183">
        <v>3</v>
      </c>
      <c r="D207" s="183" t="s">
        <v>291</v>
      </c>
      <c r="E207" s="183">
        <v>1</v>
      </c>
      <c r="F207" s="183">
        <v>1</v>
      </c>
      <c r="G207" s="183">
        <v>1</v>
      </c>
      <c r="H207" s="183">
        <v>1</v>
      </c>
      <c r="I207" s="183">
        <v>1</v>
      </c>
      <c r="J207" s="183">
        <v>1</v>
      </c>
      <c r="K207" s="183">
        <v>1</v>
      </c>
      <c r="L207" s="183">
        <v>1</v>
      </c>
      <c r="M207" s="183"/>
      <c r="N207" s="183"/>
    </row>
    <row r="208" spans="1:14" hidden="1">
      <c r="A208" s="183" t="s">
        <v>546</v>
      </c>
      <c r="B208" s="183" t="s">
        <v>303</v>
      </c>
      <c r="C208" s="183">
        <v>3</v>
      </c>
      <c r="D208" s="183" t="s">
        <v>291</v>
      </c>
      <c r="E208" s="183">
        <v>1</v>
      </c>
      <c r="F208" s="183">
        <v>1</v>
      </c>
      <c r="G208" s="183">
        <v>1</v>
      </c>
      <c r="H208" s="183">
        <v>1</v>
      </c>
      <c r="I208" s="183">
        <v>1</v>
      </c>
      <c r="J208" s="183">
        <v>1</v>
      </c>
      <c r="K208" s="183">
        <v>1</v>
      </c>
      <c r="L208" s="183">
        <v>1</v>
      </c>
      <c r="M208" s="183"/>
      <c r="N208" s="183"/>
    </row>
    <row r="209" spans="1:14" hidden="1">
      <c r="A209" s="183" t="s">
        <v>152</v>
      </c>
      <c r="B209" s="183" t="s">
        <v>286</v>
      </c>
      <c r="C209" s="183">
        <v>3</v>
      </c>
      <c r="D209" s="183" t="s">
        <v>291</v>
      </c>
      <c r="E209" s="183">
        <v>4</v>
      </c>
      <c r="F209" s="183">
        <v>2</v>
      </c>
      <c r="G209" s="183">
        <v>1</v>
      </c>
      <c r="H209" s="183">
        <v>3</v>
      </c>
      <c r="I209" s="183">
        <v>4</v>
      </c>
      <c r="J209" s="183">
        <v>3</v>
      </c>
      <c r="K209" s="183">
        <v>4</v>
      </c>
      <c r="L209" s="183">
        <v>4</v>
      </c>
      <c r="M209" s="183"/>
      <c r="N209" s="183"/>
    </row>
    <row r="210" spans="1:14" hidden="1">
      <c r="A210" s="183" t="s">
        <v>545</v>
      </c>
      <c r="B210" s="183" t="s">
        <v>544</v>
      </c>
      <c r="C210" s="183">
        <v>3</v>
      </c>
      <c r="D210" s="183" t="s">
        <v>291</v>
      </c>
      <c r="E210" s="183">
        <v>1</v>
      </c>
      <c r="F210" s="183">
        <v>1</v>
      </c>
      <c r="G210" s="183">
        <v>1</v>
      </c>
      <c r="H210" s="183">
        <v>1</v>
      </c>
      <c r="I210" s="183">
        <v>1</v>
      </c>
      <c r="J210" s="183">
        <v>1</v>
      </c>
      <c r="K210" s="183">
        <v>1</v>
      </c>
      <c r="L210" s="183">
        <v>1</v>
      </c>
      <c r="M210" s="183"/>
      <c r="N210" s="183"/>
    </row>
    <row r="211" spans="1:14" hidden="1">
      <c r="A211" s="183" t="s">
        <v>543</v>
      </c>
      <c r="B211" s="183" t="s">
        <v>542</v>
      </c>
      <c r="C211" s="183">
        <v>3</v>
      </c>
      <c r="D211" s="183" t="s">
        <v>291</v>
      </c>
      <c r="E211" s="183">
        <v>1</v>
      </c>
      <c r="F211" s="183">
        <v>2</v>
      </c>
      <c r="G211" s="183">
        <v>4</v>
      </c>
      <c r="H211" s="183">
        <v>3</v>
      </c>
      <c r="I211" s="183">
        <v>4</v>
      </c>
      <c r="J211" s="183">
        <v>1</v>
      </c>
      <c r="K211" s="183">
        <v>4</v>
      </c>
      <c r="L211" s="183">
        <v>3</v>
      </c>
      <c r="M211" s="183"/>
      <c r="N211" s="183"/>
    </row>
    <row r="212" spans="1:14" hidden="1">
      <c r="A212" s="183"/>
      <c r="B212" s="183"/>
      <c r="C212" s="183"/>
      <c r="D212" s="183"/>
      <c r="E212" s="183"/>
      <c r="F212" s="183"/>
      <c r="G212" s="183"/>
      <c r="H212" s="183"/>
      <c r="I212" s="183"/>
      <c r="J212" s="183"/>
      <c r="K212" s="183"/>
      <c r="L212" s="183"/>
      <c r="M212" s="183"/>
      <c r="N212" s="183"/>
    </row>
    <row r="213" spans="1:14" hidden="1">
      <c r="A213" s="183" t="s">
        <v>541</v>
      </c>
      <c r="B213" s="183"/>
      <c r="C213" s="183"/>
      <c r="D213" s="183"/>
      <c r="E213" s="183"/>
      <c r="F213" s="183"/>
      <c r="G213" s="183"/>
      <c r="H213" s="183"/>
      <c r="I213" s="183"/>
      <c r="J213" s="183"/>
      <c r="K213" s="183"/>
      <c r="L213" s="183"/>
      <c r="M213" s="183"/>
      <c r="N213" s="183"/>
    </row>
    <row r="214" spans="1:14">
      <c r="A214" s="189" t="s">
        <v>540</v>
      </c>
      <c r="B214" s="188" t="s">
        <v>439</v>
      </c>
      <c r="C214" s="188">
        <v>4</v>
      </c>
      <c r="D214" s="188" t="s">
        <v>18</v>
      </c>
      <c r="E214" s="188">
        <v>1</v>
      </c>
      <c r="F214" s="188">
        <v>3</v>
      </c>
      <c r="G214" s="188">
        <v>3</v>
      </c>
      <c r="H214" s="188">
        <v>3</v>
      </c>
      <c r="I214" s="188">
        <v>1</v>
      </c>
      <c r="J214" s="188">
        <v>1</v>
      </c>
      <c r="K214" s="188">
        <v>3</v>
      </c>
      <c r="L214" s="188">
        <v>1</v>
      </c>
      <c r="M214" s="183"/>
      <c r="N214" s="183"/>
    </row>
    <row r="215" spans="1:14" ht="30" hidden="1">
      <c r="A215" s="189" t="s">
        <v>539</v>
      </c>
      <c r="B215" s="188" t="s">
        <v>461</v>
      </c>
      <c r="C215" s="188">
        <v>4</v>
      </c>
      <c r="D215" s="188" t="s">
        <v>18</v>
      </c>
      <c r="E215" s="188">
        <v>1</v>
      </c>
      <c r="F215" s="188">
        <v>1</v>
      </c>
      <c r="G215" s="188">
        <v>2</v>
      </c>
      <c r="H215" s="188">
        <v>3</v>
      </c>
      <c r="I215" s="188">
        <v>1</v>
      </c>
      <c r="J215" s="188">
        <v>1</v>
      </c>
      <c r="K215" s="188">
        <v>3</v>
      </c>
      <c r="L215" s="188">
        <v>1</v>
      </c>
      <c r="M215" s="183"/>
      <c r="N215" s="183"/>
    </row>
    <row r="216" spans="1:14" ht="30" hidden="1">
      <c r="A216" s="188" t="s">
        <v>538</v>
      </c>
      <c r="B216" s="188" t="s">
        <v>435</v>
      </c>
      <c r="C216" s="188">
        <v>4</v>
      </c>
      <c r="D216" s="188" t="s">
        <v>18</v>
      </c>
      <c r="E216" s="188">
        <v>1</v>
      </c>
      <c r="F216" s="188">
        <v>1</v>
      </c>
      <c r="G216" s="188">
        <v>1</v>
      </c>
      <c r="H216" s="188">
        <v>2</v>
      </c>
      <c r="I216" s="188">
        <v>3</v>
      </c>
      <c r="J216" s="188">
        <v>3</v>
      </c>
      <c r="K216" s="188">
        <v>3</v>
      </c>
      <c r="L216" s="188">
        <v>3</v>
      </c>
      <c r="M216" s="183"/>
      <c r="N216" s="183"/>
    </row>
    <row r="217" spans="1:14" ht="30" hidden="1">
      <c r="A217" s="188" t="s">
        <v>537</v>
      </c>
      <c r="B217" s="188" t="s">
        <v>377</v>
      </c>
      <c r="C217" s="188">
        <v>4</v>
      </c>
      <c r="D217" s="188" t="s">
        <v>18</v>
      </c>
      <c r="E217" s="188">
        <v>1</v>
      </c>
      <c r="F217" s="188">
        <v>1</v>
      </c>
      <c r="G217" s="188">
        <v>1</v>
      </c>
      <c r="H217" s="188">
        <v>2</v>
      </c>
      <c r="I217" s="188">
        <v>2</v>
      </c>
      <c r="J217" s="188">
        <v>1</v>
      </c>
      <c r="K217" s="188">
        <v>4</v>
      </c>
      <c r="L217" s="188">
        <v>3</v>
      </c>
      <c r="M217" s="183"/>
      <c r="N217" s="183"/>
    </row>
    <row r="218" spans="1:14" ht="30" hidden="1">
      <c r="A218" s="188" t="s">
        <v>536</v>
      </c>
      <c r="B218" s="188" t="s">
        <v>432</v>
      </c>
      <c r="C218" s="188">
        <v>4</v>
      </c>
      <c r="D218" s="188" t="s">
        <v>18</v>
      </c>
      <c r="E218" s="188">
        <v>1</v>
      </c>
      <c r="F218" s="188">
        <v>1</v>
      </c>
      <c r="G218" s="188">
        <v>1</v>
      </c>
      <c r="H218" s="188">
        <v>3</v>
      </c>
      <c r="I218" s="188">
        <v>5</v>
      </c>
      <c r="J218" s="188">
        <v>3</v>
      </c>
      <c r="K218" s="188">
        <v>4</v>
      </c>
      <c r="L218" s="188">
        <v>4</v>
      </c>
      <c r="M218" s="183"/>
      <c r="N218" s="183"/>
    </row>
    <row r="219" spans="1:14" hidden="1">
      <c r="A219" s="188" t="s">
        <v>535</v>
      </c>
      <c r="B219" s="188" t="s">
        <v>217</v>
      </c>
      <c r="C219" s="188">
        <v>4</v>
      </c>
      <c r="D219" s="188" t="s">
        <v>18</v>
      </c>
      <c r="E219" s="188">
        <v>1</v>
      </c>
      <c r="F219" s="188">
        <v>1</v>
      </c>
      <c r="G219" s="188">
        <v>1</v>
      </c>
      <c r="H219" s="188">
        <v>3</v>
      </c>
      <c r="I219" s="188">
        <v>1</v>
      </c>
      <c r="J219" s="188">
        <v>1</v>
      </c>
      <c r="K219" s="188">
        <v>3</v>
      </c>
      <c r="L219" s="188">
        <v>1</v>
      </c>
      <c r="M219" s="188" t="s">
        <v>465</v>
      </c>
      <c r="N219" s="183"/>
    </row>
    <row r="220" spans="1:14" ht="30" hidden="1">
      <c r="A220" s="188" t="s">
        <v>534</v>
      </c>
      <c r="B220" s="188" t="s">
        <v>429</v>
      </c>
      <c r="C220" s="188">
        <v>4</v>
      </c>
      <c r="D220" s="188" t="s">
        <v>18</v>
      </c>
      <c r="E220" s="188">
        <v>1</v>
      </c>
      <c r="F220" s="188">
        <v>1</v>
      </c>
      <c r="G220" s="188">
        <v>4</v>
      </c>
      <c r="H220" s="188">
        <v>1</v>
      </c>
      <c r="I220" s="188">
        <v>1</v>
      </c>
      <c r="J220" s="188">
        <v>1</v>
      </c>
      <c r="K220" s="188">
        <v>1</v>
      </c>
      <c r="L220" s="188">
        <v>1</v>
      </c>
      <c r="M220" s="183"/>
      <c r="N220" s="183"/>
    </row>
    <row r="221" spans="1:14" ht="30" hidden="1">
      <c r="A221" s="188" t="s">
        <v>533</v>
      </c>
      <c r="B221" s="188" t="s">
        <v>427</v>
      </c>
      <c r="C221" s="188">
        <v>4</v>
      </c>
      <c r="D221" s="188" t="s">
        <v>18</v>
      </c>
      <c r="E221" s="188">
        <v>1</v>
      </c>
      <c r="F221" s="188">
        <v>1</v>
      </c>
      <c r="G221" s="188">
        <v>3</v>
      </c>
      <c r="H221" s="188">
        <v>1</v>
      </c>
      <c r="I221" s="188">
        <v>1</v>
      </c>
      <c r="J221" s="188">
        <v>1</v>
      </c>
      <c r="K221" s="188">
        <v>1</v>
      </c>
      <c r="L221" s="188">
        <v>1</v>
      </c>
      <c r="M221" s="183"/>
      <c r="N221" s="183"/>
    </row>
    <row r="222" spans="1:14" hidden="1">
      <c r="A222" s="188" t="s">
        <v>532</v>
      </c>
      <c r="B222" s="188" t="s">
        <v>425</v>
      </c>
      <c r="C222" s="188">
        <v>4</v>
      </c>
      <c r="D222" s="188" t="s">
        <v>18</v>
      </c>
      <c r="E222" s="188">
        <v>1</v>
      </c>
      <c r="F222" s="188">
        <v>1</v>
      </c>
      <c r="G222" s="188">
        <v>1</v>
      </c>
      <c r="H222" s="188">
        <v>1</v>
      </c>
      <c r="I222" s="188">
        <v>1</v>
      </c>
      <c r="J222" s="188">
        <v>1</v>
      </c>
      <c r="K222" s="188">
        <v>1</v>
      </c>
      <c r="L222" s="188">
        <v>1</v>
      </c>
      <c r="M222" s="183"/>
      <c r="N222" s="183"/>
    </row>
    <row r="223" spans="1:14" ht="30" hidden="1">
      <c r="A223" s="188" t="s">
        <v>531</v>
      </c>
      <c r="B223" s="188" t="s">
        <v>423</v>
      </c>
      <c r="C223" s="188">
        <v>4</v>
      </c>
      <c r="D223" s="188" t="s">
        <v>18</v>
      </c>
      <c r="E223" s="188">
        <v>1</v>
      </c>
      <c r="F223" s="188">
        <v>2</v>
      </c>
      <c r="G223" s="188">
        <v>2</v>
      </c>
      <c r="H223" s="188">
        <v>3</v>
      </c>
      <c r="I223" s="188">
        <v>1</v>
      </c>
      <c r="J223" s="188">
        <v>1</v>
      </c>
      <c r="K223" s="188">
        <v>3</v>
      </c>
      <c r="L223" s="188">
        <v>1</v>
      </c>
      <c r="M223" s="183"/>
      <c r="N223" s="183"/>
    </row>
    <row r="224" spans="1:14">
      <c r="A224" s="188" t="s">
        <v>530</v>
      </c>
      <c r="B224" s="188" t="s">
        <v>418</v>
      </c>
      <c r="C224" s="188">
        <v>4</v>
      </c>
      <c r="D224" s="188" t="s">
        <v>18</v>
      </c>
      <c r="E224" s="188">
        <v>1</v>
      </c>
      <c r="F224" s="188">
        <v>3</v>
      </c>
      <c r="G224" s="188">
        <v>1</v>
      </c>
      <c r="H224" s="188">
        <v>3</v>
      </c>
      <c r="I224" s="188">
        <v>3</v>
      </c>
      <c r="J224" s="188">
        <v>2</v>
      </c>
      <c r="K224" s="188">
        <v>3</v>
      </c>
      <c r="L224" s="188">
        <v>2</v>
      </c>
      <c r="M224" s="183"/>
      <c r="N224" s="183"/>
    </row>
    <row r="225" spans="1:14" ht="30">
      <c r="A225" s="188" t="s">
        <v>529</v>
      </c>
      <c r="B225" s="188" t="s">
        <v>416</v>
      </c>
      <c r="C225" s="188">
        <v>4</v>
      </c>
      <c r="D225" s="188" t="s">
        <v>18</v>
      </c>
      <c r="E225" s="188">
        <v>1</v>
      </c>
      <c r="F225" s="188">
        <v>4</v>
      </c>
      <c r="G225" s="188">
        <v>3</v>
      </c>
      <c r="H225" s="188">
        <v>3</v>
      </c>
      <c r="I225" s="188">
        <v>2</v>
      </c>
      <c r="J225" s="188">
        <v>1</v>
      </c>
      <c r="K225" s="188">
        <v>3</v>
      </c>
      <c r="L225" s="188">
        <v>2</v>
      </c>
      <c r="M225" s="183"/>
      <c r="N225" s="183"/>
    </row>
    <row r="226" spans="1:14" ht="30">
      <c r="A226" s="188" t="s">
        <v>528</v>
      </c>
      <c r="B226" s="188" t="s">
        <v>414</v>
      </c>
      <c r="C226" s="188">
        <v>4</v>
      </c>
      <c r="D226" s="188" t="s">
        <v>18</v>
      </c>
      <c r="E226" s="188">
        <v>1</v>
      </c>
      <c r="F226" s="188">
        <v>3</v>
      </c>
      <c r="G226" s="188">
        <v>3</v>
      </c>
      <c r="H226" s="188">
        <v>3</v>
      </c>
      <c r="I226" s="188">
        <v>1</v>
      </c>
      <c r="J226" s="188">
        <v>1</v>
      </c>
      <c r="K226" s="188">
        <v>3</v>
      </c>
      <c r="L226" s="188">
        <v>1</v>
      </c>
      <c r="M226" s="183"/>
      <c r="N226" s="183"/>
    </row>
    <row r="227" spans="1:14" ht="30" hidden="1">
      <c r="A227" s="188" t="s">
        <v>527</v>
      </c>
      <c r="B227" s="188" t="s">
        <v>412</v>
      </c>
      <c r="C227" s="188">
        <v>4</v>
      </c>
      <c r="D227" s="188" t="s">
        <v>18</v>
      </c>
      <c r="E227" s="188">
        <v>1</v>
      </c>
      <c r="F227" s="188">
        <v>1</v>
      </c>
      <c r="G227" s="188">
        <v>5</v>
      </c>
      <c r="H227" s="188">
        <v>3</v>
      </c>
      <c r="I227" s="188">
        <v>1</v>
      </c>
      <c r="J227" s="188">
        <v>1</v>
      </c>
      <c r="K227" s="188">
        <v>3</v>
      </c>
      <c r="L227" s="188">
        <v>1</v>
      </c>
      <c r="M227" s="186"/>
      <c r="N227" s="186"/>
    </row>
    <row r="228" spans="1:14" hidden="1">
      <c r="A228" s="188" t="s">
        <v>526</v>
      </c>
      <c r="B228" s="188" t="s">
        <v>222</v>
      </c>
      <c r="C228" s="188">
        <v>4</v>
      </c>
      <c r="D228" s="188" t="s">
        <v>18</v>
      </c>
      <c r="E228" s="188">
        <v>1</v>
      </c>
      <c r="F228" s="188">
        <v>1</v>
      </c>
      <c r="G228" s="188">
        <v>1</v>
      </c>
      <c r="H228" s="188">
        <v>1</v>
      </c>
      <c r="I228" s="188">
        <v>1</v>
      </c>
      <c r="J228" s="188">
        <v>1</v>
      </c>
      <c r="K228" s="188">
        <v>1</v>
      </c>
      <c r="L228" s="188">
        <v>1</v>
      </c>
      <c r="M228" s="183"/>
      <c r="N228" s="183"/>
    </row>
    <row r="229" spans="1:14" ht="30" hidden="1">
      <c r="A229" s="188" t="s">
        <v>525</v>
      </c>
      <c r="B229" s="188" t="s">
        <v>364</v>
      </c>
      <c r="C229" s="188">
        <v>4</v>
      </c>
      <c r="D229" s="188" t="s">
        <v>18</v>
      </c>
      <c r="E229" s="188">
        <v>1</v>
      </c>
      <c r="F229" s="188">
        <v>2</v>
      </c>
      <c r="G229" s="188">
        <v>1</v>
      </c>
      <c r="H229" s="188">
        <v>3</v>
      </c>
      <c r="I229" s="188">
        <v>1</v>
      </c>
      <c r="J229" s="188">
        <v>1</v>
      </c>
      <c r="K229" s="188">
        <v>4</v>
      </c>
      <c r="L229" s="188">
        <v>1</v>
      </c>
      <c r="M229" s="183"/>
      <c r="N229" s="183"/>
    </row>
    <row r="230" spans="1:14">
      <c r="A230" s="188" t="s">
        <v>524</v>
      </c>
      <c r="B230" s="188" t="s">
        <v>408</v>
      </c>
      <c r="C230" s="188">
        <v>4</v>
      </c>
      <c r="D230" s="188" t="s">
        <v>18</v>
      </c>
      <c r="E230" s="188">
        <v>1</v>
      </c>
      <c r="F230" s="188">
        <v>3</v>
      </c>
      <c r="G230" s="188">
        <v>3</v>
      </c>
      <c r="H230" s="188">
        <v>3</v>
      </c>
      <c r="I230" s="188">
        <v>1</v>
      </c>
      <c r="J230" s="188">
        <v>2</v>
      </c>
      <c r="K230" s="188">
        <v>2</v>
      </c>
      <c r="L230" s="188">
        <v>1</v>
      </c>
      <c r="M230" s="183"/>
      <c r="N230" s="183"/>
    </row>
    <row r="231" spans="1:14" ht="30" hidden="1">
      <c r="A231" s="188" t="s">
        <v>523</v>
      </c>
      <c r="B231" s="188" t="s">
        <v>406</v>
      </c>
      <c r="C231" s="188">
        <v>4</v>
      </c>
      <c r="D231" s="188" t="s">
        <v>18</v>
      </c>
      <c r="E231" s="188">
        <v>1</v>
      </c>
      <c r="F231" s="188">
        <v>1</v>
      </c>
      <c r="G231" s="188">
        <v>1</v>
      </c>
      <c r="H231" s="188">
        <v>2</v>
      </c>
      <c r="I231" s="188">
        <v>1</v>
      </c>
      <c r="J231" s="188">
        <v>1</v>
      </c>
      <c r="K231" s="188">
        <v>3</v>
      </c>
      <c r="L231" s="188">
        <v>1</v>
      </c>
      <c r="M231" s="183"/>
      <c r="N231" s="183"/>
    </row>
    <row r="232" spans="1:14">
      <c r="A232" s="188" t="s">
        <v>522</v>
      </c>
      <c r="B232" s="188" t="s">
        <v>404</v>
      </c>
      <c r="C232" s="188">
        <v>4</v>
      </c>
      <c r="D232" s="188" t="s">
        <v>18</v>
      </c>
      <c r="E232" s="188">
        <v>2</v>
      </c>
      <c r="F232" s="188">
        <v>5</v>
      </c>
      <c r="G232" s="188">
        <v>2</v>
      </c>
      <c r="H232" s="188">
        <v>3</v>
      </c>
      <c r="I232" s="188">
        <v>2</v>
      </c>
      <c r="J232" s="188">
        <v>4</v>
      </c>
      <c r="K232" s="188">
        <v>4</v>
      </c>
      <c r="L232" s="188">
        <v>2</v>
      </c>
      <c r="M232" s="183"/>
      <c r="N232" s="183"/>
    </row>
    <row r="233" spans="1:14" hidden="1">
      <c r="A233" s="188" t="s">
        <v>521</v>
      </c>
      <c r="B233" s="188" t="s">
        <v>402</v>
      </c>
      <c r="C233" s="188">
        <v>4</v>
      </c>
      <c r="D233" s="188" t="s">
        <v>18</v>
      </c>
      <c r="E233" s="188">
        <v>1</v>
      </c>
      <c r="F233" s="188">
        <v>1</v>
      </c>
      <c r="G233" s="188">
        <v>1</v>
      </c>
      <c r="H233" s="188">
        <v>2</v>
      </c>
      <c r="I233" s="188">
        <v>1</v>
      </c>
      <c r="J233" s="188">
        <v>1</v>
      </c>
      <c r="K233" s="188">
        <v>3</v>
      </c>
      <c r="L233" s="188">
        <v>1</v>
      </c>
      <c r="M233" s="183"/>
      <c r="N233" s="183"/>
    </row>
    <row r="234" spans="1:14" ht="30" hidden="1">
      <c r="A234" s="188" t="s">
        <v>520</v>
      </c>
      <c r="B234" s="188" t="s">
        <v>471</v>
      </c>
      <c r="C234" s="188">
        <v>4</v>
      </c>
      <c r="D234" s="188" t="s">
        <v>18</v>
      </c>
      <c r="E234" s="188">
        <v>1</v>
      </c>
      <c r="F234" s="188">
        <v>1</v>
      </c>
      <c r="G234" s="188">
        <v>5</v>
      </c>
      <c r="H234" s="188">
        <v>3</v>
      </c>
      <c r="I234" s="188">
        <v>1</v>
      </c>
      <c r="J234" s="188">
        <v>1</v>
      </c>
      <c r="K234" s="188">
        <v>3</v>
      </c>
      <c r="L234" s="188">
        <v>1</v>
      </c>
      <c r="M234" s="183"/>
      <c r="N234" s="183"/>
    </row>
    <row r="235" spans="1:14" hidden="1">
      <c r="A235" s="188" t="s">
        <v>519</v>
      </c>
      <c r="B235" s="188" t="s">
        <v>243</v>
      </c>
      <c r="C235" s="188">
        <v>4</v>
      </c>
      <c r="D235" s="188" t="s">
        <v>18</v>
      </c>
      <c r="E235" s="188">
        <v>1</v>
      </c>
      <c r="F235" s="188">
        <v>1</v>
      </c>
      <c r="G235" s="188">
        <v>1</v>
      </c>
      <c r="H235" s="188">
        <v>2</v>
      </c>
      <c r="I235" s="188">
        <v>1</v>
      </c>
      <c r="J235" s="188">
        <v>1</v>
      </c>
      <c r="K235" s="188">
        <v>2</v>
      </c>
      <c r="L235" s="188">
        <v>1</v>
      </c>
      <c r="M235" s="188" t="s">
        <v>465</v>
      </c>
      <c r="N235" s="183"/>
    </row>
    <row r="236" spans="1:14">
      <c r="A236" s="188" t="s">
        <v>363</v>
      </c>
      <c r="B236" s="188" t="s">
        <v>241</v>
      </c>
      <c r="C236" s="188">
        <v>4</v>
      </c>
      <c r="D236" s="188" t="s">
        <v>18</v>
      </c>
      <c r="E236" s="188">
        <v>1</v>
      </c>
      <c r="F236" s="188">
        <v>4</v>
      </c>
      <c r="G236" s="188">
        <v>1</v>
      </c>
      <c r="H236" s="188">
        <v>3</v>
      </c>
      <c r="I236" s="188">
        <v>1</v>
      </c>
      <c r="J236" s="188">
        <v>5</v>
      </c>
      <c r="K236" s="188">
        <v>3</v>
      </c>
      <c r="L236" s="188">
        <v>1</v>
      </c>
      <c r="M236" s="188" t="s">
        <v>465</v>
      </c>
      <c r="N236" s="183"/>
    </row>
    <row r="237" spans="1:14" hidden="1">
      <c r="A237" s="188" t="s">
        <v>518</v>
      </c>
      <c r="B237" s="188" t="s">
        <v>398</v>
      </c>
      <c r="C237" s="188">
        <v>4</v>
      </c>
      <c r="D237" s="188" t="s">
        <v>18</v>
      </c>
      <c r="E237" s="188">
        <v>1</v>
      </c>
      <c r="F237" s="188">
        <v>1</v>
      </c>
      <c r="G237" s="188">
        <v>1</v>
      </c>
      <c r="H237" s="188">
        <v>1</v>
      </c>
      <c r="I237" s="188">
        <v>1</v>
      </c>
      <c r="J237" s="188">
        <v>1</v>
      </c>
      <c r="K237" s="188">
        <v>1</v>
      </c>
      <c r="L237" s="188">
        <v>1</v>
      </c>
      <c r="M237" s="183"/>
      <c r="N237" s="183"/>
    </row>
    <row r="238" spans="1:14">
      <c r="A238" s="188" t="s">
        <v>517</v>
      </c>
      <c r="B238" s="188" t="s">
        <v>242</v>
      </c>
      <c r="C238" s="188">
        <v>4</v>
      </c>
      <c r="D238" s="188" t="s">
        <v>18</v>
      </c>
      <c r="E238" s="188">
        <v>1</v>
      </c>
      <c r="F238" s="188">
        <v>3</v>
      </c>
      <c r="G238" s="188">
        <v>1</v>
      </c>
      <c r="H238" s="188">
        <v>1</v>
      </c>
      <c r="I238" s="188">
        <v>1</v>
      </c>
      <c r="J238" s="188">
        <v>2</v>
      </c>
      <c r="K238" s="188">
        <v>1</v>
      </c>
      <c r="L238" s="188">
        <v>1</v>
      </c>
      <c r="M238" s="183"/>
      <c r="N238" s="183"/>
    </row>
    <row r="239" spans="1:14">
      <c r="A239" s="188" t="s">
        <v>516</v>
      </c>
      <c r="B239" s="188" t="s">
        <v>191</v>
      </c>
      <c r="C239" s="188">
        <v>4</v>
      </c>
      <c r="D239" s="188" t="s">
        <v>18</v>
      </c>
      <c r="E239" s="188">
        <v>3</v>
      </c>
      <c r="F239" s="188">
        <v>5</v>
      </c>
      <c r="G239" s="188">
        <v>3</v>
      </c>
      <c r="H239" s="188">
        <v>5</v>
      </c>
      <c r="I239" s="188">
        <v>5</v>
      </c>
      <c r="J239" s="188">
        <v>5</v>
      </c>
      <c r="K239" s="188">
        <v>4</v>
      </c>
      <c r="L239" s="188">
        <v>5</v>
      </c>
      <c r="M239" s="183"/>
      <c r="N239" s="183"/>
    </row>
    <row r="240" spans="1:14" hidden="1">
      <c r="A240" s="183"/>
      <c r="B240" s="183"/>
      <c r="C240" s="183"/>
      <c r="D240" s="183"/>
      <c r="E240" s="183"/>
      <c r="F240" s="183"/>
      <c r="G240" s="183"/>
      <c r="H240" s="183"/>
      <c r="I240" s="183"/>
      <c r="J240" s="183"/>
      <c r="K240" s="183"/>
      <c r="L240" s="183"/>
      <c r="M240" s="183"/>
      <c r="N240" s="183"/>
    </row>
    <row r="241" spans="1:14" hidden="1">
      <c r="A241" s="187" t="s">
        <v>515</v>
      </c>
      <c r="B241" s="187" t="s">
        <v>439</v>
      </c>
      <c r="C241" s="187">
        <v>4</v>
      </c>
      <c r="D241" s="187" t="s">
        <v>268</v>
      </c>
      <c r="E241" s="187">
        <v>1</v>
      </c>
      <c r="F241" s="187">
        <v>1</v>
      </c>
      <c r="G241" s="187">
        <v>1</v>
      </c>
      <c r="H241" s="187">
        <v>1</v>
      </c>
      <c r="I241" s="187">
        <v>1</v>
      </c>
      <c r="J241" s="187">
        <v>1</v>
      </c>
      <c r="K241" s="187">
        <v>3</v>
      </c>
      <c r="L241" s="187">
        <v>1</v>
      </c>
      <c r="M241" s="183"/>
      <c r="N241" s="183"/>
    </row>
    <row r="242" spans="1:14" ht="30">
      <c r="A242" s="187" t="s">
        <v>514</v>
      </c>
      <c r="B242" s="187" t="s">
        <v>461</v>
      </c>
      <c r="C242" s="187">
        <v>4</v>
      </c>
      <c r="D242" s="187" t="s">
        <v>268</v>
      </c>
      <c r="E242" s="187">
        <v>1</v>
      </c>
      <c r="F242" s="187">
        <v>3</v>
      </c>
      <c r="G242" s="187">
        <v>3</v>
      </c>
      <c r="H242" s="187">
        <v>2</v>
      </c>
      <c r="I242" s="187">
        <v>1</v>
      </c>
      <c r="J242" s="187">
        <v>1</v>
      </c>
      <c r="K242" s="187">
        <v>2</v>
      </c>
      <c r="L242" s="187">
        <v>1</v>
      </c>
      <c r="M242" s="183"/>
      <c r="N242" s="183"/>
    </row>
    <row r="243" spans="1:14" ht="30">
      <c r="A243" s="187" t="s">
        <v>513</v>
      </c>
      <c r="B243" s="187" t="s">
        <v>435</v>
      </c>
      <c r="C243" s="187">
        <v>4</v>
      </c>
      <c r="D243" s="187" t="s">
        <v>268</v>
      </c>
      <c r="E243" s="187">
        <v>2</v>
      </c>
      <c r="F243" s="187">
        <v>3</v>
      </c>
      <c r="G243" s="187">
        <v>1</v>
      </c>
      <c r="H243" s="187">
        <v>4</v>
      </c>
      <c r="I243" s="187">
        <v>5</v>
      </c>
      <c r="J243" s="187">
        <v>1</v>
      </c>
      <c r="K243" s="187">
        <v>5</v>
      </c>
      <c r="L243" s="187">
        <v>5</v>
      </c>
      <c r="M243" s="183"/>
      <c r="N243" s="183"/>
    </row>
    <row r="244" spans="1:14" ht="30" hidden="1">
      <c r="A244" s="187" t="s">
        <v>512</v>
      </c>
      <c r="B244" s="187" t="s">
        <v>377</v>
      </c>
      <c r="C244" s="187">
        <v>4</v>
      </c>
      <c r="D244" s="187" t="s">
        <v>268</v>
      </c>
      <c r="E244" s="187">
        <v>1</v>
      </c>
      <c r="F244" s="187">
        <v>2</v>
      </c>
      <c r="G244" s="187">
        <v>1</v>
      </c>
      <c r="H244" s="187">
        <v>2</v>
      </c>
      <c r="I244" s="187">
        <v>2</v>
      </c>
      <c r="J244" s="187">
        <v>2</v>
      </c>
      <c r="K244" s="187">
        <v>1</v>
      </c>
      <c r="L244" s="187">
        <v>1</v>
      </c>
      <c r="M244" s="183"/>
      <c r="N244" s="183"/>
    </row>
    <row r="245" spans="1:14" hidden="1">
      <c r="A245" s="187" t="s">
        <v>511</v>
      </c>
      <c r="B245" s="187" t="s">
        <v>217</v>
      </c>
      <c r="C245" s="187">
        <v>4</v>
      </c>
      <c r="D245" s="187" t="s">
        <v>268</v>
      </c>
      <c r="E245" s="187">
        <v>1</v>
      </c>
      <c r="F245" s="187">
        <v>1</v>
      </c>
      <c r="G245" s="187">
        <v>1</v>
      </c>
      <c r="H245" s="187">
        <v>2</v>
      </c>
      <c r="I245" s="187">
        <v>3</v>
      </c>
      <c r="J245" s="187">
        <v>1</v>
      </c>
      <c r="K245" s="187">
        <v>3</v>
      </c>
      <c r="L245" s="187">
        <v>4</v>
      </c>
      <c r="M245" s="183"/>
      <c r="N245" s="183"/>
    </row>
    <row r="246" spans="1:14" ht="30" hidden="1">
      <c r="A246" s="187" t="s">
        <v>510</v>
      </c>
      <c r="B246" s="187" t="s">
        <v>429</v>
      </c>
      <c r="C246" s="187">
        <v>4</v>
      </c>
      <c r="D246" s="187" t="s">
        <v>268</v>
      </c>
      <c r="E246" s="187">
        <v>1</v>
      </c>
      <c r="F246" s="187">
        <v>1</v>
      </c>
      <c r="G246" s="187">
        <v>3</v>
      </c>
      <c r="H246" s="187">
        <v>4</v>
      </c>
      <c r="I246" s="187">
        <v>1</v>
      </c>
      <c r="J246" s="187">
        <v>3</v>
      </c>
      <c r="K246" s="187">
        <v>3</v>
      </c>
      <c r="L246" s="187">
        <v>1</v>
      </c>
      <c r="M246" s="183"/>
      <c r="N246" s="183"/>
    </row>
    <row r="247" spans="1:14" ht="30" hidden="1">
      <c r="A247" s="187" t="s">
        <v>509</v>
      </c>
      <c r="B247" s="187" t="s">
        <v>427</v>
      </c>
      <c r="C247" s="187">
        <v>4</v>
      </c>
      <c r="D247" s="187" t="s">
        <v>268</v>
      </c>
      <c r="E247" s="187">
        <v>1</v>
      </c>
      <c r="F247" s="187">
        <v>1</v>
      </c>
      <c r="G247" s="187">
        <v>3</v>
      </c>
      <c r="H247" s="187">
        <v>2</v>
      </c>
      <c r="I247" s="187">
        <v>1</v>
      </c>
      <c r="J247" s="187">
        <v>1</v>
      </c>
      <c r="K247" s="187">
        <v>2</v>
      </c>
      <c r="L247" s="187">
        <v>1</v>
      </c>
      <c r="M247" s="183"/>
      <c r="N247" s="183"/>
    </row>
    <row r="248" spans="1:14" hidden="1">
      <c r="A248" s="187" t="s">
        <v>508</v>
      </c>
      <c r="B248" s="187" t="s">
        <v>425</v>
      </c>
      <c r="C248" s="187">
        <v>4</v>
      </c>
      <c r="D248" s="187" t="s">
        <v>268</v>
      </c>
      <c r="E248" s="187">
        <v>1</v>
      </c>
      <c r="F248" s="187">
        <v>1</v>
      </c>
      <c r="G248" s="187">
        <v>1</v>
      </c>
      <c r="H248" s="187">
        <v>1</v>
      </c>
      <c r="I248" s="187">
        <v>1</v>
      </c>
      <c r="J248" s="187">
        <v>1</v>
      </c>
      <c r="K248" s="187">
        <v>1</v>
      </c>
      <c r="L248" s="187">
        <v>1</v>
      </c>
      <c r="M248" s="183"/>
      <c r="N248" s="183"/>
    </row>
    <row r="249" spans="1:14" ht="30" hidden="1">
      <c r="A249" s="187" t="s">
        <v>263</v>
      </c>
      <c r="B249" s="187" t="s">
        <v>423</v>
      </c>
      <c r="C249" s="187">
        <v>4</v>
      </c>
      <c r="D249" s="187" t="s">
        <v>268</v>
      </c>
      <c r="E249" s="187">
        <v>1</v>
      </c>
      <c r="F249" s="187">
        <v>1</v>
      </c>
      <c r="G249" s="187">
        <v>3</v>
      </c>
      <c r="H249" s="187">
        <v>2</v>
      </c>
      <c r="I249" s="187">
        <v>1</v>
      </c>
      <c r="J249" s="187">
        <v>1</v>
      </c>
      <c r="K249" s="187">
        <v>1</v>
      </c>
      <c r="L249" s="187">
        <v>1</v>
      </c>
      <c r="M249" s="183"/>
      <c r="N249" s="183"/>
    </row>
    <row r="250" spans="1:14" hidden="1">
      <c r="A250" s="187" t="s">
        <v>507</v>
      </c>
      <c r="B250" s="187" t="s">
        <v>418</v>
      </c>
      <c r="C250" s="187">
        <v>4</v>
      </c>
      <c r="D250" s="187" t="s">
        <v>268</v>
      </c>
      <c r="E250" s="187">
        <v>1</v>
      </c>
      <c r="F250" s="187">
        <v>1</v>
      </c>
      <c r="G250" s="187">
        <v>1</v>
      </c>
      <c r="H250" s="187">
        <v>1</v>
      </c>
      <c r="I250" s="187">
        <v>1</v>
      </c>
      <c r="J250" s="187">
        <v>2</v>
      </c>
      <c r="K250" s="187">
        <v>1</v>
      </c>
      <c r="L250" s="187">
        <v>1</v>
      </c>
      <c r="M250" s="183"/>
      <c r="N250" s="183"/>
    </row>
    <row r="251" spans="1:14" ht="30" hidden="1">
      <c r="A251" s="187" t="s">
        <v>506</v>
      </c>
      <c r="B251" s="187" t="s">
        <v>416</v>
      </c>
      <c r="C251" s="187">
        <v>4</v>
      </c>
      <c r="D251" s="187" t="s">
        <v>268</v>
      </c>
      <c r="E251" s="187">
        <v>2</v>
      </c>
      <c r="F251" s="187">
        <v>2</v>
      </c>
      <c r="G251" s="187">
        <v>4</v>
      </c>
      <c r="H251" s="187">
        <v>1</v>
      </c>
      <c r="I251" s="187">
        <v>1</v>
      </c>
      <c r="J251" s="187">
        <v>3</v>
      </c>
      <c r="K251" s="187">
        <v>1</v>
      </c>
      <c r="L251" s="187">
        <v>2</v>
      </c>
      <c r="M251" s="183"/>
      <c r="N251" s="183"/>
    </row>
    <row r="252" spans="1:14" ht="30">
      <c r="A252" s="187" t="s">
        <v>505</v>
      </c>
      <c r="B252" s="187" t="s">
        <v>414</v>
      </c>
      <c r="C252" s="187">
        <v>4</v>
      </c>
      <c r="D252" s="187" t="s">
        <v>268</v>
      </c>
      <c r="E252" s="187">
        <v>1</v>
      </c>
      <c r="F252" s="187">
        <v>4</v>
      </c>
      <c r="G252" s="187">
        <v>1</v>
      </c>
      <c r="H252" s="187">
        <v>1</v>
      </c>
      <c r="I252" s="187">
        <v>1</v>
      </c>
      <c r="J252" s="187">
        <v>1</v>
      </c>
      <c r="K252" s="187">
        <v>3</v>
      </c>
      <c r="L252" s="187">
        <v>1</v>
      </c>
      <c r="M252" s="183"/>
      <c r="N252" s="183"/>
    </row>
    <row r="253" spans="1:14" ht="30" hidden="1">
      <c r="A253" s="187" t="s">
        <v>504</v>
      </c>
      <c r="B253" s="187" t="s">
        <v>412</v>
      </c>
      <c r="C253" s="187">
        <v>4</v>
      </c>
      <c r="D253" s="187" t="s">
        <v>268</v>
      </c>
      <c r="E253" s="187">
        <v>1</v>
      </c>
      <c r="F253" s="187">
        <v>1</v>
      </c>
      <c r="G253" s="187">
        <v>3</v>
      </c>
      <c r="H253" s="187">
        <v>3</v>
      </c>
      <c r="I253" s="187">
        <v>1</v>
      </c>
      <c r="J253" s="187">
        <v>1</v>
      </c>
      <c r="K253" s="187">
        <v>2</v>
      </c>
      <c r="L253" s="187">
        <v>1</v>
      </c>
      <c r="M253" s="183"/>
      <c r="N253" s="183"/>
    </row>
    <row r="254" spans="1:14" hidden="1">
      <c r="A254" s="187" t="s">
        <v>503</v>
      </c>
      <c r="B254" s="187" t="s">
        <v>222</v>
      </c>
      <c r="C254" s="187">
        <v>4</v>
      </c>
      <c r="D254" s="187" t="s">
        <v>268</v>
      </c>
      <c r="E254" s="187">
        <v>1</v>
      </c>
      <c r="F254" s="187">
        <v>1</v>
      </c>
      <c r="G254" s="187">
        <v>1</v>
      </c>
      <c r="H254" s="187">
        <v>1</v>
      </c>
      <c r="I254" s="187">
        <v>1</v>
      </c>
      <c r="J254" s="187">
        <v>1</v>
      </c>
      <c r="K254" s="187">
        <v>1</v>
      </c>
      <c r="L254" s="187">
        <v>1</v>
      </c>
      <c r="M254" s="187" t="s">
        <v>465</v>
      </c>
      <c r="N254" s="183"/>
    </row>
    <row r="255" spans="1:14" ht="30" hidden="1">
      <c r="A255" s="187" t="s">
        <v>502</v>
      </c>
      <c r="B255" s="187" t="s">
        <v>364</v>
      </c>
      <c r="C255" s="187">
        <v>4</v>
      </c>
      <c r="D255" s="187" t="s">
        <v>268</v>
      </c>
      <c r="E255" s="187">
        <v>1</v>
      </c>
      <c r="F255" s="187">
        <v>2</v>
      </c>
      <c r="G255" s="187">
        <v>1</v>
      </c>
      <c r="H255" s="187">
        <v>5</v>
      </c>
      <c r="I255" s="187">
        <v>3</v>
      </c>
      <c r="J255" s="187">
        <v>3</v>
      </c>
      <c r="K255" s="187">
        <v>5</v>
      </c>
      <c r="L255" s="187">
        <v>2</v>
      </c>
      <c r="M255" s="183"/>
      <c r="N255" s="183"/>
    </row>
    <row r="256" spans="1:14" hidden="1">
      <c r="A256" s="187" t="s">
        <v>501</v>
      </c>
      <c r="B256" s="187" t="s">
        <v>408</v>
      </c>
      <c r="C256" s="187">
        <v>4</v>
      </c>
      <c r="D256" s="187" t="s">
        <v>268</v>
      </c>
      <c r="E256" s="187">
        <v>1</v>
      </c>
      <c r="F256" s="187">
        <v>1</v>
      </c>
      <c r="G256" s="187">
        <v>3</v>
      </c>
      <c r="H256" s="187">
        <v>4</v>
      </c>
      <c r="I256" s="187">
        <v>1</v>
      </c>
      <c r="J256" s="187">
        <v>1</v>
      </c>
      <c r="K256" s="187">
        <v>4</v>
      </c>
      <c r="L256" s="187">
        <v>1</v>
      </c>
      <c r="M256" s="183"/>
      <c r="N256" s="183"/>
    </row>
    <row r="257" spans="1:14" ht="30">
      <c r="A257" s="187" t="s">
        <v>500</v>
      </c>
      <c r="B257" s="187" t="s">
        <v>406</v>
      </c>
      <c r="C257" s="187">
        <v>4</v>
      </c>
      <c r="D257" s="187" t="s">
        <v>268</v>
      </c>
      <c r="E257" s="187">
        <v>5</v>
      </c>
      <c r="F257" s="187">
        <v>5</v>
      </c>
      <c r="G257" s="187">
        <v>1</v>
      </c>
      <c r="H257" s="187">
        <v>5</v>
      </c>
      <c r="I257" s="187">
        <v>2</v>
      </c>
      <c r="J257" s="187">
        <v>1</v>
      </c>
      <c r="K257" s="187">
        <v>5</v>
      </c>
      <c r="L257" s="187">
        <v>5</v>
      </c>
      <c r="M257" s="183"/>
      <c r="N257" s="183"/>
    </row>
    <row r="258" spans="1:14">
      <c r="A258" s="187" t="s">
        <v>499</v>
      </c>
      <c r="B258" s="187" t="s">
        <v>404</v>
      </c>
      <c r="C258" s="187">
        <v>4</v>
      </c>
      <c r="D258" s="187" t="s">
        <v>268</v>
      </c>
      <c r="E258" s="187">
        <v>2</v>
      </c>
      <c r="F258" s="187">
        <v>4</v>
      </c>
      <c r="G258" s="187">
        <v>1</v>
      </c>
      <c r="H258" s="187">
        <v>2</v>
      </c>
      <c r="I258" s="187">
        <v>1</v>
      </c>
      <c r="J258" s="187">
        <v>1</v>
      </c>
      <c r="K258" s="187">
        <v>4</v>
      </c>
      <c r="L258" s="187">
        <v>1</v>
      </c>
      <c r="M258" s="183"/>
      <c r="N258" s="183"/>
    </row>
    <row r="259" spans="1:14" hidden="1">
      <c r="A259" s="187" t="s">
        <v>498</v>
      </c>
      <c r="B259" s="187" t="s">
        <v>402</v>
      </c>
      <c r="C259" s="187">
        <v>4</v>
      </c>
      <c r="D259" s="187" t="s">
        <v>268</v>
      </c>
      <c r="E259" s="187">
        <v>1</v>
      </c>
      <c r="F259" s="187">
        <v>1</v>
      </c>
      <c r="G259" s="187">
        <v>1</v>
      </c>
      <c r="H259" s="187">
        <v>1</v>
      </c>
      <c r="I259" s="187">
        <v>1</v>
      </c>
      <c r="J259" s="187">
        <v>1</v>
      </c>
      <c r="K259" s="187">
        <v>3</v>
      </c>
      <c r="L259" s="187">
        <v>1</v>
      </c>
      <c r="M259" s="183"/>
      <c r="N259" s="183"/>
    </row>
    <row r="260" spans="1:14" ht="30" hidden="1">
      <c r="A260" s="187" t="s">
        <v>497</v>
      </c>
      <c r="B260" s="187" t="s">
        <v>471</v>
      </c>
      <c r="C260" s="187">
        <v>4</v>
      </c>
      <c r="D260" s="187" t="s">
        <v>268</v>
      </c>
      <c r="E260" s="187">
        <v>1</v>
      </c>
      <c r="F260" s="187">
        <v>1</v>
      </c>
      <c r="G260" s="187">
        <v>1</v>
      </c>
      <c r="H260" s="187">
        <v>1</v>
      </c>
      <c r="I260" s="187">
        <v>2</v>
      </c>
      <c r="J260" s="187">
        <v>3</v>
      </c>
      <c r="K260" s="187">
        <v>2</v>
      </c>
      <c r="L260" s="187">
        <v>2</v>
      </c>
      <c r="M260" s="183"/>
      <c r="N260" s="183"/>
    </row>
    <row r="261" spans="1:14" hidden="1">
      <c r="A261" s="187" t="s">
        <v>496</v>
      </c>
      <c r="B261" s="187" t="s">
        <v>243</v>
      </c>
      <c r="C261" s="187">
        <v>4</v>
      </c>
      <c r="D261" s="187" t="s">
        <v>268</v>
      </c>
      <c r="E261" s="187">
        <v>1</v>
      </c>
      <c r="F261" s="187">
        <v>1</v>
      </c>
      <c r="G261" s="187">
        <v>2</v>
      </c>
      <c r="H261" s="187">
        <v>3</v>
      </c>
      <c r="I261" s="187">
        <v>3</v>
      </c>
      <c r="J261" s="187">
        <v>1</v>
      </c>
      <c r="K261" s="187">
        <v>1</v>
      </c>
      <c r="L261" s="187">
        <v>1</v>
      </c>
      <c r="M261" s="183"/>
      <c r="N261" s="183"/>
    </row>
    <row r="262" spans="1:14" hidden="1">
      <c r="A262" s="187" t="s">
        <v>495</v>
      </c>
      <c r="B262" s="187" t="s">
        <v>241</v>
      </c>
      <c r="C262" s="187">
        <v>4</v>
      </c>
      <c r="D262" s="187" t="s">
        <v>268</v>
      </c>
      <c r="E262" s="187">
        <v>1</v>
      </c>
      <c r="F262" s="187">
        <v>2</v>
      </c>
      <c r="G262" s="187">
        <v>1</v>
      </c>
      <c r="H262" s="187">
        <v>4</v>
      </c>
      <c r="I262" s="187">
        <v>5</v>
      </c>
      <c r="J262" s="187">
        <v>5</v>
      </c>
      <c r="K262" s="187">
        <v>3</v>
      </c>
      <c r="L262" s="187">
        <v>3</v>
      </c>
      <c r="M262" s="183"/>
      <c r="N262" s="183"/>
    </row>
    <row r="263" spans="1:14">
      <c r="A263" s="187" t="s">
        <v>494</v>
      </c>
      <c r="B263" s="187" t="s">
        <v>398</v>
      </c>
      <c r="C263" s="187">
        <v>4</v>
      </c>
      <c r="D263" s="187" t="s">
        <v>268</v>
      </c>
      <c r="E263" s="187">
        <v>2</v>
      </c>
      <c r="F263" s="187">
        <v>3</v>
      </c>
      <c r="G263" s="187">
        <v>1</v>
      </c>
      <c r="H263" s="187">
        <v>1</v>
      </c>
      <c r="I263" s="187">
        <v>1</v>
      </c>
      <c r="J263" s="187">
        <v>1</v>
      </c>
      <c r="K263" s="187">
        <v>3</v>
      </c>
      <c r="L263" s="187">
        <v>1</v>
      </c>
      <c r="M263" s="183"/>
      <c r="N263" s="183"/>
    </row>
    <row r="264" spans="1:14" hidden="1">
      <c r="A264" s="187" t="s">
        <v>493</v>
      </c>
      <c r="B264" s="187" t="s">
        <v>242</v>
      </c>
      <c r="C264" s="187">
        <v>4</v>
      </c>
      <c r="D264" s="187" t="s">
        <v>268</v>
      </c>
      <c r="E264" s="187">
        <v>1</v>
      </c>
      <c r="F264" s="187">
        <v>2</v>
      </c>
      <c r="G264" s="187">
        <v>1</v>
      </c>
      <c r="H264" s="187">
        <v>1</v>
      </c>
      <c r="I264" s="187">
        <v>1</v>
      </c>
      <c r="J264" s="187">
        <v>1</v>
      </c>
      <c r="K264" s="187">
        <v>2</v>
      </c>
      <c r="L264" s="187">
        <v>1</v>
      </c>
      <c r="M264" s="187" t="s">
        <v>465</v>
      </c>
      <c r="N264" s="183"/>
    </row>
    <row r="265" spans="1:14" hidden="1">
      <c r="A265" s="187" t="s">
        <v>492</v>
      </c>
      <c r="B265" s="187" t="s">
        <v>191</v>
      </c>
      <c r="C265" s="187">
        <v>4</v>
      </c>
      <c r="D265" s="187" t="s">
        <v>268</v>
      </c>
      <c r="E265" s="187">
        <v>1</v>
      </c>
      <c r="F265" s="187">
        <v>1</v>
      </c>
      <c r="G265" s="187">
        <v>1</v>
      </c>
      <c r="H265" s="187">
        <v>1</v>
      </c>
      <c r="I265" s="187">
        <v>1</v>
      </c>
      <c r="J265" s="187">
        <v>1</v>
      </c>
      <c r="K265" s="187">
        <v>1</v>
      </c>
      <c r="L265" s="187">
        <v>1</v>
      </c>
      <c r="M265" s="183"/>
      <c r="N265" s="183"/>
    </row>
    <row r="266" spans="1:14" hidden="1">
      <c r="A266" s="187" t="s">
        <v>491</v>
      </c>
      <c r="B266" s="187" t="s">
        <v>396</v>
      </c>
      <c r="C266" s="187">
        <v>4</v>
      </c>
      <c r="D266" s="187" t="s">
        <v>268</v>
      </c>
      <c r="E266" s="187">
        <v>1</v>
      </c>
      <c r="F266" s="187">
        <v>1</v>
      </c>
      <c r="G266" s="187">
        <v>1</v>
      </c>
      <c r="H266" s="187">
        <v>1</v>
      </c>
      <c r="I266" s="187">
        <v>1</v>
      </c>
      <c r="J266" s="187">
        <v>1</v>
      </c>
      <c r="K266" s="187">
        <v>1</v>
      </c>
      <c r="L266" s="187">
        <v>1</v>
      </c>
      <c r="M266" s="183"/>
      <c r="N266" s="183"/>
    </row>
    <row r="267" spans="1:14" hidden="1">
      <c r="A267" s="183"/>
      <c r="B267" s="183"/>
      <c r="C267" s="183"/>
      <c r="D267" s="183"/>
      <c r="E267" s="183"/>
      <c r="F267" s="183"/>
      <c r="G267" s="183"/>
      <c r="H267" s="183"/>
      <c r="I267" s="183"/>
      <c r="J267" s="183"/>
      <c r="K267" s="183"/>
      <c r="L267" s="183"/>
      <c r="M267" s="183"/>
      <c r="N267" s="183"/>
    </row>
    <row r="268" spans="1:14" hidden="1">
      <c r="A268" s="185" t="s">
        <v>490</v>
      </c>
      <c r="B268" s="185" t="s">
        <v>439</v>
      </c>
      <c r="C268" s="185">
        <v>4</v>
      </c>
      <c r="D268" s="185" t="s">
        <v>269</v>
      </c>
      <c r="E268" s="185">
        <v>2</v>
      </c>
      <c r="F268" s="185">
        <v>1</v>
      </c>
      <c r="G268" s="185">
        <v>1</v>
      </c>
      <c r="H268" s="185">
        <v>1</v>
      </c>
      <c r="I268" s="185">
        <v>1</v>
      </c>
      <c r="J268" s="185">
        <v>1</v>
      </c>
      <c r="K268" s="185">
        <v>4</v>
      </c>
      <c r="L268" s="185">
        <v>1</v>
      </c>
      <c r="M268" s="183"/>
      <c r="N268" s="183"/>
    </row>
    <row r="269" spans="1:14" ht="30" hidden="1">
      <c r="A269" s="185" t="s">
        <v>489</v>
      </c>
      <c r="B269" s="185" t="s">
        <v>461</v>
      </c>
      <c r="C269" s="185">
        <v>4</v>
      </c>
      <c r="D269" s="185" t="s">
        <v>269</v>
      </c>
      <c r="E269" s="185">
        <v>2</v>
      </c>
      <c r="F269" s="185">
        <v>1</v>
      </c>
      <c r="G269" s="185">
        <v>1</v>
      </c>
      <c r="H269" s="185">
        <v>1</v>
      </c>
      <c r="I269" s="185">
        <v>1</v>
      </c>
      <c r="J269" s="185">
        <v>1</v>
      </c>
      <c r="K269" s="185">
        <v>1</v>
      </c>
      <c r="L269" s="185">
        <v>1</v>
      </c>
      <c r="M269" s="183"/>
      <c r="N269" s="183"/>
    </row>
    <row r="270" spans="1:14" ht="30" hidden="1">
      <c r="A270" s="185" t="s">
        <v>488</v>
      </c>
      <c r="B270" s="185" t="s">
        <v>435</v>
      </c>
      <c r="C270" s="185">
        <v>4</v>
      </c>
      <c r="D270" s="185" t="s">
        <v>269</v>
      </c>
      <c r="E270" s="185">
        <v>3</v>
      </c>
      <c r="F270" s="185">
        <v>1</v>
      </c>
      <c r="G270" s="185">
        <v>1</v>
      </c>
      <c r="H270" s="185">
        <v>4</v>
      </c>
      <c r="I270" s="185">
        <v>3</v>
      </c>
      <c r="J270" s="185">
        <v>1</v>
      </c>
      <c r="K270" s="185">
        <v>4</v>
      </c>
      <c r="L270" s="185">
        <v>1</v>
      </c>
      <c r="M270" s="183"/>
      <c r="N270" s="183"/>
    </row>
    <row r="271" spans="1:14" ht="30">
      <c r="A271" s="185" t="s">
        <v>487</v>
      </c>
      <c r="B271" s="185" t="s">
        <v>377</v>
      </c>
      <c r="C271" s="185">
        <v>4</v>
      </c>
      <c r="D271" s="185" t="s">
        <v>269</v>
      </c>
      <c r="E271" s="185">
        <v>3</v>
      </c>
      <c r="F271" s="185">
        <v>3</v>
      </c>
      <c r="G271" s="185">
        <v>1</v>
      </c>
      <c r="H271" s="185">
        <v>1</v>
      </c>
      <c r="I271" s="185">
        <v>3</v>
      </c>
      <c r="J271" s="185">
        <v>5</v>
      </c>
      <c r="K271" s="185">
        <v>4</v>
      </c>
      <c r="L271" s="185">
        <v>3</v>
      </c>
      <c r="M271" s="183"/>
      <c r="N271" s="183"/>
    </row>
    <row r="272" spans="1:14" hidden="1">
      <c r="A272" s="185" t="s">
        <v>486</v>
      </c>
      <c r="B272" s="185" t="s">
        <v>217</v>
      </c>
      <c r="C272" s="185">
        <v>4</v>
      </c>
      <c r="D272" s="185" t="s">
        <v>269</v>
      </c>
      <c r="E272" s="185">
        <v>5</v>
      </c>
      <c r="F272" s="185">
        <v>1</v>
      </c>
      <c r="G272" s="185">
        <v>2</v>
      </c>
      <c r="H272" s="185">
        <v>5</v>
      </c>
      <c r="I272" s="185">
        <v>1</v>
      </c>
      <c r="J272" s="185">
        <v>1</v>
      </c>
      <c r="K272" s="185">
        <v>5</v>
      </c>
      <c r="L272" s="185">
        <v>1</v>
      </c>
      <c r="M272" s="183"/>
      <c r="N272" s="183"/>
    </row>
    <row r="273" spans="1:14" ht="30" hidden="1">
      <c r="A273" s="185" t="s">
        <v>485</v>
      </c>
      <c r="B273" s="185" t="s">
        <v>429</v>
      </c>
      <c r="C273" s="185">
        <v>4</v>
      </c>
      <c r="D273" s="185" t="s">
        <v>269</v>
      </c>
      <c r="E273" s="185">
        <v>3</v>
      </c>
      <c r="F273" s="185">
        <v>1</v>
      </c>
      <c r="G273" s="185">
        <v>2</v>
      </c>
      <c r="H273" s="185">
        <v>4</v>
      </c>
      <c r="I273" s="185">
        <v>1</v>
      </c>
      <c r="J273" s="185">
        <v>1</v>
      </c>
      <c r="K273" s="185">
        <v>4</v>
      </c>
      <c r="L273" s="185">
        <v>1</v>
      </c>
      <c r="M273" s="183"/>
      <c r="N273" s="183"/>
    </row>
    <row r="274" spans="1:14" ht="30" hidden="1">
      <c r="A274" s="185" t="s">
        <v>484</v>
      </c>
      <c r="B274" s="185" t="s">
        <v>427</v>
      </c>
      <c r="C274" s="185">
        <v>4</v>
      </c>
      <c r="D274" s="185" t="s">
        <v>269</v>
      </c>
      <c r="E274" s="185">
        <v>1</v>
      </c>
      <c r="F274" s="185">
        <v>1</v>
      </c>
      <c r="G274" s="185">
        <v>1</v>
      </c>
      <c r="H274" s="185">
        <v>1</v>
      </c>
      <c r="I274" s="185">
        <v>1</v>
      </c>
      <c r="J274" s="185">
        <v>1</v>
      </c>
      <c r="K274" s="185">
        <v>1</v>
      </c>
      <c r="L274" s="185">
        <v>1</v>
      </c>
      <c r="M274" s="183"/>
      <c r="N274" s="183"/>
    </row>
    <row r="275" spans="1:14" hidden="1">
      <c r="A275" s="185" t="s">
        <v>483</v>
      </c>
      <c r="B275" s="185" t="s">
        <v>425</v>
      </c>
      <c r="C275" s="185">
        <v>4</v>
      </c>
      <c r="D275" s="185" t="s">
        <v>269</v>
      </c>
      <c r="E275" s="185">
        <v>2</v>
      </c>
      <c r="F275" s="185">
        <v>1</v>
      </c>
      <c r="G275" s="185">
        <v>1</v>
      </c>
      <c r="H275" s="185">
        <v>1</v>
      </c>
      <c r="I275" s="185">
        <v>1</v>
      </c>
      <c r="J275" s="185">
        <v>1</v>
      </c>
      <c r="K275" s="185">
        <v>2</v>
      </c>
      <c r="L275" s="185">
        <v>1</v>
      </c>
      <c r="M275" s="183"/>
      <c r="N275" s="183"/>
    </row>
    <row r="276" spans="1:14" ht="30" hidden="1">
      <c r="A276" s="185" t="s">
        <v>482</v>
      </c>
      <c r="B276" s="185" t="s">
        <v>423</v>
      </c>
      <c r="C276" s="185">
        <v>4</v>
      </c>
      <c r="D276" s="185" t="s">
        <v>269</v>
      </c>
      <c r="E276" s="185">
        <v>3</v>
      </c>
      <c r="F276" s="185">
        <v>1</v>
      </c>
      <c r="G276" s="185">
        <v>2</v>
      </c>
      <c r="H276" s="185">
        <v>1</v>
      </c>
      <c r="I276" s="185">
        <v>1</v>
      </c>
      <c r="J276" s="185">
        <v>1</v>
      </c>
      <c r="K276" s="185">
        <v>1</v>
      </c>
      <c r="L276" s="185">
        <v>1</v>
      </c>
      <c r="M276" s="183"/>
      <c r="N276" s="183"/>
    </row>
    <row r="277" spans="1:14" hidden="1">
      <c r="A277" s="185" t="s">
        <v>481</v>
      </c>
      <c r="B277" s="185" t="s">
        <v>418</v>
      </c>
      <c r="C277" s="185">
        <v>4</v>
      </c>
      <c r="D277" s="185" t="s">
        <v>269</v>
      </c>
      <c r="E277" s="185">
        <v>3</v>
      </c>
      <c r="F277" s="185">
        <v>1</v>
      </c>
      <c r="G277" s="185">
        <v>1</v>
      </c>
      <c r="H277" s="185">
        <v>1</v>
      </c>
      <c r="I277" s="185">
        <v>1</v>
      </c>
      <c r="J277" s="185">
        <v>1</v>
      </c>
      <c r="K277" s="185">
        <v>1</v>
      </c>
      <c r="L277" s="185">
        <v>1</v>
      </c>
      <c r="M277" s="183"/>
      <c r="N277" s="183"/>
    </row>
    <row r="278" spans="1:14" ht="30" hidden="1">
      <c r="A278" s="185" t="s">
        <v>480</v>
      </c>
      <c r="B278" s="185" t="s">
        <v>416</v>
      </c>
      <c r="C278" s="185">
        <v>4</v>
      </c>
      <c r="D278" s="185" t="s">
        <v>269</v>
      </c>
      <c r="E278" s="185">
        <v>3</v>
      </c>
      <c r="F278" s="185">
        <v>1</v>
      </c>
      <c r="G278" s="185">
        <v>1</v>
      </c>
      <c r="H278" s="185">
        <v>1</v>
      </c>
      <c r="I278" s="185">
        <v>2</v>
      </c>
      <c r="J278" s="185">
        <v>1</v>
      </c>
      <c r="K278" s="185">
        <v>3</v>
      </c>
      <c r="L278" s="185">
        <v>3</v>
      </c>
      <c r="M278" s="183"/>
      <c r="N278" s="183"/>
    </row>
    <row r="279" spans="1:14" ht="30" hidden="1">
      <c r="A279" s="185" t="s">
        <v>479</v>
      </c>
      <c r="B279" s="185" t="s">
        <v>414</v>
      </c>
      <c r="C279" s="185">
        <v>4</v>
      </c>
      <c r="D279" s="185" t="s">
        <v>269</v>
      </c>
      <c r="E279" s="185">
        <v>3</v>
      </c>
      <c r="F279" s="185">
        <v>1</v>
      </c>
      <c r="G279" s="185">
        <v>1</v>
      </c>
      <c r="H279" s="185">
        <v>1</v>
      </c>
      <c r="I279" s="185">
        <v>1</v>
      </c>
      <c r="J279" s="185">
        <v>1</v>
      </c>
      <c r="K279" s="185">
        <v>3</v>
      </c>
      <c r="L279" s="185">
        <v>1</v>
      </c>
      <c r="M279" s="183"/>
      <c r="N279" s="183"/>
    </row>
    <row r="280" spans="1:14" ht="30" hidden="1">
      <c r="A280" s="185" t="s">
        <v>478</v>
      </c>
      <c r="B280" s="185" t="s">
        <v>412</v>
      </c>
      <c r="C280" s="185">
        <v>4</v>
      </c>
      <c r="D280" s="185" t="s">
        <v>269</v>
      </c>
      <c r="E280" s="185">
        <v>4</v>
      </c>
      <c r="F280" s="185">
        <v>1</v>
      </c>
      <c r="G280" s="185">
        <v>4</v>
      </c>
      <c r="H280" s="185">
        <v>1</v>
      </c>
      <c r="I280" s="185">
        <v>1</v>
      </c>
      <c r="J280" s="185">
        <v>1</v>
      </c>
      <c r="K280" s="185">
        <v>3</v>
      </c>
      <c r="L280" s="185">
        <v>1</v>
      </c>
      <c r="M280" s="185" t="s">
        <v>465</v>
      </c>
      <c r="N280" s="183"/>
    </row>
    <row r="281" spans="1:14" hidden="1">
      <c r="A281" s="185" t="s">
        <v>376</v>
      </c>
      <c r="B281" s="185" t="s">
        <v>222</v>
      </c>
      <c r="C281" s="185">
        <v>4</v>
      </c>
      <c r="D281" s="185" t="s">
        <v>269</v>
      </c>
      <c r="E281" s="185">
        <v>5</v>
      </c>
      <c r="F281" s="185">
        <v>1</v>
      </c>
      <c r="G281" s="185">
        <v>5</v>
      </c>
      <c r="H281" s="185">
        <v>1</v>
      </c>
      <c r="I281" s="185">
        <v>1</v>
      </c>
      <c r="J281" s="185">
        <v>1</v>
      </c>
      <c r="K281" s="185">
        <v>3</v>
      </c>
      <c r="L281" s="185">
        <v>1</v>
      </c>
      <c r="M281" s="186"/>
      <c r="N281" s="186"/>
    </row>
    <row r="282" spans="1:14" ht="30" hidden="1">
      <c r="A282" s="185" t="s">
        <v>477</v>
      </c>
      <c r="B282" s="185" t="s">
        <v>364</v>
      </c>
      <c r="C282" s="185">
        <v>4</v>
      </c>
      <c r="D282" s="185" t="s">
        <v>269</v>
      </c>
      <c r="E282" s="185">
        <v>3</v>
      </c>
      <c r="F282" s="185">
        <v>1</v>
      </c>
      <c r="G282" s="185">
        <v>1</v>
      </c>
      <c r="H282" s="185">
        <v>3</v>
      </c>
      <c r="I282" s="185">
        <v>1</v>
      </c>
      <c r="J282" s="185">
        <v>1</v>
      </c>
      <c r="K282" s="185">
        <v>2</v>
      </c>
      <c r="L282" s="185">
        <v>1</v>
      </c>
      <c r="M282" s="183"/>
      <c r="N282" s="183"/>
    </row>
    <row r="283" spans="1:14" hidden="1">
      <c r="A283" s="185" t="s">
        <v>476</v>
      </c>
      <c r="B283" s="185" t="s">
        <v>408</v>
      </c>
      <c r="C283" s="185">
        <v>4</v>
      </c>
      <c r="D283" s="185" t="s">
        <v>269</v>
      </c>
      <c r="E283" s="185">
        <v>2</v>
      </c>
      <c r="F283" s="185">
        <v>1</v>
      </c>
      <c r="G283" s="185">
        <v>3</v>
      </c>
      <c r="H283" s="185">
        <v>1</v>
      </c>
      <c r="I283" s="185">
        <v>1</v>
      </c>
      <c r="J283" s="185">
        <v>1</v>
      </c>
      <c r="K283" s="185">
        <v>3</v>
      </c>
      <c r="L283" s="185">
        <v>1</v>
      </c>
      <c r="M283" s="183"/>
      <c r="N283" s="183"/>
    </row>
    <row r="284" spans="1:14" ht="30" hidden="1">
      <c r="A284" s="185" t="s">
        <v>475</v>
      </c>
      <c r="B284" s="185" t="s">
        <v>406</v>
      </c>
      <c r="C284" s="185">
        <v>4</v>
      </c>
      <c r="D284" s="185" t="s">
        <v>269</v>
      </c>
      <c r="E284" s="185">
        <v>2</v>
      </c>
      <c r="F284" s="185">
        <v>1</v>
      </c>
      <c r="G284" s="185">
        <v>1</v>
      </c>
      <c r="H284" s="185">
        <v>1</v>
      </c>
      <c r="I284" s="185">
        <v>1</v>
      </c>
      <c r="J284" s="185">
        <v>1</v>
      </c>
      <c r="K284" s="185">
        <v>3</v>
      </c>
      <c r="L284" s="185">
        <v>1</v>
      </c>
      <c r="M284" s="183"/>
      <c r="N284" s="183"/>
    </row>
    <row r="285" spans="1:14" hidden="1">
      <c r="A285" s="185" t="s">
        <v>474</v>
      </c>
      <c r="B285" s="185" t="s">
        <v>404</v>
      </c>
      <c r="C285" s="185">
        <v>4</v>
      </c>
      <c r="D285" s="185" t="s">
        <v>269</v>
      </c>
      <c r="E285" s="185">
        <v>3</v>
      </c>
      <c r="F285" s="185">
        <v>1</v>
      </c>
      <c r="G285" s="185">
        <v>4</v>
      </c>
      <c r="H285" s="185">
        <v>2</v>
      </c>
      <c r="I285" s="185">
        <v>1</v>
      </c>
      <c r="J285" s="185">
        <v>1</v>
      </c>
      <c r="K285" s="185">
        <v>3</v>
      </c>
      <c r="L285" s="185">
        <v>1</v>
      </c>
      <c r="M285" s="183"/>
      <c r="N285" s="183"/>
    </row>
    <row r="286" spans="1:14" hidden="1">
      <c r="A286" s="185" t="s">
        <v>473</v>
      </c>
      <c r="B286" s="185" t="s">
        <v>402</v>
      </c>
      <c r="C286" s="185">
        <v>4</v>
      </c>
      <c r="D286" s="185" t="s">
        <v>269</v>
      </c>
      <c r="E286" s="185">
        <v>1</v>
      </c>
      <c r="F286" s="185">
        <v>1</v>
      </c>
      <c r="G286" s="185">
        <v>1</v>
      </c>
      <c r="H286" s="185">
        <v>1</v>
      </c>
      <c r="I286" s="185">
        <v>1</v>
      </c>
      <c r="J286" s="185">
        <v>1</v>
      </c>
      <c r="K286" s="185">
        <v>3</v>
      </c>
      <c r="L286" s="185">
        <v>1</v>
      </c>
      <c r="M286" s="183"/>
      <c r="N286" s="183"/>
    </row>
    <row r="287" spans="1:14" ht="30">
      <c r="A287" s="185" t="s">
        <v>472</v>
      </c>
      <c r="B287" s="185" t="s">
        <v>471</v>
      </c>
      <c r="C287" s="185">
        <v>4</v>
      </c>
      <c r="D287" s="185" t="s">
        <v>269</v>
      </c>
      <c r="E287" s="185">
        <v>5</v>
      </c>
      <c r="F287" s="185">
        <v>3</v>
      </c>
      <c r="G287" s="185">
        <v>3</v>
      </c>
      <c r="H287" s="185">
        <v>4</v>
      </c>
      <c r="I287" s="185">
        <v>5</v>
      </c>
      <c r="J287" s="185">
        <v>5</v>
      </c>
      <c r="K287" s="185">
        <v>5</v>
      </c>
      <c r="L287" s="185">
        <v>5</v>
      </c>
      <c r="M287" s="183"/>
      <c r="N287" s="183"/>
    </row>
    <row r="288" spans="1:14" hidden="1">
      <c r="A288" s="185" t="s">
        <v>470</v>
      </c>
      <c r="B288" s="185" t="s">
        <v>243</v>
      </c>
      <c r="C288" s="185">
        <v>4</v>
      </c>
      <c r="D288" s="185" t="s">
        <v>269</v>
      </c>
      <c r="E288" s="185">
        <v>2</v>
      </c>
      <c r="F288" s="185">
        <v>1</v>
      </c>
      <c r="G288" s="185">
        <v>4</v>
      </c>
      <c r="H288" s="185">
        <v>1</v>
      </c>
      <c r="I288" s="185">
        <v>1</v>
      </c>
      <c r="J288" s="185">
        <v>1</v>
      </c>
      <c r="K288" s="185">
        <v>3</v>
      </c>
      <c r="L288" s="185">
        <v>1</v>
      </c>
      <c r="M288" s="183"/>
      <c r="N288" s="183"/>
    </row>
    <row r="289" spans="1:14" hidden="1">
      <c r="A289" s="185" t="s">
        <v>469</v>
      </c>
      <c r="B289" s="185" t="s">
        <v>241</v>
      </c>
      <c r="C289" s="185">
        <v>4</v>
      </c>
      <c r="D289" s="185" t="s">
        <v>269</v>
      </c>
      <c r="E289" s="185">
        <v>2</v>
      </c>
      <c r="F289" s="185">
        <v>1</v>
      </c>
      <c r="G289" s="185">
        <v>1</v>
      </c>
      <c r="H289" s="185">
        <v>3</v>
      </c>
      <c r="I289" s="185">
        <v>1</v>
      </c>
      <c r="J289" s="185">
        <v>1</v>
      </c>
      <c r="K289" s="185">
        <v>2</v>
      </c>
      <c r="L289" s="185">
        <v>1</v>
      </c>
      <c r="M289" s="183"/>
      <c r="N289" s="183"/>
    </row>
    <row r="290" spans="1:14" hidden="1">
      <c r="A290" s="185" t="s">
        <v>468</v>
      </c>
      <c r="B290" s="185" t="s">
        <v>398</v>
      </c>
      <c r="C290" s="185">
        <v>4</v>
      </c>
      <c r="D290" s="185" t="s">
        <v>269</v>
      </c>
      <c r="E290" s="185">
        <v>5</v>
      </c>
      <c r="F290" s="185">
        <v>1</v>
      </c>
      <c r="G290" s="185">
        <v>1</v>
      </c>
      <c r="H290" s="185">
        <v>1</v>
      </c>
      <c r="I290" s="185">
        <v>1</v>
      </c>
      <c r="J290" s="185">
        <v>3</v>
      </c>
      <c r="K290" s="185">
        <v>3</v>
      </c>
      <c r="L290" s="185">
        <v>2</v>
      </c>
      <c r="M290" s="183"/>
      <c r="N290" s="183"/>
    </row>
    <row r="291" spans="1:14" hidden="1">
      <c r="A291" s="185" t="s">
        <v>467</v>
      </c>
      <c r="B291" s="185" t="s">
        <v>242</v>
      </c>
      <c r="C291" s="185">
        <v>4</v>
      </c>
      <c r="D291" s="185" t="s">
        <v>269</v>
      </c>
      <c r="E291" s="185">
        <v>4</v>
      </c>
      <c r="F291" s="185">
        <v>1</v>
      </c>
      <c r="G291" s="185">
        <v>1</v>
      </c>
      <c r="H291" s="185">
        <v>3</v>
      </c>
      <c r="I291" s="185">
        <v>3</v>
      </c>
      <c r="J291" s="185">
        <v>2</v>
      </c>
      <c r="K291" s="185">
        <v>4</v>
      </c>
      <c r="L291" s="185">
        <v>2</v>
      </c>
      <c r="M291" s="183"/>
      <c r="N291" s="183"/>
    </row>
    <row r="292" spans="1:14" hidden="1">
      <c r="A292" s="185" t="s">
        <v>466</v>
      </c>
      <c r="B292" s="185" t="s">
        <v>191</v>
      </c>
      <c r="C292" s="185">
        <v>4</v>
      </c>
      <c r="D292" s="185" t="s">
        <v>269</v>
      </c>
      <c r="E292" s="185">
        <v>4</v>
      </c>
      <c r="F292" s="185">
        <v>1</v>
      </c>
      <c r="G292" s="185">
        <v>1</v>
      </c>
      <c r="H292" s="185">
        <v>1</v>
      </c>
      <c r="I292" s="185">
        <v>1</v>
      </c>
      <c r="J292" s="185">
        <v>1</v>
      </c>
      <c r="K292" s="185">
        <v>3</v>
      </c>
      <c r="L292" s="185">
        <v>1</v>
      </c>
      <c r="M292" s="185" t="s">
        <v>465</v>
      </c>
      <c r="N292" s="183"/>
    </row>
    <row r="293" spans="1:14" hidden="1">
      <c r="A293" s="185" t="s">
        <v>464</v>
      </c>
      <c r="B293" s="185" t="s">
        <v>396</v>
      </c>
      <c r="C293" s="185">
        <v>4</v>
      </c>
      <c r="D293" s="185" t="s">
        <v>269</v>
      </c>
      <c r="E293" s="185">
        <v>3</v>
      </c>
      <c r="F293" s="185">
        <v>1</v>
      </c>
      <c r="G293" s="185">
        <v>1</v>
      </c>
      <c r="H293" s="185">
        <v>3</v>
      </c>
      <c r="I293" s="185">
        <v>1</v>
      </c>
      <c r="J293" s="185">
        <v>3</v>
      </c>
      <c r="K293" s="185">
        <v>1</v>
      </c>
      <c r="L293" s="185">
        <v>1</v>
      </c>
      <c r="M293" s="183"/>
      <c r="N293" s="183"/>
    </row>
    <row r="294" spans="1:14" hidden="1">
      <c r="A294" s="183"/>
      <c r="B294" s="183"/>
      <c r="C294" s="183"/>
      <c r="D294" s="183"/>
      <c r="E294" s="183"/>
      <c r="F294" s="183"/>
      <c r="G294" s="183"/>
      <c r="H294" s="183"/>
      <c r="I294" s="183"/>
      <c r="J294" s="183"/>
      <c r="K294" s="183"/>
      <c r="L294" s="183"/>
      <c r="M294" s="183"/>
      <c r="N294" s="183"/>
    </row>
    <row r="295" spans="1:14" hidden="1">
      <c r="A295" s="184" t="s">
        <v>463</v>
      </c>
      <c r="B295" s="184" t="s">
        <v>439</v>
      </c>
      <c r="C295" s="184">
        <v>4</v>
      </c>
      <c r="D295" s="184" t="s">
        <v>270</v>
      </c>
      <c r="E295" s="184">
        <v>1</v>
      </c>
      <c r="F295" s="184">
        <v>1</v>
      </c>
      <c r="G295" s="184">
        <v>1</v>
      </c>
      <c r="H295" s="184">
        <v>1</v>
      </c>
      <c r="I295" s="184">
        <v>1</v>
      </c>
      <c r="J295" s="184">
        <v>1</v>
      </c>
      <c r="K295" s="184">
        <v>3</v>
      </c>
      <c r="L295" s="184">
        <v>1</v>
      </c>
      <c r="M295" s="183"/>
      <c r="N295" s="183"/>
    </row>
    <row r="296" spans="1:14" ht="30" hidden="1">
      <c r="A296" s="184" t="s">
        <v>462</v>
      </c>
      <c r="B296" s="184" t="s">
        <v>461</v>
      </c>
      <c r="C296" s="184">
        <v>4</v>
      </c>
      <c r="D296" s="184" t="s">
        <v>270</v>
      </c>
      <c r="E296" s="184">
        <v>2</v>
      </c>
      <c r="F296" s="184">
        <v>2</v>
      </c>
      <c r="G296" s="184">
        <v>2</v>
      </c>
      <c r="H296" s="184">
        <v>3</v>
      </c>
      <c r="I296" s="184">
        <v>1</v>
      </c>
      <c r="J296" s="184">
        <v>1</v>
      </c>
      <c r="K296" s="184">
        <v>4</v>
      </c>
      <c r="L296" s="184">
        <v>1</v>
      </c>
      <c r="M296" s="183"/>
      <c r="N296" s="183"/>
    </row>
    <row r="297" spans="1:14" ht="30" hidden="1">
      <c r="A297" s="184" t="s">
        <v>460</v>
      </c>
      <c r="B297" s="184" t="s">
        <v>435</v>
      </c>
      <c r="C297" s="184">
        <v>4</v>
      </c>
      <c r="D297" s="184" t="s">
        <v>270</v>
      </c>
      <c r="E297" s="184">
        <v>1</v>
      </c>
      <c r="F297" s="184">
        <v>1</v>
      </c>
      <c r="G297" s="184">
        <v>1</v>
      </c>
      <c r="H297" s="184">
        <v>4</v>
      </c>
      <c r="I297" s="184">
        <v>3</v>
      </c>
      <c r="J297" s="184">
        <v>3</v>
      </c>
      <c r="K297" s="184">
        <v>3</v>
      </c>
      <c r="L297" s="184">
        <v>3</v>
      </c>
      <c r="M297" s="183"/>
      <c r="N297" s="183"/>
    </row>
    <row r="298" spans="1:14" ht="30" hidden="1">
      <c r="A298" s="184" t="s">
        <v>459</v>
      </c>
      <c r="B298" s="184" t="s">
        <v>377</v>
      </c>
      <c r="C298" s="184">
        <v>4</v>
      </c>
      <c r="D298" s="184" t="s">
        <v>270</v>
      </c>
      <c r="E298" s="184">
        <v>3</v>
      </c>
      <c r="F298" s="184">
        <v>1</v>
      </c>
      <c r="G298" s="184">
        <v>1</v>
      </c>
      <c r="H298" s="184">
        <v>1</v>
      </c>
      <c r="I298" s="184">
        <v>3</v>
      </c>
      <c r="J298" s="184">
        <v>1</v>
      </c>
      <c r="K298" s="184">
        <v>3</v>
      </c>
      <c r="L298" s="184">
        <v>3</v>
      </c>
      <c r="M298" s="183"/>
      <c r="N298" s="183"/>
    </row>
    <row r="299" spans="1:14" hidden="1">
      <c r="A299" s="184" t="s">
        <v>458</v>
      </c>
      <c r="B299" s="184" t="s">
        <v>217</v>
      </c>
      <c r="C299" s="184">
        <v>4</v>
      </c>
      <c r="D299" s="184" t="s">
        <v>270</v>
      </c>
      <c r="E299" s="184">
        <v>1</v>
      </c>
      <c r="F299" s="184">
        <v>1</v>
      </c>
      <c r="G299" s="184">
        <v>1</v>
      </c>
      <c r="H299" s="184">
        <v>4</v>
      </c>
      <c r="I299" s="184">
        <v>1</v>
      </c>
      <c r="J299" s="184">
        <v>3</v>
      </c>
      <c r="K299" s="184">
        <v>4</v>
      </c>
      <c r="L299" s="184">
        <v>3</v>
      </c>
      <c r="M299" s="183"/>
      <c r="N299" s="183"/>
    </row>
    <row r="300" spans="1:14" ht="30" hidden="1">
      <c r="A300" s="184" t="s">
        <v>457</v>
      </c>
      <c r="B300" s="184" t="s">
        <v>429</v>
      </c>
      <c r="C300" s="184">
        <v>4</v>
      </c>
      <c r="D300" s="184" t="s">
        <v>270</v>
      </c>
      <c r="E300" s="184">
        <v>1</v>
      </c>
      <c r="F300" s="184">
        <v>1</v>
      </c>
      <c r="G300" s="184">
        <v>2</v>
      </c>
      <c r="H300" s="184">
        <v>4</v>
      </c>
      <c r="I300" s="184">
        <v>2</v>
      </c>
      <c r="J300" s="184">
        <v>1</v>
      </c>
      <c r="K300" s="184">
        <v>3</v>
      </c>
      <c r="L300" s="184">
        <v>1</v>
      </c>
      <c r="M300" s="183"/>
      <c r="N300" s="183"/>
    </row>
    <row r="301" spans="1:14" ht="30" hidden="1">
      <c r="A301" s="184" t="s">
        <v>456</v>
      </c>
      <c r="B301" s="184" t="s">
        <v>427</v>
      </c>
      <c r="C301" s="184">
        <v>4</v>
      </c>
      <c r="D301" s="184" t="s">
        <v>270</v>
      </c>
      <c r="E301" s="184">
        <v>2</v>
      </c>
      <c r="F301" s="184">
        <v>2</v>
      </c>
      <c r="G301" s="184">
        <v>4</v>
      </c>
      <c r="H301" s="184">
        <v>4</v>
      </c>
      <c r="I301" s="184">
        <v>4</v>
      </c>
      <c r="J301" s="184">
        <v>1</v>
      </c>
      <c r="K301" s="184">
        <v>5</v>
      </c>
      <c r="L301" s="184">
        <v>4</v>
      </c>
      <c r="M301" s="183"/>
      <c r="N301" s="183"/>
    </row>
    <row r="302" spans="1:14" hidden="1">
      <c r="A302" s="184" t="s">
        <v>455</v>
      </c>
      <c r="B302" s="184" t="s">
        <v>425</v>
      </c>
      <c r="C302" s="184">
        <v>4</v>
      </c>
      <c r="D302" s="184" t="s">
        <v>270</v>
      </c>
      <c r="E302" s="184">
        <v>1</v>
      </c>
      <c r="F302" s="184">
        <v>1</v>
      </c>
      <c r="G302" s="184">
        <v>1</v>
      </c>
      <c r="H302" s="184">
        <v>1</v>
      </c>
      <c r="I302" s="184">
        <v>3</v>
      </c>
      <c r="J302" s="184">
        <v>1</v>
      </c>
      <c r="K302" s="184">
        <v>3</v>
      </c>
      <c r="L302" s="184">
        <v>3</v>
      </c>
      <c r="M302" s="183"/>
      <c r="N302" s="183"/>
    </row>
    <row r="303" spans="1:14" ht="30">
      <c r="A303" s="184" t="s">
        <v>454</v>
      </c>
      <c r="B303" s="184" t="s">
        <v>423</v>
      </c>
      <c r="C303" s="184">
        <v>4</v>
      </c>
      <c r="D303" s="184" t="s">
        <v>270</v>
      </c>
      <c r="E303" s="184">
        <v>3</v>
      </c>
      <c r="F303" s="184">
        <v>3</v>
      </c>
      <c r="G303" s="184">
        <v>4</v>
      </c>
      <c r="H303" s="184">
        <v>2</v>
      </c>
      <c r="I303" s="184">
        <v>2</v>
      </c>
      <c r="J303" s="184">
        <v>2</v>
      </c>
      <c r="K303" s="184">
        <v>3</v>
      </c>
      <c r="L303" s="184">
        <v>2</v>
      </c>
      <c r="M303" s="183"/>
      <c r="N303" s="183"/>
    </row>
    <row r="304" spans="1:14" ht="30" hidden="1">
      <c r="A304" s="184" t="s">
        <v>453</v>
      </c>
      <c r="B304" s="184" t="s">
        <v>420</v>
      </c>
      <c r="C304" s="184">
        <v>4</v>
      </c>
      <c r="D304" s="184" t="s">
        <v>270</v>
      </c>
      <c r="E304" s="184">
        <v>1</v>
      </c>
      <c r="F304" s="184">
        <v>1</v>
      </c>
      <c r="G304" s="184">
        <v>1</v>
      </c>
      <c r="H304" s="184">
        <v>2</v>
      </c>
      <c r="I304" s="184">
        <v>1</v>
      </c>
      <c r="J304" s="184">
        <v>1</v>
      </c>
      <c r="K304" s="184">
        <v>4</v>
      </c>
      <c r="L304" s="184">
        <v>1</v>
      </c>
      <c r="M304" s="183"/>
      <c r="N304" s="183"/>
    </row>
    <row r="305" spans="1:14" hidden="1">
      <c r="A305" s="184" t="s">
        <v>452</v>
      </c>
      <c r="B305" s="184" t="s">
        <v>418</v>
      </c>
      <c r="C305" s="184">
        <v>4</v>
      </c>
      <c r="D305" s="184" t="s">
        <v>270</v>
      </c>
      <c r="E305" s="184">
        <v>3</v>
      </c>
      <c r="F305" s="184">
        <v>2</v>
      </c>
      <c r="G305" s="184">
        <v>1</v>
      </c>
      <c r="H305" s="184">
        <v>1</v>
      </c>
      <c r="I305" s="184">
        <v>3</v>
      </c>
      <c r="J305" s="184">
        <v>1</v>
      </c>
      <c r="K305" s="184">
        <v>3</v>
      </c>
      <c r="L305" s="184">
        <v>5</v>
      </c>
      <c r="M305" s="183"/>
      <c r="N305" s="183"/>
    </row>
    <row r="306" spans="1:14" ht="30" hidden="1">
      <c r="A306" s="184" t="s">
        <v>451</v>
      </c>
      <c r="B306" s="184" t="s">
        <v>414</v>
      </c>
      <c r="C306" s="184">
        <v>4</v>
      </c>
      <c r="D306" s="184" t="s">
        <v>270</v>
      </c>
      <c r="E306" s="184">
        <v>1</v>
      </c>
      <c r="F306" s="184">
        <v>1</v>
      </c>
      <c r="G306" s="184">
        <v>1</v>
      </c>
      <c r="H306" s="184">
        <v>2</v>
      </c>
      <c r="I306" s="184">
        <v>1</v>
      </c>
      <c r="J306" s="184">
        <v>1</v>
      </c>
      <c r="K306" s="184">
        <v>4</v>
      </c>
      <c r="L306" s="184">
        <v>1</v>
      </c>
      <c r="M306" s="183"/>
      <c r="N306" s="183"/>
    </row>
    <row r="307" spans="1:14" ht="30" hidden="1">
      <c r="A307" s="184" t="s">
        <v>450</v>
      </c>
      <c r="B307" s="184" t="s">
        <v>412</v>
      </c>
      <c r="C307" s="184">
        <v>4</v>
      </c>
      <c r="D307" s="184" t="s">
        <v>270</v>
      </c>
      <c r="E307" s="184">
        <v>1</v>
      </c>
      <c r="F307" s="184">
        <v>1</v>
      </c>
      <c r="G307" s="184">
        <v>1</v>
      </c>
      <c r="H307" s="184">
        <v>1</v>
      </c>
      <c r="I307" s="184">
        <v>1</v>
      </c>
      <c r="J307" s="184">
        <v>1</v>
      </c>
      <c r="K307" s="184">
        <v>3</v>
      </c>
      <c r="L307" s="184">
        <v>1</v>
      </c>
      <c r="M307" s="183"/>
      <c r="N307" s="183"/>
    </row>
    <row r="308" spans="1:14" ht="30" hidden="1">
      <c r="A308" s="184" t="s">
        <v>449</v>
      </c>
      <c r="B308" s="184" t="s">
        <v>364</v>
      </c>
      <c r="C308" s="184">
        <v>4</v>
      </c>
      <c r="D308" s="184" t="s">
        <v>270</v>
      </c>
      <c r="E308" s="184">
        <v>1</v>
      </c>
      <c r="F308" s="184">
        <v>1</v>
      </c>
      <c r="G308" s="184">
        <v>1</v>
      </c>
      <c r="H308" s="184">
        <v>2</v>
      </c>
      <c r="I308" s="184">
        <v>1</v>
      </c>
      <c r="J308" s="184">
        <v>1</v>
      </c>
      <c r="K308" s="184">
        <v>4</v>
      </c>
      <c r="L308" s="184">
        <v>1</v>
      </c>
      <c r="M308" s="183"/>
      <c r="N308" s="183"/>
    </row>
    <row r="309" spans="1:14">
      <c r="A309" s="184" t="s">
        <v>448</v>
      </c>
      <c r="B309" s="184" t="s">
        <v>408</v>
      </c>
      <c r="C309" s="184">
        <v>4</v>
      </c>
      <c r="D309" s="184" t="s">
        <v>270</v>
      </c>
      <c r="E309" s="184">
        <v>1</v>
      </c>
      <c r="F309" s="184">
        <v>4</v>
      </c>
      <c r="G309" s="184">
        <v>3</v>
      </c>
      <c r="H309" s="184">
        <v>1</v>
      </c>
      <c r="I309" s="184">
        <v>1</v>
      </c>
      <c r="J309" s="184">
        <v>1</v>
      </c>
      <c r="K309" s="184">
        <v>3</v>
      </c>
      <c r="L309" s="184">
        <v>1</v>
      </c>
      <c r="M309" s="183"/>
      <c r="N309" s="183"/>
    </row>
    <row r="310" spans="1:14" ht="30" hidden="1">
      <c r="A310" s="184" t="s">
        <v>447</v>
      </c>
      <c r="B310" s="184" t="s">
        <v>406</v>
      </c>
      <c r="C310" s="184">
        <v>4</v>
      </c>
      <c r="D310" s="184" t="s">
        <v>270</v>
      </c>
      <c r="E310" s="184">
        <v>1</v>
      </c>
      <c r="F310" s="184">
        <v>1</v>
      </c>
      <c r="G310" s="184">
        <v>1</v>
      </c>
      <c r="H310" s="184">
        <v>4</v>
      </c>
      <c r="I310" s="184">
        <v>1</v>
      </c>
      <c r="J310" s="184">
        <v>1</v>
      </c>
      <c r="K310" s="184">
        <v>3</v>
      </c>
      <c r="L310" s="184">
        <v>1</v>
      </c>
      <c r="M310" s="183"/>
      <c r="N310" s="183"/>
    </row>
    <row r="311" spans="1:14" hidden="1">
      <c r="A311" s="184" t="s">
        <v>446</v>
      </c>
      <c r="B311" s="184" t="s">
        <v>404</v>
      </c>
      <c r="C311" s="184">
        <v>4</v>
      </c>
      <c r="D311" s="184" t="s">
        <v>270</v>
      </c>
      <c r="E311" s="184">
        <v>3</v>
      </c>
      <c r="F311" s="184">
        <v>1</v>
      </c>
      <c r="G311" s="184">
        <v>3</v>
      </c>
      <c r="H311" s="184">
        <v>2</v>
      </c>
      <c r="I311" s="184">
        <v>1</v>
      </c>
      <c r="J311" s="184">
        <v>1</v>
      </c>
      <c r="K311" s="184">
        <v>3</v>
      </c>
      <c r="L311" s="184">
        <v>1</v>
      </c>
      <c r="M311" s="183"/>
      <c r="N311" s="183"/>
    </row>
    <row r="312" spans="1:14" hidden="1">
      <c r="A312" s="184" t="s">
        <v>445</v>
      </c>
      <c r="B312" s="184" t="s">
        <v>402</v>
      </c>
      <c r="C312" s="184">
        <v>4</v>
      </c>
      <c r="D312" s="184" t="s">
        <v>270</v>
      </c>
      <c r="E312" s="184">
        <v>2</v>
      </c>
      <c r="F312" s="184">
        <v>1</v>
      </c>
      <c r="G312" s="184">
        <v>2</v>
      </c>
      <c r="H312" s="184">
        <v>5</v>
      </c>
      <c r="I312" s="184">
        <v>1</v>
      </c>
      <c r="J312" s="184">
        <v>1</v>
      </c>
      <c r="K312" s="184">
        <v>4</v>
      </c>
      <c r="L312" s="184">
        <v>1</v>
      </c>
      <c r="M312" s="183"/>
      <c r="N312" s="183"/>
    </row>
    <row r="313" spans="1:14" hidden="1">
      <c r="A313" s="184" t="s">
        <v>444</v>
      </c>
      <c r="B313" s="184" t="s">
        <v>243</v>
      </c>
      <c r="C313" s="184">
        <v>4</v>
      </c>
      <c r="D313" s="184" t="s">
        <v>270</v>
      </c>
      <c r="E313" s="184">
        <v>1</v>
      </c>
      <c r="F313" s="184">
        <v>1</v>
      </c>
      <c r="G313" s="184">
        <v>1</v>
      </c>
      <c r="H313" s="184">
        <v>2</v>
      </c>
      <c r="I313" s="184">
        <v>1</v>
      </c>
      <c r="J313" s="184">
        <v>1</v>
      </c>
      <c r="K313" s="184">
        <v>4</v>
      </c>
      <c r="L313" s="184">
        <v>1</v>
      </c>
      <c r="M313" s="183"/>
      <c r="N313" s="183"/>
    </row>
    <row r="314" spans="1:14" hidden="1">
      <c r="A314" s="184" t="s">
        <v>443</v>
      </c>
      <c r="B314" s="184" t="s">
        <v>241</v>
      </c>
      <c r="C314" s="184">
        <v>4</v>
      </c>
      <c r="D314" s="184" t="s">
        <v>270</v>
      </c>
      <c r="E314" s="184">
        <v>2</v>
      </c>
      <c r="F314" s="184">
        <v>1</v>
      </c>
      <c r="G314" s="184">
        <v>1</v>
      </c>
      <c r="H314" s="184">
        <v>3</v>
      </c>
      <c r="I314" s="184">
        <v>2</v>
      </c>
      <c r="J314" s="184">
        <v>1</v>
      </c>
      <c r="K314" s="184">
        <v>3</v>
      </c>
      <c r="L314" s="184">
        <v>2</v>
      </c>
      <c r="M314" s="183"/>
      <c r="N314" s="183"/>
    </row>
    <row r="315" spans="1:14" hidden="1">
      <c r="A315" s="184" t="s">
        <v>442</v>
      </c>
      <c r="B315" s="184" t="s">
        <v>398</v>
      </c>
      <c r="C315" s="184">
        <v>4</v>
      </c>
      <c r="D315" s="184" t="s">
        <v>270</v>
      </c>
      <c r="E315" s="184">
        <v>1</v>
      </c>
      <c r="F315" s="184">
        <v>1</v>
      </c>
      <c r="G315" s="184">
        <v>1</v>
      </c>
      <c r="H315" s="184">
        <v>3</v>
      </c>
      <c r="I315" s="184">
        <v>3</v>
      </c>
      <c r="J315" s="184">
        <v>3</v>
      </c>
      <c r="K315" s="184">
        <v>2</v>
      </c>
      <c r="L315" s="184">
        <v>1</v>
      </c>
      <c r="M315" s="183"/>
      <c r="N315" s="183"/>
    </row>
    <row r="316" spans="1:14" hidden="1">
      <c r="A316" s="184" t="s">
        <v>441</v>
      </c>
      <c r="B316" s="184" t="s">
        <v>242</v>
      </c>
      <c r="C316" s="184">
        <v>4</v>
      </c>
      <c r="D316" s="184" t="s">
        <v>270</v>
      </c>
      <c r="E316" s="184">
        <v>1</v>
      </c>
      <c r="F316" s="184">
        <v>1</v>
      </c>
      <c r="G316" s="184">
        <v>1</v>
      </c>
      <c r="H316" s="184">
        <v>2</v>
      </c>
      <c r="I316" s="184">
        <v>2</v>
      </c>
      <c r="J316" s="184">
        <v>1</v>
      </c>
      <c r="K316" s="184">
        <v>3</v>
      </c>
      <c r="L316" s="184">
        <v>2</v>
      </c>
      <c r="M316" s="183"/>
      <c r="N316" s="183"/>
    </row>
    <row r="317" spans="1:14" hidden="1">
      <c r="A317" s="183"/>
      <c r="B317" s="183"/>
      <c r="C317" s="183"/>
      <c r="D317" s="183"/>
      <c r="E317" s="183"/>
      <c r="F317" s="183"/>
      <c r="G317" s="183"/>
      <c r="H317" s="183"/>
      <c r="I317" s="183"/>
      <c r="J317" s="183"/>
      <c r="K317" s="183"/>
      <c r="L317" s="183"/>
      <c r="M317" s="183"/>
      <c r="N317" s="183"/>
    </row>
    <row r="318" spans="1:14" hidden="1">
      <c r="A318" s="183" t="s">
        <v>440</v>
      </c>
      <c r="B318" s="183" t="s">
        <v>439</v>
      </c>
      <c r="C318" s="183">
        <v>4</v>
      </c>
      <c r="D318" s="183" t="s">
        <v>291</v>
      </c>
      <c r="E318" s="183">
        <v>2</v>
      </c>
      <c r="F318" s="183">
        <v>2</v>
      </c>
      <c r="G318" s="183">
        <v>1</v>
      </c>
      <c r="H318" s="183">
        <v>2</v>
      </c>
      <c r="I318" s="183">
        <v>1</v>
      </c>
      <c r="J318" s="183">
        <v>2</v>
      </c>
      <c r="K318" s="183">
        <v>3</v>
      </c>
      <c r="L318" s="183">
        <v>1</v>
      </c>
      <c r="M318" s="183"/>
      <c r="N318" s="183"/>
    </row>
    <row r="319" spans="1:14" ht="30" hidden="1">
      <c r="A319" s="183" t="s">
        <v>438</v>
      </c>
      <c r="B319" s="183" t="s">
        <v>437</v>
      </c>
      <c r="C319" s="183">
        <v>4</v>
      </c>
      <c r="D319" s="183" t="s">
        <v>291</v>
      </c>
      <c r="E319" s="183">
        <v>2</v>
      </c>
      <c r="F319" s="183">
        <v>2</v>
      </c>
      <c r="G319" s="183">
        <v>1</v>
      </c>
      <c r="H319" s="183">
        <v>2</v>
      </c>
      <c r="I319" s="183">
        <v>1</v>
      </c>
      <c r="J319" s="183">
        <v>1</v>
      </c>
      <c r="K319" s="183">
        <v>4</v>
      </c>
      <c r="L319" s="183">
        <v>1</v>
      </c>
      <c r="M319" s="183"/>
      <c r="N319" s="183"/>
    </row>
    <row r="320" spans="1:14" ht="30" hidden="1">
      <c r="A320" s="183" t="s">
        <v>436</v>
      </c>
      <c r="B320" s="183" t="s">
        <v>435</v>
      </c>
      <c r="C320" s="183">
        <v>4</v>
      </c>
      <c r="D320" s="183" t="s">
        <v>291</v>
      </c>
      <c r="E320" s="183">
        <v>1</v>
      </c>
      <c r="F320" s="183">
        <v>1</v>
      </c>
      <c r="G320" s="183">
        <v>1</v>
      </c>
      <c r="H320" s="183">
        <v>2</v>
      </c>
      <c r="I320" s="183">
        <v>1</v>
      </c>
      <c r="J320" s="183">
        <v>1</v>
      </c>
      <c r="K320" s="183">
        <v>2</v>
      </c>
      <c r="L320" s="183">
        <v>1</v>
      </c>
      <c r="M320" s="183"/>
      <c r="N320" s="183"/>
    </row>
    <row r="321" spans="1:14" ht="30" hidden="1">
      <c r="A321" s="183" t="s">
        <v>434</v>
      </c>
      <c r="B321" s="183" t="s">
        <v>377</v>
      </c>
      <c r="C321" s="183">
        <v>4</v>
      </c>
      <c r="D321" s="183" t="s">
        <v>291</v>
      </c>
      <c r="E321" s="183">
        <v>1</v>
      </c>
      <c r="F321" s="183">
        <v>1</v>
      </c>
      <c r="G321" s="183">
        <v>1</v>
      </c>
      <c r="H321" s="183">
        <v>1</v>
      </c>
      <c r="I321" s="183">
        <v>1</v>
      </c>
      <c r="J321" s="183">
        <v>1</v>
      </c>
      <c r="K321" s="183">
        <v>1</v>
      </c>
      <c r="L321" s="183">
        <v>1</v>
      </c>
      <c r="M321" s="183"/>
      <c r="N321" s="183"/>
    </row>
    <row r="322" spans="1:14" ht="30" hidden="1">
      <c r="A322" s="183" t="s">
        <v>433</v>
      </c>
      <c r="B322" s="183" t="s">
        <v>432</v>
      </c>
      <c r="C322" s="183">
        <v>4</v>
      </c>
      <c r="D322" s="183" t="s">
        <v>291</v>
      </c>
      <c r="E322" s="183">
        <v>1</v>
      </c>
      <c r="F322" s="183">
        <v>2</v>
      </c>
      <c r="G322" s="183">
        <v>1</v>
      </c>
      <c r="H322" s="183">
        <v>2</v>
      </c>
      <c r="I322" s="183">
        <v>4</v>
      </c>
      <c r="J322" s="183">
        <v>4</v>
      </c>
      <c r="K322" s="183">
        <v>5</v>
      </c>
      <c r="L322" s="183">
        <v>5</v>
      </c>
      <c r="M322" s="183"/>
      <c r="N322" s="183"/>
    </row>
    <row r="323" spans="1:14" hidden="1">
      <c r="A323" s="183" t="s">
        <v>431</v>
      </c>
      <c r="B323" s="183" t="s">
        <v>217</v>
      </c>
      <c r="C323" s="183">
        <v>4</v>
      </c>
      <c r="D323" s="183" t="s">
        <v>291</v>
      </c>
      <c r="E323" s="183">
        <v>1</v>
      </c>
      <c r="F323" s="183">
        <v>1</v>
      </c>
      <c r="G323" s="183">
        <v>1</v>
      </c>
      <c r="H323" s="183">
        <v>2</v>
      </c>
      <c r="I323" s="183">
        <v>1</v>
      </c>
      <c r="J323" s="183">
        <v>1</v>
      </c>
      <c r="K323" s="183">
        <v>2</v>
      </c>
      <c r="L323" s="183">
        <v>1</v>
      </c>
      <c r="M323" s="183"/>
      <c r="N323" s="183"/>
    </row>
    <row r="324" spans="1:14" ht="30" hidden="1">
      <c r="A324" s="183" t="s">
        <v>430</v>
      </c>
      <c r="B324" s="183" t="s">
        <v>429</v>
      </c>
      <c r="C324" s="183">
        <v>4</v>
      </c>
      <c r="D324" s="183" t="s">
        <v>291</v>
      </c>
      <c r="E324" s="183">
        <v>1</v>
      </c>
      <c r="F324" s="183">
        <v>1</v>
      </c>
      <c r="G324" s="183">
        <v>1</v>
      </c>
      <c r="H324" s="183">
        <v>4</v>
      </c>
      <c r="I324" s="183">
        <v>1</v>
      </c>
      <c r="J324" s="183">
        <v>2</v>
      </c>
      <c r="K324" s="183">
        <v>4</v>
      </c>
      <c r="L324" s="183">
        <v>1</v>
      </c>
      <c r="M324" s="183"/>
      <c r="N324" s="183"/>
    </row>
    <row r="325" spans="1:14" ht="30" hidden="1">
      <c r="A325" s="183" t="s">
        <v>428</v>
      </c>
      <c r="B325" s="183" t="s">
        <v>427</v>
      </c>
      <c r="C325" s="183">
        <v>4</v>
      </c>
      <c r="D325" s="183" t="s">
        <v>291</v>
      </c>
      <c r="E325" s="183">
        <v>1</v>
      </c>
      <c r="F325" s="183">
        <v>1</v>
      </c>
      <c r="G325" s="183">
        <v>3</v>
      </c>
      <c r="H325" s="183">
        <v>2</v>
      </c>
      <c r="I325" s="183">
        <v>1</v>
      </c>
      <c r="J325" s="183">
        <v>1</v>
      </c>
      <c r="K325" s="183">
        <v>3</v>
      </c>
      <c r="L325" s="183">
        <v>1</v>
      </c>
      <c r="M325" s="183"/>
      <c r="N325" s="183"/>
    </row>
    <row r="326" spans="1:14" hidden="1">
      <c r="A326" s="183" t="s">
        <v>426</v>
      </c>
      <c r="B326" s="183" t="s">
        <v>425</v>
      </c>
      <c r="C326" s="183">
        <v>4</v>
      </c>
      <c r="D326" s="183" t="s">
        <v>291</v>
      </c>
      <c r="E326" s="183">
        <v>1</v>
      </c>
      <c r="F326" s="183">
        <v>1</v>
      </c>
      <c r="G326" s="183">
        <v>1</v>
      </c>
      <c r="H326" s="183">
        <v>1</v>
      </c>
      <c r="I326" s="183">
        <v>1</v>
      </c>
      <c r="J326" s="183">
        <v>1</v>
      </c>
      <c r="K326" s="183">
        <v>1</v>
      </c>
      <c r="L326" s="183">
        <v>1</v>
      </c>
      <c r="M326" s="183"/>
      <c r="N326" s="183"/>
    </row>
    <row r="327" spans="1:14" ht="30" hidden="1">
      <c r="A327" s="183" t="s">
        <v>424</v>
      </c>
      <c r="B327" s="183" t="s">
        <v>423</v>
      </c>
      <c r="C327" s="183">
        <v>4</v>
      </c>
      <c r="D327" s="183" t="s">
        <v>291</v>
      </c>
      <c r="E327" s="183">
        <v>1</v>
      </c>
      <c r="F327" s="183">
        <v>1</v>
      </c>
      <c r="G327" s="183">
        <v>3</v>
      </c>
      <c r="H327" s="183">
        <v>1</v>
      </c>
      <c r="I327" s="183">
        <v>1</v>
      </c>
      <c r="J327" s="183">
        <v>1</v>
      </c>
      <c r="K327" s="183">
        <v>2</v>
      </c>
      <c r="L327" s="183">
        <v>1</v>
      </c>
      <c r="M327" s="183"/>
      <c r="N327" s="183"/>
    </row>
    <row r="328" spans="1:14" ht="30" hidden="1">
      <c r="A328" s="183" t="s">
        <v>422</v>
      </c>
      <c r="B328" s="183" t="s">
        <v>420</v>
      </c>
      <c r="C328" s="183">
        <v>4</v>
      </c>
      <c r="D328" s="183" t="s">
        <v>291</v>
      </c>
      <c r="E328" s="183">
        <v>1</v>
      </c>
      <c r="F328" s="183">
        <v>1</v>
      </c>
      <c r="G328" s="183">
        <v>1</v>
      </c>
      <c r="H328" s="183">
        <v>2</v>
      </c>
      <c r="I328" s="183">
        <v>1</v>
      </c>
      <c r="J328" s="183">
        <v>1</v>
      </c>
      <c r="K328" s="183">
        <v>3</v>
      </c>
      <c r="L328" s="183">
        <v>1</v>
      </c>
      <c r="M328" s="183"/>
      <c r="N328" s="183"/>
    </row>
    <row r="329" spans="1:14" ht="30" hidden="1">
      <c r="A329" s="183" t="s">
        <v>421</v>
      </c>
      <c r="B329" s="183" t="s">
        <v>420</v>
      </c>
      <c r="C329" s="183">
        <v>4</v>
      </c>
      <c r="D329" s="183" t="s">
        <v>291</v>
      </c>
      <c r="E329" s="183">
        <v>1</v>
      </c>
      <c r="F329" s="183">
        <v>1</v>
      </c>
      <c r="G329" s="183">
        <v>1</v>
      </c>
      <c r="H329" s="183">
        <v>2</v>
      </c>
      <c r="I329" s="183">
        <v>1</v>
      </c>
      <c r="J329" s="183">
        <v>1</v>
      </c>
      <c r="K329" s="183">
        <v>3</v>
      </c>
      <c r="L329" s="183">
        <v>1</v>
      </c>
      <c r="M329" s="183"/>
      <c r="N329" s="183"/>
    </row>
    <row r="330" spans="1:14" hidden="1">
      <c r="A330" s="183" t="s">
        <v>419</v>
      </c>
      <c r="B330" s="183" t="s">
        <v>418</v>
      </c>
      <c r="C330" s="183">
        <v>4</v>
      </c>
      <c r="D330" s="183" t="s">
        <v>291</v>
      </c>
      <c r="E330" s="183">
        <v>1</v>
      </c>
      <c r="F330" s="183">
        <v>1</v>
      </c>
      <c r="G330" s="183">
        <v>1</v>
      </c>
      <c r="H330" s="183">
        <v>1</v>
      </c>
      <c r="I330" s="183">
        <v>4</v>
      </c>
      <c r="J330" s="183">
        <v>1</v>
      </c>
      <c r="K330" s="183">
        <v>1</v>
      </c>
      <c r="L330" s="183">
        <v>3</v>
      </c>
      <c r="M330" s="183"/>
      <c r="N330" s="183"/>
    </row>
    <row r="331" spans="1:14" ht="30" hidden="1">
      <c r="A331" s="183" t="s">
        <v>417</v>
      </c>
      <c r="B331" s="183" t="s">
        <v>416</v>
      </c>
      <c r="C331" s="183"/>
      <c r="D331" s="183" t="s">
        <v>291</v>
      </c>
      <c r="E331" s="183">
        <v>1</v>
      </c>
      <c r="F331" s="183">
        <v>1</v>
      </c>
      <c r="G331" s="183">
        <v>1</v>
      </c>
      <c r="H331" s="183">
        <v>1</v>
      </c>
      <c r="I331" s="183">
        <v>1</v>
      </c>
      <c r="J331" s="183">
        <v>3</v>
      </c>
      <c r="K331" s="183">
        <v>3</v>
      </c>
      <c r="L331" s="183">
        <v>1</v>
      </c>
      <c r="M331" s="183"/>
      <c r="N331" s="183"/>
    </row>
    <row r="332" spans="1:14" ht="30" hidden="1">
      <c r="A332" s="183" t="s">
        <v>415</v>
      </c>
      <c r="B332" s="183" t="s">
        <v>414</v>
      </c>
      <c r="C332" s="183">
        <v>4</v>
      </c>
      <c r="D332" s="183" t="s">
        <v>291</v>
      </c>
      <c r="E332" s="183">
        <v>1</v>
      </c>
      <c r="F332" s="183">
        <v>1</v>
      </c>
      <c r="G332" s="183">
        <v>1</v>
      </c>
      <c r="H332" s="183">
        <v>1</v>
      </c>
      <c r="I332" s="183">
        <v>1</v>
      </c>
      <c r="J332" s="183">
        <v>1</v>
      </c>
      <c r="K332" s="183">
        <v>3</v>
      </c>
      <c r="L332" s="183">
        <v>3</v>
      </c>
      <c r="M332" s="183"/>
      <c r="N332" s="183"/>
    </row>
    <row r="333" spans="1:14" ht="30" hidden="1">
      <c r="A333" s="183" t="s">
        <v>413</v>
      </c>
      <c r="B333" s="183" t="s">
        <v>412</v>
      </c>
      <c r="C333" s="183">
        <v>4</v>
      </c>
      <c r="D333" s="183" t="s">
        <v>291</v>
      </c>
      <c r="E333" s="183">
        <v>1</v>
      </c>
      <c r="F333" s="183">
        <v>1</v>
      </c>
      <c r="G333" s="183">
        <v>3</v>
      </c>
      <c r="H333" s="183">
        <v>1</v>
      </c>
      <c r="I333" s="183">
        <v>1</v>
      </c>
      <c r="J333" s="183">
        <v>1</v>
      </c>
      <c r="K333" s="183">
        <v>3</v>
      </c>
      <c r="L333" s="183">
        <v>1</v>
      </c>
      <c r="M333" s="183"/>
      <c r="N333" s="183"/>
    </row>
    <row r="334" spans="1:14" hidden="1">
      <c r="A334" s="183" t="s">
        <v>411</v>
      </c>
      <c r="B334" s="183" t="s">
        <v>222</v>
      </c>
      <c r="C334" s="183">
        <v>4</v>
      </c>
      <c r="D334" s="183" t="s">
        <v>291</v>
      </c>
      <c r="E334" s="183">
        <v>1</v>
      </c>
      <c r="F334" s="183">
        <v>1</v>
      </c>
      <c r="G334" s="183">
        <v>1</v>
      </c>
      <c r="H334" s="183">
        <v>2</v>
      </c>
      <c r="I334" s="183">
        <v>1</v>
      </c>
      <c r="J334" s="183">
        <v>2</v>
      </c>
      <c r="K334" s="183">
        <v>2</v>
      </c>
      <c r="L334" s="183">
        <v>1</v>
      </c>
      <c r="M334" s="183"/>
      <c r="N334" s="183"/>
    </row>
    <row r="335" spans="1:14" ht="30" hidden="1">
      <c r="A335" s="183" t="s">
        <v>410</v>
      </c>
      <c r="B335" s="183" t="s">
        <v>364</v>
      </c>
      <c r="C335" s="183">
        <v>4</v>
      </c>
      <c r="D335" s="183" t="s">
        <v>291</v>
      </c>
      <c r="E335" s="183">
        <v>1</v>
      </c>
      <c r="F335" s="183">
        <v>1</v>
      </c>
      <c r="G335" s="183">
        <v>1</v>
      </c>
      <c r="H335" s="183">
        <v>2</v>
      </c>
      <c r="I335" s="183">
        <v>1</v>
      </c>
      <c r="J335" s="183">
        <v>3</v>
      </c>
      <c r="K335" s="183">
        <v>3</v>
      </c>
      <c r="L335" s="183">
        <v>1</v>
      </c>
      <c r="M335" s="183"/>
      <c r="N335" s="183"/>
    </row>
    <row r="336" spans="1:14" hidden="1">
      <c r="A336" s="183" t="s">
        <v>409</v>
      </c>
      <c r="B336" s="183" t="s">
        <v>408</v>
      </c>
      <c r="C336" s="183">
        <v>4</v>
      </c>
      <c r="D336" s="183" t="s">
        <v>291</v>
      </c>
      <c r="E336" s="183">
        <v>1</v>
      </c>
      <c r="F336" s="183">
        <v>1</v>
      </c>
      <c r="G336" s="183">
        <v>3</v>
      </c>
      <c r="H336" s="183">
        <v>2</v>
      </c>
      <c r="I336" s="183">
        <v>1</v>
      </c>
      <c r="J336" s="183">
        <v>1</v>
      </c>
      <c r="K336" s="183">
        <v>4</v>
      </c>
      <c r="L336" s="183">
        <v>1</v>
      </c>
      <c r="M336" s="183"/>
      <c r="N336" s="183"/>
    </row>
    <row r="337" spans="1:14" ht="30" hidden="1">
      <c r="A337" s="183" t="s">
        <v>407</v>
      </c>
      <c r="B337" s="183" t="s">
        <v>406</v>
      </c>
      <c r="C337" s="183">
        <v>4</v>
      </c>
      <c r="D337" s="183" t="s">
        <v>291</v>
      </c>
      <c r="E337" s="183">
        <v>2</v>
      </c>
      <c r="F337" s="183">
        <v>1</v>
      </c>
      <c r="G337" s="183">
        <v>1</v>
      </c>
      <c r="H337" s="183">
        <v>2</v>
      </c>
      <c r="I337" s="183">
        <v>1</v>
      </c>
      <c r="J337" s="183">
        <v>1</v>
      </c>
      <c r="K337" s="183">
        <v>3</v>
      </c>
      <c r="L337" s="183">
        <v>1</v>
      </c>
      <c r="M337" s="183"/>
      <c r="N337" s="183"/>
    </row>
    <row r="338" spans="1:14" hidden="1">
      <c r="A338" s="183" t="s">
        <v>405</v>
      </c>
      <c r="B338" s="183" t="s">
        <v>404</v>
      </c>
      <c r="C338" s="183">
        <v>4</v>
      </c>
      <c r="D338" s="183" t="s">
        <v>291</v>
      </c>
      <c r="E338" s="183">
        <v>3</v>
      </c>
      <c r="F338" s="183">
        <v>1</v>
      </c>
      <c r="G338" s="183">
        <v>5</v>
      </c>
      <c r="H338" s="183">
        <v>3</v>
      </c>
      <c r="I338" s="183">
        <v>1</v>
      </c>
      <c r="J338" s="183">
        <v>1</v>
      </c>
      <c r="K338" s="183">
        <v>4</v>
      </c>
      <c r="L338" s="183">
        <v>1</v>
      </c>
      <c r="M338" s="183"/>
      <c r="N338" s="183"/>
    </row>
    <row r="339" spans="1:14" hidden="1">
      <c r="A339" s="183" t="s">
        <v>403</v>
      </c>
      <c r="B339" s="183" t="s">
        <v>402</v>
      </c>
      <c r="C339" s="183">
        <v>4</v>
      </c>
      <c r="D339" s="183" t="s">
        <v>291</v>
      </c>
      <c r="E339" s="183">
        <v>2</v>
      </c>
      <c r="F339" s="183">
        <v>2</v>
      </c>
      <c r="G339" s="183">
        <v>1</v>
      </c>
      <c r="H339" s="183">
        <v>5</v>
      </c>
      <c r="I339" s="183">
        <v>1</v>
      </c>
      <c r="J339" s="183">
        <v>1</v>
      </c>
      <c r="K339" s="183">
        <v>4</v>
      </c>
      <c r="L339" s="183">
        <v>1</v>
      </c>
      <c r="M339" s="183"/>
      <c r="N339" s="183"/>
    </row>
    <row r="340" spans="1:14" hidden="1">
      <c r="A340" s="183" t="s">
        <v>401</v>
      </c>
      <c r="B340" s="183" t="s">
        <v>243</v>
      </c>
      <c r="C340" s="183">
        <v>4</v>
      </c>
      <c r="D340" s="183" t="s">
        <v>291</v>
      </c>
      <c r="E340" s="183">
        <v>2</v>
      </c>
      <c r="F340" s="183">
        <v>1</v>
      </c>
      <c r="G340" s="183">
        <v>1</v>
      </c>
      <c r="H340" s="183">
        <v>3</v>
      </c>
      <c r="I340" s="183">
        <v>3</v>
      </c>
      <c r="J340" s="183">
        <v>5</v>
      </c>
      <c r="K340" s="183">
        <v>3</v>
      </c>
      <c r="L340" s="183">
        <v>2</v>
      </c>
      <c r="M340" s="183"/>
      <c r="N340" s="183"/>
    </row>
    <row r="341" spans="1:14" hidden="1">
      <c r="A341" s="183" t="s">
        <v>400</v>
      </c>
      <c r="B341" s="183" t="s">
        <v>241</v>
      </c>
      <c r="C341" s="183">
        <v>4</v>
      </c>
      <c r="D341" s="183" t="s">
        <v>291</v>
      </c>
      <c r="E341" s="183">
        <v>2</v>
      </c>
      <c r="F341" s="183">
        <v>1</v>
      </c>
      <c r="G341" s="183">
        <v>1</v>
      </c>
      <c r="H341" s="183">
        <v>2</v>
      </c>
      <c r="I341" s="183">
        <v>3</v>
      </c>
      <c r="J341" s="183">
        <v>3</v>
      </c>
      <c r="K341" s="183">
        <v>2</v>
      </c>
      <c r="L341" s="183">
        <v>1</v>
      </c>
      <c r="M341" s="183"/>
      <c r="N341" s="183"/>
    </row>
    <row r="342" spans="1:14">
      <c r="A342" s="183" t="s">
        <v>399</v>
      </c>
      <c r="B342" s="183" t="s">
        <v>398</v>
      </c>
      <c r="C342" s="183">
        <v>4</v>
      </c>
      <c r="D342" s="183" t="s">
        <v>291</v>
      </c>
      <c r="E342" s="183">
        <v>3</v>
      </c>
      <c r="F342" s="183">
        <v>4</v>
      </c>
      <c r="G342" s="183">
        <v>1</v>
      </c>
      <c r="H342" s="183">
        <v>2</v>
      </c>
      <c r="I342" s="183">
        <v>4</v>
      </c>
      <c r="J342" s="183">
        <v>2</v>
      </c>
      <c r="K342" s="183">
        <v>5</v>
      </c>
      <c r="L342" s="183">
        <v>4</v>
      </c>
      <c r="M342" s="183"/>
      <c r="N342" s="183"/>
    </row>
    <row r="343" spans="1:14">
      <c r="A343" s="183" t="s">
        <v>397</v>
      </c>
      <c r="B343" s="183" t="s">
        <v>396</v>
      </c>
      <c r="C343" s="183">
        <v>4</v>
      </c>
      <c r="D343" s="183" t="s">
        <v>291</v>
      </c>
      <c r="E343" s="183">
        <v>3</v>
      </c>
      <c r="F343" s="183">
        <v>3</v>
      </c>
      <c r="G343" s="183">
        <v>3</v>
      </c>
      <c r="H343" s="183">
        <v>5</v>
      </c>
      <c r="I343" s="183">
        <v>5</v>
      </c>
      <c r="J343" s="183">
        <v>5</v>
      </c>
      <c r="K343" s="183">
        <v>5</v>
      </c>
      <c r="L343" s="183">
        <v>4</v>
      </c>
      <c r="M343" s="183"/>
      <c r="N343" s="183"/>
    </row>
    <row r="344" spans="1:14" hidden="1">
      <c r="A344" s="183" t="s">
        <v>395</v>
      </c>
      <c r="B344" s="183" t="s">
        <v>242</v>
      </c>
      <c r="C344" s="183">
        <v>4</v>
      </c>
      <c r="D344" s="183" t="s">
        <v>291</v>
      </c>
      <c r="E344" s="183">
        <v>1</v>
      </c>
      <c r="F344" s="183">
        <v>1</v>
      </c>
      <c r="G344" s="183">
        <v>1</v>
      </c>
      <c r="H344" s="183">
        <v>2</v>
      </c>
      <c r="I344" s="183">
        <v>1</v>
      </c>
      <c r="J344" s="183">
        <v>3</v>
      </c>
      <c r="K344" s="183">
        <v>3</v>
      </c>
      <c r="L344" s="183">
        <v>1</v>
      </c>
      <c r="M344" s="183"/>
      <c r="N344" s="18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12</vt:i4>
      </vt:variant>
    </vt:vector>
  </HeadingPairs>
  <TitlesOfParts>
    <vt:vector size="12" baseType="lpstr">
      <vt:lpstr>EXP lvls</vt:lpstr>
      <vt:lpstr>Drop analityka</vt:lpstr>
      <vt:lpstr>Fusion</vt:lpstr>
      <vt:lpstr>Location features</vt:lpstr>
      <vt:lpstr>TabPrz</vt:lpstr>
      <vt:lpstr>Runes for DPS</vt:lpstr>
      <vt:lpstr>Runes DB</vt:lpstr>
      <vt:lpstr>TP_Mon.Runes</vt:lpstr>
      <vt:lpstr>Summary</vt:lpstr>
      <vt:lpstr>Runes Mon.build</vt:lpstr>
      <vt:lpstr>Runes stats</vt:lpstr>
      <vt:lpstr>Arkusz1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2015-11-09T08:14:35Z</dcterms:modified>
</cp:coreProperties>
</file>