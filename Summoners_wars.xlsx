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</sheets>
  <calcPr calcId="125725"/>
  <pivotCaches>
    <pivotCache cacheId="0" r:id="rId8"/>
  </pivotCaches>
</workbook>
</file>

<file path=xl/calcChain.xml><?xml version="1.0" encoding="utf-8"?>
<calcChain xmlns="http://schemas.openxmlformats.org/spreadsheetml/2006/main">
  <c r="M17" i="1"/>
  <c r="I743" i="3"/>
  <c r="I742"/>
  <c r="I741"/>
  <c r="I740"/>
  <c r="I739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3"/>
  <c r="I542"/>
  <c r="I541"/>
  <c r="I540"/>
  <c r="I539"/>
  <c r="I538"/>
  <c r="I537"/>
  <c r="I536"/>
  <c r="I535"/>
  <c r="I534"/>
  <c r="I533"/>
  <c r="I532"/>
  <c r="I531"/>
  <c r="I530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79"/>
  <c r="I372"/>
  <c r="I371"/>
  <c r="I364"/>
  <c r="I360"/>
  <c r="I354"/>
  <c r="I349"/>
  <c r="I343"/>
  <c r="I324"/>
  <c r="I319"/>
  <c r="I314"/>
  <c r="I307"/>
  <c r="I299"/>
  <c r="I296"/>
  <c r="I294"/>
  <c r="I283"/>
  <c r="I276"/>
  <c r="I273"/>
  <c r="I271"/>
  <c r="I269"/>
  <c r="I267"/>
  <c r="I253"/>
  <c r="I252"/>
  <c r="I249"/>
  <c r="I248"/>
  <c r="I240"/>
  <c r="I234"/>
  <c r="I233"/>
  <c r="I232"/>
  <c r="I221"/>
  <c r="I216"/>
  <c r="I201"/>
  <c r="I200"/>
  <c r="I197"/>
  <c r="I185"/>
  <c r="I181"/>
  <c r="I175"/>
  <c r="I173"/>
  <c r="I172"/>
  <c r="I171"/>
  <c r="I169"/>
  <c r="I167"/>
  <c r="I166"/>
  <c r="I162"/>
  <c r="I161"/>
  <c r="I160"/>
  <c r="I157"/>
  <c r="I154"/>
  <c r="I152"/>
  <c r="I150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59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2"/>
  <c r="K21" i="4"/>
  <c r="L21"/>
  <c r="J21"/>
  <c r="I21"/>
  <c r="M16" i="1"/>
  <c r="O16" s="1"/>
  <c r="N21" i="4" l="1"/>
  <c r="M21"/>
  <c r="M19" i="1"/>
  <c r="M18"/>
  <c r="O18" s="1"/>
  <c r="I16" i="5"/>
  <c r="I15"/>
  <c r="I14"/>
  <c r="I18" i="4"/>
  <c r="M20" i="1" l="1"/>
  <c r="O20" s="1"/>
  <c r="M21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J20"/>
  <c r="I20"/>
  <c r="L20"/>
  <c r="M22" i="1" l="1"/>
  <c r="Y8"/>
  <c r="Y7"/>
  <c r="Y6"/>
  <c r="Y5"/>
  <c r="Y4"/>
  <c r="X4"/>
  <c r="X8"/>
  <c r="X7"/>
  <c r="X6"/>
  <c r="X5"/>
  <c r="N20" i="4"/>
  <c r="M20"/>
  <c r="Q17" i="1"/>
  <c r="O22" l="1"/>
  <c r="O24" s="1"/>
  <c r="M23"/>
  <c r="M3"/>
  <c r="M4" s="1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7" s="1"/>
  <c r="O4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18"/>
  <c r="L38" i="2" s="1"/>
  <c r="Q38" s="1"/>
  <c r="Y2" i="1" l="1"/>
  <c r="V2"/>
  <c r="M6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N27" i="2" s="1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J12" i="4"/>
  <c r="O6" i="1" l="1"/>
  <c r="M9"/>
  <c r="M8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I17"/>
  <c r="L16"/>
  <c r="J16"/>
  <c r="I16"/>
  <c r="L15"/>
  <c r="I15"/>
  <c r="M10" i="1" l="1"/>
  <c r="O10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M17" i="4"/>
  <c r="M16"/>
  <c r="N16"/>
  <c r="N17"/>
  <c r="L12"/>
  <c r="I12"/>
  <c r="M11" i="1" l="1"/>
  <c r="O12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M12" i="4"/>
  <c r="N12"/>
  <c r="L9"/>
  <c r="I14"/>
  <c r="M14" s="1"/>
  <c r="L14"/>
  <c r="N14" s="1"/>
  <c r="J13"/>
  <c r="I13"/>
  <c r="L13"/>
  <c r="O17" i="2"/>
  <c r="C45"/>
  <c r="B45"/>
  <c r="C44"/>
  <c r="B44"/>
  <c r="J8" i="4"/>
  <c r="J9"/>
  <c r="J18" s="1"/>
  <c r="O13" i="2"/>
  <c r="O12"/>
  <c r="O16"/>
  <c r="L39" l="1"/>
  <c r="L40"/>
  <c r="N39"/>
  <c r="N40"/>
  <c r="J19" i="4"/>
  <c r="M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3" i="4"/>
  <c r="N17" i="2"/>
  <c r="M13" i="4"/>
  <c r="H12" i="2"/>
  <c r="O15"/>
  <c r="O14"/>
  <c r="O11"/>
  <c r="O10"/>
  <c r="N19" i="4" l="1"/>
  <c r="U33" i="2"/>
  <c r="R33"/>
  <c r="T33"/>
  <c r="Q33"/>
  <c r="N38"/>
  <c r="R38" s="1"/>
  <c r="N37"/>
  <c r="M18" i="4"/>
  <c r="N36" i="2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N18" i="4"/>
  <c r="F29" i="2"/>
  <c r="F30" s="1"/>
  <c r="F31" s="1"/>
  <c r="F32" s="1"/>
  <c r="G28"/>
  <c r="B27"/>
  <c r="C27"/>
  <c r="B26"/>
  <c r="C26"/>
  <c r="N15" i="4"/>
  <c r="M15"/>
  <c r="O12" s="1"/>
  <c r="H16" i="2"/>
  <c r="L17"/>
  <c r="I9" i="4"/>
  <c r="I8"/>
  <c r="L8"/>
  <c r="A3" i="2"/>
  <c r="B3" s="1"/>
  <c r="L2" i="4"/>
  <c r="J2"/>
  <c r="I2"/>
  <c r="L4"/>
  <c r="J4"/>
  <c r="I4"/>
  <c r="M40" i="2" l="1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P12" i="4"/>
  <c r="M17" i="2"/>
  <c r="M9" i="4"/>
  <c r="O15" s="1"/>
  <c r="L13" i="2"/>
  <c r="L12"/>
  <c r="L10"/>
  <c r="L11"/>
  <c r="N2" i="4"/>
  <c r="L16" i="2"/>
  <c r="L14"/>
  <c r="L15"/>
  <c r="M12"/>
  <c r="M13"/>
  <c r="N16"/>
  <c r="N14"/>
  <c r="N15"/>
  <c r="M16"/>
  <c r="M14"/>
  <c r="M15"/>
  <c r="N12"/>
  <c r="N13"/>
  <c r="N10"/>
  <c r="N11"/>
  <c r="M10"/>
  <c r="M11"/>
  <c r="N8" i="4"/>
  <c r="M8"/>
  <c r="N9"/>
  <c r="C3" i="2" s="1"/>
  <c r="M2" i="4"/>
  <c r="N4"/>
  <c r="M4"/>
  <c r="C33" i="2" l="1"/>
  <c r="B36"/>
  <c r="H37"/>
  <c r="F38"/>
  <c r="B34"/>
  <c r="C34"/>
  <c r="B31"/>
  <c r="C31"/>
  <c r="C32"/>
  <c r="B32"/>
  <c r="B35"/>
  <c r="C35"/>
  <c r="P15" i="4"/>
  <c r="D3" i="2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P9" i="4"/>
  <c r="O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<sst xmlns="http://schemas.openxmlformats.org/spreadsheetml/2006/main" count="1432" uniqueCount="213">
  <si>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</si>
  <si>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</si>
  <si>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</si>
  <si>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</si>
  <si>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</si>
  <si>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</si>
  <si>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</si>
  <si>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</si>
  <si>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</si>
  <si>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</si>
  <si>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</si>
  <si>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</si>
  <si>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</si>
  <si>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</si>
  <si>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</si>
  <si>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</si>
  <si>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</si>
  <si>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</si>
  <si>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</si>
  <si>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</si>
  <si>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</si>
  <si>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</si>
  <si>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</si>
  <si>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</si>
  <si>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</si>
  <si>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</si>
  <si>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</si>
  <si>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</si>
  <si>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</si>
  <si>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</si>
  <si>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</si>
  <si>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</si>
  <si>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</si>
  <si>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</si>
  <si>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</si>
  <si>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</si>
  <si>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</si>
  <si>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</si>
  <si>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</si>
  <si>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</si>
  <si>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</si>
  <si>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</si>
  <si>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</si>
  <si>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</si>
  <si>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</si>
  <si>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</si>
  <si>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</si>
  <si>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</si>
  <si>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</si>
  <si>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</si>
  <si>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</si>
  <si>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</si>
  <si>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</si>
  <si>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</si>
  <si>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</si>
  <si>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</si>
  <si>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</si>
  <si>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</si>
  <si>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</si>
  <si>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</si>
  <si>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</si>
  <si>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</si>
  <si>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</si>
  <si>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</si>
  <si>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</si>
  <si>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</si>
  <si>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</si>
  <si>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</si>
  <si>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</si>
  <si>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</si>
  <si>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</si>
  <si>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</si>
  <si>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</si>
  <si>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</si>
  <si>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</si>
  <si>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</si>
  <si>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</si>
  <si>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</si>
  <si>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</si>
  <si>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</si>
  <si>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</si>
  <si>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</si>
  <si>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</si>
  <si>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</si>
  <si>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</si>
  <si>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</si>
  <si>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</si>
  <si>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</si>
  <si>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</si>
  <si>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</si>
  <si>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</si>
  <si>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</si>
  <si>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</si>
  <si>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</si>
  <si>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</si>
  <si>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</si>
  <si>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</si>
  <si>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</si>
  <si>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</si>
  <si>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</si>
  <si>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</si>
  <si>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</si>
  <si>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</si>
  <si>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</si>
  <si>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</si>
  <si>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</si>
  <si>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</si>
  <si>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</si>
  <si>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</si>
  <si>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</si>
  <si>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</si>
  <si>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</si>
  <si>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</si>
  <si>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</si>
  <si>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</si>
  <si>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</si>
  <si>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</si>
  <si>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</si>
  <si>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</si>
  <si>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</si>
  <si>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</si>
  <si>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</si>
  <si>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</si>
  <si>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</si>
  <si>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</si>
  <si>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</si>
  <si>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</si>
  <si>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</si>
  <si>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</si>
  <si>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</si>
  <si>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</si>
  <si>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</si>
  <si>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</si>
  <si>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</si>
  <si>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</si>
  <si>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</si>
  <si>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</si>
  <si>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</si>
  <si>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</si>
  <si>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</si>
  <si>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</si>
  <si>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</si>
  <si>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</si>
  <si>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</si>
  <si>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</si>
  <si>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</si>
  <si>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</si>
  <si>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</si>
  <si>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</si>
  <si>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</si>
  <si>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</si>
  <si>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</si>
  <si>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</si>
  <si>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</si>
  <si>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</si>
  <si>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</si>
  <si>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</si>
  <si>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</si>
  <si>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</si>
  <si>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</si>
  <si>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</si>
  <si>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</si>
  <si>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</si>
  <si>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</si>
  <si>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</si>
  <si>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</si>
  <si>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</si>
  <si>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</si>
  <si>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</si>
  <si>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</si>
  <si>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</si>
  <si>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</si>
  <si>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</si>
  <si>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</si>
  <si>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</si>
  <si>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</si>
  <si>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</si>
  <si>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</si>
  <si>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</si>
  <si>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</si>
  <si>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</si>
  <si>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</si>
  <si>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</si>
  <si>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</si>
  <si>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</si>
  <si>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</si>
  <si>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</si>
  <si>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</si>
  <si>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</si>
  <si>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</si>
  <si>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</si>
  <si>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</si>
  <si>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</si>
  <si>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</si>
  <si>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</si>
  <si>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</si>
  <si>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</si>
  <si>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</si>
  <si>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SPD//Acc</t>
  </si>
  <si>
    <t>HP/HP/HP</t>
  </si>
  <si>
    <t>HP/CP/Acc</t>
  </si>
  <si>
    <t>Energy/Revenge</t>
  </si>
  <si>
    <t>SPD/HP/HP</t>
  </si>
  <si>
    <t>Acc/SPD</t>
  </si>
  <si>
    <t>B10 farm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</si>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</sst>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</cellXfs>
  <cellStyles count="1">
    <cellStyle name="Normalny" xfId="0" builtinId="0"/>
  </cellStyles>
  <dxfs count="5">
    <dxf>
      <numFmt numFmtId="4" formatCode="#,##0.00"/>
    </dxf>
    <dxf>
      <numFmt numFmtId="13" formatCode="0%"/>
    </dxf>
    <dxf>
      <numFmt numFmtId="4" formatCode="#,##0.00"/>
    </dxf>
    <dxf>
      <numFmt numFmtId="0" formatCode="General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4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O23" totalsRowShown="0">
  <autoFilter ref="L14:O23"/>
  <tableColumns count="4">
    <tableColumn id="1" name="Kolumna1"/>
    <tableColumn id="2" name="Missing"/>
    <tableColumn id="3" name="Done"/>
    <tableColumn id="4" name="XP to gain" dataDxfId="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T115" totalsRowShown="0">
  <autoFilter ref="A1:T115"/>
  <tableColumns count="20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/>
    <tableColumn id="10" name="Energy gain"/>
    <tableColumn id="17" name="XP Total Gain" dataDxfId="3">
      <calculatedColumnFormula>4*LocFeatures[[#This Row],[XP Gain per member]]</calculatedColumnFormula>
    </tableColumn>
    <tableColumn id="11" name="XP Train Gain"/>
    <tableColumn id="12" name="DropWorthGain/Energy"/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J743" totalsRowShown="0">
  <autoFilter ref="A1:J743">
    <filterColumn colId="7"/>
  </autoFilter>
  <tableColumns count="10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abSelected="1" workbookViewId="0">
      <selection activeCell="F27" sqref="F27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M3-Tabela6[[#This Row],[Done]]</f>
        <v>5</v>
      </c>
      <c r="N4">
        <v>0</v>
      </c>
      <c r="O4" s="1">
        <f>M4*$B$5</f>
        <v>948750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4*M3-Tabela6[[#This Row],[Done]]</f>
        <v>20</v>
      </c>
      <c r="N5">
        <v>0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M5-Tabela6[[#This Row],[Done]]</f>
        <v>20</v>
      </c>
      <c r="N6">
        <v>0</v>
      </c>
      <c r="O6" s="1">
        <f>M6*$B$4</f>
        <v>1643640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75</v>
      </c>
      <c r="N7">
        <v>0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M7+M6-Tabela6[[#This Row],[Done]]</f>
        <v>95</v>
      </c>
      <c r="N8">
        <v>0</v>
      </c>
      <c r="O8" s="1">
        <f>M8*$B$3</f>
        <v>3403090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190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(M9+M8)-Tabela6[[#This Row],[Done]]</f>
        <v>285</v>
      </c>
      <c r="N10">
        <v>0</v>
      </c>
      <c r="O10" s="52">
        <f>Tabela6[[#This Row],[Missing]]*$B$2</f>
        <v>4309200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2*M10-Tabela6[[#This Row],[Done]]</f>
        <v>570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10304680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4-Tabela66[[#This Row],[Done]]</f>
        <v>3</v>
      </c>
      <c r="N17">
        <v>1</v>
      </c>
      <c r="O17" s="1"/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3</v>
      </c>
      <c r="N18">
        <v>0</v>
      </c>
      <c r="O18" s="1">
        <f>M18*$B$4</f>
        <v>246546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3</v>
      </c>
      <c r="N19">
        <v>6</v>
      </c>
      <c r="O19" s="1"/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6</v>
      </c>
      <c r="N20">
        <v>0</v>
      </c>
      <c r="O20" s="1">
        <f>M20*$B$3</f>
        <v>214932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8</v>
      </c>
      <c r="N21">
        <v>4</v>
      </c>
      <c r="O21" s="45"/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14</v>
      </c>
      <c r="N22">
        <v>0</v>
      </c>
      <c r="O22" s="52">
        <f>Tabela66[[#This Row],[Missing]]*$B$2</f>
        <v>211680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-17</v>
      </c>
      <c r="N23">
        <v>45</v>
      </c>
      <c r="O23" s="45"/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673158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115"/>
  <sheetViews>
    <sheetView workbookViewId="0">
      <selection activeCell="A18" sqref="A18:XFD18"/>
    </sheetView>
  </sheetViews>
  <sheetFormatPr defaultRowHeight="14.25"/>
  <cols>
    <col min="1" max="1" width="12.25" bestFit="1" customWidth="1"/>
    <col min="4" max="4" width="9.125" customWidth="1"/>
    <col min="5" max="5" width="21" customWidth="1"/>
    <col min="6" max="6" width="10.125" customWidth="1"/>
    <col min="8" max="8" width="15" customWidth="1"/>
    <col min="9" max="9" width="16.125" customWidth="1"/>
    <col min="10" max="11" width="13.25" customWidth="1"/>
    <col min="12" max="12" width="9.875" customWidth="1"/>
    <col min="13" max="13" width="14.25" customWidth="1"/>
    <col min="14" max="14" width="12" customWidth="1"/>
    <col min="18" max="18" width="20.125" bestFit="1" customWidth="1"/>
  </cols>
  <sheetData>
    <row r="1" spans="1:20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211</v>
      </c>
      <c r="J1" t="s">
        <v>24</v>
      </c>
      <c r="K1" t="s">
        <v>60</v>
      </c>
      <c r="L1" t="s">
        <v>59</v>
      </c>
      <c r="M1" t="s">
        <v>212</v>
      </c>
      <c r="N1" t="s">
        <v>26</v>
      </c>
      <c r="O1" t="s">
        <v>37</v>
      </c>
      <c r="P1" t="s">
        <v>38</v>
      </c>
      <c r="Q1" t="s">
        <v>152</v>
      </c>
      <c r="R1" t="s">
        <v>151</v>
      </c>
      <c r="S1" t="s">
        <v>155</v>
      </c>
      <c r="T1" t="s">
        <v>156</v>
      </c>
    </row>
    <row r="2" spans="1:20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</f>
        <v>2227</v>
      </c>
      <c r="J2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>
        <f>I2/(D2-J2)</f>
        <v>2227</v>
      </c>
      <c r="N2">
        <f>L2/(D2-J2)</f>
        <v>1890</v>
      </c>
    </row>
    <row r="3" spans="1:20">
      <c r="A3" t="s">
        <v>8</v>
      </c>
      <c r="B3" t="s">
        <v>9</v>
      </c>
      <c r="C3">
        <v>2</v>
      </c>
      <c r="D3">
        <v>3</v>
      </c>
      <c r="K3">
        <f>4*LocFeatures[[#This Row],[XP Gain per member]]</f>
        <v>0</v>
      </c>
    </row>
    <row r="4" spans="1:20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</f>
        <v>1946.7804878048782</v>
      </c>
      <c r="J4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>
        <f>I4/(D4-J4)</f>
        <v>896.83146067415737</v>
      </c>
      <c r="N4">
        <f>L4/(D4-J4)</f>
        <v>887.25842696629206</v>
      </c>
    </row>
    <row r="5" spans="1:20">
      <c r="A5" t="s">
        <v>8</v>
      </c>
      <c r="B5" t="s">
        <v>9</v>
      </c>
      <c r="C5">
        <v>3</v>
      </c>
      <c r="D5">
        <v>3</v>
      </c>
      <c r="K5">
        <f>4*LocFeatures[[#This Row],[XP Gain per member]]</f>
        <v>0</v>
      </c>
    </row>
    <row r="6" spans="1:20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10"/>
      <c r="J6" s="10"/>
      <c r="K6" s="10">
        <f>4*LocFeatures[[#This Row],[XP Gain per member]]</f>
        <v>0</v>
      </c>
      <c r="L6" s="10"/>
      <c r="M6" s="10"/>
      <c r="N6" s="10"/>
      <c r="O6" s="10"/>
      <c r="P6" s="10"/>
    </row>
    <row r="7" spans="1:20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10"/>
      <c r="J7" s="10"/>
      <c r="K7" s="10">
        <f>4*LocFeatures[[#This Row],[XP Gain per member]]</f>
        <v>0</v>
      </c>
      <c r="L7" s="10"/>
      <c r="M7" s="10"/>
      <c r="N7" s="10"/>
      <c r="O7" s="10"/>
      <c r="P7" s="10"/>
    </row>
    <row r="8" spans="1:20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10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</f>
        <v>3028.7952488687779</v>
      </c>
      <c r="J8" s="10">
        <f>AVERAGEIFS(DropAnalityka[Energy Drop],DropAnalityka[Location],'Location features'!$A8,DropAnalityka[LVL],'Location features'!$B8,DropAnalityka[Stage],'Location features'!$C8)</f>
        <v>0.82692307692307687</v>
      </c>
      <c r="K8" s="10">
        <f>4*LocFeatures[[#This Row],[XP Gain per member]]</f>
        <v>4392</v>
      </c>
      <c r="L8" s="10">
        <f>3*E8</f>
        <v>3294</v>
      </c>
      <c r="M8" s="10">
        <f>I8/(D8-J8)</f>
        <v>954.52941176470563</v>
      </c>
      <c r="N8" s="10">
        <f>L8/(D8-J8)</f>
        <v>1038.1090909090908</v>
      </c>
      <c r="Q8"/>
    </row>
    <row r="9" spans="1:20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10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</f>
        <v>2798.4320987654319</v>
      </c>
      <c r="J9" s="10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10">
        <f>I9/(D9-J9)</f>
        <v>1317.8662790697672</v>
      </c>
      <c r="N9" s="10">
        <f>L9/(D9-J9)</f>
        <v>1068.0697674418604</v>
      </c>
      <c r="O9" s="10">
        <f>LocFeatures[[#This Row],[DropWorthGain/Energy]]/M8-1</f>
        <v>0.38064502028631586</v>
      </c>
      <c r="P9" s="10">
        <f>LocFeatures[[#This Row],[XP/Energy]]/N8-1</f>
        <v>2.8860817032757557E-2</v>
      </c>
      <c r="Q9">
        <v>80</v>
      </c>
      <c r="R9" s="10" t="s">
        <v>154</v>
      </c>
      <c r="S9" s="10">
        <v>125</v>
      </c>
      <c r="T9" s="10" t="s">
        <v>157</v>
      </c>
    </row>
    <row r="10" spans="1:20" s="10" customFormat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K10" s="10">
        <f>4*LocFeatures[[#This Row],[XP Gain per member]]</f>
        <v>4476</v>
      </c>
      <c r="Q10"/>
    </row>
    <row r="11" spans="1:20" s="10" customFormat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K11" s="10">
        <f>4*LocFeatures[[#This Row],[XP Gain per member]]</f>
        <v>4464</v>
      </c>
      <c r="Q11"/>
    </row>
    <row r="12" spans="1:20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10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</f>
        <v>3410.1730769230771</v>
      </c>
      <c r="J12" s="10">
        <f>0.065*12</f>
        <v>0.78</v>
      </c>
      <c r="K12" s="10">
        <f>4*LocFeatures[[#This Row],[XP Gain per member]]</f>
        <v>7200</v>
      </c>
      <c r="L12" s="10">
        <f t="shared" ref="L12:L17" si="0">3*E12</f>
        <v>5400</v>
      </c>
      <c r="M12" s="10">
        <f t="shared" ref="M12:M19" si="1">I12/(D12-J12)</f>
        <v>808.09788552679561</v>
      </c>
      <c r="N12" s="10">
        <f t="shared" ref="N12:N17" si="2">L12/(D12-J12)</f>
        <v>1279.6208530805688</v>
      </c>
      <c r="O12" s="10">
        <f>LocFeatures[[#This Row],[DropWorthGain/Energy]]/M15-1</f>
        <v>-0.36664692342086314</v>
      </c>
      <c r="P12" s="10">
        <f>LocFeatures[[#This Row],[XP/Energy]]/N15-1</f>
        <v>0.12766763875793696</v>
      </c>
      <c r="Q12"/>
    </row>
    <row r="13" spans="1:20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10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</f>
        <v>4124.8571428571431</v>
      </c>
      <c r="J13" s="10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10">
        <f t="shared" si="1"/>
        <v>962.46666666666681</v>
      </c>
      <c r="N13" s="10">
        <f t="shared" si="2"/>
        <v>307.3</v>
      </c>
      <c r="Q13"/>
    </row>
    <row r="14" spans="1:20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10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</f>
        <v>1192</v>
      </c>
      <c r="J14" s="10">
        <v>0.65</v>
      </c>
      <c r="K14" s="10">
        <f>4*LocFeatures[[#This Row],[XP Gain per member]]</f>
        <v>6000</v>
      </c>
      <c r="L14" s="10">
        <f t="shared" si="0"/>
        <v>4500</v>
      </c>
      <c r="M14" s="10">
        <f t="shared" si="1"/>
        <v>274.02298850574715</v>
      </c>
      <c r="N14" s="10">
        <f t="shared" si="2"/>
        <v>1034.4827586206898</v>
      </c>
      <c r="Q14"/>
    </row>
    <row r="15" spans="1:20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10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</f>
        <v>2695.1685393258426</v>
      </c>
      <c r="J15" s="10">
        <f>AVERAGEIFS(DropAnalityka[Energy Drop],DropAnalityka[Location],'Location features'!$A15,DropAnalityka[LVL],'Location features'!$B15,DropAnalityka[Stage],'Location features'!$C15)</f>
        <v>0.88764044943820219</v>
      </c>
      <c r="K15" s="10">
        <f>4*LocFeatures[[#This Row],[XP Gain per member]]</f>
        <v>3196</v>
      </c>
      <c r="L15" s="10">
        <f t="shared" si="0"/>
        <v>2397</v>
      </c>
      <c r="M15" s="10">
        <f t="shared" si="1"/>
        <v>1275.9042553191491</v>
      </c>
      <c r="N15" s="10">
        <f t="shared" si="2"/>
        <v>1134.75</v>
      </c>
      <c r="O15" s="10">
        <f>LocFeatures[[#This Row],[DropWorthGain/Energy]]/M9-1</f>
        <v>-3.1840881292021117E-2</v>
      </c>
      <c r="P15" s="10">
        <f>LocFeatures[[#This Row],[XP/Energy]]/N9-1</f>
        <v>6.2430596381213732E-2</v>
      </c>
      <c r="Q15"/>
    </row>
    <row r="16" spans="1:20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10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</f>
        <v>3392</v>
      </c>
      <c r="J16" s="10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10">
        <f t="shared" si="1"/>
        <v>1130.6666666666667</v>
      </c>
      <c r="N16" s="10">
        <f t="shared" si="2"/>
        <v>804</v>
      </c>
      <c r="Q16"/>
    </row>
    <row r="17" spans="1:18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10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</f>
        <v>2964</v>
      </c>
      <c r="J17" s="10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10">
        <f t="shared" si="1"/>
        <v>988</v>
      </c>
      <c r="N17" s="10">
        <f t="shared" si="2"/>
        <v>804</v>
      </c>
      <c r="Q17"/>
    </row>
    <row r="18" spans="1:18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10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</f>
        <v>3709.0930232558139</v>
      </c>
      <c r="J18" s="10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10">
        <f t="shared" si="1"/>
        <v>1187.4961853111499</v>
      </c>
      <c r="N18" s="10">
        <f>L18/(D18-J18)</f>
        <v>1225.5652173913043</v>
      </c>
      <c r="Q18">
        <v>122</v>
      </c>
      <c r="R18" s="10" t="s">
        <v>154</v>
      </c>
    </row>
    <row r="19" spans="1:18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10"/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10">
        <f t="shared" si="1"/>
        <v>0</v>
      </c>
      <c r="N19" s="10">
        <f>L19/(D19-J19)</f>
        <v>1473.2784431137725</v>
      </c>
      <c r="O19" s="10"/>
      <c r="P19" s="10"/>
      <c r="R19" s="16"/>
    </row>
    <row r="20" spans="1:18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10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</f>
        <v>2788.25</v>
      </c>
      <c r="J20" s="10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10">
        <f t="shared" ref="M20" si="3">I20/(D20-J20)</f>
        <v>506.95454545454544</v>
      </c>
      <c r="N20" s="10">
        <f>L20/(D20-J20)</f>
        <v>213.81818181818181</v>
      </c>
      <c r="O20" s="10"/>
      <c r="P20" s="10"/>
    </row>
    <row r="21" spans="1:18">
      <c r="A21" s="10" t="s">
        <v>206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10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</f>
        <v>7394.5</v>
      </c>
      <c r="J21" s="10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10">
        <f>I21/(D21-J21)</f>
        <v>1408.4761904761904</v>
      </c>
      <c r="N21" s="10">
        <f>L21/(D21-J21)</f>
        <v>345.71428571428572</v>
      </c>
      <c r="O21" s="10"/>
      <c r="P21" s="10"/>
    </row>
    <row r="22" spans="1:18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>
        <f>4*LocFeatures[[#This Row],[XP Gain per member]]</f>
        <v>0</v>
      </c>
      <c r="L22" s="10"/>
      <c r="M22" s="10"/>
      <c r="N22" s="10"/>
      <c r="O22" s="10"/>
      <c r="P22" s="10"/>
    </row>
    <row r="23" spans="1:18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>
        <f>4*LocFeatures[[#This Row],[XP Gain per member]]</f>
        <v>0</v>
      </c>
      <c r="L23" s="10"/>
      <c r="M23" s="10"/>
      <c r="N23" s="10"/>
      <c r="O23" s="10"/>
      <c r="P23" s="10"/>
    </row>
    <row r="24" spans="1:18">
      <c r="J24" s="10"/>
      <c r="K24" s="10">
        <f>4*LocFeatures[[#This Row],[XP Gain per member]]</f>
        <v>0</v>
      </c>
      <c r="L24" s="10"/>
      <c r="M24" s="10"/>
      <c r="N24" s="10"/>
      <c r="O24" s="10"/>
      <c r="P24" s="10"/>
    </row>
    <row r="25" spans="1:18">
      <c r="K25">
        <f>4*LocFeatures[[#This Row],[XP Gain per member]]</f>
        <v>0</v>
      </c>
    </row>
    <row r="26" spans="1:18">
      <c r="K26">
        <f>4*LocFeatures[[#This Row],[XP Gain per member]]</f>
        <v>0</v>
      </c>
    </row>
    <row r="27" spans="1:18">
      <c r="K27">
        <f>4*LocFeatures[[#This Row],[XP Gain per member]]</f>
        <v>0</v>
      </c>
    </row>
    <row r="28" spans="1:18">
      <c r="K28">
        <f>4*LocFeatures[[#This Row],[XP Gain per member]]</f>
        <v>0</v>
      </c>
    </row>
    <row r="29" spans="1:18">
      <c r="K29">
        <f>4*LocFeatures[[#This Row],[XP Gain per member]]</f>
        <v>0</v>
      </c>
    </row>
    <row r="30" spans="1:18">
      <c r="K30">
        <f>4*LocFeatures[[#This Row],[XP Gain per member]]</f>
        <v>0</v>
      </c>
    </row>
    <row r="31" spans="1:18">
      <c r="K31">
        <f>4*LocFeatures[[#This Row],[XP Gain per member]]</f>
        <v>0</v>
      </c>
    </row>
    <row r="32" spans="1:18">
      <c r="K32">
        <f>4*LocFeatures[[#This Row],[XP Gain per member]]</f>
        <v>0</v>
      </c>
    </row>
    <row r="33" spans="11:11">
      <c r="K33">
        <f>4*LocFeatures[[#This Row],[XP Gain per member]]</f>
        <v>0</v>
      </c>
    </row>
    <row r="34" spans="11:11">
      <c r="K34">
        <f>4*LocFeatures[[#This Row],[XP Gain per member]]</f>
        <v>0</v>
      </c>
    </row>
    <row r="35" spans="11:11">
      <c r="K35">
        <f>4*LocFeatures[[#This Row],[XP Gain per member]]</f>
        <v>0</v>
      </c>
    </row>
    <row r="36" spans="11:11">
      <c r="K36">
        <f>4*LocFeatures[[#This Row],[XP Gain per member]]</f>
        <v>0</v>
      </c>
    </row>
    <row r="37" spans="11:11">
      <c r="K37">
        <f>4*LocFeatures[[#This Row],[XP Gain per member]]</f>
        <v>0</v>
      </c>
    </row>
    <row r="38" spans="11:11">
      <c r="K38">
        <f>4*LocFeatures[[#This Row],[XP Gain per member]]</f>
        <v>0</v>
      </c>
    </row>
    <row r="39" spans="11:11">
      <c r="K39">
        <f>4*LocFeatures[[#This Row],[XP Gain per member]]</f>
        <v>0</v>
      </c>
    </row>
    <row r="40" spans="11:11">
      <c r="K40">
        <f>4*LocFeatures[[#This Row],[XP Gain per member]]</f>
        <v>0</v>
      </c>
    </row>
    <row r="41" spans="11:11">
      <c r="K41">
        <f>4*LocFeatures[[#This Row],[XP Gain per member]]</f>
        <v>0</v>
      </c>
    </row>
    <row r="42" spans="11:11">
      <c r="K42">
        <f>4*LocFeatures[[#This Row],[XP Gain per member]]</f>
        <v>0</v>
      </c>
    </row>
    <row r="43" spans="11:11">
      <c r="K43">
        <f>4*LocFeatures[[#This Row],[XP Gain per member]]</f>
        <v>0</v>
      </c>
    </row>
    <row r="44" spans="11:11">
      <c r="K44">
        <f>4*LocFeatures[[#This Row],[XP Gain per member]]</f>
        <v>0</v>
      </c>
    </row>
    <row r="45" spans="11:11">
      <c r="K45">
        <f>4*LocFeatures[[#This Row],[XP Gain per member]]</f>
        <v>0</v>
      </c>
    </row>
    <row r="46" spans="11:11">
      <c r="K46">
        <f>4*LocFeatures[[#This Row],[XP Gain per member]]</f>
        <v>0</v>
      </c>
    </row>
    <row r="47" spans="11:11">
      <c r="K47">
        <f>4*LocFeatures[[#This Row],[XP Gain per member]]</f>
        <v>0</v>
      </c>
    </row>
    <row r="48" spans="11:11">
      <c r="K48">
        <f>4*LocFeatures[[#This Row],[XP Gain per member]]</f>
        <v>0</v>
      </c>
    </row>
    <row r="49" spans="11:11">
      <c r="K49">
        <f>4*LocFeatures[[#This Row],[XP Gain per member]]</f>
        <v>0</v>
      </c>
    </row>
    <row r="50" spans="11:11">
      <c r="K50">
        <f>4*LocFeatures[[#This Row],[XP Gain per member]]</f>
        <v>0</v>
      </c>
    </row>
    <row r="51" spans="11:11">
      <c r="K51">
        <f>4*LocFeatures[[#This Row],[XP Gain per member]]</f>
        <v>0</v>
      </c>
    </row>
    <row r="52" spans="11:11">
      <c r="K52">
        <f>4*LocFeatures[[#This Row],[XP Gain per member]]</f>
        <v>0</v>
      </c>
    </row>
    <row r="53" spans="11:11">
      <c r="K53">
        <f>4*LocFeatures[[#This Row],[XP Gain per member]]</f>
        <v>0</v>
      </c>
    </row>
    <row r="54" spans="11:11">
      <c r="K54">
        <f>4*LocFeatures[[#This Row],[XP Gain per member]]</f>
        <v>0</v>
      </c>
    </row>
    <row r="55" spans="11:11">
      <c r="K55">
        <f>4*LocFeatures[[#This Row],[XP Gain per member]]</f>
        <v>0</v>
      </c>
    </row>
    <row r="56" spans="11:11">
      <c r="K56">
        <f>4*LocFeatures[[#This Row],[XP Gain per member]]</f>
        <v>0</v>
      </c>
    </row>
    <row r="57" spans="11:11">
      <c r="K57">
        <f>4*LocFeatures[[#This Row],[XP Gain per member]]</f>
        <v>0</v>
      </c>
    </row>
    <row r="58" spans="11:11">
      <c r="K58">
        <f>4*LocFeatures[[#This Row],[XP Gain per member]]</f>
        <v>0</v>
      </c>
    </row>
    <row r="59" spans="11:11">
      <c r="K59">
        <f>4*LocFeatures[[#This Row],[XP Gain per member]]</f>
        <v>0</v>
      </c>
    </row>
    <row r="60" spans="11:11">
      <c r="K60">
        <f>4*LocFeatures[[#This Row],[XP Gain per member]]</f>
        <v>0</v>
      </c>
    </row>
    <row r="61" spans="11:11">
      <c r="K61">
        <f>4*LocFeatures[[#This Row],[XP Gain per member]]</f>
        <v>0</v>
      </c>
    </row>
    <row r="62" spans="11:11">
      <c r="K62">
        <f>4*LocFeatures[[#This Row],[XP Gain per member]]</f>
        <v>0</v>
      </c>
    </row>
    <row r="63" spans="11:11">
      <c r="K63">
        <f>4*LocFeatures[[#This Row],[XP Gain per member]]</f>
        <v>0</v>
      </c>
    </row>
    <row r="64" spans="11:11">
      <c r="K64">
        <f>4*LocFeatures[[#This Row],[XP Gain per member]]</f>
        <v>0</v>
      </c>
    </row>
    <row r="65" spans="11:11">
      <c r="K65">
        <f>4*LocFeatures[[#This Row],[XP Gain per member]]</f>
        <v>0</v>
      </c>
    </row>
    <row r="66" spans="11:11">
      <c r="K66">
        <f>4*LocFeatures[[#This Row],[XP Gain per member]]</f>
        <v>0</v>
      </c>
    </row>
    <row r="67" spans="11:11">
      <c r="K67">
        <f>4*LocFeatures[[#This Row],[XP Gain per member]]</f>
        <v>0</v>
      </c>
    </row>
    <row r="68" spans="11:11">
      <c r="K68">
        <f>4*LocFeatures[[#This Row],[XP Gain per member]]</f>
        <v>0</v>
      </c>
    </row>
    <row r="69" spans="11:11">
      <c r="K69">
        <f>4*LocFeatures[[#This Row],[XP Gain per member]]</f>
        <v>0</v>
      </c>
    </row>
    <row r="70" spans="11:11">
      <c r="K70">
        <f>4*LocFeatures[[#This Row],[XP Gain per member]]</f>
        <v>0</v>
      </c>
    </row>
    <row r="71" spans="11:11">
      <c r="K71">
        <f>4*LocFeatures[[#This Row],[XP Gain per member]]</f>
        <v>0</v>
      </c>
    </row>
    <row r="72" spans="11:11">
      <c r="K72">
        <f>4*LocFeatures[[#This Row],[XP Gain per member]]</f>
        <v>0</v>
      </c>
    </row>
    <row r="73" spans="11:11">
      <c r="K73">
        <f>4*LocFeatures[[#This Row],[XP Gain per member]]</f>
        <v>0</v>
      </c>
    </row>
    <row r="74" spans="11:11">
      <c r="K74">
        <f>4*LocFeatures[[#This Row],[XP Gain per member]]</f>
        <v>0</v>
      </c>
    </row>
    <row r="75" spans="11:11">
      <c r="K75">
        <f>4*LocFeatures[[#This Row],[XP Gain per member]]</f>
        <v>0</v>
      </c>
    </row>
    <row r="76" spans="11:11">
      <c r="K76">
        <f>4*LocFeatures[[#This Row],[XP Gain per member]]</f>
        <v>0</v>
      </c>
    </row>
    <row r="77" spans="11:11">
      <c r="K77">
        <f>4*LocFeatures[[#This Row],[XP Gain per member]]</f>
        <v>0</v>
      </c>
    </row>
    <row r="78" spans="11:11">
      <c r="K78">
        <f>4*LocFeatures[[#This Row],[XP Gain per member]]</f>
        <v>0</v>
      </c>
    </row>
    <row r="79" spans="11:11">
      <c r="K79">
        <f>4*LocFeatures[[#This Row],[XP Gain per member]]</f>
        <v>0</v>
      </c>
    </row>
    <row r="80" spans="11:11">
      <c r="K80">
        <f>4*LocFeatures[[#This Row],[XP Gain per member]]</f>
        <v>0</v>
      </c>
    </row>
    <row r="81" spans="11:11">
      <c r="K81">
        <f>4*LocFeatures[[#This Row],[XP Gain per member]]</f>
        <v>0</v>
      </c>
    </row>
    <row r="82" spans="11:11">
      <c r="K82">
        <f>4*LocFeatures[[#This Row],[XP Gain per member]]</f>
        <v>0</v>
      </c>
    </row>
    <row r="83" spans="11:11">
      <c r="K83">
        <f>4*LocFeatures[[#This Row],[XP Gain per member]]</f>
        <v>0</v>
      </c>
    </row>
    <row r="84" spans="11:11">
      <c r="K84">
        <f>4*LocFeatures[[#This Row],[XP Gain per member]]</f>
        <v>0</v>
      </c>
    </row>
    <row r="85" spans="11:11">
      <c r="K85">
        <f>4*LocFeatures[[#This Row],[XP Gain per member]]</f>
        <v>0</v>
      </c>
    </row>
    <row r="86" spans="11:11">
      <c r="K86">
        <f>4*LocFeatures[[#This Row],[XP Gain per member]]</f>
        <v>0</v>
      </c>
    </row>
    <row r="87" spans="11:11">
      <c r="K87">
        <f>4*LocFeatures[[#This Row],[XP Gain per member]]</f>
        <v>0</v>
      </c>
    </row>
    <row r="88" spans="11:11">
      <c r="K88">
        <f>4*LocFeatures[[#This Row],[XP Gain per member]]</f>
        <v>0</v>
      </c>
    </row>
    <row r="89" spans="11:11">
      <c r="K89">
        <f>4*LocFeatures[[#This Row],[XP Gain per member]]</f>
        <v>0</v>
      </c>
    </row>
    <row r="90" spans="11:11">
      <c r="K90">
        <f>4*LocFeatures[[#This Row],[XP Gain per member]]</f>
        <v>0</v>
      </c>
    </row>
    <row r="91" spans="11:11">
      <c r="K91">
        <f>4*LocFeatures[[#This Row],[XP Gain per member]]</f>
        <v>0</v>
      </c>
    </row>
    <row r="92" spans="11:11">
      <c r="K92">
        <f>4*LocFeatures[[#This Row],[XP Gain per member]]</f>
        <v>0</v>
      </c>
    </row>
    <row r="93" spans="11:11">
      <c r="K93">
        <f>4*LocFeatures[[#This Row],[XP Gain per member]]</f>
        <v>0</v>
      </c>
    </row>
    <row r="94" spans="11:11">
      <c r="K94">
        <f>4*LocFeatures[[#This Row],[XP Gain per member]]</f>
        <v>0</v>
      </c>
    </row>
    <row r="95" spans="11:11">
      <c r="K95">
        <f>4*LocFeatures[[#This Row],[XP Gain per member]]</f>
        <v>0</v>
      </c>
    </row>
    <row r="96" spans="11:11">
      <c r="K96">
        <f>4*LocFeatures[[#This Row],[XP Gain per member]]</f>
        <v>0</v>
      </c>
    </row>
    <row r="97" spans="11:11">
      <c r="K97">
        <f>4*LocFeatures[[#This Row],[XP Gain per member]]</f>
        <v>0</v>
      </c>
    </row>
    <row r="98" spans="11:11">
      <c r="K98">
        <f>4*LocFeatures[[#This Row],[XP Gain per member]]</f>
        <v>0</v>
      </c>
    </row>
    <row r="99" spans="11:11">
      <c r="K99">
        <f>4*LocFeatures[[#This Row],[XP Gain per member]]</f>
        <v>0</v>
      </c>
    </row>
    <row r="100" spans="11:11">
      <c r="K100">
        <f>4*LocFeatures[[#This Row],[XP Gain per member]]</f>
        <v>0</v>
      </c>
    </row>
    <row r="101" spans="11:11">
      <c r="K101">
        <f>4*LocFeatures[[#This Row],[XP Gain per member]]</f>
        <v>0</v>
      </c>
    </row>
    <row r="102" spans="11:11">
      <c r="K102">
        <f>4*LocFeatures[[#This Row],[XP Gain per member]]</f>
        <v>0</v>
      </c>
    </row>
    <row r="103" spans="11:11">
      <c r="K103">
        <f>4*LocFeatures[[#This Row],[XP Gain per member]]</f>
        <v>0</v>
      </c>
    </row>
    <row r="104" spans="11:11">
      <c r="K104">
        <f>4*LocFeatures[[#This Row],[XP Gain per member]]</f>
        <v>0</v>
      </c>
    </row>
    <row r="105" spans="11:11">
      <c r="K105">
        <f>4*LocFeatures[[#This Row],[XP Gain per member]]</f>
        <v>0</v>
      </c>
    </row>
    <row r="106" spans="11:11">
      <c r="K106">
        <f>4*LocFeatures[[#This Row],[XP Gain per member]]</f>
        <v>0</v>
      </c>
    </row>
    <row r="107" spans="11:11">
      <c r="K107">
        <f>4*LocFeatures[[#This Row],[XP Gain per member]]</f>
        <v>0</v>
      </c>
    </row>
    <row r="108" spans="11:11">
      <c r="K108">
        <f>4*LocFeatures[[#This Row],[XP Gain per member]]</f>
        <v>0</v>
      </c>
    </row>
    <row r="109" spans="11:11">
      <c r="K109">
        <f>4*LocFeatures[[#This Row],[XP Gain per member]]</f>
        <v>0</v>
      </c>
    </row>
    <row r="110" spans="11:11">
      <c r="K110">
        <f>4*LocFeatures[[#This Row],[XP Gain per member]]</f>
        <v>0</v>
      </c>
    </row>
    <row r="111" spans="11:11">
      <c r="K111">
        <f>4*LocFeatures[[#This Row],[XP Gain per member]]</f>
        <v>0</v>
      </c>
    </row>
    <row r="112" spans="11:11">
      <c r="K112">
        <f>4*LocFeatures[[#This Row],[XP Gain per member]]</f>
        <v>0</v>
      </c>
    </row>
    <row r="113" spans="11:11">
      <c r="K113">
        <f>4*LocFeatures[[#This Row],[XP Gain per member]]</f>
        <v>0</v>
      </c>
    </row>
    <row r="114" spans="11:11">
      <c r="K114">
        <f>4*LocFeatures[[#This Row],[XP Gain per member]]</f>
        <v>0</v>
      </c>
    </row>
    <row r="115" spans="11:11">
      <c r="K115">
        <f>4*LocFeatures[[#This Row],[XP Gain per member]]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J743"/>
  <sheetViews>
    <sheetView workbookViewId="0">
      <pane ySplit="1" topLeftCell="A384" activePane="bottomLeft" state="frozen"/>
      <selection pane="bottomLeft" activeCell="A412" sqref="A412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1.125" bestFit="1" customWidth="1"/>
    <col min="9" max="9" width="13" bestFit="1" customWidth="1"/>
  </cols>
  <sheetData>
    <row r="1" spans="1:10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210</v>
      </c>
      <c r="I1" t="s">
        <v>209</v>
      </c>
      <c r="J1" t="s">
        <v>79</v>
      </c>
    </row>
    <row r="2" spans="1:10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</row>
    <row r="3" spans="1:10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</row>
    <row r="4" spans="1:10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</row>
    <row r="5" spans="1:10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</row>
    <row r="6" spans="1:10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</row>
    <row r="7" spans="1:10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</row>
    <row r="8" spans="1:10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</row>
    <row r="9" spans="1:10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</row>
    <row r="10" spans="1:1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</row>
    <row r="11" spans="1:10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</row>
    <row r="12" spans="1:1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</row>
    <row r="13" spans="1:10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</row>
    <row r="14" spans="1:10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</row>
    <row r="15" spans="1:10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</row>
    <row r="16" spans="1:10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</row>
    <row r="17" spans="1:9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</row>
    <row r="18" spans="1:9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</row>
    <row r="19" spans="1:9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</row>
    <row r="20" spans="1:9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</row>
    <row r="21" spans="1:9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</row>
    <row r="22" spans="1:9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</row>
    <row r="23" spans="1:9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</row>
    <row r="24" spans="1:9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</row>
    <row r="25" spans="1:9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</row>
    <row r="26" spans="1:9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</row>
    <row r="27" spans="1:9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</row>
    <row r="28" spans="1:9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</row>
    <row r="29" spans="1:9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</row>
    <row r="30" spans="1:9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</row>
    <row r="31" spans="1:9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</row>
    <row r="32" spans="1:9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</row>
    <row r="33" spans="1:9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</row>
    <row r="34" spans="1:9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</row>
    <row r="35" spans="1:9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</row>
    <row r="36" spans="1:9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</row>
    <row r="37" spans="1:9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</row>
    <row r="38" spans="1:9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</row>
    <row r="39" spans="1:9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</row>
    <row r="40" spans="1:9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</row>
    <row r="41" spans="1:9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</row>
    <row r="42" spans="1:9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</row>
    <row r="43" spans="1:9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</row>
    <row r="44" spans="1:9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</row>
    <row r="45" spans="1:9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</row>
    <row r="46" spans="1:9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</row>
    <row r="47" spans="1:9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</row>
    <row r="48" spans="1:9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</row>
    <row r="49" spans="1:9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</row>
    <row r="50" spans="1:9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</row>
    <row r="51" spans="1:9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</row>
    <row r="52" spans="1:9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</row>
    <row r="53" spans="1:9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</row>
    <row r="54" spans="1:9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</row>
    <row r="55" spans="1:9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</row>
    <row r="56" spans="1:9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</row>
    <row r="57" spans="1:9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</row>
    <row r="58" spans="1:9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</row>
    <row r="59" spans="1:9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</row>
    <row r="60" spans="1:9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</row>
    <row r="61" spans="1:9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</row>
    <row r="62" spans="1:9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</row>
    <row r="63" spans="1:9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</row>
    <row r="64" spans="1:9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</row>
    <row r="65" spans="1:9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</row>
    <row r="66" spans="1:9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</row>
    <row r="67" spans="1:9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</row>
    <row r="68" spans="1:9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</row>
    <row r="69" spans="1:9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</row>
    <row r="70" spans="1:9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</row>
    <row r="71" spans="1:9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</row>
    <row r="72" spans="1:9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</row>
    <row r="73" spans="1:9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</row>
    <row r="74" spans="1:9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</row>
    <row r="75" spans="1:9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</row>
    <row r="76" spans="1:9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</row>
    <row r="77" spans="1:9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</row>
    <row r="78" spans="1:9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</row>
    <row r="79" spans="1:9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</row>
    <row r="80" spans="1:9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</row>
    <row r="81" spans="1:9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</row>
    <row r="82" spans="1:9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</row>
    <row r="83" spans="1:9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</row>
    <row r="84" spans="1:9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</row>
    <row r="85" spans="1:9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</row>
    <row r="86" spans="1:9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</row>
    <row r="87" spans="1:9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</row>
    <row r="88" spans="1:9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</row>
    <row r="89" spans="1:9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</row>
    <row r="90" spans="1:9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</row>
    <row r="91" spans="1:9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</row>
    <row r="92" spans="1:9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</row>
    <row r="93" spans="1:9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</row>
    <row r="94" spans="1:9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</row>
    <row r="95" spans="1:9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</row>
    <row r="96" spans="1:9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</row>
    <row r="97" spans="1:9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</row>
    <row r="98" spans="1:9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</row>
    <row r="99" spans="1:9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</row>
    <row r="100" spans="1:9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</row>
    <row r="101" spans="1:9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</row>
    <row r="102" spans="1:9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</row>
    <row r="103" spans="1:9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</row>
    <row r="104" spans="1:9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</row>
    <row r="105" spans="1:9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</row>
    <row r="106" spans="1:9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</row>
    <row r="107" spans="1:9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</row>
    <row r="108" spans="1:9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</row>
    <row r="109" spans="1:9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</row>
    <row r="110" spans="1:9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</row>
    <row r="111" spans="1:9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</row>
    <row r="112" spans="1:9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</row>
    <row r="113" spans="1:9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</row>
    <row r="114" spans="1:9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</row>
    <row r="115" spans="1:9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</row>
    <row r="116" spans="1:9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</row>
    <row r="117" spans="1:9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</row>
    <row r="118" spans="1:9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</row>
    <row r="119" spans="1:9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</row>
    <row r="120" spans="1:9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</row>
    <row r="121" spans="1:9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</row>
    <row r="122" spans="1:9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</row>
    <row r="123" spans="1:9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</row>
    <row r="124" spans="1:9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</row>
    <row r="125" spans="1:9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</row>
    <row r="126" spans="1:9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</row>
    <row r="127" spans="1:9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</row>
    <row r="128" spans="1:9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</row>
    <row r="129" spans="1:9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</row>
    <row r="130" spans="1:9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</row>
    <row r="131" spans="1:9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</row>
    <row r="132" spans="1:9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</row>
    <row r="133" spans="1:9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</row>
    <row r="134" spans="1:9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</row>
    <row r="135" spans="1:9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</row>
    <row r="136" spans="1:9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</row>
    <row r="137" spans="1:9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</row>
    <row r="138" spans="1:9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</row>
    <row r="139" spans="1:9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</row>
    <row r="140" spans="1:9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</row>
    <row r="141" spans="1:9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</row>
    <row r="142" spans="1:9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</row>
    <row r="143" spans="1:9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</row>
    <row r="144" spans="1:9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</row>
    <row r="145" spans="1:9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</row>
    <row r="146" spans="1:9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</row>
    <row r="147" spans="1:9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</row>
    <row r="148" spans="1:9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</row>
    <row r="149" spans="1:9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</row>
    <row r="150" spans="1:9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</row>
    <row r="151" spans="1:9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</row>
    <row r="152" spans="1:9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</row>
    <row r="153" spans="1:9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</row>
    <row r="154" spans="1:9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</row>
    <row r="155" spans="1:9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</row>
    <row r="156" spans="1:9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</row>
    <row r="157" spans="1:9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</row>
    <row r="158" spans="1:9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</row>
    <row r="159" spans="1:9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</row>
    <row r="160" spans="1:9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</row>
    <row r="161" spans="1:9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</row>
    <row r="162" spans="1:9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</row>
    <row r="163" spans="1:9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</row>
    <row r="164" spans="1:9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</row>
    <row r="165" spans="1:9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</row>
    <row r="166" spans="1:9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</row>
    <row r="167" spans="1:9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</row>
    <row r="168" spans="1:9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</row>
    <row r="169" spans="1:9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</row>
    <row r="170" spans="1:9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</row>
    <row r="171" spans="1:9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</row>
    <row r="172" spans="1:9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</row>
    <row r="173" spans="1:9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</row>
    <row r="174" spans="1:9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</row>
    <row r="175" spans="1:9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</row>
    <row r="176" spans="1:9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</row>
    <row r="177" spans="1:9">
      <c r="A177" t="s">
        <v>8</v>
      </c>
      <c r="B177" t="s">
        <v>32</v>
      </c>
      <c r="C177">
        <v>3</v>
      </c>
      <c r="D177">
        <v>1206</v>
      </c>
      <c r="E177">
        <v>0</v>
      </c>
    </row>
    <row r="178" spans="1:9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</row>
    <row r="179" spans="1:9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</row>
    <row r="180" spans="1:9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</row>
    <row r="181" spans="1:9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</row>
    <row r="182" spans="1:9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</row>
    <row r="183" spans="1:9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</row>
    <row r="184" spans="1:9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</row>
    <row r="185" spans="1:9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</row>
    <row r="186" spans="1:9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</row>
    <row r="187" spans="1:9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</row>
    <row r="188" spans="1:9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</row>
    <row r="189" spans="1:9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</row>
    <row r="190" spans="1:9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</row>
    <row r="191" spans="1:9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</row>
    <row r="192" spans="1:9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</row>
    <row r="193" spans="1:9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</row>
    <row r="194" spans="1:9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</row>
    <row r="195" spans="1:9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</row>
    <row r="196" spans="1:9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</row>
    <row r="197" spans="1:9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</row>
    <row r="198" spans="1:9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</row>
    <row r="199" spans="1:9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</row>
    <row r="200" spans="1:9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</row>
    <row r="201" spans="1:9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</row>
    <row r="202" spans="1:9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</row>
    <row r="203" spans="1:9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</row>
    <row r="204" spans="1:9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</row>
    <row r="205" spans="1:9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</row>
    <row r="206" spans="1:9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</row>
    <row r="207" spans="1:9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</row>
    <row r="208" spans="1:9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</row>
    <row r="209" spans="1:9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</row>
    <row r="210" spans="1:9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</row>
    <row r="211" spans="1:9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</row>
    <row r="212" spans="1:9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</row>
    <row r="213" spans="1:9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</row>
    <row r="214" spans="1:9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</row>
    <row r="215" spans="1:9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</row>
    <row r="216" spans="1:9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</row>
    <row r="217" spans="1:9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</row>
    <row r="218" spans="1:9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</row>
    <row r="219" spans="1:9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</row>
    <row r="220" spans="1:9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</row>
    <row r="221" spans="1:9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</row>
    <row r="222" spans="1:9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</row>
    <row r="223" spans="1:9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</row>
    <row r="224" spans="1:9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</row>
    <row r="225" spans="1:9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</row>
    <row r="226" spans="1:9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</row>
    <row r="227" spans="1:9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</row>
    <row r="228" spans="1:9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</row>
    <row r="229" spans="1:9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</row>
    <row r="230" spans="1:9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</row>
    <row r="231" spans="1:9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</row>
    <row r="232" spans="1:9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</row>
    <row r="233" spans="1:9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</row>
    <row r="234" spans="1:9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</row>
    <row r="235" spans="1:9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</row>
    <row r="236" spans="1:9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</row>
    <row r="237" spans="1:9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</row>
    <row r="238" spans="1:9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</row>
    <row r="239" spans="1:9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</row>
    <row r="240" spans="1:9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</row>
    <row r="241" spans="1:9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</row>
    <row r="242" spans="1:9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</row>
    <row r="243" spans="1:9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</row>
    <row r="244" spans="1:9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</row>
    <row r="245" spans="1:9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</row>
    <row r="246" spans="1:9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</row>
    <row r="247" spans="1:9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</row>
    <row r="248" spans="1:9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</row>
    <row r="249" spans="1:9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</row>
    <row r="250" spans="1:9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</row>
    <row r="251" spans="1:9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</row>
    <row r="252" spans="1:9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</row>
    <row r="253" spans="1:9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</row>
    <row r="254" spans="1:9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</row>
    <row r="255" spans="1:9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</row>
    <row r="256" spans="1:9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</row>
    <row r="257" spans="1:10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</row>
    <row r="258" spans="1:10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</row>
    <row r="259" spans="1:10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</row>
    <row r="260" spans="1:10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</row>
    <row r="261" spans="1:10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</row>
    <row r="262" spans="1:10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</row>
    <row r="263" spans="1:10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</row>
    <row r="264" spans="1:10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</row>
    <row r="265" spans="1:10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</row>
    <row r="266" spans="1:10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</row>
    <row r="267" spans="1:10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</row>
    <row r="268" spans="1:10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 s="16">
        <v>0.33078703703703705</v>
      </c>
    </row>
    <row r="269" spans="1:10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 s="16">
        <v>0.33269675925925929</v>
      </c>
    </row>
    <row r="270" spans="1:10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</row>
    <row r="271" spans="1:10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</row>
    <row r="272" spans="1:10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</row>
    <row r="273" spans="1:10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</row>
    <row r="274" spans="1:10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 s="16">
        <v>0.34259259259259256</v>
      </c>
    </row>
    <row r="275" spans="1:10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</row>
    <row r="276" spans="1:10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</row>
    <row r="277" spans="1:10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</row>
    <row r="278" spans="1:10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</row>
    <row r="279" spans="1:10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</row>
    <row r="280" spans="1:10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</row>
    <row r="281" spans="1:10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 s="16">
        <v>0.35532407407407413</v>
      </c>
    </row>
    <row r="282" spans="1:10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 s="16">
        <v>0.35555555555555557</v>
      </c>
    </row>
    <row r="283" spans="1:10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</row>
    <row r="284" spans="1:10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</row>
    <row r="285" spans="1:10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</row>
    <row r="286" spans="1:10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</row>
    <row r="287" spans="1:10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</row>
    <row r="288" spans="1:10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</row>
    <row r="289" spans="1:9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</row>
    <row r="290" spans="1:9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</row>
    <row r="291" spans="1:9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</row>
    <row r="292" spans="1:9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</row>
    <row r="293" spans="1:9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</row>
    <row r="294" spans="1:9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</row>
    <row r="295" spans="1:9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</row>
    <row r="296" spans="1:9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</row>
    <row r="297" spans="1:9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</row>
    <row r="298" spans="1:9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</row>
    <row r="299" spans="1:9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</row>
    <row r="300" spans="1:9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</row>
    <row r="301" spans="1:9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</row>
    <row r="302" spans="1:9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</row>
    <row r="303" spans="1:9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</row>
    <row r="304" spans="1:9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</row>
    <row r="305" spans="1:9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</row>
    <row r="306" spans="1:9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</row>
    <row r="307" spans="1:9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</row>
    <row r="308" spans="1:9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</row>
    <row r="309" spans="1:9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</row>
    <row r="310" spans="1:9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</row>
    <row r="311" spans="1:9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</row>
    <row r="312" spans="1:9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</row>
    <row r="313" spans="1:9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</row>
    <row r="314" spans="1:9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</row>
    <row r="315" spans="1:9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</row>
    <row r="316" spans="1:9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</row>
    <row r="317" spans="1:9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</row>
    <row r="318" spans="1:9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</row>
    <row r="319" spans="1:9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</row>
    <row r="320" spans="1:9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</row>
    <row r="321" spans="1:9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</row>
    <row r="322" spans="1:9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</row>
    <row r="323" spans="1:9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</row>
    <row r="324" spans="1:9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</row>
    <row r="325" spans="1:9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</row>
    <row r="326" spans="1:9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</row>
    <row r="327" spans="1:9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</row>
    <row r="328" spans="1:9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</row>
    <row r="329" spans="1:9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</row>
    <row r="330" spans="1:9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</row>
    <row r="331" spans="1:9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</row>
    <row r="332" spans="1:9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</row>
    <row r="333" spans="1:9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</row>
    <row r="334" spans="1:9">
      <c r="A334" t="s">
        <v>206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</row>
    <row r="335" spans="1:9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</row>
    <row r="336" spans="1:9">
      <c r="A336" t="s">
        <v>208</v>
      </c>
      <c r="B336" t="s">
        <v>9</v>
      </c>
      <c r="C336">
        <v>5</v>
      </c>
      <c r="D336">
        <v>1000</v>
      </c>
      <c r="E336">
        <v>0</v>
      </c>
      <c r="F336" t="s">
        <v>207</v>
      </c>
      <c r="G336">
        <v>5</v>
      </c>
    </row>
    <row r="337" spans="1:9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</row>
    <row r="338" spans="1:9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</row>
    <row r="339" spans="1:9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</row>
    <row r="340" spans="1:9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</row>
    <row r="341" spans="1:9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</row>
    <row r="342" spans="1:9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</row>
    <row r="343" spans="1:9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</row>
    <row r="344" spans="1:9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</row>
    <row r="345" spans="1:9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</row>
    <row r="346" spans="1:9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</row>
    <row r="347" spans="1:9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</row>
    <row r="348" spans="1:9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</row>
    <row r="349" spans="1:9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</row>
    <row r="350" spans="1:9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</row>
    <row r="351" spans="1:9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</row>
    <row r="352" spans="1:9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</row>
    <row r="353" spans="1:9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</row>
    <row r="354" spans="1:9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</row>
    <row r="355" spans="1:9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</row>
    <row r="356" spans="1:9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</row>
    <row r="357" spans="1:9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</row>
    <row r="358" spans="1:9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</row>
    <row r="359" spans="1:9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</row>
    <row r="360" spans="1:9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</row>
    <row r="361" spans="1:9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</row>
    <row r="362" spans="1:9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</row>
    <row r="363" spans="1:9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</row>
    <row r="364" spans="1:9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</row>
    <row r="365" spans="1:9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</row>
    <row r="366" spans="1:9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</row>
    <row r="367" spans="1:9">
      <c r="A367" t="s">
        <v>206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</row>
    <row r="368" spans="1:9">
      <c r="A368" t="s">
        <v>206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</row>
    <row r="369" spans="1:9">
      <c r="A369" t="s">
        <v>206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</row>
    <row r="370" spans="1:9">
      <c r="A370" t="s">
        <v>206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</row>
    <row r="371" spans="1:9">
      <c r="A371" t="s">
        <v>206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</row>
    <row r="372" spans="1:9">
      <c r="A372" t="s">
        <v>206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</row>
    <row r="373" spans="1:9">
      <c r="A373" t="s">
        <v>206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</row>
    <row r="374" spans="1:9">
      <c r="A374" t="s">
        <v>206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</row>
    <row r="375" spans="1:9">
      <c r="A375" t="s">
        <v>206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</row>
    <row r="376" spans="1:9">
      <c r="A376" t="s">
        <v>206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</row>
    <row r="377" spans="1:9">
      <c r="A377" t="s">
        <v>206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</row>
    <row r="378" spans="1:9">
      <c r="A378" t="s">
        <v>206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</row>
    <row r="379" spans="1:9">
      <c r="A379" t="s">
        <v>206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</row>
    <row r="380" spans="1:9">
      <c r="A380" t="s">
        <v>206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</row>
    <row r="381" spans="1:9">
      <c r="A381" t="s">
        <v>206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</row>
    <row r="382" spans="1:9">
      <c r="A382" t="s">
        <v>206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</row>
    <row r="383" spans="1:9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</row>
    <row r="384" spans="1:9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</row>
    <row r="385" spans="1:9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</row>
    <row r="386" spans="1:9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</row>
    <row r="387" spans="1:9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</row>
    <row r="388" spans="1:9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</row>
    <row r="389" spans="1:9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</row>
    <row r="390" spans="1:9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</row>
    <row r="391" spans="1:9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</row>
    <row r="392" spans="1:9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</row>
    <row r="393" spans="1:9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</row>
    <row r="394" spans="1:9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</row>
    <row r="395" spans="1:9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</row>
    <row r="396" spans="1:9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</row>
    <row r="397" spans="1:9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</row>
    <row r="398" spans="1:9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</row>
    <row r="399" spans="1:9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</row>
    <row r="400" spans="1:9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</row>
    <row r="401" spans="1:9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</row>
    <row r="402" spans="1:9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</row>
    <row r="403" spans="1:9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</row>
    <row r="404" spans="1:9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</row>
    <row r="405" spans="1:9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</row>
    <row r="406" spans="1:9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</row>
    <row r="407" spans="1:9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</row>
    <row r="408" spans="1:9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</row>
    <row r="409" spans="1:9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</row>
    <row r="410" spans="1:9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</row>
    <row r="411" spans="1:9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</row>
    <row r="412" spans="1:9">
      <c r="I412">
        <f>DropAnalityka[[#This Row],[Sell Drop]]+IF(DropAnalityka[[#This Row],[Drop]]="Scroll", 2000*DropAnalityka[[#This Row],[Quality/Quantity]],0)</f>
        <v>0</v>
      </c>
    </row>
    <row r="413" spans="1:9">
      <c r="I413">
        <f>DropAnalityka[[#This Row],[Sell Drop]]+IF(DropAnalityka[[#This Row],[Drop]]="Scroll", 2000*DropAnalityka[[#This Row],[Quality/Quantity]],0)</f>
        <v>0</v>
      </c>
    </row>
    <row r="414" spans="1:9">
      <c r="I414">
        <f>DropAnalityka[[#This Row],[Sell Drop]]+IF(DropAnalityka[[#This Row],[Drop]]="Scroll", 2000*DropAnalityka[[#This Row],[Quality/Quantity]],0)</f>
        <v>0</v>
      </c>
    </row>
    <row r="415" spans="1:9">
      <c r="I415">
        <f>DropAnalityka[[#This Row],[Sell Drop]]+IF(DropAnalityka[[#This Row],[Drop]]="Scroll", 2000*DropAnalityka[[#This Row],[Quality/Quantity]],0)</f>
        <v>0</v>
      </c>
    </row>
    <row r="416" spans="1:9">
      <c r="I416">
        <f>DropAnalityka[[#This Row],[Sell Drop]]+IF(DropAnalityka[[#This Row],[Drop]]="Scroll", 2000*DropAnalityka[[#This Row],[Quality/Quantity]],0)</f>
        <v>0</v>
      </c>
    </row>
    <row r="417" spans="9:9">
      <c r="I417">
        <f>DropAnalityka[[#This Row],[Sell Drop]]+IF(DropAnalityka[[#This Row],[Drop]]="Scroll", 2000*DropAnalityka[[#This Row],[Quality/Quantity]],0)</f>
        <v>0</v>
      </c>
    </row>
    <row r="418" spans="9:9">
      <c r="I418">
        <f>DropAnalityka[[#This Row],[Sell Drop]]+IF(DropAnalityka[[#This Row],[Drop]]="Scroll", 2000*DropAnalityka[[#This Row],[Quality/Quantity]],0)</f>
        <v>0</v>
      </c>
    </row>
    <row r="419" spans="9:9">
      <c r="I419">
        <f>DropAnalityka[[#This Row],[Sell Drop]]+IF(DropAnalityka[[#This Row],[Drop]]="Scroll", 2000*DropAnalityka[[#This Row],[Quality/Quantity]],0)</f>
        <v>0</v>
      </c>
    </row>
    <row r="420" spans="9:9">
      <c r="I420">
        <f>DropAnalityka[[#This Row],[Sell Drop]]+IF(DropAnalityka[[#This Row],[Drop]]="Scroll", 2000*DropAnalityka[[#This Row],[Quality/Quantity]],0)</f>
        <v>0</v>
      </c>
    </row>
    <row r="421" spans="9:9">
      <c r="I421">
        <f>DropAnalityka[[#This Row],[Sell Drop]]+IF(DropAnalityka[[#This Row],[Drop]]="Scroll", 2000*DropAnalityka[[#This Row],[Quality/Quantity]],0)</f>
        <v>0</v>
      </c>
    </row>
    <row r="422" spans="9:9">
      <c r="I422">
        <f>DropAnalityka[[#This Row],[Sell Drop]]+IF(DropAnalityka[[#This Row],[Drop]]="Scroll", 2000*DropAnalityka[[#This Row],[Quality/Quantity]],0)</f>
        <v>0</v>
      </c>
    </row>
    <row r="423" spans="9:9">
      <c r="I423">
        <f>DropAnalityka[[#This Row],[Sell Drop]]+IF(DropAnalityka[[#This Row],[Drop]]="Scroll", 2000*DropAnalityka[[#This Row],[Quality/Quantity]],0)</f>
        <v>0</v>
      </c>
    </row>
    <row r="424" spans="9:9">
      <c r="I424">
        <f>DropAnalityka[[#This Row],[Sell Drop]]+IF(DropAnalityka[[#This Row],[Drop]]="Scroll", 2000*DropAnalityka[[#This Row],[Quality/Quantity]],0)</f>
        <v>0</v>
      </c>
    </row>
    <row r="425" spans="9:9">
      <c r="I425">
        <f>DropAnalityka[[#This Row],[Sell Drop]]+IF(DropAnalityka[[#This Row],[Drop]]="Scroll", 2000*DropAnalityka[[#This Row],[Quality/Quantity]],0)</f>
        <v>0</v>
      </c>
    </row>
    <row r="426" spans="9:9">
      <c r="I426">
        <f>DropAnalityka[[#This Row],[Sell Drop]]+IF(DropAnalityka[[#This Row],[Drop]]="Scroll", 2000*DropAnalityka[[#This Row],[Quality/Quantity]],0)</f>
        <v>0</v>
      </c>
    </row>
    <row r="427" spans="9:9">
      <c r="I427">
        <f>DropAnalityka[[#This Row],[Sell Drop]]+IF(DropAnalityka[[#This Row],[Drop]]="Scroll", 2000*DropAnalityka[[#This Row],[Quality/Quantity]],0)</f>
        <v>0</v>
      </c>
    </row>
    <row r="428" spans="9:9">
      <c r="I428">
        <f>DropAnalityka[[#This Row],[Sell Drop]]+IF(DropAnalityka[[#This Row],[Drop]]="Scroll", 2000*DropAnalityka[[#This Row],[Quality/Quantity]],0)</f>
        <v>0</v>
      </c>
    </row>
    <row r="429" spans="9:9">
      <c r="I429">
        <f>DropAnalityka[[#This Row],[Sell Drop]]+IF(DropAnalityka[[#This Row],[Drop]]="Scroll", 2000*DropAnalityka[[#This Row],[Quality/Quantity]],0)</f>
        <v>0</v>
      </c>
    </row>
    <row r="430" spans="9:9">
      <c r="I430">
        <f>DropAnalityka[[#This Row],[Sell Drop]]+IF(DropAnalityka[[#This Row],[Drop]]="Scroll", 2000*DropAnalityka[[#This Row],[Quality/Quantity]],0)</f>
        <v>0</v>
      </c>
    </row>
    <row r="431" spans="9:9">
      <c r="I431">
        <f>DropAnalityka[[#This Row],[Sell Drop]]+IF(DropAnalityka[[#This Row],[Drop]]="Scroll", 2000*DropAnalityka[[#This Row],[Quality/Quantity]],0)</f>
        <v>0</v>
      </c>
    </row>
    <row r="432" spans="9:9">
      <c r="I432">
        <f>DropAnalityka[[#This Row],[Sell Drop]]+IF(DropAnalityka[[#This Row],[Drop]]="Scroll", 2000*DropAnalityka[[#This Row],[Quality/Quantity]],0)</f>
        <v>0</v>
      </c>
    </row>
    <row r="433" spans="9:9">
      <c r="I433">
        <f>DropAnalityka[[#This Row],[Sell Drop]]+IF(DropAnalityka[[#This Row],[Drop]]="Scroll", 2000*DropAnalityka[[#This Row],[Quality/Quantity]],0)</f>
        <v>0</v>
      </c>
    </row>
    <row r="434" spans="9:9">
      <c r="I434">
        <f>DropAnalityka[[#This Row],[Sell Drop]]+IF(DropAnalityka[[#This Row],[Drop]]="Scroll", 2000*DropAnalityka[[#This Row],[Quality/Quantity]],0)</f>
        <v>0</v>
      </c>
    </row>
    <row r="435" spans="9:9">
      <c r="I435">
        <f>DropAnalityka[[#This Row],[Sell Drop]]+IF(DropAnalityka[[#This Row],[Drop]]="Scroll", 2000*DropAnalityka[[#This Row],[Quality/Quantity]],0)</f>
        <v>0</v>
      </c>
    </row>
    <row r="436" spans="9:9">
      <c r="I436">
        <f>DropAnalityka[[#This Row],[Sell Drop]]+IF(DropAnalityka[[#This Row],[Drop]]="Scroll", 2000*DropAnalityka[[#This Row],[Quality/Quantity]],0)</f>
        <v>0</v>
      </c>
    </row>
    <row r="437" spans="9:9">
      <c r="I437">
        <f>DropAnalityka[[#This Row],[Sell Drop]]+IF(DropAnalityka[[#This Row],[Drop]]="Scroll", 2000*DropAnalityka[[#This Row],[Quality/Quantity]],0)</f>
        <v>0</v>
      </c>
    </row>
    <row r="438" spans="9:9">
      <c r="I438">
        <f>DropAnalityka[[#This Row],[Sell Drop]]+IF(DropAnalityka[[#This Row],[Drop]]="Scroll", 2000*DropAnalityka[[#This Row],[Quality/Quantity]],0)</f>
        <v>0</v>
      </c>
    </row>
    <row r="439" spans="9:9">
      <c r="I439">
        <f>DropAnalityka[[#This Row],[Sell Drop]]+IF(DropAnalityka[[#This Row],[Drop]]="Scroll", 2000*DropAnalityka[[#This Row],[Quality/Quantity]],0)</f>
        <v>0</v>
      </c>
    </row>
    <row r="440" spans="9:9">
      <c r="I440">
        <f>DropAnalityka[[#This Row],[Sell Drop]]+IF(DropAnalityka[[#This Row],[Drop]]="Scroll", 2000*DropAnalityka[[#This Row],[Quality/Quantity]],0)</f>
        <v>0</v>
      </c>
    </row>
    <row r="441" spans="9:9">
      <c r="I441">
        <f>DropAnalityka[[#This Row],[Sell Drop]]+IF(DropAnalityka[[#This Row],[Drop]]="Scroll", 2000*DropAnalityka[[#This Row],[Quality/Quantity]],0)</f>
        <v>0</v>
      </c>
    </row>
    <row r="442" spans="9:9">
      <c r="I442">
        <f>DropAnalityka[[#This Row],[Sell Drop]]+IF(DropAnalityka[[#This Row],[Drop]]="Scroll", 2000*DropAnalityka[[#This Row],[Quality/Quantity]],0)</f>
        <v>0</v>
      </c>
    </row>
    <row r="443" spans="9:9">
      <c r="I443">
        <f>DropAnalityka[[#This Row],[Sell Drop]]+IF(DropAnalityka[[#This Row],[Drop]]="Scroll", 2000*DropAnalityka[[#This Row],[Quality/Quantity]],0)</f>
        <v>0</v>
      </c>
    </row>
    <row r="444" spans="9:9">
      <c r="I444">
        <f>DropAnalityka[[#This Row],[Sell Drop]]+IF(DropAnalityka[[#This Row],[Drop]]="Scroll", 2000*DropAnalityka[[#This Row],[Quality/Quantity]],0)</f>
        <v>0</v>
      </c>
    </row>
    <row r="445" spans="9:9">
      <c r="I445">
        <f>DropAnalityka[[#This Row],[Sell Drop]]+IF(DropAnalityka[[#This Row],[Drop]]="Scroll", 2000*DropAnalityka[[#This Row],[Quality/Quantity]],0)</f>
        <v>0</v>
      </c>
    </row>
    <row r="446" spans="9:9">
      <c r="I446">
        <f>DropAnalityka[[#This Row],[Sell Drop]]+IF(DropAnalityka[[#This Row],[Drop]]="Scroll", 2000*DropAnalityka[[#This Row],[Quality/Quantity]],0)</f>
        <v>0</v>
      </c>
    </row>
    <row r="447" spans="9:9">
      <c r="I447">
        <f>DropAnalityka[[#This Row],[Sell Drop]]+IF(DropAnalityka[[#This Row],[Drop]]="Scroll", 2000*DropAnalityka[[#This Row],[Quality/Quantity]],0)</f>
        <v>0</v>
      </c>
    </row>
    <row r="448" spans="9:9">
      <c r="I448">
        <f>DropAnalityka[[#This Row],[Sell Drop]]+IF(DropAnalityka[[#This Row],[Drop]]="Scroll", 2000*DropAnalityka[[#This Row],[Quality/Quantity]],0)</f>
        <v>0</v>
      </c>
    </row>
    <row r="449" spans="9:9">
      <c r="I449">
        <f>DropAnalityka[[#This Row],[Sell Drop]]+IF(DropAnalityka[[#This Row],[Drop]]="Scroll", 2000*DropAnalityka[[#This Row],[Quality/Quantity]],0)</f>
        <v>0</v>
      </c>
    </row>
    <row r="450" spans="9:9">
      <c r="I450">
        <f>DropAnalityka[[#This Row],[Sell Drop]]+IF(DropAnalityka[[#This Row],[Drop]]="Scroll", 2000*DropAnalityka[[#This Row],[Quality/Quantity]],0)</f>
        <v>0</v>
      </c>
    </row>
    <row r="451" spans="9:9">
      <c r="I451">
        <f>DropAnalityka[[#This Row],[Sell Drop]]+IF(DropAnalityka[[#This Row],[Drop]]="Scroll", 2000*DropAnalityka[[#This Row],[Quality/Quantity]],0)</f>
        <v>0</v>
      </c>
    </row>
    <row r="452" spans="9:9">
      <c r="I452">
        <f>DropAnalityka[[#This Row],[Sell Drop]]+IF(DropAnalityka[[#This Row],[Drop]]="Scroll", 2000*DropAnalityka[[#This Row],[Quality/Quantity]],0)</f>
        <v>0</v>
      </c>
    </row>
    <row r="453" spans="9:9">
      <c r="I453">
        <f>DropAnalityka[[#This Row],[Sell Drop]]+IF(DropAnalityka[[#This Row],[Drop]]="Scroll", 2000*DropAnalityka[[#This Row],[Quality/Quantity]],0)</f>
        <v>0</v>
      </c>
    </row>
    <row r="454" spans="9:9">
      <c r="I454">
        <f>DropAnalityka[[#This Row],[Sell Drop]]+IF(DropAnalityka[[#This Row],[Drop]]="Scroll", 2000*DropAnalityka[[#This Row],[Quality/Quantity]],0)</f>
        <v>0</v>
      </c>
    </row>
    <row r="455" spans="9:9">
      <c r="I455">
        <f>DropAnalityka[[#This Row],[Sell Drop]]+IF(DropAnalityka[[#This Row],[Drop]]="Scroll", 2000*DropAnalityka[[#This Row],[Quality/Quantity]],0)</f>
        <v>0</v>
      </c>
    </row>
    <row r="456" spans="9:9">
      <c r="I456">
        <f>DropAnalityka[[#This Row],[Sell Drop]]+IF(DropAnalityka[[#This Row],[Drop]]="Scroll", 2000*DropAnalityka[[#This Row],[Quality/Quantity]],0)</f>
        <v>0</v>
      </c>
    </row>
    <row r="457" spans="9:9">
      <c r="I457">
        <f>DropAnalityka[[#This Row],[Sell Drop]]+IF(DropAnalityka[[#This Row],[Drop]]="Scroll", 2000*DropAnalityka[[#This Row],[Quality/Quantity]],0)</f>
        <v>0</v>
      </c>
    </row>
    <row r="458" spans="9:9">
      <c r="I458">
        <f>DropAnalityka[[#This Row],[Sell Drop]]+IF(DropAnalityka[[#This Row],[Drop]]="Scroll", 2000*DropAnalityka[[#This Row],[Quality/Quantity]],0)</f>
        <v>0</v>
      </c>
    </row>
    <row r="459" spans="9:9">
      <c r="I459">
        <f>DropAnalityka[[#This Row],[Sell Drop]]+IF(DropAnalityka[[#This Row],[Drop]]="Scroll", 2000*DropAnalityka[[#This Row],[Quality/Quantity]],0)</f>
        <v>0</v>
      </c>
    </row>
    <row r="460" spans="9:9">
      <c r="I460">
        <f>DropAnalityka[[#This Row],[Sell Drop]]+IF(DropAnalityka[[#This Row],[Drop]]="Scroll", 2000*DropAnalityka[[#This Row],[Quality/Quantity]],0)</f>
        <v>0</v>
      </c>
    </row>
    <row r="461" spans="9:9">
      <c r="I461">
        <f>DropAnalityka[[#This Row],[Sell Drop]]+IF(DropAnalityka[[#This Row],[Drop]]="Scroll", 2000*DropAnalityka[[#This Row],[Quality/Quantity]],0)</f>
        <v>0</v>
      </c>
    </row>
    <row r="462" spans="9:9">
      <c r="I462">
        <f>DropAnalityka[[#This Row],[Sell Drop]]+IF(DropAnalityka[[#This Row],[Drop]]="Scroll", 2000*DropAnalityka[[#This Row],[Quality/Quantity]],0)</f>
        <v>0</v>
      </c>
    </row>
    <row r="463" spans="9:9">
      <c r="I463">
        <f>DropAnalityka[[#This Row],[Sell Drop]]+IF(DropAnalityka[[#This Row],[Drop]]="Scroll", 2000*DropAnalityka[[#This Row],[Quality/Quantity]],0)</f>
        <v>0</v>
      </c>
    </row>
    <row r="464" spans="9:9">
      <c r="I464">
        <f>DropAnalityka[[#This Row],[Sell Drop]]+IF(DropAnalityka[[#This Row],[Drop]]="Scroll", 2000*DropAnalityka[[#This Row],[Quality/Quantity]],0)</f>
        <v>0</v>
      </c>
    </row>
    <row r="465" spans="9:9">
      <c r="I465">
        <f>DropAnalityka[[#This Row],[Sell Drop]]+IF(DropAnalityka[[#This Row],[Drop]]="Scroll", 2000*DropAnalityka[[#This Row],[Quality/Quantity]],0)</f>
        <v>0</v>
      </c>
    </row>
    <row r="466" spans="9:9">
      <c r="I466">
        <f>DropAnalityka[[#This Row],[Sell Drop]]+IF(DropAnalityka[[#This Row],[Drop]]="Scroll", 2000*DropAnalityka[[#This Row],[Quality/Quantity]],0)</f>
        <v>0</v>
      </c>
    </row>
    <row r="467" spans="9:9">
      <c r="I467">
        <f>DropAnalityka[[#This Row],[Sell Drop]]+IF(DropAnalityka[[#This Row],[Drop]]="Scroll", 2000*DropAnalityka[[#This Row],[Quality/Quantity]],0)</f>
        <v>0</v>
      </c>
    </row>
    <row r="468" spans="9:9">
      <c r="I468">
        <f>DropAnalityka[[#This Row],[Sell Drop]]+IF(DropAnalityka[[#This Row],[Drop]]="Scroll", 2000*DropAnalityka[[#This Row],[Quality/Quantity]],0)</f>
        <v>0</v>
      </c>
    </row>
    <row r="469" spans="9:9">
      <c r="I469">
        <f>DropAnalityka[[#This Row],[Sell Drop]]+IF(DropAnalityka[[#This Row],[Drop]]="Scroll", 2000*DropAnalityka[[#This Row],[Quality/Quantity]],0)</f>
        <v>0</v>
      </c>
    </row>
    <row r="470" spans="9:9">
      <c r="I470">
        <f>DropAnalityka[[#This Row],[Sell Drop]]+IF(DropAnalityka[[#This Row],[Drop]]="Scroll", 2000*DropAnalityka[[#This Row],[Quality/Quantity]],0)</f>
        <v>0</v>
      </c>
    </row>
    <row r="471" spans="9:9">
      <c r="I471">
        <f>DropAnalityka[[#This Row],[Sell Drop]]+IF(DropAnalityka[[#This Row],[Drop]]="Scroll", 2000*DropAnalityka[[#This Row],[Quality/Quantity]],0)</f>
        <v>0</v>
      </c>
    </row>
    <row r="472" spans="9:9">
      <c r="I472">
        <f>DropAnalityka[[#This Row],[Sell Drop]]+IF(DropAnalityka[[#This Row],[Drop]]="Scroll", 2000*DropAnalityka[[#This Row],[Quality/Quantity]],0)</f>
        <v>0</v>
      </c>
    </row>
    <row r="473" spans="9:9">
      <c r="I473">
        <f>DropAnalityka[[#This Row],[Sell Drop]]+IF(DropAnalityka[[#This Row],[Drop]]="Scroll", 2000*DropAnalityka[[#This Row],[Quality/Quantity]],0)</f>
        <v>0</v>
      </c>
    </row>
    <row r="474" spans="9:9">
      <c r="I474">
        <f>DropAnalityka[[#This Row],[Sell Drop]]+IF(DropAnalityka[[#This Row],[Drop]]="Scroll", 2000*DropAnalityka[[#This Row],[Quality/Quantity]],0)</f>
        <v>0</v>
      </c>
    </row>
    <row r="475" spans="9:9">
      <c r="I475">
        <f>DropAnalityka[[#This Row],[Sell Drop]]+IF(DropAnalityka[[#This Row],[Drop]]="Scroll", 2000*DropAnalityka[[#This Row],[Quality/Quantity]],0)</f>
        <v>0</v>
      </c>
    </row>
    <row r="476" spans="9:9">
      <c r="I476">
        <f>DropAnalityka[[#This Row],[Sell Drop]]+IF(DropAnalityka[[#This Row],[Drop]]="Scroll", 2000*DropAnalityka[[#This Row],[Quality/Quantity]],0)</f>
        <v>0</v>
      </c>
    </row>
    <row r="477" spans="9:9">
      <c r="I477">
        <f>DropAnalityka[[#This Row],[Sell Drop]]+IF(DropAnalityka[[#This Row],[Drop]]="Scroll", 2000*DropAnalityka[[#This Row],[Quality/Quantity]],0)</f>
        <v>0</v>
      </c>
    </row>
    <row r="478" spans="9:9">
      <c r="I478">
        <f>DropAnalityka[[#This Row],[Sell Drop]]+IF(DropAnalityka[[#This Row],[Drop]]="Scroll", 2000*DropAnalityka[[#This Row],[Quality/Quantity]],0)</f>
        <v>0</v>
      </c>
    </row>
    <row r="479" spans="9:9">
      <c r="I479">
        <f>DropAnalityka[[#This Row],[Sell Drop]]+IF(DropAnalityka[[#This Row],[Drop]]="Scroll", 2000*DropAnalityka[[#This Row],[Quality/Quantity]],0)</f>
        <v>0</v>
      </c>
    </row>
    <row r="480" spans="9:9">
      <c r="I480">
        <f>DropAnalityka[[#This Row],[Sell Drop]]+IF(DropAnalityka[[#This Row],[Drop]]="Scroll", 2000*DropAnalityka[[#This Row],[Quality/Quantity]],0)</f>
        <v>0</v>
      </c>
    </row>
    <row r="481" spans="9:9">
      <c r="I481">
        <f>DropAnalityka[[#This Row],[Sell Drop]]+IF(DropAnalityka[[#This Row],[Drop]]="Scroll", 2000*DropAnalityka[[#This Row],[Quality/Quantity]],0)</f>
        <v>0</v>
      </c>
    </row>
    <row r="482" spans="9:9">
      <c r="I482">
        <f>DropAnalityka[[#This Row],[Sell Drop]]+IF(DropAnalityka[[#This Row],[Drop]]="Scroll", 2000*DropAnalityka[[#This Row],[Quality/Quantity]],0)</f>
        <v>0</v>
      </c>
    </row>
    <row r="483" spans="9:9">
      <c r="I483">
        <f>DropAnalityka[[#This Row],[Sell Drop]]+IF(DropAnalityka[[#This Row],[Drop]]="Scroll", 2000*DropAnalityka[[#This Row],[Quality/Quantity]],0)</f>
        <v>0</v>
      </c>
    </row>
    <row r="484" spans="9:9">
      <c r="I484">
        <f>DropAnalityka[[#This Row],[Sell Drop]]+IF(DropAnalityka[[#This Row],[Drop]]="Scroll", 2000*DropAnalityka[[#This Row],[Quality/Quantity]],0)</f>
        <v>0</v>
      </c>
    </row>
    <row r="485" spans="9:9">
      <c r="I485">
        <f>DropAnalityka[[#This Row],[Sell Drop]]+IF(DropAnalityka[[#This Row],[Drop]]="Scroll", 2000*DropAnalityka[[#This Row],[Quality/Quantity]],0)</f>
        <v>0</v>
      </c>
    </row>
    <row r="486" spans="9:9">
      <c r="I486">
        <f>DropAnalityka[[#This Row],[Sell Drop]]+IF(DropAnalityka[[#This Row],[Drop]]="Scroll", 2000*DropAnalityka[[#This Row],[Quality/Quantity]],0)</f>
        <v>0</v>
      </c>
    </row>
    <row r="487" spans="9:9">
      <c r="I487">
        <f>DropAnalityka[[#This Row],[Sell Drop]]+IF(DropAnalityka[[#This Row],[Drop]]="Scroll", 2000*DropAnalityka[[#This Row],[Quality/Quantity]],0)</f>
        <v>0</v>
      </c>
    </row>
    <row r="488" spans="9:9">
      <c r="I488">
        <f>DropAnalityka[[#This Row],[Sell Drop]]+IF(DropAnalityka[[#This Row],[Drop]]="Scroll", 2000*DropAnalityka[[#This Row],[Quality/Quantity]],0)</f>
        <v>0</v>
      </c>
    </row>
    <row r="489" spans="9:9">
      <c r="I489">
        <f>DropAnalityka[[#This Row],[Sell Drop]]+IF(DropAnalityka[[#This Row],[Drop]]="Scroll", 2000*DropAnalityka[[#This Row],[Quality/Quantity]],0)</f>
        <v>0</v>
      </c>
    </row>
    <row r="490" spans="9:9">
      <c r="I490">
        <f>DropAnalityka[[#This Row],[Sell Drop]]+IF(DropAnalityka[[#This Row],[Drop]]="Scroll", 2000*DropAnalityka[[#This Row],[Quality/Quantity]],0)</f>
        <v>0</v>
      </c>
    </row>
    <row r="491" spans="9:9">
      <c r="I491">
        <f>DropAnalityka[[#This Row],[Sell Drop]]+IF(DropAnalityka[[#This Row],[Drop]]="Scroll", 2000*DropAnalityka[[#This Row],[Quality/Quantity]],0)</f>
        <v>0</v>
      </c>
    </row>
    <row r="492" spans="9:9">
      <c r="I492">
        <f>DropAnalityka[[#This Row],[Sell Drop]]+IF(DropAnalityka[[#This Row],[Drop]]="Scroll", 2000*DropAnalityka[[#This Row],[Quality/Quantity]],0)</f>
        <v>0</v>
      </c>
    </row>
    <row r="493" spans="9:9">
      <c r="I493">
        <f>DropAnalityka[[#This Row],[Sell Drop]]+IF(DropAnalityka[[#This Row],[Drop]]="Scroll", 2000*DropAnalityka[[#This Row],[Quality/Quantity]],0)</f>
        <v>0</v>
      </c>
    </row>
    <row r="494" spans="9:9">
      <c r="I494">
        <f>DropAnalityka[[#This Row],[Sell Drop]]+IF(DropAnalityka[[#This Row],[Drop]]="Scroll", 2000*DropAnalityka[[#This Row],[Quality/Quantity]],0)</f>
        <v>0</v>
      </c>
    </row>
    <row r="495" spans="9:9">
      <c r="I495">
        <f>DropAnalityka[[#This Row],[Sell Drop]]+IF(DropAnalityka[[#This Row],[Drop]]="Scroll", 2000*DropAnalityka[[#This Row],[Quality/Quantity]],0)</f>
        <v>0</v>
      </c>
    </row>
    <row r="496" spans="9:9">
      <c r="I496">
        <f>DropAnalityka[[#This Row],[Sell Drop]]+IF(DropAnalityka[[#This Row],[Drop]]="Scroll", 2000*DropAnalityka[[#This Row],[Quality/Quantity]],0)</f>
        <v>0</v>
      </c>
    </row>
    <row r="497" spans="9:9">
      <c r="I497">
        <f>DropAnalityka[[#This Row],[Sell Drop]]+IF(DropAnalityka[[#This Row],[Drop]]="Scroll", 2000*DropAnalityka[[#This Row],[Quality/Quantity]],0)</f>
        <v>0</v>
      </c>
    </row>
    <row r="498" spans="9:9">
      <c r="I498">
        <f>DropAnalityka[[#This Row],[Sell Drop]]+IF(DropAnalityka[[#This Row],[Drop]]="Scroll", 2000*DropAnalityka[[#This Row],[Quality/Quantity]],0)</f>
        <v>0</v>
      </c>
    </row>
    <row r="499" spans="9:9">
      <c r="I499">
        <f>DropAnalityka[[#This Row],[Sell Drop]]+IF(DropAnalityka[[#This Row],[Drop]]="Scroll", 2000*DropAnalityka[[#This Row],[Quality/Quantity]],0)</f>
        <v>0</v>
      </c>
    </row>
    <row r="500" spans="9:9">
      <c r="I500">
        <f>DropAnalityka[[#This Row],[Sell Drop]]+IF(DropAnalityka[[#This Row],[Drop]]="Scroll", 2000*DropAnalityka[[#This Row],[Quality/Quantity]],0)</f>
        <v>0</v>
      </c>
    </row>
    <row r="501" spans="9:9">
      <c r="I501">
        <f>DropAnalityka[[#This Row],[Sell Drop]]+IF(DropAnalityka[[#This Row],[Drop]]="Scroll", 2000*DropAnalityka[[#This Row],[Quality/Quantity]],0)</f>
        <v>0</v>
      </c>
    </row>
    <row r="502" spans="9:9">
      <c r="I502">
        <f>DropAnalityka[[#This Row],[Sell Drop]]+IF(DropAnalityka[[#This Row],[Drop]]="Scroll", 2000*DropAnalityka[[#This Row],[Quality/Quantity]],0)</f>
        <v>0</v>
      </c>
    </row>
    <row r="503" spans="9:9">
      <c r="I503">
        <f>DropAnalityka[[#This Row],[Sell Drop]]+IF(DropAnalityka[[#This Row],[Drop]]="Scroll", 2000*DropAnalityka[[#This Row],[Quality/Quantity]],0)</f>
        <v>0</v>
      </c>
    </row>
    <row r="504" spans="9:9">
      <c r="I504">
        <f>DropAnalityka[[#This Row],[Sell Drop]]+IF(DropAnalityka[[#This Row],[Drop]]="Scroll", 2000*DropAnalityka[[#This Row],[Quality/Quantity]],0)</f>
        <v>0</v>
      </c>
    </row>
    <row r="505" spans="9:9">
      <c r="I505">
        <f>DropAnalityka[[#This Row],[Sell Drop]]+IF(DropAnalityka[[#This Row],[Drop]]="Scroll", 2000*DropAnalityka[[#This Row],[Quality/Quantity]],0)</f>
        <v>0</v>
      </c>
    </row>
    <row r="506" spans="9:9">
      <c r="I506">
        <f>DropAnalityka[[#This Row],[Sell Drop]]+IF(DropAnalityka[[#This Row],[Drop]]="Scroll", 2000*DropAnalityka[[#This Row],[Quality/Quantity]],0)</f>
        <v>0</v>
      </c>
    </row>
    <row r="507" spans="9:9">
      <c r="I507">
        <f>DropAnalityka[[#This Row],[Sell Drop]]+IF(DropAnalityka[[#This Row],[Drop]]="Scroll", 2000*DropAnalityka[[#This Row],[Quality/Quantity]],0)</f>
        <v>0</v>
      </c>
    </row>
    <row r="508" spans="9:9">
      <c r="I508">
        <f>DropAnalityka[[#This Row],[Sell Drop]]+IF(DropAnalityka[[#This Row],[Drop]]="Scroll", 2000*DropAnalityka[[#This Row],[Quality/Quantity]],0)</f>
        <v>0</v>
      </c>
    </row>
    <row r="509" spans="9:9">
      <c r="I509">
        <f>DropAnalityka[[#This Row],[Sell Drop]]+IF(DropAnalityka[[#This Row],[Drop]]="Scroll", 2000*DropAnalityka[[#This Row],[Quality/Quantity]],0)</f>
        <v>0</v>
      </c>
    </row>
    <row r="510" spans="9:9">
      <c r="I510">
        <f>DropAnalityka[[#This Row],[Sell Drop]]+IF(DropAnalityka[[#This Row],[Drop]]="Scroll", 2000*DropAnalityka[[#This Row],[Quality/Quantity]],0)</f>
        <v>0</v>
      </c>
    </row>
    <row r="511" spans="9:9">
      <c r="I511">
        <f>DropAnalityka[[#This Row],[Sell Drop]]+IF(DropAnalityka[[#This Row],[Drop]]="Scroll", 2000*DropAnalityka[[#This Row],[Quality/Quantity]],0)</f>
        <v>0</v>
      </c>
    </row>
    <row r="512" spans="9:9">
      <c r="I512">
        <f>DropAnalityka[[#This Row],[Sell Drop]]+IF(DropAnalityka[[#This Row],[Drop]]="Scroll", 2000*DropAnalityka[[#This Row],[Quality/Quantity]],0)</f>
        <v>0</v>
      </c>
    </row>
    <row r="513" spans="9:9">
      <c r="I513">
        <f>DropAnalityka[[#This Row],[Sell Drop]]+IF(DropAnalityka[[#This Row],[Drop]]="Scroll", 2000*DropAnalityka[[#This Row],[Quality/Quantity]],0)</f>
        <v>0</v>
      </c>
    </row>
    <row r="514" spans="9:9">
      <c r="I514">
        <f>DropAnalityka[[#This Row],[Sell Drop]]+IF(DropAnalityka[[#This Row],[Drop]]="Scroll", 2000*DropAnalityka[[#This Row],[Quality/Quantity]],0)</f>
        <v>0</v>
      </c>
    </row>
    <row r="515" spans="9:9">
      <c r="I515">
        <f>DropAnalityka[[#This Row],[Sell Drop]]+IF(DropAnalityka[[#This Row],[Drop]]="Scroll", 2000*DropAnalityka[[#This Row],[Quality/Quantity]],0)</f>
        <v>0</v>
      </c>
    </row>
    <row r="516" spans="9:9">
      <c r="I516">
        <f>DropAnalityka[[#This Row],[Sell Drop]]+IF(DropAnalityka[[#This Row],[Drop]]="Scroll", 2000*DropAnalityka[[#This Row],[Quality/Quantity]],0)</f>
        <v>0</v>
      </c>
    </row>
    <row r="517" spans="9:9">
      <c r="I517">
        <f>DropAnalityka[[#This Row],[Sell Drop]]+IF(DropAnalityka[[#This Row],[Drop]]="Scroll", 2000*DropAnalityka[[#This Row],[Quality/Quantity]],0)</f>
        <v>0</v>
      </c>
    </row>
    <row r="518" spans="9:9">
      <c r="I518">
        <f>DropAnalityka[[#This Row],[Sell Drop]]+IF(DropAnalityka[[#This Row],[Drop]]="Scroll", 2000*DropAnalityka[[#This Row],[Quality/Quantity]],0)</f>
        <v>0</v>
      </c>
    </row>
    <row r="519" spans="9:9">
      <c r="I519">
        <f>DropAnalityka[[#This Row],[Sell Drop]]+IF(DropAnalityka[[#This Row],[Drop]]="Scroll", 2000*DropAnalityka[[#This Row],[Quality/Quantity]],0)</f>
        <v>0</v>
      </c>
    </row>
    <row r="520" spans="9:9">
      <c r="I520">
        <f>DropAnalityka[[#This Row],[Sell Drop]]+IF(DropAnalityka[[#This Row],[Drop]]="Scroll", 2000*DropAnalityka[[#This Row],[Quality/Quantity]],0)</f>
        <v>0</v>
      </c>
    </row>
    <row r="521" spans="9:9">
      <c r="I521">
        <f>DropAnalityka[[#This Row],[Sell Drop]]+IF(DropAnalityka[[#This Row],[Drop]]="Scroll", 2000*DropAnalityka[[#This Row],[Quality/Quantity]],0)</f>
        <v>0</v>
      </c>
    </row>
    <row r="522" spans="9:9">
      <c r="I522">
        <f>DropAnalityka[[#This Row],[Sell Drop]]+IF(DropAnalityka[[#This Row],[Drop]]="Scroll", 2000*DropAnalityka[[#This Row],[Quality/Quantity]],0)</f>
        <v>0</v>
      </c>
    </row>
    <row r="523" spans="9:9">
      <c r="I523">
        <f>DropAnalityka[[#This Row],[Sell Drop]]+IF(DropAnalityka[[#This Row],[Drop]]="Scroll", 2000*DropAnalityka[[#This Row],[Quality/Quantity]],0)</f>
        <v>0</v>
      </c>
    </row>
    <row r="524" spans="9:9">
      <c r="I524">
        <f>DropAnalityka[[#This Row],[Sell Drop]]+IF(DropAnalityka[[#This Row],[Drop]]="Scroll", 2000*DropAnalityka[[#This Row],[Quality/Quantity]],0)</f>
        <v>0</v>
      </c>
    </row>
    <row r="525" spans="9:9">
      <c r="I525">
        <f>DropAnalityka[[#This Row],[Sell Drop]]+IF(DropAnalityka[[#This Row],[Drop]]="Scroll", 2000*DropAnalityka[[#This Row],[Quality/Quantity]],0)</f>
        <v>0</v>
      </c>
    </row>
    <row r="526" spans="9:9">
      <c r="I526">
        <f>DropAnalityka[[#This Row],[Sell Drop]]+IF(DropAnalityka[[#This Row],[Drop]]="Scroll", 2000*DropAnalityka[[#This Row],[Quality/Quantity]],0)</f>
        <v>0</v>
      </c>
    </row>
    <row r="527" spans="9:9">
      <c r="I527">
        <f>DropAnalityka[[#This Row],[Sell Drop]]+IF(DropAnalityka[[#This Row],[Drop]]="Scroll", 2000*DropAnalityka[[#This Row],[Quality/Quantity]],0)</f>
        <v>0</v>
      </c>
    </row>
    <row r="528" spans="9:9">
      <c r="I528">
        <f>DropAnalityka[[#This Row],[Sell Drop]]+IF(DropAnalityka[[#This Row],[Drop]]="Scroll", 2000*DropAnalityka[[#This Row],[Quality/Quantity]],0)</f>
        <v>0</v>
      </c>
    </row>
    <row r="529" spans="9:9">
      <c r="I529">
        <f>DropAnalityka[[#This Row],[Sell Drop]]+IF(DropAnalityka[[#This Row],[Drop]]="Scroll", 2000*DropAnalityka[[#This Row],[Quality/Quantity]],0)</f>
        <v>0</v>
      </c>
    </row>
    <row r="530" spans="9:9">
      <c r="I530">
        <f>DropAnalityka[[#This Row],[Sell Drop]]+IF(DropAnalityka[[#This Row],[Drop]]="Scroll", 2000*DropAnalityka[[#This Row],[Quality/Quantity]],0)</f>
        <v>0</v>
      </c>
    </row>
    <row r="531" spans="9:9">
      <c r="I531">
        <f>DropAnalityka[[#This Row],[Sell Drop]]+IF(DropAnalityka[[#This Row],[Drop]]="Scroll", 2000*DropAnalityka[[#This Row],[Quality/Quantity]],0)</f>
        <v>0</v>
      </c>
    </row>
    <row r="532" spans="9:9">
      <c r="I532">
        <f>DropAnalityka[[#This Row],[Sell Drop]]+IF(DropAnalityka[[#This Row],[Drop]]="Scroll", 2000*DropAnalityka[[#This Row],[Quality/Quantity]],0)</f>
        <v>0</v>
      </c>
    </row>
    <row r="533" spans="9:9">
      <c r="I533">
        <f>DropAnalityka[[#This Row],[Sell Drop]]+IF(DropAnalityka[[#This Row],[Drop]]="Scroll", 2000*DropAnalityka[[#This Row],[Quality/Quantity]],0)</f>
        <v>0</v>
      </c>
    </row>
    <row r="534" spans="9:9">
      <c r="I534">
        <f>DropAnalityka[[#This Row],[Sell Drop]]+IF(DropAnalityka[[#This Row],[Drop]]="Scroll", 2000*DropAnalityka[[#This Row],[Quality/Quantity]],0)</f>
        <v>0</v>
      </c>
    </row>
    <row r="535" spans="9:9">
      <c r="I535">
        <f>DropAnalityka[[#This Row],[Sell Drop]]+IF(DropAnalityka[[#This Row],[Drop]]="Scroll", 2000*DropAnalityka[[#This Row],[Quality/Quantity]],0)</f>
        <v>0</v>
      </c>
    </row>
    <row r="536" spans="9:9">
      <c r="I536">
        <f>DropAnalityka[[#This Row],[Sell Drop]]+IF(DropAnalityka[[#This Row],[Drop]]="Scroll", 2000*DropAnalityka[[#This Row],[Quality/Quantity]],0)</f>
        <v>0</v>
      </c>
    </row>
    <row r="537" spans="9:9">
      <c r="I537">
        <f>DropAnalityka[[#This Row],[Sell Drop]]+IF(DropAnalityka[[#This Row],[Drop]]="Scroll", 2000*DropAnalityka[[#This Row],[Quality/Quantity]],0)</f>
        <v>0</v>
      </c>
    </row>
    <row r="538" spans="9:9">
      <c r="I538">
        <f>DropAnalityka[[#This Row],[Sell Drop]]+IF(DropAnalityka[[#This Row],[Drop]]="Scroll", 2000*DropAnalityka[[#This Row],[Quality/Quantity]],0)</f>
        <v>0</v>
      </c>
    </row>
    <row r="539" spans="9:9">
      <c r="I539">
        <f>DropAnalityka[[#This Row],[Sell Drop]]+IF(DropAnalityka[[#This Row],[Drop]]="Scroll", 2000*DropAnalityka[[#This Row],[Quality/Quantity]],0)</f>
        <v>0</v>
      </c>
    </row>
    <row r="540" spans="9:9">
      <c r="I540">
        <f>DropAnalityka[[#This Row],[Sell Drop]]+IF(DropAnalityka[[#This Row],[Drop]]="Scroll", 2000*DropAnalityka[[#This Row],[Quality/Quantity]],0)</f>
        <v>0</v>
      </c>
    </row>
    <row r="541" spans="9:9">
      <c r="I541">
        <f>DropAnalityka[[#This Row],[Sell Drop]]+IF(DropAnalityka[[#This Row],[Drop]]="Scroll", 2000*DropAnalityka[[#This Row],[Quality/Quantity]],0)</f>
        <v>0</v>
      </c>
    </row>
    <row r="542" spans="9:9">
      <c r="I542">
        <f>DropAnalityka[[#This Row],[Sell Drop]]+IF(DropAnalityka[[#This Row],[Drop]]="Scroll", 2000*DropAnalityka[[#This Row],[Quality/Quantity]],0)</f>
        <v>0</v>
      </c>
    </row>
    <row r="543" spans="9:9">
      <c r="I543">
        <f>DropAnalityka[[#This Row],[Sell Drop]]+IF(DropAnalityka[[#This Row],[Drop]]="Scroll", 2000*DropAnalityka[[#This Row],[Quality/Quantity]],0)</f>
        <v>0</v>
      </c>
    </row>
    <row r="544" spans="9:9">
      <c r="I544">
        <f>DropAnalityka[[#This Row],[Sell Drop]]+IF(DropAnalityka[[#This Row],[Drop]]="Scroll", 2000*DropAnalityka[[#This Row],[Quality/Quantity]],0)</f>
        <v>0</v>
      </c>
    </row>
    <row r="545" spans="9:9">
      <c r="I545">
        <f>DropAnalityka[[#This Row],[Sell Drop]]+IF(DropAnalityka[[#This Row],[Drop]]="Scroll", 2000*DropAnalityka[[#This Row],[Quality/Quantity]],0)</f>
        <v>0</v>
      </c>
    </row>
    <row r="546" spans="9:9">
      <c r="I546">
        <f>DropAnalityka[[#This Row],[Sell Drop]]+IF(DropAnalityka[[#This Row],[Drop]]="Scroll", 2000*DropAnalityka[[#This Row],[Quality/Quantity]],0)</f>
        <v>0</v>
      </c>
    </row>
    <row r="547" spans="9:9">
      <c r="I547">
        <f>DropAnalityka[[#This Row],[Sell Drop]]+IF(DropAnalityka[[#This Row],[Drop]]="Scroll", 2000*DropAnalityka[[#This Row],[Quality/Quantity]],0)</f>
        <v>0</v>
      </c>
    </row>
    <row r="548" spans="9:9">
      <c r="I548">
        <f>DropAnalityka[[#This Row],[Sell Drop]]+IF(DropAnalityka[[#This Row],[Drop]]="Scroll", 2000*DropAnalityka[[#This Row],[Quality/Quantity]],0)</f>
        <v>0</v>
      </c>
    </row>
    <row r="549" spans="9:9">
      <c r="I549">
        <f>DropAnalityka[[#This Row],[Sell Drop]]+IF(DropAnalityka[[#This Row],[Drop]]="Scroll", 2000*DropAnalityka[[#This Row],[Quality/Quantity]],0)</f>
        <v>0</v>
      </c>
    </row>
    <row r="550" spans="9:9">
      <c r="I550">
        <f>DropAnalityka[[#This Row],[Sell Drop]]+IF(DropAnalityka[[#This Row],[Drop]]="Scroll", 2000*DropAnalityka[[#This Row],[Quality/Quantity]],0)</f>
        <v>0</v>
      </c>
    </row>
    <row r="551" spans="9:9">
      <c r="I551">
        <f>DropAnalityka[[#This Row],[Sell Drop]]+IF(DropAnalityka[[#This Row],[Drop]]="Scroll", 2000*DropAnalityka[[#This Row],[Quality/Quantity]],0)</f>
        <v>0</v>
      </c>
    </row>
    <row r="552" spans="9:9">
      <c r="I552">
        <f>DropAnalityka[[#This Row],[Sell Drop]]+IF(DropAnalityka[[#This Row],[Drop]]="Scroll", 2000*DropAnalityka[[#This Row],[Quality/Quantity]],0)</f>
        <v>0</v>
      </c>
    </row>
    <row r="553" spans="9:9">
      <c r="I553">
        <f>DropAnalityka[[#This Row],[Sell Drop]]+IF(DropAnalityka[[#This Row],[Drop]]="Scroll", 2000*DropAnalityka[[#This Row],[Quality/Quantity]],0)</f>
        <v>0</v>
      </c>
    </row>
    <row r="554" spans="9:9">
      <c r="I554">
        <f>DropAnalityka[[#This Row],[Sell Drop]]+IF(DropAnalityka[[#This Row],[Drop]]="Scroll", 2000*DropAnalityka[[#This Row],[Quality/Quantity]],0)</f>
        <v>0</v>
      </c>
    </row>
    <row r="555" spans="9:9">
      <c r="I555">
        <f>DropAnalityka[[#This Row],[Sell Drop]]+IF(DropAnalityka[[#This Row],[Drop]]="Scroll", 2000*DropAnalityka[[#This Row],[Quality/Quantity]],0)</f>
        <v>0</v>
      </c>
    </row>
    <row r="556" spans="9:9">
      <c r="I556">
        <f>DropAnalityka[[#This Row],[Sell Drop]]+IF(DropAnalityka[[#This Row],[Drop]]="Scroll", 2000*DropAnalityka[[#This Row],[Quality/Quantity]],0)</f>
        <v>0</v>
      </c>
    </row>
    <row r="557" spans="9:9">
      <c r="I557">
        <f>DropAnalityka[[#This Row],[Sell Drop]]+IF(DropAnalityka[[#This Row],[Drop]]="Scroll", 2000*DropAnalityka[[#This Row],[Quality/Quantity]],0)</f>
        <v>0</v>
      </c>
    </row>
    <row r="558" spans="9:9">
      <c r="I558">
        <f>DropAnalityka[[#This Row],[Sell Drop]]+IF(DropAnalityka[[#This Row],[Drop]]="Scroll", 2000*DropAnalityka[[#This Row],[Quality/Quantity]],0)</f>
        <v>0</v>
      </c>
    </row>
    <row r="559" spans="9:9">
      <c r="I559">
        <f>DropAnalityka[[#This Row],[Sell Drop]]+IF(DropAnalityka[[#This Row],[Drop]]="Scroll", 2000*DropAnalityka[[#This Row],[Quality/Quantity]],0)</f>
        <v>0</v>
      </c>
    </row>
    <row r="560" spans="9:9">
      <c r="I560">
        <f>DropAnalityka[[#This Row],[Sell Drop]]+IF(DropAnalityka[[#This Row],[Drop]]="Scroll", 2000*DropAnalityka[[#This Row],[Quality/Quantity]],0)</f>
        <v>0</v>
      </c>
    </row>
    <row r="561" spans="9:9">
      <c r="I561">
        <f>DropAnalityka[[#This Row],[Sell Drop]]+IF(DropAnalityka[[#This Row],[Drop]]="Scroll", 2000*DropAnalityka[[#This Row],[Quality/Quantity]],0)</f>
        <v>0</v>
      </c>
    </row>
    <row r="562" spans="9:9">
      <c r="I562">
        <f>DropAnalityka[[#This Row],[Sell Drop]]+IF(DropAnalityka[[#This Row],[Drop]]="Scroll", 2000*DropAnalityka[[#This Row],[Quality/Quantity]],0)</f>
        <v>0</v>
      </c>
    </row>
    <row r="563" spans="9:9">
      <c r="I563">
        <f>DropAnalityka[[#This Row],[Sell Drop]]+IF(DropAnalityka[[#This Row],[Drop]]="Scroll", 2000*DropAnalityka[[#This Row],[Quality/Quantity]],0)</f>
        <v>0</v>
      </c>
    </row>
    <row r="564" spans="9:9">
      <c r="I564">
        <f>DropAnalityka[[#This Row],[Sell Drop]]+IF(DropAnalityka[[#This Row],[Drop]]="Scroll", 2000*DropAnalityka[[#This Row],[Quality/Quantity]],0)</f>
        <v>0</v>
      </c>
    </row>
    <row r="565" spans="9:9">
      <c r="I565">
        <f>DropAnalityka[[#This Row],[Sell Drop]]+IF(DropAnalityka[[#This Row],[Drop]]="Scroll", 2000*DropAnalityka[[#This Row],[Quality/Quantity]],0)</f>
        <v>0</v>
      </c>
    </row>
    <row r="566" spans="9:9">
      <c r="I566">
        <f>DropAnalityka[[#This Row],[Sell Drop]]+IF(DropAnalityka[[#This Row],[Drop]]="Scroll", 2000*DropAnalityka[[#This Row],[Quality/Quantity]],0)</f>
        <v>0</v>
      </c>
    </row>
    <row r="567" spans="9:9">
      <c r="I567">
        <f>DropAnalityka[[#This Row],[Sell Drop]]+IF(DropAnalityka[[#This Row],[Drop]]="Scroll", 2000*DropAnalityka[[#This Row],[Quality/Quantity]],0)</f>
        <v>0</v>
      </c>
    </row>
    <row r="568" spans="9:9">
      <c r="I568">
        <f>DropAnalityka[[#This Row],[Sell Drop]]+IF(DropAnalityka[[#This Row],[Drop]]="Scroll", 2000*DropAnalityka[[#This Row],[Quality/Quantity]],0)</f>
        <v>0</v>
      </c>
    </row>
    <row r="569" spans="9:9">
      <c r="I569">
        <f>DropAnalityka[[#This Row],[Sell Drop]]+IF(DropAnalityka[[#This Row],[Drop]]="Scroll", 2000*DropAnalityka[[#This Row],[Quality/Quantity]],0)</f>
        <v>0</v>
      </c>
    </row>
    <row r="570" spans="9:9">
      <c r="I570">
        <f>DropAnalityka[[#This Row],[Sell Drop]]+IF(DropAnalityka[[#This Row],[Drop]]="Scroll", 2000*DropAnalityka[[#This Row],[Quality/Quantity]],0)</f>
        <v>0</v>
      </c>
    </row>
    <row r="571" spans="9:9">
      <c r="I571">
        <f>DropAnalityka[[#This Row],[Sell Drop]]+IF(DropAnalityka[[#This Row],[Drop]]="Scroll", 2000*DropAnalityka[[#This Row],[Quality/Quantity]],0)</f>
        <v>0</v>
      </c>
    </row>
    <row r="572" spans="9:9">
      <c r="I572">
        <f>DropAnalityka[[#This Row],[Sell Drop]]+IF(DropAnalityka[[#This Row],[Drop]]="Scroll", 2000*DropAnalityka[[#This Row],[Quality/Quantity]],0)</f>
        <v>0</v>
      </c>
    </row>
    <row r="573" spans="9:9">
      <c r="I573">
        <f>DropAnalityka[[#This Row],[Sell Drop]]+IF(DropAnalityka[[#This Row],[Drop]]="Scroll", 2000*DropAnalityka[[#This Row],[Quality/Quantity]],0)</f>
        <v>0</v>
      </c>
    </row>
    <row r="574" spans="9:9">
      <c r="I574">
        <f>DropAnalityka[[#This Row],[Sell Drop]]+IF(DropAnalityka[[#This Row],[Drop]]="Scroll", 2000*DropAnalityka[[#This Row],[Quality/Quantity]],0)</f>
        <v>0</v>
      </c>
    </row>
    <row r="575" spans="9:9">
      <c r="I575">
        <f>DropAnalityka[[#This Row],[Sell Drop]]+IF(DropAnalityka[[#This Row],[Drop]]="Scroll", 2000*DropAnalityka[[#This Row],[Quality/Quantity]],0)</f>
        <v>0</v>
      </c>
    </row>
    <row r="576" spans="9:9">
      <c r="I576">
        <f>DropAnalityka[[#This Row],[Sell Drop]]+IF(DropAnalityka[[#This Row],[Drop]]="Scroll", 2000*DropAnalityka[[#This Row],[Quality/Quantity]],0)</f>
        <v>0</v>
      </c>
    </row>
    <row r="577" spans="9:9">
      <c r="I577">
        <f>DropAnalityka[[#This Row],[Sell Drop]]+IF(DropAnalityka[[#This Row],[Drop]]="Scroll", 2000*DropAnalityka[[#This Row],[Quality/Quantity]],0)</f>
        <v>0</v>
      </c>
    </row>
    <row r="578" spans="9:9">
      <c r="I578">
        <f>DropAnalityka[[#This Row],[Sell Drop]]+IF(DropAnalityka[[#This Row],[Drop]]="Scroll", 2000*DropAnalityka[[#This Row],[Quality/Quantity]],0)</f>
        <v>0</v>
      </c>
    </row>
    <row r="579" spans="9:9">
      <c r="I579">
        <f>DropAnalityka[[#This Row],[Sell Drop]]+IF(DropAnalityka[[#This Row],[Drop]]="Scroll", 2000*DropAnalityka[[#This Row],[Quality/Quantity]],0)</f>
        <v>0</v>
      </c>
    </row>
    <row r="580" spans="9:9">
      <c r="I580">
        <f>DropAnalityka[[#This Row],[Sell Drop]]+IF(DropAnalityka[[#This Row],[Drop]]="Scroll", 2000*DropAnalityka[[#This Row],[Quality/Quantity]],0)</f>
        <v>0</v>
      </c>
    </row>
    <row r="581" spans="9:9">
      <c r="I581">
        <f>DropAnalityka[[#This Row],[Sell Drop]]+IF(DropAnalityka[[#This Row],[Drop]]="Scroll", 2000*DropAnalityka[[#This Row],[Quality/Quantity]],0)</f>
        <v>0</v>
      </c>
    </row>
    <row r="582" spans="9:9">
      <c r="I582">
        <f>DropAnalityka[[#This Row],[Sell Drop]]+IF(DropAnalityka[[#This Row],[Drop]]="Scroll", 2000*DropAnalityka[[#This Row],[Quality/Quantity]],0)</f>
        <v>0</v>
      </c>
    </row>
    <row r="583" spans="9:9">
      <c r="I583">
        <f>DropAnalityka[[#This Row],[Sell Drop]]+IF(DropAnalityka[[#This Row],[Drop]]="Scroll", 2000*DropAnalityka[[#This Row],[Quality/Quantity]],0)</f>
        <v>0</v>
      </c>
    </row>
    <row r="584" spans="9:9">
      <c r="I584">
        <f>DropAnalityka[[#This Row],[Sell Drop]]+IF(DropAnalityka[[#This Row],[Drop]]="Scroll", 2000*DropAnalityka[[#This Row],[Quality/Quantity]],0)</f>
        <v>0</v>
      </c>
    </row>
    <row r="585" spans="9:9">
      <c r="I585">
        <f>DropAnalityka[[#This Row],[Sell Drop]]+IF(DropAnalityka[[#This Row],[Drop]]="Scroll", 2000*DropAnalityka[[#This Row],[Quality/Quantity]],0)</f>
        <v>0</v>
      </c>
    </row>
    <row r="586" spans="9:9">
      <c r="I586">
        <f>DropAnalityka[[#This Row],[Sell Drop]]+IF(DropAnalityka[[#This Row],[Drop]]="Scroll", 2000*DropAnalityka[[#This Row],[Quality/Quantity]],0)</f>
        <v>0</v>
      </c>
    </row>
    <row r="587" spans="9:9">
      <c r="I587">
        <f>DropAnalityka[[#This Row],[Sell Drop]]+IF(DropAnalityka[[#This Row],[Drop]]="Scroll", 2000*DropAnalityka[[#This Row],[Quality/Quantity]],0)</f>
        <v>0</v>
      </c>
    </row>
    <row r="588" spans="9:9">
      <c r="I588">
        <f>DropAnalityka[[#This Row],[Sell Drop]]+IF(DropAnalityka[[#This Row],[Drop]]="Scroll", 2000*DropAnalityka[[#This Row],[Quality/Quantity]],0)</f>
        <v>0</v>
      </c>
    </row>
    <row r="589" spans="9:9">
      <c r="I589">
        <f>DropAnalityka[[#This Row],[Sell Drop]]+IF(DropAnalityka[[#This Row],[Drop]]="Scroll", 2000*DropAnalityka[[#This Row],[Quality/Quantity]],0)</f>
        <v>0</v>
      </c>
    </row>
    <row r="590" spans="9:9">
      <c r="I590">
        <f>DropAnalityka[[#This Row],[Sell Drop]]+IF(DropAnalityka[[#This Row],[Drop]]="Scroll", 2000*DropAnalityka[[#This Row],[Quality/Quantity]],0)</f>
        <v>0</v>
      </c>
    </row>
    <row r="591" spans="9:9">
      <c r="I591">
        <f>DropAnalityka[[#This Row],[Sell Drop]]+IF(DropAnalityka[[#This Row],[Drop]]="Scroll", 2000*DropAnalityka[[#This Row],[Quality/Quantity]],0)</f>
        <v>0</v>
      </c>
    </row>
    <row r="592" spans="9:9">
      <c r="I592">
        <f>DropAnalityka[[#This Row],[Sell Drop]]+IF(DropAnalityka[[#This Row],[Drop]]="Scroll", 2000*DropAnalityka[[#This Row],[Quality/Quantity]],0)</f>
        <v>0</v>
      </c>
    </row>
    <row r="593" spans="9:9">
      <c r="I593">
        <f>DropAnalityka[[#This Row],[Sell Drop]]+IF(DropAnalityka[[#This Row],[Drop]]="Scroll", 2000*DropAnalityka[[#This Row],[Quality/Quantity]],0)</f>
        <v>0</v>
      </c>
    </row>
    <row r="594" spans="9:9">
      <c r="I594">
        <f>DropAnalityka[[#This Row],[Sell Drop]]+IF(DropAnalityka[[#This Row],[Drop]]="Scroll", 2000*DropAnalityka[[#This Row],[Quality/Quantity]],0)</f>
        <v>0</v>
      </c>
    </row>
    <row r="595" spans="9:9">
      <c r="I595">
        <f>DropAnalityka[[#This Row],[Sell Drop]]+IF(DropAnalityka[[#This Row],[Drop]]="Scroll", 2000*DropAnalityka[[#This Row],[Quality/Quantity]],0)</f>
        <v>0</v>
      </c>
    </row>
    <row r="596" spans="9:9">
      <c r="I596">
        <f>DropAnalityka[[#This Row],[Sell Drop]]+IF(DropAnalityka[[#This Row],[Drop]]="Scroll", 2000*DropAnalityka[[#This Row],[Quality/Quantity]],0)</f>
        <v>0</v>
      </c>
    </row>
    <row r="597" spans="9:9">
      <c r="I597">
        <f>DropAnalityka[[#This Row],[Sell Drop]]+IF(DropAnalityka[[#This Row],[Drop]]="Scroll", 2000*DropAnalityka[[#This Row],[Quality/Quantity]],0)</f>
        <v>0</v>
      </c>
    </row>
    <row r="598" spans="9:9">
      <c r="I598">
        <f>DropAnalityka[[#This Row],[Sell Drop]]+IF(DropAnalityka[[#This Row],[Drop]]="Scroll", 2000*DropAnalityka[[#This Row],[Quality/Quantity]],0)</f>
        <v>0</v>
      </c>
    </row>
    <row r="599" spans="9:9">
      <c r="I599">
        <f>DropAnalityka[[#This Row],[Sell Drop]]+IF(DropAnalityka[[#This Row],[Drop]]="Scroll", 2000*DropAnalityka[[#This Row],[Quality/Quantity]],0)</f>
        <v>0</v>
      </c>
    </row>
    <row r="600" spans="9:9">
      <c r="I600">
        <f>DropAnalityka[[#This Row],[Sell Drop]]+IF(DropAnalityka[[#This Row],[Drop]]="Scroll", 2000*DropAnalityka[[#This Row],[Quality/Quantity]],0)</f>
        <v>0</v>
      </c>
    </row>
    <row r="601" spans="9:9">
      <c r="I601">
        <f>DropAnalityka[[#This Row],[Sell Drop]]+IF(DropAnalityka[[#This Row],[Drop]]="Scroll", 2000*DropAnalityka[[#This Row],[Quality/Quantity]],0)</f>
        <v>0</v>
      </c>
    </row>
    <row r="602" spans="9:9">
      <c r="I602">
        <f>DropAnalityka[[#This Row],[Sell Drop]]+IF(DropAnalityka[[#This Row],[Drop]]="Scroll", 2000*DropAnalityka[[#This Row],[Quality/Quantity]],0)</f>
        <v>0</v>
      </c>
    </row>
    <row r="603" spans="9:9">
      <c r="I603">
        <f>DropAnalityka[[#This Row],[Sell Drop]]+IF(DropAnalityka[[#This Row],[Drop]]="Scroll", 2000*DropAnalityka[[#This Row],[Quality/Quantity]],0)</f>
        <v>0</v>
      </c>
    </row>
    <row r="604" spans="9:9">
      <c r="I604">
        <f>DropAnalityka[[#This Row],[Sell Drop]]+IF(DropAnalityka[[#This Row],[Drop]]="Scroll", 2000*DropAnalityka[[#This Row],[Quality/Quantity]],0)</f>
        <v>0</v>
      </c>
    </row>
    <row r="605" spans="9:9">
      <c r="I605">
        <f>DropAnalityka[[#This Row],[Sell Drop]]+IF(DropAnalityka[[#This Row],[Drop]]="Scroll", 2000*DropAnalityka[[#This Row],[Quality/Quantity]],0)</f>
        <v>0</v>
      </c>
    </row>
    <row r="606" spans="9:9">
      <c r="I606">
        <f>DropAnalityka[[#This Row],[Sell Drop]]+IF(DropAnalityka[[#This Row],[Drop]]="Scroll", 2000*DropAnalityka[[#This Row],[Quality/Quantity]],0)</f>
        <v>0</v>
      </c>
    </row>
    <row r="607" spans="9:9">
      <c r="I607">
        <f>DropAnalityka[[#This Row],[Sell Drop]]+IF(DropAnalityka[[#This Row],[Drop]]="Scroll", 2000*DropAnalityka[[#This Row],[Quality/Quantity]],0)</f>
        <v>0</v>
      </c>
    </row>
    <row r="608" spans="9:9">
      <c r="I608">
        <f>DropAnalityka[[#This Row],[Sell Drop]]+IF(DropAnalityka[[#This Row],[Drop]]="Scroll", 2000*DropAnalityka[[#This Row],[Quality/Quantity]],0)</f>
        <v>0</v>
      </c>
    </row>
    <row r="609" spans="9:9">
      <c r="I609">
        <f>DropAnalityka[[#This Row],[Sell Drop]]+IF(DropAnalityka[[#This Row],[Drop]]="Scroll", 2000*DropAnalityka[[#This Row],[Quality/Quantity]],0)</f>
        <v>0</v>
      </c>
    </row>
    <row r="610" spans="9:9">
      <c r="I610">
        <f>DropAnalityka[[#This Row],[Sell Drop]]+IF(DropAnalityka[[#This Row],[Drop]]="Scroll", 2000*DropAnalityka[[#This Row],[Quality/Quantity]],0)</f>
        <v>0</v>
      </c>
    </row>
    <row r="611" spans="9:9">
      <c r="I611">
        <f>DropAnalityka[[#This Row],[Sell Drop]]+IF(DropAnalityka[[#This Row],[Drop]]="Scroll", 2000*DropAnalityka[[#This Row],[Quality/Quantity]],0)</f>
        <v>0</v>
      </c>
    </row>
    <row r="612" spans="9:9">
      <c r="I612">
        <f>DropAnalityka[[#This Row],[Sell Drop]]+IF(DropAnalityka[[#This Row],[Drop]]="Scroll", 2000*DropAnalityka[[#This Row],[Quality/Quantity]],0)</f>
        <v>0</v>
      </c>
    </row>
    <row r="613" spans="9:9">
      <c r="I613">
        <f>DropAnalityka[[#This Row],[Sell Drop]]+IF(DropAnalityka[[#This Row],[Drop]]="Scroll", 2000*DropAnalityka[[#This Row],[Quality/Quantity]],0)</f>
        <v>0</v>
      </c>
    </row>
    <row r="614" spans="9:9">
      <c r="I614">
        <f>DropAnalityka[[#This Row],[Sell Drop]]+IF(DropAnalityka[[#This Row],[Drop]]="Scroll", 2000*DropAnalityka[[#This Row],[Quality/Quantity]],0)</f>
        <v>0</v>
      </c>
    </row>
    <row r="615" spans="9:9">
      <c r="I615">
        <f>DropAnalityka[[#This Row],[Sell Drop]]+IF(DropAnalityka[[#This Row],[Drop]]="Scroll", 2000*DropAnalityka[[#This Row],[Quality/Quantity]],0)</f>
        <v>0</v>
      </c>
    </row>
    <row r="616" spans="9:9">
      <c r="I616">
        <f>DropAnalityka[[#This Row],[Sell Drop]]+IF(DropAnalityka[[#This Row],[Drop]]="Scroll", 2000*DropAnalityka[[#This Row],[Quality/Quantity]],0)</f>
        <v>0</v>
      </c>
    </row>
    <row r="617" spans="9:9">
      <c r="I617">
        <f>DropAnalityka[[#This Row],[Sell Drop]]+IF(DropAnalityka[[#This Row],[Drop]]="Scroll", 2000*DropAnalityka[[#This Row],[Quality/Quantity]],0)</f>
        <v>0</v>
      </c>
    </row>
    <row r="618" spans="9:9">
      <c r="I618">
        <f>DropAnalityka[[#This Row],[Sell Drop]]+IF(DropAnalityka[[#This Row],[Drop]]="Scroll", 2000*DropAnalityka[[#This Row],[Quality/Quantity]],0)</f>
        <v>0</v>
      </c>
    </row>
    <row r="619" spans="9:9">
      <c r="I619">
        <f>DropAnalityka[[#This Row],[Sell Drop]]+IF(DropAnalityka[[#This Row],[Drop]]="Scroll", 2000*DropAnalityka[[#This Row],[Quality/Quantity]],0)</f>
        <v>0</v>
      </c>
    </row>
    <row r="620" spans="9:9">
      <c r="I620">
        <f>DropAnalityka[[#This Row],[Sell Drop]]+IF(DropAnalityka[[#This Row],[Drop]]="Scroll", 2000*DropAnalityka[[#This Row],[Quality/Quantity]],0)</f>
        <v>0</v>
      </c>
    </row>
    <row r="621" spans="9:9">
      <c r="I621">
        <f>DropAnalityka[[#This Row],[Sell Drop]]+IF(DropAnalityka[[#This Row],[Drop]]="Scroll", 2000*DropAnalityka[[#This Row],[Quality/Quantity]],0)</f>
        <v>0</v>
      </c>
    </row>
    <row r="622" spans="9:9">
      <c r="I622">
        <f>DropAnalityka[[#This Row],[Sell Drop]]+IF(DropAnalityka[[#This Row],[Drop]]="Scroll", 2000*DropAnalityka[[#This Row],[Quality/Quantity]],0)</f>
        <v>0</v>
      </c>
    </row>
    <row r="623" spans="9:9">
      <c r="I623">
        <f>DropAnalityka[[#This Row],[Sell Drop]]+IF(DropAnalityka[[#This Row],[Drop]]="Scroll", 2000*DropAnalityka[[#This Row],[Quality/Quantity]],0)</f>
        <v>0</v>
      </c>
    </row>
    <row r="624" spans="9:9">
      <c r="I624">
        <f>DropAnalityka[[#This Row],[Sell Drop]]+IF(DropAnalityka[[#This Row],[Drop]]="Scroll", 2000*DropAnalityka[[#This Row],[Quality/Quantity]],0)</f>
        <v>0</v>
      </c>
    </row>
    <row r="625" spans="9:9">
      <c r="I625">
        <f>DropAnalityka[[#This Row],[Sell Drop]]+IF(DropAnalityka[[#This Row],[Drop]]="Scroll", 2000*DropAnalityka[[#This Row],[Quality/Quantity]],0)</f>
        <v>0</v>
      </c>
    </row>
    <row r="626" spans="9:9">
      <c r="I626">
        <f>DropAnalityka[[#This Row],[Sell Drop]]+IF(DropAnalityka[[#This Row],[Drop]]="Scroll", 2000*DropAnalityka[[#This Row],[Quality/Quantity]],0)</f>
        <v>0</v>
      </c>
    </row>
    <row r="627" spans="9:9">
      <c r="I627">
        <f>DropAnalityka[[#This Row],[Sell Drop]]+IF(DropAnalityka[[#This Row],[Drop]]="Scroll", 2000*DropAnalityka[[#This Row],[Quality/Quantity]],0)</f>
        <v>0</v>
      </c>
    </row>
    <row r="628" spans="9:9">
      <c r="I628">
        <f>DropAnalityka[[#This Row],[Sell Drop]]+IF(DropAnalityka[[#This Row],[Drop]]="Scroll", 2000*DropAnalityka[[#This Row],[Quality/Quantity]],0)</f>
        <v>0</v>
      </c>
    </row>
    <row r="629" spans="9:9">
      <c r="I629">
        <f>DropAnalityka[[#This Row],[Sell Drop]]+IF(DropAnalityka[[#This Row],[Drop]]="Scroll", 2000*DropAnalityka[[#This Row],[Quality/Quantity]],0)</f>
        <v>0</v>
      </c>
    </row>
    <row r="630" spans="9:9">
      <c r="I630">
        <f>DropAnalityka[[#This Row],[Sell Drop]]+IF(DropAnalityka[[#This Row],[Drop]]="Scroll", 2000*DropAnalityka[[#This Row],[Quality/Quantity]],0)</f>
        <v>0</v>
      </c>
    </row>
    <row r="631" spans="9:9">
      <c r="I631">
        <f>DropAnalityka[[#This Row],[Sell Drop]]+IF(DropAnalityka[[#This Row],[Drop]]="Scroll", 2000*DropAnalityka[[#This Row],[Quality/Quantity]],0)</f>
        <v>0</v>
      </c>
    </row>
    <row r="632" spans="9:9">
      <c r="I632">
        <f>DropAnalityka[[#This Row],[Sell Drop]]+IF(DropAnalityka[[#This Row],[Drop]]="Scroll", 2000*DropAnalityka[[#This Row],[Quality/Quantity]],0)</f>
        <v>0</v>
      </c>
    </row>
    <row r="633" spans="9:9">
      <c r="I633">
        <f>DropAnalityka[[#This Row],[Sell Drop]]+IF(DropAnalityka[[#This Row],[Drop]]="Scroll", 2000*DropAnalityka[[#This Row],[Quality/Quantity]],0)</f>
        <v>0</v>
      </c>
    </row>
    <row r="634" spans="9:9">
      <c r="I634">
        <f>DropAnalityka[[#This Row],[Sell Drop]]+IF(DropAnalityka[[#This Row],[Drop]]="Scroll", 2000*DropAnalityka[[#This Row],[Quality/Quantity]],0)</f>
        <v>0</v>
      </c>
    </row>
    <row r="635" spans="9:9">
      <c r="I635">
        <f>DropAnalityka[[#This Row],[Sell Drop]]+IF(DropAnalityka[[#This Row],[Drop]]="Scroll", 2000*DropAnalityka[[#This Row],[Quality/Quantity]],0)</f>
        <v>0</v>
      </c>
    </row>
    <row r="636" spans="9:9">
      <c r="I636">
        <f>DropAnalityka[[#This Row],[Sell Drop]]+IF(DropAnalityka[[#This Row],[Drop]]="Scroll", 2000*DropAnalityka[[#This Row],[Quality/Quantity]],0)</f>
        <v>0</v>
      </c>
    </row>
    <row r="637" spans="9:9">
      <c r="I637">
        <f>DropAnalityka[[#This Row],[Sell Drop]]+IF(DropAnalityka[[#This Row],[Drop]]="Scroll", 2000*DropAnalityka[[#This Row],[Quality/Quantity]],0)</f>
        <v>0</v>
      </c>
    </row>
    <row r="638" spans="9:9">
      <c r="I638">
        <f>DropAnalityka[[#This Row],[Sell Drop]]+IF(DropAnalityka[[#This Row],[Drop]]="Scroll", 2000*DropAnalityka[[#This Row],[Quality/Quantity]],0)</f>
        <v>0</v>
      </c>
    </row>
    <row r="639" spans="9:9">
      <c r="I639">
        <f>DropAnalityka[[#This Row],[Sell Drop]]+IF(DropAnalityka[[#This Row],[Drop]]="Scroll", 2000*DropAnalityka[[#This Row],[Quality/Quantity]],0)</f>
        <v>0</v>
      </c>
    </row>
    <row r="640" spans="9:9">
      <c r="I640">
        <f>DropAnalityka[[#This Row],[Sell Drop]]+IF(DropAnalityka[[#This Row],[Drop]]="Scroll", 2000*DropAnalityka[[#This Row],[Quality/Quantity]],0)</f>
        <v>0</v>
      </c>
    </row>
    <row r="641" spans="9:9">
      <c r="I641">
        <f>DropAnalityka[[#This Row],[Sell Drop]]+IF(DropAnalityka[[#This Row],[Drop]]="Scroll", 2000*DropAnalityka[[#This Row],[Quality/Quantity]],0)</f>
        <v>0</v>
      </c>
    </row>
    <row r="642" spans="9:9">
      <c r="I642">
        <f>DropAnalityka[[#This Row],[Sell Drop]]+IF(DropAnalityka[[#This Row],[Drop]]="Scroll", 2000*DropAnalityka[[#This Row],[Quality/Quantity]],0)</f>
        <v>0</v>
      </c>
    </row>
    <row r="643" spans="9:9">
      <c r="I643">
        <f>DropAnalityka[[#This Row],[Sell Drop]]+IF(DropAnalityka[[#This Row],[Drop]]="Scroll", 2000*DropAnalityka[[#This Row],[Quality/Quantity]],0)</f>
        <v>0</v>
      </c>
    </row>
    <row r="644" spans="9:9">
      <c r="I644">
        <f>DropAnalityka[[#This Row],[Sell Drop]]+IF(DropAnalityka[[#This Row],[Drop]]="Scroll", 2000*DropAnalityka[[#This Row],[Quality/Quantity]],0)</f>
        <v>0</v>
      </c>
    </row>
    <row r="645" spans="9:9">
      <c r="I645">
        <f>DropAnalityka[[#This Row],[Sell Drop]]+IF(DropAnalityka[[#This Row],[Drop]]="Scroll", 2000*DropAnalityka[[#This Row],[Quality/Quantity]],0)</f>
        <v>0</v>
      </c>
    </row>
    <row r="646" spans="9:9">
      <c r="I646">
        <f>DropAnalityka[[#This Row],[Sell Drop]]+IF(DropAnalityka[[#This Row],[Drop]]="Scroll", 2000*DropAnalityka[[#This Row],[Quality/Quantity]],0)</f>
        <v>0</v>
      </c>
    </row>
    <row r="647" spans="9:9">
      <c r="I647">
        <f>DropAnalityka[[#This Row],[Sell Drop]]+IF(DropAnalityka[[#This Row],[Drop]]="Scroll", 2000*DropAnalityka[[#This Row],[Quality/Quantity]],0)</f>
        <v>0</v>
      </c>
    </row>
    <row r="648" spans="9:9">
      <c r="I648">
        <f>DropAnalityka[[#This Row],[Sell Drop]]+IF(DropAnalityka[[#This Row],[Drop]]="Scroll", 2000*DropAnalityka[[#This Row],[Quality/Quantity]],0)</f>
        <v>0</v>
      </c>
    </row>
    <row r="649" spans="9:9">
      <c r="I649">
        <f>DropAnalityka[[#This Row],[Sell Drop]]+IF(DropAnalityka[[#This Row],[Drop]]="Scroll", 2000*DropAnalityka[[#This Row],[Quality/Quantity]],0)</f>
        <v>0</v>
      </c>
    </row>
    <row r="650" spans="9:9">
      <c r="I650">
        <f>DropAnalityka[[#This Row],[Sell Drop]]+IF(DropAnalityka[[#This Row],[Drop]]="Scroll", 2000*DropAnalityka[[#This Row],[Quality/Quantity]],0)</f>
        <v>0</v>
      </c>
    </row>
    <row r="651" spans="9:9">
      <c r="I651">
        <f>DropAnalityka[[#This Row],[Sell Drop]]+IF(DropAnalityka[[#This Row],[Drop]]="Scroll", 2000*DropAnalityka[[#This Row],[Quality/Quantity]],0)</f>
        <v>0</v>
      </c>
    </row>
    <row r="652" spans="9:9">
      <c r="I652">
        <f>DropAnalityka[[#This Row],[Sell Drop]]+IF(DropAnalityka[[#This Row],[Drop]]="Scroll", 2000*DropAnalityka[[#This Row],[Quality/Quantity]],0)</f>
        <v>0</v>
      </c>
    </row>
    <row r="653" spans="9:9">
      <c r="I653">
        <f>DropAnalityka[[#This Row],[Sell Drop]]+IF(DropAnalityka[[#This Row],[Drop]]="Scroll", 2000*DropAnalityka[[#This Row],[Quality/Quantity]],0)</f>
        <v>0</v>
      </c>
    </row>
    <row r="654" spans="9:9">
      <c r="I654">
        <f>DropAnalityka[[#This Row],[Sell Drop]]+IF(DropAnalityka[[#This Row],[Drop]]="Scroll", 2000*DropAnalityka[[#This Row],[Quality/Quantity]],0)</f>
        <v>0</v>
      </c>
    </row>
    <row r="655" spans="9:9">
      <c r="I655">
        <f>DropAnalityka[[#This Row],[Sell Drop]]+IF(DropAnalityka[[#This Row],[Drop]]="Scroll", 2000*DropAnalityka[[#This Row],[Quality/Quantity]],0)</f>
        <v>0</v>
      </c>
    </row>
    <row r="656" spans="9:9">
      <c r="I656">
        <f>DropAnalityka[[#This Row],[Sell Drop]]+IF(DropAnalityka[[#This Row],[Drop]]="Scroll", 2000*DropAnalityka[[#This Row],[Quality/Quantity]],0)</f>
        <v>0</v>
      </c>
    </row>
    <row r="657" spans="9:9">
      <c r="I657">
        <f>DropAnalityka[[#This Row],[Sell Drop]]+IF(DropAnalityka[[#This Row],[Drop]]="Scroll", 2000*DropAnalityka[[#This Row],[Quality/Quantity]],0)</f>
        <v>0</v>
      </c>
    </row>
    <row r="658" spans="9:9">
      <c r="I658">
        <f>DropAnalityka[[#This Row],[Sell Drop]]+IF(DropAnalityka[[#This Row],[Drop]]="Scroll", 2000*DropAnalityka[[#This Row],[Quality/Quantity]],0)</f>
        <v>0</v>
      </c>
    </row>
    <row r="659" spans="9:9">
      <c r="I659">
        <f>DropAnalityka[[#This Row],[Sell Drop]]+IF(DropAnalityka[[#This Row],[Drop]]="Scroll", 2000*DropAnalityka[[#This Row],[Quality/Quantity]],0)</f>
        <v>0</v>
      </c>
    </row>
    <row r="660" spans="9:9">
      <c r="I660">
        <f>DropAnalityka[[#This Row],[Sell Drop]]+IF(DropAnalityka[[#This Row],[Drop]]="Scroll", 2000*DropAnalityka[[#This Row],[Quality/Quantity]],0)</f>
        <v>0</v>
      </c>
    </row>
    <row r="661" spans="9:9">
      <c r="I661">
        <f>DropAnalityka[[#This Row],[Sell Drop]]+IF(DropAnalityka[[#This Row],[Drop]]="Scroll", 2000*DropAnalityka[[#This Row],[Quality/Quantity]],0)</f>
        <v>0</v>
      </c>
    </row>
    <row r="662" spans="9:9">
      <c r="I662">
        <f>DropAnalityka[[#This Row],[Sell Drop]]+IF(DropAnalityka[[#This Row],[Drop]]="Scroll", 2000*DropAnalityka[[#This Row],[Quality/Quantity]],0)</f>
        <v>0</v>
      </c>
    </row>
    <row r="663" spans="9:9">
      <c r="I663">
        <f>DropAnalityka[[#This Row],[Sell Drop]]+IF(DropAnalityka[[#This Row],[Drop]]="Scroll", 2000*DropAnalityka[[#This Row],[Quality/Quantity]],0)</f>
        <v>0</v>
      </c>
    </row>
    <row r="664" spans="9:9">
      <c r="I664">
        <f>DropAnalityka[[#This Row],[Sell Drop]]+IF(DropAnalityka[[#This Row],[Drop]]="Scroll", 2000*DropAnalityka[[#This Row],[Quality/Quantity]],0)</f>
        <v>0</v>
      </c>
    </row>
    <row r="665" spans="9:9">
      <c r="I665">
        <f>DropAnalityka[[#This Row],[Sell Drop]]+IF(DropAnalityka[[#This Row],[Drop]]="Scroll", 2000*DropAnalityka[[#This Row],[Quality/Quantity]],0)</f>
        <v>0</v>
      </c>
    </row>
    <row r="666" spans="9:9">
      <c r="I666">
        <f>DropAnalityka[[#This Row],[Sell Drop]]+IF(DropAnalityka[[#This Row],[Drop]]="Scroll", 2000*DropAnalityka[[#This Row],[Quality/Quantity]],0)</f>
        <v>0</v>
      </c>
    </row>
    <row r="667" spans="9:9">
      <c r="I667">
        <f>DropAnalityka[[#This Row],[Sell Drop]]+IF(DropAnalityka[[#This Row],[Drop]]="Scroll", 2000*DropAnalityka[[#This Row],[Quality/Quantity]],0)</f>
        <v>0</v>
      </c>
    </row>
    <row r="668" spans="9:9">
      <c r="I668">
        <f>DropAnalityka[[#This Row],[Sell Drop]]+IF(DropAnalityka[[#This Row],[Drop]]="Scroll", 2000*DropAnalityka[[#This Row],[Quality/Quantity]],0)</f>
        <v>0</v>
      </c>
    </row>
    <row r="669" spans="9:9">
      <c r="I669">
        <f>DropAnalityka[[#This Row],[Sell Drop]]+IF(DropAnalityka[[#This Row],[Drop]]="Scroll", 2000*DropAnalityka[[#This Row],[Quality/Quantity]],0)</f>
        <v>0</v>
      </c>
    </row>
    <row r="670" spans="9:9">
      <c r="I670">
        <f>DropAnalityka[[#This Row],[Sell Drop]]+IF(DropAnalityka[[#This Row],[Drop]]="Scroll", 2000*DropAnalityka[[#This Row],[Quality/Quantity]],0)</f>
        <v>0</v>
      </c>
    </row>
    <row r="671" spans="9:9">
      <c r="I671">
        <f>DropAnalityka[[#This Row],[Sell Drop]]+IF(DropAnalityka[[#This Row],[Drop]]="Scroll", 2000*DropAnalityka[[#This Row],[Quality/Quantity]],0)</f>
        <v>0</v>
      </c>
    </row>
    <row r="672" spans="9:9">
      <c r="I672">
        <f>DropAnalityka[[#This Row],[Sell Drop]]+IF(DropAnalityka[[#This Row],[Drop]]="Scroll", 2000*DropAnalityka[[#This Row],[Quality/Quantity]],0)</f>
        <v>0</v>
      </c>
    </row>
    <row r="673" spans="9:9">
      <c r="I673">
        <f>DropAnalityka[[#This Row],[Sell Drop]]+IF(DropAnalityka[[#This Row],[Drop]]="Scroll", 2000*DropAnalityka[[#This Row],[Quality/Quantity]],0)</f>
        <v>0</v>
      </c>
    </row>
    <row r="674" spans="9:9">
      <c r="I674">
        <f>DropAnalityka[[#This Row],[Sell Drop]]+IF(DropAnalityka[[#This Row],[Drop]]="Scroll", 2000*DropAnalityka[[#This Row],[Quality/Quantity]],0)</f>
        <v>0</v>
      </c>
    </row>
    <row r="675" spans="9:9">
      <c r="I675">
        <f>DropAnalityka[[#This Row],[Sell Drop]]+IF(DropAnalityka[[#This Row],[Drop]]="Scroll", 2000*DropAnalityka[[#This Row],[Quality/Quantity]],0)</f>
        <v>0</v>
      </c>
    </row>
    <row r="676" spans="9:9">
      <c r="I676">
        <f>DropAnalityka[[#This Row],[Sell Drop]]+IF(DropAnalityka[[#This Row],[Drop]]="Scroll", 2000*DropAnalityka[[#This Row],[Quality/Quantity]],0)</f>
        <v>0</v>
      </c>
    </row>
    <row r="677" spans="9:9">
      <c r="I677">
        <f>DropAnalityka[[#This Row],[Sell Drop]]+IF(DropAnalityka[[#This Row],[Drop]]="Scroll", 2000*DropAnalityka[[#This Row],[Quality/Quantity]],0)</f>
        <v>0</v>
      </c>
    </row>
    <row r="678" spans="9:9">
      <c r="I678">
        <f>DropAnalityka[[#This Row],[Sell Drop]]+IF(DropAnalityka[[#This Row],[Drop]]="Scroll", 2000*DropAnalityka[[#This Row],[Quality/Quantity]],0)</f>
        <v>0</v>
      </c>
    </row>
    <row r="679" spans="9:9">
      <c r="I679">
        <f>DropAnalityka[[#This Row],[Sell Drop]]+IF(DropAnalityka[[#This Row],[Drop]]="Scroll", 2000*DropAnalityka[[#This Row],[Quality/Quantity]],0)</f>
        <v>0</v>
      </c>
    </row>
    <row r="680" spans="9:9">
      <c r="I680">
        <f>DropAnalityka[[#This Row],[Sell Drop]]+IF(DropAnalityka[[#This Row],[Drop]]="Scroll", 2000*DropAnalityka[[#This Row],[Quality/Quantity]],0)</f>
        <v>0</v>
      </c>
    </row>
    <row r="681" spans="9:9">
      <c r="I681">
        <f>DropAnalityka[[#This Row],[Sell Drop]]+IF(DropAnalityka[[#This Row],[Drop]]="Scroll", 2000*DropAnalityka[[#This Row],[Quality/Quantity]],0)</f>
        <v>0</v>
      </c>
    </row>
    <row r="682" spans="9:9">
      <c r="I682">
        <f>DropAnalityka[[#This Row],[Sell Drop]]+IF(DropAnalityka[[#This Row],[Drop]]="Scroll", 2000*DropAnalityka[[#This Row],[Quality/Quantity]],0)</f>
        <v>0</v>
      </c>
    </row>
    <row r="683" spans="9:9">
      <c r="I683">
        <f>DropAnalityka[[#This Row],[Sell Drop]]+IF(DropAnalityka[[#This Row],[Drop]]="Scroll", 2000*DropAnalityka[[#This Row],[Quality/Quantity]],0)</f>
        <v>0</v>
      </c>
    </row>
    <row r="684" spans="9:9">
      <c r="I684">
        <f>DropAnalityka[[#This Row],[Sell Drop]]+IF(DropAnalityka[[#This Row],[Drop]]="Scroll", 2000*DropAnalityka[[#This Row],[Quality/Quantity]],0)</f>
        <v>0</v>
      </c>
    </row>
    <row r="685" spans="9:9">
      <c r="I685">
        <f>DropAnalityka[[#This Row],[Sell Drop]]+IF(DropAnalityka[[#This Row],[Drop]]="Scroll", 2000*DropAnalityka[[#This Row],[Quality/Quantity]],0)</f>
        <v>0</v>
      </c>
    </row>
    <row r="686" spans="9:9">
      <c r="I686">
        <f>DropAnalityka[[#This Row],[Sell Drop]]+IF(DropAnalityka[[#This Row],[Drop]]="Scroll", 2000*DropAnalityka[[#This Row],[Quality/Quantity]],0)</f>
        <v>0</v>
      </c>
    </row>
    <row r="687" spans="9:9">
      <c r="I687">
        <f>DropAnalityka[[#This Row],[Sell Drop]]+IF(DropAnalityka[[#This Row],[Drop]]="Scroll", 2000*DropAnalityka[[#This Row],[Quality/Quantity]],0)</f>
        <v>0</v>
      </c>
    </row>
    <row r="688" spans="9:9">
      <c r="I688">
        <f>DropAnalityka[[#This Row],[Sell Drop]]+IF(DropAnalityka[[#This Row],[Drop]]="Scroll", 2000*DropAnalityka[[#This Row],[Quality/Quantity]],0)</f>
        <v>0</v>
      </c>
    </row>
    <row r="689" spans="9:9">
      <c r="I689">
        <f>DropAnalityka[[#This Row],[Sell Drop]]+IF(DropAnalityka[[#This Row],[Drop]]="Scroll", 2000*DropAnalityka[[#This Row],[Quality/Quantity]],0)</f>
        <v>0</v>
      </c>
    </row>
    <row r="690" spans="9:9">
      <c r="I690">
        <f>DropAnalityka[[#This Row],[Sell Drop]]+IF(DropAnalityka[[#This Row],[Drop]]="Scroll", 2000*DropAnalityka[[#This Row],[Quality/Quantity]],0)</f>
        <v>0</v>
      </c>
    </row>
    <row r="691" spans="9:9">
      <c r="I691">
        <f>DropAnalityka[[#This Row],[Sell Drop]]+IF(DropAnalityka[[#This Row],[Drop]]="Scroll", 2000*DropAnalityka[[#This Row],[Quality/Quantity]],0)</f>
        <v>0</v>
      </c>
    </row>
    <row r="692" spans="9:9">
      <c r="I692">
        <f>DropAnalityka[[#This Row],[Sell Drop]]+IF(DropAnalityka[[#This Row],[Drop]]="Scroll", 2000*DropAnalityka[[#This Row],[Quality/Quantity]],0)</f>
        <v>0</v>
      </c>
    </row>
    <row r="693" spans="9:9">
      <c r="I693">
        <f>DropAnalityka[[#This Row],[Sell Drop]]+IF(DropAnalityka[[#This Row],[Drop]]="Scroll", 2000*DropAnalityka[[#This Row],[Quality/Quantity]],0)</f>
        <v>0</v>
      </c>
    </row>
    <row r="694" spans="9:9">
      <c r="I694">
        <f>DropAnalityka[[#This Row],[Sell Drop]]+IF(DropAnalityka[[#This Row],[Drop]]="Scroll", 2000*DropAnalityka[[#This Row],[Quality/Quantity]],0)</f>
        <v>0</v>
      </c>
    </row>
    <row r="695" spans="9:9">
      <c r="I695">
        <f>DropAnalityka[[#This Row],[Sell Drop]]+IF(DropAnalityka[[#This Row],[Drop]]="Scroll", 2000*DropAnalityka[[#This Row],[Quality/Quantity]],0)</f>
        <v>0</v>
      </c>
    </row>
    <row r="696" spans="9:9">
      <c r="I696">
        <f>DropAnalityka[[#This Row],[Sell Drop]]+IF(DropAnalityka[[#This Row],[Drop]]="Scroll", 2000*DropAnalityka[[#This Row],[Quality/Quantity]],0)</f>
        <v>0</v>
      </c>
    </row>
    <row r="697" spans="9:9">
      <c r="I697">
        <f>DropAnalityka[[#This Row],[Sell Drop]]+IF(DropAnalityka[[#This Row],[Drop]]="Scroll", 2000*DropAnalityka[[#This Row],[Quality/Quantity]],0)</f>
        <v>0</v>
      </c>
    </row>
    <row r="698" spans="9:9">
      <c r="I698">
        <f>DropAnalityka[[#This Row],[Sell Drop]]+IF(DropAnalityka[[#This Row],[Drop]]="Scroll", 2000*DropAnalityka[[#This Row],[Quality/Quantity]],0)</f>
        <v>0</v>
      </c>
    </row>
    <row r="699" spans="9:9">
      <c r="I699">
        <f>DropAnalityka[[#This Row],[Sell Drop]]+IF(DropAnalityka[[#This Row],[Drop]]="Scroll", 2000*DropAnalityka[[#This Row],[Quality/Quantity]],0)</f>
        <v>0</v>
      </c>
    </row>
    <row r="700" spans="9:9">
      <c r="I700">
        <f>DropAnalityka[[#This Row],[Sell Drop]]+IF(DropAnalityka[[#This Row],[Drop]]="Scroll", 2000*DropAnalityka[[#This Row],[Quality/Quantity]],0)</f>
        <v>0</v>
      </c>
    </row>
    <row r="701" spans="9:9">
      <c r="I701">
        <f>DropAnalityka[[#This Row],[Sell Drop]]+IF(DropAnalityka[[#This Row],[Drop]]="Scroll", 2000*DropAnalityka[[#This Row],[Quality/Quantity]],0)</f>
        <v>0</v>
      </c>
    </row>
    <row r="702" spans="9:9">
      <c r="I702">
        <f>DropAnalityka[[#This Row],[Sell Drop]]+IF(DropAnalityka[[#This Row],[Drop]]="Scroll", 2000*DropAnalityka[[#This Row],[Quality/Quantity]],0)</f>
        <v>0</v>
      </c>
    </row>
    <row r="703" spans="9:9">
      <c r="I703">
        <f>DropAnalityka[[#This Row],[Sell Drop]]+IF(DropAnalityka[[#This Row],[Drop]]="Scroll", 2000*DropAnalityka[[#This Row],[Quality/Quantity]],0)</f>
        <v>0</v>
      </c>
    </row>
    <row r="704" spans="9:9">
      <c r="I704">
        <f>DropAnalityka[[#This Row],[Sell Drop]]+IF(DropAnalityka[[#This Row],[Drop]]="Scroll", 2000*DropAnalityka[[#This Row],[Quality/Quantity]],0)</f>
        <v>0</v>
      </c>
    </row>
    <row r="705" spans="9:9">
      <c r="I705">
        <f>DropAnalityka[[#This Row],[Sell Drop]]+IF(DropAnalityka[[#This Row],[Drop]]="Scroll", 2000*DropAnalityka[[#This Row],[Quality/Quantity]],0)</f>
        <v>0</v>
      </c>
    </row>
    <row r="706" spans="9:9">
      <c r="I706">
        <f>DropAnalityka[[#This Row],[Sell Drop]]+IF(DropAnalityka[[#This Row],[Drop]]="Scroll", 2000*DropAnalityka[[#This Row],[Quality/Quantity]],0)</f>
        <v>0</v>
      </c>
    </row>
    <row r="707" spans="9:9">
      <c r="I707">
        <f>DropAnalityka[[#This Row],[Sell Drop]]+IF(DropAnalityka[[#This Row],[Drop]]="Scroll", 2000*DropAnalityka[[#This Row],[Quality/Quantity]],0)</f>
        <v>0</v>
      </c>
    </row>
    <row r="708" spans="9:9">
      <c r="I708">
        <f>DropAnalityka[[#This Row],[Sell Drop]]+IF(DropAnalityka[[#This Row],[Drop]]="Scroll", 2000*DropAnalityka[[#This Row],[Quality/Quantity]],0)</f>
        <v>0</v>
      </c>
    </row>
    <row r="709" spans="9:9">
      <c r="I709">
        <f>DropAnalityka[[#This Row],[Sell Drop]]+IF(DropAnalityka[[#This Row],[Drop]]="Scroll", 2000*DropAnalityka[[#This Row],[Quality/Quantity]],0)</f>
        <v>0</v>
      </c>
    </row>
    <row r="710" spans="9:9">
      <c r="I710">
        <f>DropAnalityka[[#This Row],[Sell Drop]]+IF(DropAnalityka[[#This Row],[Drop]]="Scroll", 2000*DropAnalityka[[#This Row],[Quality/Quantity]],0)</f>
        <v>0</v>
      </c>
    </row>
    <row r="711" spans="9:9">
      <c r="I711">
        <f>DropAnalityka[[#This Row],[Sell Drop]]+IF(DropAnalityka[[#This Row],[Drop]]="Scroll", 2000*DropAnalityka[[#This Row],[Quality/Quantity]],0)</f>
        <v>0</v>
      </c>
    </row>
    <row r="712" spans="9:9">
      <c r="I712">
        <f>DropAnalityka[[#This Row],[Sell Drop]]+IF(DropAnalityka[[#This Row],[Drop]]="Scroll", 2000*DropAnalityka[[#This Row],[Quality/Quantity]],0)</f>
        <v>0</v>
      </c>
    </row>
    <row r="713" spans="9:9">
      <c r="I713">
        <f>DropAnalityka[[#This Row],[Sell Drop]]+IF(DropAnalityka[[#This Row],[Drop]]="Scroll", 2000*DropAnalityka[[#This Row],[Quality/Quantity]],0)</f>
        <v>0</v>
      </c>
    </row>
    <row r="714" spans="9:9">
      <c r="I714">
        <f>DropAnalityka[[#This Row],[Sell Drop]]+IF(DropAnalityka[[#This Row],[Drop]]="Scroll", 2000*DropAnalityka[[#This Row],[Quality/Quantity]],0)</f>
        <v>0</v>
      </c>
    </row>
    <row r="715" spans="9:9">
      <c r="I715">
        <f>DropAnalityka[[#This Row],[Sell Drop]]+IF(DropAnalityka[[#This Row],[Drop]]="Scroll", 2000*DropAnalityka[[#This Row],[Quality/Quantity]],0)</f>
        <v>0</v>
      </c>
    </row>
    <row r="716" spans="9:9">
      <c r="I716">
        <f>DropAnalityka[[#This Row],[Sell Drop]]+IF(DropAnalityka[[#This Row],[Drop]]="Scroll", 2000*DropAnalityka[[#This Row],[Quality/Quantity]],0)</f>
        <v>0</v>
      </c>
    </row>
    <row r="717" spans="9:9">
      <c r="I717">
        <f>DropAnalityka[[#This Row],[Sell Drop]]+IF(DropAnalityka[[#This Row],[Drop]]="Scroll", 2000*DropAnalityka[[#This Row],[Quality/Quantity]],0)</f>
        <v>0</v>
      </c>
    </row>
    <row r="718" spans="9:9">
      <c r="I718">
        <f>DropAnalityka[[#This Row],[Sell Drop]]+IF(DropAnalityka[[#This Row],[Drop]]="Scroll", 2000*DropAnalityka[[#This Row],[Quality/Quantity]],0)</f>
        <v>0</v>
      </c>
    </row>
    <row r="719" spans="9:9">
      <c r="I719">
        <f>DropAnalityka[[#This Row],[Sell Drop]]+IF(DropAnalityka[[#This Row],[Drop]]="Scroll", 2000*DropAnalityka[[#This Row],[Quality/Quantity]],0)</f>
        <v>0</v>
      </c>
    </row>
    <row r="720" spans="9:9">
      <c r="I720">
        <f>DropAnalityka[[#This Row],[Sell Drop]]+IF(DropAnalityka[[#This Row],[Drop]]="Scroll", 2000*DropAnalityka[[#This Row],[Quality/Quantity]],0)</f>
        <v>0</v>
      </c>
    </row>
    <row r="721" spans="9:9">
      <c r="I721">
        <f>DropAnalityka[[#This Row],[Sell Drop]]+IF(DropAnalityka[[#This Row],[Drop]]="Scroll", 2000*DropAnalityka[[#This Row],[Quality/Quantity]],0)</f>
        <v>0</v>
      </c>
    </row>
    <row r="722" spans="9:9">
      <c r="I722">
        <f>DropAnalityka[[#This Row],[Sell Drop]]+IF(DropAnalityka[[#This Row],[Drop]]="Scroll", 2000*DropAnalityka[[#This Row],[Quality/Quantity]],0)</f>
        <v>0</v>
      </c>
    </row>
    <row r="723" spans="9:9">
      <c r="I723">
        <f>DropAnalityka[[#This Row],[Sell Drop]]+IF(DropAnalityka[[#This Row],[Drop]]="Scroll", 2000*DropAnalityka[[#This Row],[Quality/Quantity]],0)</f>
        <v>0</v>
      </c>
    </row>
    <row r="724" spans="9:9">
      <c r="I724">
        <f>DropAnalityka[[#This Row],[Sell Drop]]+IF(DropAnalityka[[#This Row],[Drop]]="Scroll", 2000*DropAnalityka[[#This Row],[Quality/Quantity]],0)</f>
        <v>0</v>
      </c>
    </row>
    <row r="725" spans="9:9">
      <c r="I725">
        <f>DropAnalityka[[#This Row],[Sell Drop]]+IF(DropAnalityka[[#This Row],[Drop]]="Scroll", 2000*DropAnalityka[[#This Row],[Quality/Quantity]],0)</f>
        <v>0</v>
      </c>
    </row>
    <row r="726" spans="9:9">
      <c r="I726">
        <f>DropAnalityka[[#This Row],[Sell Drop]]+IF(DropAnalityka[[#This Row],[Drop]]="Scroll", 2000*DropAnalityka[[#This Row],[Quality/Quantity]],0)</f>
        <v>0</v>
      </c>
    </row>
    <row r="727" spans="9:9">
      <c r="I727">
        <f>DropAnalityka[[#This Row],[Sell Drop]]+IF(DropAnalityka[[#This Row],[Drop]]="Scroll", 2000*DropAnalityka[[#This Row],[Quality/Quantity]],0)</f>
        <v>0</v>
      </c>
    </row>
    <row r="728" spans="9:9">
      <c r="I728">
        <f>DropAnalityka[[#This Row],[Sell Drop]]+IF(DropAnalityka[[#This Row],[Drop]]="Scroll", 2000*DropAnalityka[[#This Row],[Quality/Quantity]],0)</f>
        <v>0</v>
      </c>
    </row>
    <row r="729" spans="9:9">
      <c r="I729">
        <f>DropAnalityka[[#This Row],[Sell Drop]]+IF(DropAnalityka[[#This Row],[Drop]]="Scroll", 2000*DropAnalityka[[#This Row],[Quality/Quantity]],0)</f>
        <v>0</v>
      </c>
    </row>
    <row r="730" spans="9:9">
      <c r="I730">
        <f>DropAnalityka[[#This Row],[Sell Drop]]+IF(DropAnalityka[[#This Row],[Drop]]="Scroll", 2000*DropAnalityka[[#This Row],[Quality/Quantity]],0)</f>
        <v>0</v>
      </c>
    </row>
    <row r="731" spans="9:9">
      <c r="I731">
        <f>DropAnalityka[[#This Row],[Sell Drop]]+IF(DropAnalityka[[#This Row],[Drop]]="Scroll", 2000*DropAnalityka[[#This Row],[Quality/Quantity]],0)</f>
        <v>0</v>
      </c>
    </row>
    <row r="732" spans="9:9">
      <c r="I732">
        <f>DropAnalityka[[#This Row],[Sell Drop]]+IF(DropAnalityka[[#This Row],[Drop]]="Scroll", 2000*DropAnalityka[[#This Row],[Quality/Quantity]],0)</f>
        <v>0</v>
      </c>
    </row>
    <row r="733" spans="9:9">
      <c r="I733">
        <f>DropAnalityka[[#This Row],[Sell Drop]]+IF(DropAnalityka[[#This Row],[Drop]]="Scroll", 2000*DropAnalityka[[#This Row],[Quality/Quantity]],0)</f>
        <v>0</v>
      </c>
    </row>
    <row r="734" spans="9:9">
      <c r="I734">
        <f>DropAnalityka[[#This Row],[Sell Drop]]+IF(DropAnalityka[[#This Row],[Drop]]="Scroll", 2000*DropAnalityka[[#This Row],[Quality/Quantity]],0)</f>
        <v>0</v>
      </c>
    </row>
    <row r="735" spans="9:9">
      <c r="I735">
        <f>DropAnalityka[[#This Row],[Sell Drop]]+IF(DropAnalityka[[#This Row],[Drop]]="Scroll", 2000*DropAnalityka[[#This Row],[Quality/Quantity]],0)</f>
        <v>0</v>
      </c>
    </row>
    <row r="736" spans="9:9">
      <c r="I736">
        <f>DropAnalityka[[#This Row],[Sell Drop]]+IF(DropAnalityka[[#This Row],[Drop]]="Scroll", 2000*DropAnalityka[[#This Row],[Quality/Quantity]],0)</f>
        <v>0</v>
      </c>
    </row>
    <row r="737" spans="1:9">
      <c r="I737">
        <f>DropAnalityka[[#This Row],[Sell Drop]]+IF(DropAnalityka[[#This Row],[Drop]]="Scroll", 2000*DropAnalityka[[#This Row],[Quality/Quantity]],0)</f>
        <v>0</v>
      </c>
    </row>
    <row r="738" spans="1:9">
      <c r="I738">
        <f>DropAnalityka[[#This Row],[Sell Drop]]+IF(DropAnalityka[[#This Row],[Drop]]="Scroll", 2000*DropAnalityka[[#This Row],[Quality/Quantity]],0)</f>
        <v>0</v>
      </c>
    </row>
    <row r="739" spans="1:9">
      <c r="I739">
        <f>DropAnalityka[[#This Row],[Sell Drop]]+IF(DropAnalityka[[#This Row],[Drop]]="Scroll", 2000*DropAnalityka[[#This Row],[Quality/Quantity]],0)</f>
        <v>0</v>
      </c>
    </row>
    <row r="740" spans="1:9">
      <c r="I740">
        <f>DropAnalityka[[#This Row],[Sell Drop]]+IF(DropAnalityka[[#This Row],[Drop]]="Scroll", 2000*DropAnalityka[[#This Row],[Quality/Quantity]],0)</f>
        <v>0</v>
      </c>
    </row>
    <row r="741" spans="1:9">
      <c r="I741">
        <f>DropAnalityka[[#This Row],[Sell Drop]]+IF(DropAnalityka[[#This Row],[Drop]]="Scroll", 2000*DropAnalityka[[#This Row],[Quality/Quantity]],0)</f>
        <v>0</v>
      </c>
    </row>
    <row r="742" spans="1:9">
      <c r="I742">
        <f>DropAnalityka[[#This Row],[Sell Drop]]+IF(DropAnalityka[[#This Row],[Drop]]="Scroll", 2000*DropAnalityka[[#This Row],[Quality/Quantity]],0)</f>
        <v>0</v>
      </c>
    </row>
    <row r="743" spans="1:9">
      <c r="A743" s="6"/>
      <c r="B743" s="6"/>
      <c r="C743" s="6"/>
      <c r="D743" s="6"/>
      <c r="E743" s="6"/>
      <c r="F743" s="6"/>
      <c r="G743" s="6"/>
      <c r="H743" s="6"/>
      <c r="I743">
        <f>DropAnalityka[[#This Row],[Sell Drop]]+IF(DropAnalityka[[#This Row],[Drop]]="Scroll", 2000*DropAnalityka[[#This Row],[Quality/Quantity]],0)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topLeftCell="A16" workbookViewId="0">
      <selection activeCell="D54" sqref="D5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features'!$N$9</f>
        <v>313220.07276819204</v>
      </c>
      <c r="D3">
        <f>'EXP lvls'!O10/Summary!C3</f>
        <v>13.757738965820218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2082904.4973607038</v>
      </c>
      <c r="C10" s="1">
        <f t="shared" ref="C10:C17" si="1">($G10+$H10)/($O10-$N10)*M10</f>
        <v>1915206.8140417454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3028.7952488687779</v>
      </c>
      <c r="N10">
        <f>SUMIFS(LocFeatures[[#All],[Energy gain]],LocFeatures[[#All],[Location]],Summary!$I10,LocFeatures[[#All],[LVL]],Summary!$J10,LocFeatures[[#All],[Stage]],Summary!$K10)</f>
        <v>0.82692307692307687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3418370.4492668617</v>
      </c>
      <c r="C11" s="1">
        <f t="shared" si="1"/>
        <v>1571576.2258064512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3028.7952488687779</v>
      </c>
      <c r="N11">
        <f>SUMIFS(LocFeatures[[#All],[Energy gain]],LocFeatures[[#All],[Location]],Summary!$I11,LocFeatures[[#All],[LVL]],Summary!$J11,LocFeatures[[#All],[Stage]],Summary!$K11)</f>
        <v>0.82692307692307687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3134620.6310850438</v>
      </c>
      <c r="C12" s="1">
        <f t="shared" si="1"/>
        <v>1527031.5199240984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3028.7952488687779</v>
      </c>
      <c r="N12">
        <f>SUMIFS(LocFeatures[[#All],[Energy gain]],LocFeatures[[#All],[Location]],Summary!$I12,LocFeatures[[#All],[LVL]],Summary!$J12,LocFeatures[[#All],[Stage]],Summary!$K12)</f>
        <v>0.82692307692307687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3017046.4046920817</v>
      </c>
      <c r="C13" s="1">
        <f t="shared" si="1"/>
        <v>1527031.5199240984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3028.7952488687779</v>
      </c>
      <c r="N13">
        <f>SUMIFS(LocFeatures[[#All],[Energy gain]],LocFeatures[[#All],[Location]],Summary!$I13,LocFeatures[[#All],[LVL]],Summary!$J13,LocFeatures[[#All],[Stage]],Summary!$K13)</f>
        <v>0.82692307692307687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2644220.7506251559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2798.4320987654319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2169788.89016004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2798.4320987654319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2108288.4638034506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2798.4320987654319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2108288.4638034506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2798.4320987654319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2567483.5652040974</v>
      </c>
      <c r="C18" s="1">
        <f t="shared" ref="C18:C21" si="4">($G18+$H18)/($O18-$N18)*M18</f>
        <v>1621400.6165743498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3410.1730769230771</v>
      </c>
      <c r="N18">
        <f>SUMIFS(LocFeatures[[#All],[Energy gain]],LocFeatures[[#All],[Location]],Summary!$I18,LocFeatures[[#All],[LVL]],Summary!$J18,LocFeatures[[#All],[Stage]],Summary!$K18)</f>
        <v>0.78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4213640.1161901848</v>
      </c>
      <c r="C19" s="1">
        <f t="shared" si="4"/>
        <v>1330485.3777847034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3410.1730769230771</v>
      </c>
      <c r="N19">
        <f>SUMIFS(LocFeatures[[#All],[Energy gain]],LocFeatures[[#All],[Location]],Summary!$I19,LocFeatures[[#All],[LVL]],Summary!$J19,LocFeatures[[#All],[Stage]],Summary!$K19)</f>
        <v>0.78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3863877.0830148295</v>
      </c>
      <c r="C20" s="1">
        <f t="shared" si="4"/>
        <v>1292774.1431267862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3410.1730769230771</v>
      </c>
      <c r="N20">
        <f>SUMIFS(LocFeatures[[#All],[Energy gain]],LocFeatures[[#All],[Location]],Summary!$I20,LocFeatures[[#All],[LVL]],Summary!$J20,LocFeatures[[#All],[Stage]],Summary!$K20)</f>
        <v>0.78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3718949.7018804466</v>
      </c>
      <c r="C21" s="1">
        <f t="shared" si="4"/>
        <v>1292774.1431267862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3410.1730769230771</v>
      </c>
      <c r="N21">
        <f>SUMIFS(LocFeatures[[#All],[Energy gain]],LocFeatures[[#All],[Location]],Summary!$I21,LocFeatures[[#All],[LVL]],Summary!$J21,LocFeatures[[#All],[Stage]],Summary!$K21)</f>
        <v>0.78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1477179.0337412464</v>
      </c>
      <c r="C22" s="1">
        <f t="shared" ref="C22" si="6">($G22+$H22)/($O22-$N22)*M22</f>
        <v>466429.27506107814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3410.1730769230771</v>
      </c>
      <c r="N22">
        <f>SUMIFS(LocFeatures[[#All],[Energy gain]],LocFeatures[[#All],[Location]],Summary!$I22,LocFeatures[[#All],[LVL]],Summary!$J22,LocFeatures[[#All],[Stage]],Summary!$K22)</f>
        <v>0.78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1966158.0798043113</v>
      </c>
      <c r="C23" s="1">
        <f t="shared" ref="C23" si="9">($G23+$H23)/($O23-$N23)*M23</f>
        <v>620827.71747439238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3410.1730769230771</v>
      </c>
      <c r="N23">
        <f>SUMIFS(LocFeatures[[#All],[Energy gain]],LocFeatures[[#All],[Location]],Summary!$I23,LocFeatures[[#All],[LVL]],Summary!$J23,LocFeatures[[#All],[Stage]],Summary!$K23)</f>
        <v>0.78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4132597.4621617491</v>
      </c>
      <c r="C24" s="1">
        <f t="shared" ref="C24:C26" si="11">($G24+$H24)/($O24-$N24)*M24</f>
        <v>1304895.6114096881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3410.1730769230771</v>
      </c>
      <c r="N24">
        <f>SUMIFS(LocFeatures[[#All],[Energy gain]],LocFeatures[[#All],[Location]],Summary!$I24,LocFeatures[[#All],[LVL]],Summary!$J24,LocFeatures[[#All],[Stage]],Summary!$K24)</f>
        <v>0.78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1309941.8507462686</v>
      </c>
      <c r="C25" s="1">
        <f t="shared" si="11"/>
        <v>736444.31883137499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2695.1685393258426</v>
      </c>
      <c r="N25">
        <f>SUMIFS(LocFeatures[[#All],[Energy gain]],LocFeatures[[#All],[Location]],Summary!$I25,LocFeatures[[#All],[LVL]],Summary!$J25,LocFeatures[[#All],[Stage]],Summary!$K25)</f>
        <v>0.88764044943820219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1743561.6774193551</v>
      </c>
      <c r="C26" s="1">
        <f t="shared" si="11"/>
        <v>980223.7336993824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2695.1685393258426</v>
      </c>
      <c r="N26">
        <f>SUMIFS(LocFeatures[[#All],[Energy gain]],LocFeatures[[#All],[Location]],Summary!$I26,LocFeatures[[#All],[LVL]],Summary!$J26,LocFeatures[[#All],[Stage]],Summary!$K26)</f>
        <v>0.88764044943820219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3664730.032258065</v>
      </c>
      <c r="C27" s="1">
        <f t="shared" ref="C27:C29" si="13">($G27+$H27)/($O27-$N27)*M27</f>
        <v>2060297.2649279342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2695.1685393258426</v>
      </c>
      <c r="N27">
        <f>SUMIFS(LocFeatures[[#All],[Energy gain]],LocFeatures[[#All],[Location]],Summary!$I27,LocFeatures[[#All],[LVL]],Summary!$J27,LocFeatures[[#All],[Stage]],Summary!$K27)</f>
        <v>0.88764044943820219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760664.54842068709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2798.4320987654319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1012461.3968492121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2798.4320987654319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2128056.4579894971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2798.4320987654319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465546.89103525877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2798.4320987654319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706716.4201050261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2798.4320987654319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706716.4201050261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2798.4320987654319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45</v>
      </c>
      <c r="Q33">
        <f>P33*$L33</f>
        <v>136080</v>
      </c>
      <c r="R33">
        <f>P33*($O33-$N33)</f>
        <v>95.555555555555557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904072.77174743928</v>
      </c>
      <c r="C34" s="1">
        <f t="shared" si="19"/>
        <v>285467.09498077218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3410.1730769230771</v>
      </c>
      <c r="N34">
        <f>SUMIFS(LocFeatures[[#All],[Energy gain]],LocFeatures[[#All],[Location]],Summary!$I34,LocFeatures[[#All],[LVL]],Summary!$J34,LocFeatures[[#All],[Stage]],Summary!$K34)</f>
        <v>0.78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686207.00198746368</v>
      </c>
      <c r="C35" s="1">
        <f t="shared" ref="C35:C40" si="23">($G35+$H35)/($O35-$N35)*M35</f>
        <v>433349.00803217577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3410.1730769230771</v>
      </c>
      <c r="N35">
        <f>SUMIFS(LocFeatures[[#All],[Energy gain]],LocFeatures[[#All],[Location]],Summary!$I35,LocFeatures[[#All],[LVL]],Summary!$J35,LocFeatures[[#All],[Stage]],Summary!$K35)</f>
        <v>0.78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419492.60404330329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3709.0930232558139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636804.40595524374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3709.0930232558139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636804.40595524374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3709.0930232558139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1269445.3212678167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2798.4320987654319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1537411.4646786693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2798.4320987654319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selection activeCell="C28" sqref="C28"/>
    </sheetView>
  </sheetViews>
  <sheetFormatPr defaultRowHeight="14.25"/>
  <cols>
    <col min="3" max="3" width="12.25" bestFit="1" customWidth="1"/>
    <col min="4" max="4" width="12.37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185</v>
      </c>
      <c r="C2" t="s">
        <v>196</v>
      </c>
      <c r="D2" t="s">
        <v>202</v>
      </c>
      <c r="E2" t="s">
        <v>203</v>
      </c>
      <c r="F2" t="s">
        <v>204</v>
      </c>
    </row>
    <row r="3" spans="1:6">
      <c r="A3" t="s">
        <v>177</v>
      </c>
      <c r="B3" t="s">
        <v>185</v>
      </c>
      <c r="C3" t="s">
        <v>201</v>
      </c>
      <c r="D3" t="s">
        <v>199</v>
      </c>
      <c r="E3" t="s">
        <v>200</v>
      </c>
      <c r="F3" t="s">
        <v>204</v>
      </c>
    </row>
    <row r="4" spans="1:6">
      <c r="A4" t="s">
        <v>178</v>
      </c>
      <c r="B4" t="s">
        <v>185</v>
      </c>
      <c r="C4" t="s">
        <v>179</v>
      </c>
      <c r="D4" t="s">
        <v>191</v>
      </c>
      <c r="E4" t="s">
        <v>205</v>
      </c>
      <c r="F4" t="s">
        <v>204</v>
      </c>
    </row>
    <row r="5" spans="1:6">
      <c r="A5" t="s">
        <v>181</v>
      </c>
      <c r="B5" t="s">
        <v>180</v>
      </c>
      <c r="C5" t="s">
        <v>196</v>
      </c>
      <c r="D5" t="s">
        <v>198</v>
      </c>
      <c r="E5" t="s">
        <v>197</v>
      </c>
      <c r="F5" t="s">
        <v>204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2015-09-23T15:39:34Z</dcterms:modified>
</cp:coreProperties>
</file>