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4720" windowHeight="11820"/>
  </bookViews>
  <sheets>
    <sheet name="EXP lvls" sheetId="1" r:id="rId1"/>
    <sheet name="Drop analityka" sheetId="3" r:id="rId2"/>
    <sheet name="Fusion" sheetId="9" r:id="rId3"/>
    <sheet name="Location features" sheetId="4" r:id="rId4"/>
    <sheet name="TP_GiantRunes" sheetId="10" r:id="rId5"/>
    <sheet name="TabPrz" sheetId="5" r:id="rId6"/>
    <sheet name="Runes for DPS" sheetId="6" r:id="rId7"/>
    <sheet name="Runes to mobs" sheetId="7" r:id="rId8"/>
    <sheet name="Runes" sheetId="8" r:id="rId9"/>
    <sheet name="Summary" sheetId="2" r:id="rId10"/>
  </sheets>
  <calcPr calcId="145621"/>
  <pivotCaches>
    <pivotCache cacheId="0" r:id="rId11"/>
  </pivotCaches>
</workbook>
</file>

<file path=xl/calcChain.xml><?xml version="1.0" encoding="utf-8"?>
<calcChain xmlns="http://schemas.openxmlformats.org/spreadsheetml/2006/main">
  <c r="M3" i="1" l="1"/>
  <c r="M28" i="1"/>
  <c r="M29" i="1" l="1"/>
  <c r="O28" i="1"/>
  <c r="R35" i="2" l="1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" i="4"/>
  <c r="K3" i="4"/>
  <c r="J3" i="4"/>
  <c r="E3" i="4"/>
  <c r="L3" i="4" s="1"/>
  <c r="K16" i="2" l="1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" i="4"/>
  <c r="R3" i="4" s="1"/>
  <c r="I37" i="2" l="1"/>
  <c r="J36" i="2"/>
  <c r="K36" i="2"/>
  <c r="J4" i="6"/>
  <c r="H4" i="6"/>
  <c r="P2" i="6"/>
  <c r="AN4" i="6"/>
  <c r="AM4" i="6"/>
  <c r="AL4" i="6"/>
  <c r="AN3" i="6"/>
  <c r="AM3" i="6"/>
  <c r="AL3" i="6"/>
  <c r="AN2" i="6"/>
  <c r="R3" i="6" s="1"/>
  <c r="AM2" i="6"/>
  <c r="AL2" i="6"/>
  <c r="Q6" i="5"/>
  <c r="Q13" i="4"/>
  <c r="L13" i="4"/>
  <c r="K13" i="4"/>
  <c r="J13" i="4"/>
  <c r="R6" i="5"/>
  <c r="U6" i="5"/>
  <c r="W6" i="5"/>
  <c r="V6" i="5"/>
  <c r="T6" i="5"/>
  <c r="S6" i="5"/>
  <c r="I38" i="2" l="1"/>
  <c r="J37" i="2"/>
  <c r="K37" i="2"/>
  <c r="R2" i="6"/>
  <c r="O13" i="4"/>
  <c r="R13" i="4" s="1"/>
  <c r="Q20" i="4"/>
  <c r="L20" i="4"/>
  <c r="K20" i="4"/>
  <c r="J20" i="4"/>
  <c r="K28" i="4"/>
  <c r="K27" i="4"/>
  <c r="K25" i="4"/>
  <c r="K24" i="4"/>
  <c r="K22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8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1" i="4" s="1"/>
  <c r="L179" i="3"/>
  <c r="L180" i="3"/>
  <c r="L181" i="3"/>
  <c r="L182" i="3"/>
  <c r="L183" i="3"/>
  <c r="L184" i="3"/>
  <c r="L185" i="3"/>
  <c r="L186" i="3"/>
  <c r="L187" i="3"/>
  <c r="L188" i="3"/>
  <c r="L189" i="3"/>
  <c r="M6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I3" i="4" l="1"/>
  <c r="N3" i="4" s="1"/>
  <c r="M3" i="4"/>
  <c r="P3" i="4" s="1"/>
  <c r="K38" i="2"/>
  <c r="J38" i="2"/>
  <c r="M12" i="4"/>
  <c r="K1017" i="3"/>
  <c r="L1017" i="3"/>
  <c r="M16" i="4"/>
  <c r="M19" i="4"/>
  <c r="M10" i="4"/>
  <c r="M24" i="4"/>
  <c r="M26" i="4"/>
  <c r="M5" i="4"/>
  <c r="M8" i="4"/>
  <c r="M4" i="4"/>
  <c r="M28" i="4"/>
  <c r="M7" i="4"/>
  <c r="M13" i="4"/>
  <c r="P13" i="4" s="1"/>
  <c r="M23" i="4"/>
  <c r="M15" i="4"/>
  <c r="M25" i="4"/>
  <c r="M9" i="4"/>
  <c r="M14" i="4"/>
  <c r="M27" i="4"/>
  <c r="M17" i="4"/>
  <c r="I13" i="4"/>
  <c r="N13" i="4" s="1"/>
  <c r="I20" i="4"/>
  <c r="N20" i="4" s="1"/>
  <c r="O20" i="4"/>
  <c r="R20" i="4" s="1"/>
  <c r="K879" i="3"/>
  <c r="K875" i="3"/>
  <c r="K539" i="3"/>
  <c r="L881" i="3"/>
  <c r="L877" i="3"/>
  <c r="L857" i="3"/>
  <c r="M22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2" i="4"/>
  <c r="J12" i="4"/>
  <c r="E12" i="4"/>
  <c r="L12" i="4" s="1"/>
  <c r="M20" i="4" l="1"/>
  <c r="P20" i="4" s="1"/>
  <c r="M11" i="4"/>
  <c r="K12" i="4"/>
  <c r="O12" i="4"/>
  <c r="R12" i="4" s="1"/>
  <c r="P12" i="4"/>
  <c r="Q11" i="4"/>
  <c r="L11" i="4"/>
  <c r="K11" i="4"/>
  <c r="J11" i="4"/>
  <c r="Q24" i="4"/>
  <c r="L24" i="4"/>
  <c r="J24" i="4"/>
  <c r="Q22" i="4"/>
  <c r="L22" i="4"/>
  <c r="J22" i="4"/>
  <c r="Q25" i="4"/>
  <c r="L25" i="4"/>
  <c r="J25" i="4"/>
  <c r="Q28" i="4"/>
  <c r="L28" i="4"/>
  <c r="J28" i="4"/>
  <c r="T4" i="5"/>
  <c r="R5" i="5"/>
  <c r="S4" i="5"/>
  <c r="V5" i="5"/>
  <c r="V4" i="5"/>
  <c r="W4" i="5"/>
  <c r="T5" i="5"/>
  <c r="U4" i="5"/>
  <c r="W5" i="5"/>
  <c r="U5" i="5"/>
  <c r="S5" i="5"/>
  <c r="P11" i="4" l="1"/>
  <c r="O11" i="4"/>
  <c r="R11" i="4" s="1"/>
  <c r="O24" i="4"/>
  <c r="R24" i="4" s="1"/>
  <c r="O25" i="4"/>
  <c r="O28" i="4"/>
  <c r="R28" i="4" s="1"/>
  <c r="O22" i="4"/>
  <c r="R22" i="4" s="1"/>
  <c r="R25" i="4"/>
  <c r="Q5" i="5"/>
  <c r="Q4" i="5"/>
  <c r="R4" i="5"/>
  <c r="M30" i="1" l="1"/>
  <c r="I12" i="4"/>
  <c r="N12" i="4" s="1"/>
  <c r="Q26" i="4"/>
  <c r="L26" i="4"/>
  <c r="K26" i="4"/>
  <c r="J26" i="4"/>
  <c r="J2" i="4"/>
  <c r="M32" i="1" l="1"/>
  <c r="M31" i="1"/>
  <c r="I11" i="4"/>
  <c r="N11" i="4" s="1"/>
  <c r="P22" i="4"/>
  <c r="I22" i="4"/>
  <c r="N22" i="4" s="1"/>
  <c r="I24" i="4"/>
  <c r="N24" i="4" s="1"/>
  <c r="P24" i="4"/>
  <c r="O26" i="4"/>
  <c r="R26" i="4" s="1"/>
  <c r="M34" i="1" l="1"/>
  <c r="M33" i="1"/>
  <c r="K2" i="4"/>
  <c r="Q2" i="4"/>
  <c r="L2" i="4"/>
  <c r="O2" i="4" l="1"/>
  <c r="R2" i="4" s="1"/>
  <c r="T36" i="9"/>
  <c r="T38" i="9" s="1"/>
  <c r="S36" i="9"/>
  <c r="S38" i="9" s="1"/>
  <c r="R36" i="9"/>
  <c r="R38" i="9" s="1"/>
  <c r="Q36" i="9"/>
  <c r="Q38" i="9" s="1"/>
  <c r="P36" i="9"/>
  <c r="P38" i="9" s="1"/>
  <c r="O36" i="9"/>
  <c r="O38" i="9" s="1"/>
  <c r="N36" i="9"/>
  <c r="N38" i="9" s="1"/>
  <c r="M36" i="9"/>
  <c r="M38" i="9" s="1"/>
  <c r="L36" i="9"/>
  <c r="L38" i="9" s="1"/>
  <c r="K36" i="9"/>
  <c r="K38" i="9" s="1"/>
  <c r="J36" i="9"/>
  <c r="J38" i="9" s="1"/>
  <c r="I36" i="9"/>
  <c r="I38" i="9" s="1"/>
  <c r="H36" i="9"/>
  <c r="H38" i="9" s="1"/>
  <c r="G36" i="9"/>
  <c r="G38" i="9" s="1"/>
  <c r="F36" i="9"/>
  <c r="F38" i="9" s="1"/>
  <c r="I47" i="9" l="1"/>
  <c r="I40" i="9"/>
  <c r="I45" i="9"/>
  <c r="I41" i="9"/>
  <c r="I42" i="9"/>
  <c r="I46" i="9"/>
  <c r="M42" i="9"/>
  <c r="M45" i="9"/>
  <c r="M40" i="9"/>
  <c r="M46" i="9"/>
  <c r="M47" i="9"/>
  <c r="M41" i="9"/>
  <c r="L45" i="9"/>
  <c r="L41" i="9"/>
  <c r="L46" i="9"/>
  <c r="L42" i="9"/>
  <c r="L47" i="9"/>
  <c r="L40" i="9"/>
  <c r="T47" i="9"/>
  <c r="T40" i="9"/>
  <c r="T45" i="9"/>
  <c r="T41" i="9"/>
  <c r="T46" i="9"/>
  <c r="T42" i="9"/>
  <c r="J41" i="9"/>
  <c r="J45" i="9"/>
  <c r="J46" i="9"/>
  <c r="J42" i="9"/>
  <c r="J47" i="9"/>
  <c r="J40" i="9"/>
  <c r="N46" i="9"/>
  <c r="N40" i="9"/>
  <c r="N41" i="9"/>
  <c r="N47" i="9"/>
  <c r="N42" i="9"/>
  <c r="N45" i="9"/>
  <c r="R47" i="9"/>
  <c r="R40" i="9"/>
  <c r="R41" i="9"/>
  <c r="R45" i="9"/>
  <c r="R46" i="9"/>
  <c r="R42" i="9"/>
  <c r="P40" i="9"/>
  <c r="P46" i="9"/>
  <c r="P47" i="9"/>
  <c r="P41" i="9"/>
  <c r="P42" i="9"/>
  <c r="P45" i="9"/>
  <c r="Q45" i="9"/>
  <c r="Q41" i="9"/>
  <c r="Q42" i="9"/>
  <c r="Q46" i="9"/>
  <c r="Q47" i="9"/>
  <c r="Q40" i="9"/>
  <c r="K47" i="9"/>
  <c r="K40" i="9"/>
  <c r="K45" i="9"/>
  <c r="K41" i="9"/>
  <c r="K42" i="9"/>
  <c r="K46" i="9"/>
  <c r="O42" i="9"/>
  <c r="O45" i="9"/>
  <c r="O46" i="9"/>
  <c r="O40" i="9"/>
  <c r="O47" i="9"/>
  <c r="O41" i="9"/>
  <c r="S45" i="9"/>
  <c r="S41" i="9"/>
  <c r="S42" i="9"/>
  <c r="S46" i="9"/>
  <c r="S47" i="9"/>
  <c r="S40" i="9"/>
  <c r="H47" i="9"/>
  <c r="H45" i="9"/>
  <c r="H42" i="9"/>
  <c r="H40" i="9"/>
  <c r="H46" i="9"/>
  <c r="H41" i="9"/>
  <c r="G46" i="9"/>
  <c r="G40" i="9"/>
  <c r="G42" i="9"/>
  <c r="G47" i="9"/>
  <c r="G45" i="9"/>
  <c r="G41" i="9"/>
  <c r="F45" i="9"/>
  <c r="F41" i="9"/>
  <c r="F47" i="9"/>
  <c r="F40" i="9"/>
  <c r="F46" i="9"/>
  <c r="F42" i="9"/>
  <c r="Q15" i="4"/>
  <c r="L15" i="4"/>
  <c r="K15" i="4"/>
  <c r="J15" i="4"/>
  <c r="U46" i="9" l="1"/>
  <c r="U47" i="9"/>
  <c r="U45" i="9"/>
  <c r="O15" i="4"/>
  <c r="R15" i="4" s="1"/>
  <c r="Q14" i="4"/>
  <c r="Q5" i="4"/>
  <c r="Q8" i="4"/>
  <c r="Q4" i="4"/>
  <c r="Q21" i="4"/>
  <c r="Q7" i="4"/>
  <c r="Q17" i="4"/>
  <c r="Q16" i="4"/>
  <c r="Q18" i="4"/>
  <c r="Q9" i="4"/>
  <c r="Q6" i="4"/>
  <c r="Q10" i="4"/>
  <c r="Q27" i="4"/>
  <c r="Q19" i="4"/>
  <c r="Q23" i="4"/>
  <c r="O29" i="1"/>
  <c r="M17" i="1"/>
  <c r="M18" i="1" s="1"/>
  <c r="J8" i="4"/>
  <c r="J14" i="4"/>
  <c r="J5" i="4"/>
  <c r="J9" i="4"/>
  <c r="J7" i="4"/>
  <c r="J21" i="4"/>
  <c r="J17" i="4"/>
  <c r="J16" i="4"/>
  <c r="J6" i="4"/>
  <c r="J4" i="4"/>
  <c r="J10" i="4"/>
  <c r="J27" i="4"/>
  <c r="J19" i="4"/>
  <c r="J18" i="4"/>
  <c r="J23" i="4"/>
  <c r="L8" i="4"/>
  <c r="L14" i="4"/>
  <c r="L5" i="4"/>
  <c r="L9" i="4"/>
  <c r="L7" i="4"/>
  <c r="L21" i="4"/>
  <c r="L17" i="4"/>
  <c r="L16" i="4"/>
  <c r="L6" i="4"/>
  <c r="L4" i="4"/>
  <c r="L10" i="4"/>
  <c r="L27" i="4"/>
  <c r="L19" i="4"/>
  <c r="L18" i="4"/>
  <c r="L23" i="4"/>
  <c r="Q35" i="2" l="1"/>
  <c r="Q37" i="2"/>
  <c r="O37" i="2"/>
  <c r="O35" i="2"/>
  <c r="O8" i="4"/>
  <c r="R8" i="4" s="1"/>
  <c r="O6" i="4"/>
  <c r="R6" i="4" s="1"/>
  <c r="O7" i="4"/>
  <c r="R7" i="4" s="1"/>
  <c r="O23" i="4"/>
  <c r="R23" i="4" s="1"/>
  <c r="O21" i="4"/>
  <c r="R21" i="4" s="1"/>
  <c r="O14" i="4"/>
  <c r="R14" i="4" s="1"/>
  <c r="O4" i="4"/>
  <c r="R4" i="4" s="1"/>
  <c r="O19" i="4"/>
  <c r="R19" i="4" s="1"/>
  <c r="O10" i="4"/>
  <c r="R10" i="4" s="1"/>
  <c r="O17" i="4"/>
  <c r="R17" i="4" s="1"/>
  <c r="O5" i="4"/>
  <c r="R5" i="4" s="1"/>
  <c r="O18" i="4"/>
  <c r="R18" i="4" s="1"/>
  <c r="O27" i="4"/>
  <c r="R27" i="4" s="1"/>
  <c r="O16" i="4"/>
  <c r="R16" i="4" s="1"/>
  <c r="O9" i="4"/>
  <c r="R9" i="4" s="1"/>
  <c r="K5" i="4"/>
  <c r="B35" i="2" l="1"/>
  <c r="O31" i="1"/>
  <c r="O37" i="1" s="1"/>
  <c r="O33" i="1"/>
  <c r="K23" i="4"/>
  <c r="O35" i="1" l="1"/>
  <c r="M36" i="1" l="1"/>
  <c r="K10" i="4"/>
  <c r="I21" i="4" l="1"/>
  <c r="N21" i="4" s="1"/>
  <c r="I6" i="4"/>
  <c r="N6" i="4" s="1"/>
  <c r="P18" i="4"/>
  <c r="P21" i="4"/>
  <c r="P6" i="4"/>
  <c r="P25" i="4"/>
  <c r="P28" i="4" l="1"/>
  <c r="M2" i="4"/>
  <c r="P2" i="4" s="1"/>
  <c r="I9" i="4"/>
  <c r="N9" i="4" s="1"/>
  <c r="P26" i="4"/>
  <c r="P5" i="4"/>
  <c r="P16" i="4"/>
  <c r="P19" i="4"/>
  <c r="P9" i="4"/>
  <c r="P17" i="4"/>
  <c r="P23" i="4"/>
  <c r="P14" i="4"/>
  <c r="P27" i="4"/>
  <c r="P10" i="4"/>
  <c r="P8" i="4"/>
  <c r="P15" i="4"/>
  <c r="P4" i="4"/>
  <c r="P7" i="4"/>
  <c r="I18" i="4"/>
  <c r="N18" i="4" s="1"/>
  <c r="I28" i="4"/>
  <c r="N28" i="4" s="1"/>
  <c r="M16" i="1"/>
  <c r="M19" i="1" s="1"/>
  <c r="I25" i="4" l="1"/>
  <c r="N25" i="4" s="1"/>
  <c r="I2" i="4"/>
  <c r="N2" i="4" s="1"/>
  <c r="I26" i="4"/>
  <c r="N26" i="4" s="1"/>
  <c r="I27" i="4"/>
  <c r="N27" i="4" s="1"/>
  <c r="I10" i="4"/>
  <c r="N10" i="4" s="1"/>
  <c r="I15" i="4"/>
  <c r="N15" i="4" s="1"/>
  <c r="I19" i="4"/>
  <c r="N19" i="4" s="1"/>
  <c r="I16" i="4"/>
  <c r="N16" i="4" s="1"/>
  <c r="I23" i="4"/>
  <c r="N23" i="4" s="1"/>
  <c r="I5" i="4"/>
  <c r="I17" i="4"/>
  <c r="N17" i="4" s="1"/>
  <c r="I8" i="4"/>
  <c r="N8" i="4" s="1"/>
  <c r="I14" i="4"/>
  <c r="N14" i="4" s="1"/>
  <c r="I7" i="4"/>
  <c r="N7" i="4" s="1"/>
  <c r="I4" i="4"/>
  <c r="N4" i="4" s="1"/>
  <c r="O16" i="1"/>
  <c r="M20" i="1"/>
  <c r="O18" i="1"/>
  <c r="N5" i="4" l="1"/>
  <c r="P35" i="2"/>
  <c r="C35" i="2" s="1"/>
  <c r="P37" i="2"/>
  <c r="M21" i="1"/>
  <c r="M22" i="1" s="1"/>
  <c r="M23" i="1" s="1"/>
  <c r="O20" i="1"/>
  <c r="V4" i="1"/>
  <c r="W4" i="1" s="1"/>
  <c r="V5" i="1"/>
  <c r="W5" i="1" s="1"/>
  <c r="V6" i="1"/>
  <c r="W6" i="1" s="1"/>
  <c r="V7" i="1"/>
  <c r="W7" i="1" s="1"/>
  <c r="V8" i="1"/>
  <c r="W8" i="1" s="1"/>
  <c r="K16" i="4"/>
  <c r="K19" i="4"/>
  <c r="K17" i="4"/>
  <c r="K7" i="4"/>
  <c r="K18" i="4"/>
  <c r="K14" i="4"/>
  <c r="K21" i="4"/>
  <c r="K4" i="4"/>
  <c r="K6" i="4"/>
  <c r="K9" i="4"/>
  <c r="K8" i="4"/>
  <c r="Z8" i="1" l="1"/>
  <c r="Z7" i="1"/>
  <c r="Z6" i="1"/>
  <c r="Z5" i="1"/>
  <c r="Z4" i="1"/>
  <c r="Y4" i="1"/>
  <c r="Y8" i="1"/>
  <c r="Y7" i="1"/>
  <c r="Y6" i="1"/>
  <c r="Y5" i="1"/>
  <c r="O22" i="1" l="1"/>
  <c r="O24" i="1" s="1"/>
  <c r="R38" i="2"/>
  <c r="R36" i="2"/>
  <c r="R30" i="2"/>
  <c r="R34" i="2"/>
  <c r="P34" i="2"/>
  <c r="R33" i="2"/>
  <c r="P33" i="2"/>
  <c r="R32" i="2"/>
  <c r="R31" i="2"/>
  <c r="R29" i="2"/>
  <c r="R28" i="2"/>
  <c r="M5" i="1" l="1"/>
  <c r="M4" i="1"/>
  <c r="O5" i="1" s="1"/>
  <c r="AH2" i="6"/>
  <c r="S2" i="6" s="1"/>
  <c r="U2" i="6" s="1"/>
  <c r="AG2" i="6"/>
  <c r="AF2" i="6"/>
  <c r="J5" i="6"/>
  <c r="J6" i="6" s="1"/>
  <c r="J7" i="6" s="1"/>
  <c r="J8" i="6" s="1"/>
  <c r="Q4" i="6"/>
  <c r="Q6" i="6" s="1"/>
  <c r="V3" i="1"/>
  <c r="W3" i="1" s="1"/>
  <c r="V2" i="1"/>
  <c r="O6" i="1" l="1"/>
  <c r="O7" i="1"/>
  <c r="M6" i="1"/>
  <c r="M7" i="1"/>
  <c r="J9" i="6"/>
  <c r="G3" i="6"/>
  <c r="F3" i="6"/>
  <c r="N3" i="6" s="1"/>
  <c r="R4" i="6"/>
  <c r="P4" i="1"/>
  <c r="Z2" i="1"/>
  <c r="W2" i="1"/>
  <c r="O33" i="2"/>
  <c r="O34" i="2"/>
  <c r="Y2" i="1"/>
  <c r="Q7" i="6"/>
  <c r="Q8" i="6" s="1"/>
  <c r="Q9" i="6" s="1"/>
  <c r="Q10" i="6" s="1"/>
  <c r="Q11" i="6" s="1"/>
  <c r="Q12" i="6" s="1"/>
  <c r="Q13" i="6" s="1"/>
  <c r="Q14" i="6" s="1"/>
  <c r="Q15" i="6" s="1"/>
  <c r="Q16" i="6" s="1"/>
  <c r="Q5" i="6"/>
  <c r="I4" i="6"/>
  <c r="G4" i="6" s="1"/>
  <c r="H5" i="6"/>
  <c r="H6" i="6" s="1"/>
  <c r="F4" i="6"/>
  <c r="N4" i="6" s="1"/>
  <c r="Z3" i="1"/>
  <c r="Y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8" i="1" l="1"/>
  <c r="M9" i="1"/>
  <c r="M8" i="1"/>
  <c r="O9" i="1" s="1"/>
  <c r="R8" i="6"/>
  <c r="J10" i="6"/>
  <c r="R9" i="6"/>
  <c r="H7" i="6"/>
  <c r="H8" i="6" s="1"/>
  <c r="F6" i="6"/>
  <c r="N6" i="6" s="1"/>
  <c r="R5" i="6"/>
  <c r="R6" i="6"/>
  <c r="Q24" i="2"/>
  <c r="P6" i="1"/>
  <c r="Q19" i="2"/>
  <c r="Q31" i="2"/>
  <c r="Q32" i="2"/>
  <c r="I5" i="6"/>
  <c r="I6" i="6" s="1"/>
  <c r="F5" i="6"/>
  <c r="N5" i="6" s="1"/>
  <c r="O4" i="6"/>
  <c r="P4" i="6" s="1"/>
  <c r="S4" i="6" s="1"/>
  <c r="U4" i="6" s="1"/>
  <c r="O3" i="6"/>
  <c r="P3" i="6" s="1"/>
  <c r="S3" i="6" s="1"/>
  <c r="U3" i="6" s="1"/>
  <c r="Q21" i="2"/>
  <c r="Q15" i="2"/>
  <c r="Q18" i="2"/>
  <c r="Q20" i="2"/>
  <c r="Q16" i="2"/>
  <c r="Q17" i="2"/>
  <c r="Q23" i="2"/>
  <c r="Q22" i="2"/>
  <c r="H9" i="6" l="1"/>
  <c r="F8" i="6"/>
  <c r="J11" i="6"/>
  <c r="R10" i="6"/>
  <c r="I7" i="6"/>
  <c r="I8" i="6" s="1"/>
  <c r="G6" i="6"/>
  <c r="F7" i="6"/>
  <c r="N7" i="6" s="1"/>
  <c r="G5" i="6"/>
  <c r="R7" i="6"/>
  <c r="M11" i="1"/>
  <c r="P8" i="1"/>
  <c r="O6" i="6"/>
  <c r="O5" i="6"/>
  <c r="O24" i="2"/>
  <c r="O22" i="2"/>
  <c r="O23" i="2"/>
  <c r="P23" i="2"/>
  <c r="P24" i="2"/>
  <c r="P22" i="2"/>
  <c r="H10" i="6" l="1"/>
  <c r="F9" i="6"/>
  <c r="I9" i="6"/>
  <c r="G8" i="6"/>
  <c r="J12" i="6"/>
  <c r="R11" i="6"/>
  <c r="G7" i="6"/>
  <c r="P6" i="6"/>
  <c r="S6" i="6" s="1"/>
  <c r="U6" i="6" s="1"/>
  <c r="P5" i="6"/>
  <c r="S5" i="6" s="1"/>
  <c r="U5" i="6" s="1"/>
  <c r="P10" i="1"/>
  <c r="O12" i="1" s="1"/>
  <c r="O32" i="2"/>
  <c r="O31" i="2"/>
  <c r="P32" i="2"/>
  <c r="P31" i="2"/>
  <c r="O7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H11" i="6" l="1"/>
  <c r="F10" i="6"/>
  <c r="I10" i="6"/>
  <c r="G9" i="6"/>
  <c r="J13" i="6"/>
  <c r="R12" i="6"/>
  <c r="P7" i="6"/>
  <c r="S7" i="6" s="1"/>
  <c r="U7" i="6" s="1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H12" i="6" l="1"/>
  <c r="F11" i="6"/>
  <c r="I11" i="6"/>
  <c r="G10" i="6"/>
  <c r="J14" i="6"/>
  <c r="R13" i="6"/>
  <c r="N8" i="6"/>
  <c r="Q34" i="2"/>
  <c r="Q33" i="2"/>
  <c r="B24" i="2"/>
  <c r="C24" i="2"/>
  <c r="B23" i="2"/>
  <c r="C23" i="2"/>
  <c r="O14" i="2"/>
  <c r="A3" i="2"/>
  <c r="B3" i="2" s="1"/>
  <c r="B37" i="2" l="1"/>
  <c r="C37" i="2"/>
  <c r="H13" i="6"/>
  <c r="F12" i="6"/>
  <c r="I12" i="6"/>
  <c r="G11" i="6"/>
  <c r="J15" i="6"/>
  <c r="R14" i="6"/>
  <c r="P38" i="2"/>
  <c r="P36" i="2"/>
  <c r="C33" i="2"/>
  <c r="B30" i="2"/>
  <c r="P30" i="2"/>
  <c r="P29" i="2"/>
  <c r="P28" i="2"/>
  <c r="N10" i="6"/>
  <c r="N11" i="6"/>
  <c r="O8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H14" i="6" l="1"/>
  <c r="F13" i="6"/>
  <c r="N13" i="6" s="1"/>
  <c r="I13" i="6"/>
  <c r="G12" i="6"/>
  <c r="J16" i="6"/>
  <c r="R16" i="6" s="1"/>
  <c r="R15" i="6"/>
  <c r="P8" i="6"/>
  <c r="O9" i="6"/>
  <c r="P9" i="6" s="1"/>
  <c r="N9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O10" i="6"/>
  <c r="N12" i="6"/>
  <c r="B26" i="2"/>
  <c r="C26" i="2"/>
  <c r="B27" i="2"/>
  <c r="C27" i="2"/>
  <c r="E42" i="2"/>
  <c r="F42" i="2" s="1"/>
  <c r="H15" i="6" l="1"/>
  <c r="F14" i="6"/>
  <c r="N14" i="6" s="1"/>
  <c r="I14" i="6"/>
  <c r="G13" i="6"/>
  <c r="S9" i="6"/>
  <c r="U9" i="6" s="1"/>
  <c r="S8" i="6"/>
  <c r="U8" i="6" s="1"/>
  <c r="C34" i="2"/>
  <c r="B34" i="2"/>
  <c r="O13" i="6"/>
  <c r="O12" i="6"/>
  <c r="P10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H16" i="6" l="1"/>
  <c r="F16" i="6" s="1"/>
  <c r="N16" i="6" s="1"/>
  <c r="F15" i="6"/>
  <c r="N15" i="6" s="1"/>
  <c r="O14" i="6"/>
  <c r="I15" i="6"/>
  <c r="G14" i="6"/>
  <c r="S10" i="6"/>
  <c r="U10" i="6" s="1"/>
  <c r="O15" i="6" l="1"/>
  <c r="I16" i="6"/>
  <c r="G16" i="6" s="1"/>
  <c r="G15" i="6"/>
  <c r="B36" i="2"/>
  <c r="C36" i="2"/>
  <c r="B38" i="2"/>
  <c r="C38" i="2"/>
  <c r="O16" i="6"/>
  <c r="P11" i="6" l="1"/>
  <c r="S11" i="6" l="1"/>
  <c r="U11" i="6" s="1"/>
  <c r="P12" i="6"/>
  <c r="S12" i="6" l="1"/>
  <c r="U12" i="6" s="1"/>
  <c r="P13" i="6"/>
  <c r="S13" i="6" l="1"/>
  <c r="U13" i="6" s="1"/>
  <c r="P14" i="6"/>
  <c r="S14" i="6" l="1"/>
  <c r="U14" i="6" s="1"/>
  <c r="P15" i="6"/>
  <c r="S15" i="6" l="1"/>
  <c r="U15" i="6" s="1"/>
  <c r="P16" i="6"/>
  <c r="S16" i="6" l="1"/>
  <c r="U16" i="6" s="1"/>
</calcChain>
</file>

<file path=xl/sharedStrings.xml><?xml version="1.0" encoding="utf-8"?>
<sst xmlns="http://schemas.openxmlformats.org/spreadsheetml/2006/main" count="4277" uniqueCount="354">
  <si>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</si>
  <si>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</si>
  <si>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</si>
  <si>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</si>
  <si>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</si>
  <si>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</si>
  <si>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</si>
  <si>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</si>
  <si>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</si>
  <si>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</si>
  <si>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</si>
  <si>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</si>
  <si>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</si>
  <si>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</si>
  <si>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</si>
  <si>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</si>
  <si>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</si>
  <si>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</si>
  <si>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</si>
  <si>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</si>
  <si>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</si>
  <si>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</si>
  <si>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</si>
  <si>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</si>
  <si>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</si>
  <si>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</si>
  <si>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</si>
  <si>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</si>
  <si>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</si>
  <si>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</si>
  <si>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</si>
  <si>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</si>
  <si>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</si>
  <si>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</si>
  <si>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</si>
  <si>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</si>
  <si>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</si>
  <si>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</si>
  <si>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</si>
  <si>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</si>
  <si>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</si>
  <si>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</si>
  <si>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</si>
  <si>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</si>
  <si>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</si>
  <si>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</si>
  <si>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</si>
  <si>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</si>
  <si>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</si>
  <si>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</si>
  <si>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</si>
  <si>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</si>
  <si>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</si>
  <si>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</si>
  <si>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</si>
  <si>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</si>
  <si>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</si>
  <si>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</si>
  <si>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</si>
  <si>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</si>
  <si>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</si>
  <si>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</si>
  <si>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</si>
  <si>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</si>
  <si>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</si>
  <si>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</si>
  <si>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</si>
  <si>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</si>
  <si>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</si>
  <si>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</si>
  <si>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</si>
  <si>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</si>
  <si>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</si>
  <si>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</si>
  <si>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</si>
  <si>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</si>
  <si>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</si>
  <si>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</si>
  <si>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</si>
  <si>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</si>
  <si>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</si>
  <si>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</si>
  <si>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</si>
  <si>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</si>
  <si>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</si>
  <si>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</si>
  <si>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</si>
  <si>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</si>
  <si>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</si>
  <si>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</si>
  <si>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</si>
  <si>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</si>
  <si>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</si>
  <si>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</si>
  <si>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</si>
  <si>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</si>
  <si>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</si>
  <si>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</si>
  <si>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</si>
  <si>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</si>
  <si>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</si>
  <si>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</si>
  <si>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</si>
  <si>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</si>
  <si>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</si>
  <si>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</si>
  <si>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</si>
  <si>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</si>
  <si>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</si>
  <si>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</si>
  <si>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</si>
  <si>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</si>
  <si>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</si>
  <si>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</si>
  <si>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</si>
  <si>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</si>
  <si>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</si>
  <si>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</si>
  <si>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</si>
  <si>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</si>
  <si>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</si>
  <si>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</si>
  <si>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</si>
  <si>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</si>
  <si>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</si>
  <si>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</si>
  <si>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</si>
  <si>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</si>
  <si>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</si>
  <si>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</si>
  <si>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</si>
  <si>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</si>
  <si>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</si>
  <si>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</si>
  <si>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</si>
  <si>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</si>
  <si>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</si>
  <si>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</si>
  <si>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</si>
  <si>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</si>
  <si>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</si>
  <si>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</si>
  <si>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</si>
  <si>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</si>
  <si>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</si>
  <si>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</si>
  <si>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</si>
  <si>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</si>
  <si>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</si>
  <si>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</si>
  <si>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</si>
  <si>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</si>
  <si>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</si>
  <si>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</si>
  <si>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</si>
  <si>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</si>
  <si>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</si>
  <si>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</si>
  <si>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</si>
  <si>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</si>
  <si>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</si>
  <si>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</si>
  <si>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</si>
  <si>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</si>
  <si>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</si>
  <si>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</si>
  <si>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</si>
  <si>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</si>
  <si>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</si>
  <si>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</si>
  <si>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</si>
  <si>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</si>
  <si>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</si>
  <si>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</si>
  <si>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</si>
  <si>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</si>
  <si>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</si>
  <si>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</si>
  <si>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</si>
  <si>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</si>
  <si>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</si>
  <si>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</si>
  <si>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</si>
  <si>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</si>
  <si>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</si>
  <si>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</si>
  <si>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</si>
  <si>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</si>
  <si>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</si>
  <si>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</si>
  <si>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</si>
  <si>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</si>
  <si>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</si>
  <si>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</si>
  <si>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</si>
  <si>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</si>
  <si>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</si>
  <si>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</si>
  <si>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</si>
  <si>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</si>
  <si>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</si>
  <si>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</si>
  <si>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</si>
  <si>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</si>
  <si>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</si>
  <si>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</si>
  <si>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</si>
  <si>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</si>
  <si>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</si>
  <si>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</si>
  <si>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</si>
  <si>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</si>
  <si>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</si>
  <si>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</si>
  <si>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</si>
  <si>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</si>
  <si>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</si>
  <si>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</si>
  <si>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</si>
  <si>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</si>
  <si>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</si>
  <si>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</si>
  <si>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</si>
  <si>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</si>
  <si>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</si>
  <si>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</si>
  <si>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</si>
  <si>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</si>
  <si>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</si>
  <si>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</si>
  <si>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</si>
  <si>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</si>
  <si>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</si>
  <si>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</si>
  <si>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</si>
  <si>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</si>
  <si>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</si>
  <si>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</si>
  <si>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</si>
  <si>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</si>
  <si>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</si>
  <si>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</si>
  <si>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</si>
  <si>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</si>
  <si>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</si>
  <si>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</si>
  <si>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</si>
  <si>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</si>
  <si>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</si>
  <si>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</si>
  <si>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</si>
  <si>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</si>
  <si>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</si>
  <si>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</si>
  <si>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</si>
  <si>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</si>
  <si>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</si>
  <si>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</si>
  <si>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</si>
  <si>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</si>
  <si>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</si>
  <si>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</si>
  <si>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</si>
  <si>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</si>
  <si>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</si>
  <si>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</si>
  <si>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</si>
  <si>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</si>
  <si>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</si>
  <si>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</si>
  <si>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</si>
  <si>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</si>
  <si>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</si>
  <si>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</si>
  <si>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</si>
  <si>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</si>
  <si>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</si>
  <si>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</si>
  <si>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</si>
  <si>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</si>
  <si>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</si>
  <si>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</si>
  <si>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</si>
  <si>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</si>
  <si>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</si>
  <si>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</si>
  <si>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</si>
  <si>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</si>
  <si>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</si>
  <si>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</si>
  <si>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</si>
  <si>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</si>
  <si>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</si>
  <si>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</si>
  <si>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</si>
  <si>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</si>
  <si>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</si>
  <si>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</si>
  <si>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</si>
  <si>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</si>
  <si>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</si>
  <si>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</si>
  <si>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</si>
  <si>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</si>
  <si>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</si>
  <si>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</si>
  <si>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</si>
  <si>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</si>
  <si>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</si>
  <si>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</si>
  <si>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</si>
  <si>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</si>
  <si>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</si>
  <si>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</si>
  <si>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</si>
  <si>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</si>
  <si>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</si>
  <si>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</si>
  <si>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</si>
  <si>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</si>
  <si>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</si>
  <si>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</si>
  <si>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</si>
  <si>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</si>
  <si>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</si>
  <si>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</si>
  <si>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</si>
  <si>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</si>
  <si>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</si>
  <si>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</si>
  <si>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</si>
  <si>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</si>
  <si>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</si>
  <si>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</si>
  <si>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</si>
  <si>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</si>
  <si>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</si>
  <si>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</si>
  <si>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</si>
  <si>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</si>
  <si>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</si>
  <si>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</si>
  <si>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</si>
  <si>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</si>
  <si>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</si>
  <si>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</si>
  <si>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</si>
  <si>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</si>
  <si>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</si>
  <si>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</si>
  <si>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</si>
  <si>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</si>
  <si>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</si>
  <si>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5*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</si>
</sst>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2" fillId="4" borderId="0" xfId="0" applyFont="1" applyFill="1" applyBorder="1" applyAlignment="1">
      <alignment horizontal="left" vertical="center" wrapText="1"/>
    </xf>
    <xf numFmtId="0" fontId="2" fillId="4" borderId="10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2" fillId="4" borderId="20" xfId="0" applyFont="1" applyFill="1" applyBorder="1" applyAlignment="1">
      <alignment horizontal="left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0" fillId="5" borderId="6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1">
    <cellStyle name="Normalny" xfId="0" builtinId="0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/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06.561611342593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9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4:F10" firstHeaderRow="1" firstDataRow="2" firstDataCol="1" rowPageCount="2" colPageCount="1"/>
  <pivotFields count="13">
    <pivotField axis="axisPage" showAll="0">
      <items count="18">
        <item x="5"/>
        <item x="9"/>
        <item x="1"/>
        <item x="2"/>
        <item x="7"/>
        <item x="8"/>
        <item x="11"/>
        <item x="6"/>
        <item x="3"/>
        <item x="10"/>
        <item x="13"/>
        <item x="14"/>
        <item x="4"/>
        <item x="12"/>
        <item x="0"/>
        <item x="16"/>
        <item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axis="axisPage" multipleItemSelectionAllowed="1" showAll="0">
      <items count="24">
        <item h="1" x="12"/>
        <item x="13"/>
        <item h="1" x="16"/>
        <item h="1" x="10"/>
        <item h="1" x="17"/>
        <item h="1" m="1" x="22"/>
        <item h="1" x="15"/>
        <item h="1" x="1"/>
        <item h="1" x="6"/>
        <item h="1" x="3"/>
        <item h="1" x="19"/>
        <item x="18"/>
        <item h="1" x="4"/>
        <item x="2"/>
        <item h="1" x="11"/>
        <item h="1" x="7"/>
        <item h="1" x="8"/>
        <item h="1" x="9"/>
        <item x="20"/>
        <item h="1" x="5"/>
        <item h="1" x="14"/>
        <item h="1" x="0"/>
        <item h="1" x="21"/>
        <item t="default"/>
      </items>
    </pivotField>
    <pivotField showAll="0"/>
    <pivotField axis="axisRow" showAll="0">
      <items count="11">
        <item h="1" m="1" x="9"/>
        <item x="2"/>
        <item x="1"/>
        <item x="5"/>
        <item x="7"/>
        <item x="8"/>
        <item x="6"/>
        <item x="3"/>
        <item x="0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7"/>
  </rowFields>
  <rowItems count="5">
    <i>
      <x v="1"/>
    </i>
    <i>
      <x v="3"/>
    </i>
    <i>
      <x v="4"/>
    </i>
    <i>
      <x v="5"/>
    </i>
    <i t="grand">
      <x/>
    </i>
  </rowItems>
  <colFields count="1">
    <field x="2"/>
  </colFields>
  <colItems count="5">
    <i>
      <x v="4"/>
    </i>
    <i>
      <x v="5"/>
    </i>
    <i>
      <x v="6"/>
    </i>
    <i>
      <x v="7"/>
    </i>
    <i t="grand">
      <x/>
    </i>
  </colItems>
  <pageFields count="2">
    <pageField fld="0" item="4" hier="-1"/>
    <pageField fld="5" hier="-1"/>
  </pageField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5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P11" totalsRowShown="0">
  <autoFilter ref="L2:P11"/>
  <tableColumns count="5">
    <tableColumn id="1" name="Kolumna1"/>
    <tableColumn id="2" name="Missing"/>
    <tableColumn id="3" name="Done"/>
    <tableColumn id="5" name="Zapas" dataDxfId="66">
      <calculatedColumnFormula>MAXA(-(4*M1-Tabela6[[#This Row],[Done]]),0)</calculatedColumnFormula>
    </tableColumn>
    <tableColumn id="4" name="XP to gain" dataDxfId="6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64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63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62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61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60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59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58">
      <calculatedColumnFormula>4*LocFeatures[[#This Row],[XP Gain per member]]</calculatedColumnFormula>
    </tableColumn>
    <tableColumn id="11" name="XP Train Gain"/>
    <tableColumn id="22" name="XP drop" dataDxfId="57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56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55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54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51" tableBorderDxfId="50">
  <autoFilter ref="Q3:W6"/>
  <tableColumns count="7">
    <tableColumn id="1" name="Kolumna1">
      <calculatedColumnFormula>G5</calculatedColumnFormula>
    </tableColumn>
    <tableColumn id="2" name="4" dataDxfId="49"/>
    <tableColumn id="3" name="5" dataDxfId="48"/>
    <tableColumn id="4" name="7" dataDxfId="47"/>
    <tableColumn id="5" name="8" dataDxfId="46"/>
    <tableColumn id="6" name="9" dataDxfId="45"/>
    <tableColumn id="7" name="10" dataDxfId="44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A4" totalsRowShown="0" headerRowDxfId="43">
  <autoFilter ref="X1:AA4"/>
  <tableColumns count="4">
    <tableColumn id="1" name="Set Name" dataDxfId="42"/>
    <tableColumn id="2" name="Attack" dataDxfId="41"/>
    <tableColumn id="3" name="Crit.Dmg" dataDxfId="40"/>
    <tableColumn id="4" name="Crit.Cha" dataDxfId="39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8" totalsRowShown="0" headerRowDxfId="38" dataDxfId="37" tableBorderDxfId="36">
  <autoFilter ref="A1:U38"/>
  <tableColumns count="21">
    <tableColumn id="1" name="Set" dataDxfId="35"/>
    <tableColumn id="2" name="Runes" dataDxfId="34"/>
    <tableColumn id="3" name="Fatal Nbr" dataDxfId="33"/>
    <tableColumn id="4" name="Rage Nbr" dataDxfId="32"/>
    <tableColumn id="5" name="Blade Nbr" dataDxfId="31"/>
    <tableColumn id="6" name="Atk Mult" dataDxfId="30"/>
    <tableColumn id="7" name="CritD" dataDxfId="29"/>
    <tableColumn id="8" name="Atk % from subs" dataDxfId="28"/>
    <tableColumn id="9" name="Crit D % from subs" dataDxfId="27"/>
    <tableColumn id="10" name="% of Crit C from subs" dataDxfId="26"/>
    <tableColumn id="11" name="Nbr of Atk rune" dataDxfId="25"/>
    <tableColumn id="12" name="Nbr of Crit D rune" dataDxfId="24"/>
    <tableColumn id="13" name="Nbr of Crit C rune"/>
    <tableColumn id="14" name="Atk" dataDxfId="23"/>
    <tableColumn id="15" name="Dmg" dataDxfId="22"/>
    <tableColumn id="16" name="DmgC" dataDxfId="21"/>
    <tableColumn id="17" name="Crit Chance Basic" dataDxfId="20"/>
    <tableColumn id="18" name="Final Crit Chance" dataDxfId="19"/>
    <tableColumn id="19" name="AvgDmg" dataDxfId="18"/>
    <tableColumn id="20" name="AvgDmg Basic" dataDxfId="17"/>
    <tableColumn id="21" name="% change to basic" dataDxfId="16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15">
  <autoFilter ref="W20:AF42"/>
  <tableColumns count="10">
    <tableColumn id="1" name="Crit C" dataDxfId="14"/>
    <tableColumn id="2" name="Crit D" dataDxfId="13"/>
    <tableColumn id="3" name="Atk " dataDxfId="12"/>
    <tableColumn id="4" name="Set1" dataDxfId="11"/>
    <tableColumn id="5" name="Set2" dataDxfId="10"/>
    <tableColumn id="6" name="Rune1" dataDxfId="9"/>
    <tableColumn id="7" name="NBR R1"/>
    <tableColumn id="8" name="Rune2" dataDxfId="8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7">
  <autoFilter ref="A6:R38"/>
  <tableColumns count="18">
    <tableColumn id="1" name="Scenario"/>
    <tableColumn id="2" name="XP" dataDxfId="6">
      <calculatedColumnFormula>(2*$J7+$K7)/($R7-$Q7)*O7</calculatedColumnFormula>
    </tableColumn>
    <tableColumn id="3" name="Gold" dataDxfId="5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4"/>
    <tableColumn id="11" name="Ene normal" dataDxfId="3"/>
    <tableColumn id="12" name="Location" dataDxfId="2"/>
    <tableColumn id="13" name="LVL" dataDxfId="1"/>
    <tableColumn id="14" name="Stage" dataDxfId="0"/>
    <tableColumn id="15" name="XP Gain">
      <calculatedColumnFormula>SUMIFS(LocFeatures[[#All],[XP Train Gain]],LocFeatures[[#All],[Location]],Summary!$L7,LocFeatures[[#All],[LVL]],Summary!$M7,LocFeatures[[#All],[Stage]],Summary!$N7)</calculatedColumnFormula>
    </tableColumn>
    <tableColumn id="16" name="Mana Gain">
      <calculatedColumnFormula>SUMIFS(LocFeatures[[#All],[Drop worth gain]],LocFeatures[[#All],[Location]],Summary!$L7,LocFeatures[[#All],[LVL]],Summary!$M7,LocFeatures[[#All],[Stage]],Summary!$N7)</calculatedColumnFormula>
    </tableColumn>
    <tableColumn id="17" name="Energy Gain">
      <calculatedColumnFormula>SUMIFS(LocFeatures[[#All],[Energy gain]],LocFeatures[[#All],[Location]],Summary!$L7,LocFeatures[[#All],[LVL]],Summary!$M7,LocFeatures[[#All],[Stage]],Summary!$N7)</calculatedColumnFormula>
    </tableColumn>
    <tableColumn id="18" name="Energy Cost">
      <calculatedColumnFormula>SUMIFS(LocFeatures[[#All],[E. Cost]],LocFeatures[[#All],[Location]],Summary!$L7,LocFeatures[[#All],[LVL]],Summary!$M7,LocFeatures[[#All],[Stage]],Summary!$N7)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Views>
    <sheetView tabSelected="1" workbookViewId="0">
      <selection activeCell="M8" sqref="M8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6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72</v>
      </c>
      <c r="S1" t="s">
        <v>73</v>
      </c>
      <c r="T1" t="s">
        <v>74</v>
      </c>
      <c r="U1" t="s">
        <v>14</v>
      </c>
      <c r="V1" t="s">
        <v>76</v>
      </c>
      <c r="W1" t="s">
        <v>148</v>
      </c>
      <c r="X1" t="s">
        <v>75</v>
      </c>
      <c r="Y1" t="s">
        <v>77</v>
      </c>
    </row>
    <row r="2" spans="1:26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123</v>
      </c>
      <c r="N2" t="s">
        <v>124</v>
      </c>
      <c r="O2" t="s">
        <v>350</v>
      </c>
      <c r="P2" t="s">
        <v>127</v>
      </c>
      <c r="S2" t="s">
        <v>17</v>
      </c>
      <c r="T2">
        <v>150</v>
      </c>
      <c r="U2" t="s">
        <v>17</v>
      </c>
      <c r="V2">
        <f>Tabela3[[#This Row],[2*]]+0.401*F3</f>
        <v>800.21900000000005</v>
      </c>
      <c r="W2" s="17">
        <f>$T2*$B$2/$V2</f>
        <v>2834.2241311440989</v>
      </c>
      <c r="X2" s="17">
        <v>1600</v>
      </c>
      <c r="Y2" s="17">
        <f t="shared" ref="Y2:Y8" si="0">V2/T2</f>
        <v>5.3347933333333337</v>
      </c>
      <c r="Z2">
        <f>$B$2/V2</f>
        <v>18.894827540960662</v>
      </c>
    </row>
    <row r="3" spans="1:26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125</v>
      </c>
      <c r="M3">
        <f>5-Tabela6[[#This Row],[Done]]</f>
        <v>3</v>
      </c>
      <c r="N3">
        <v>2</v>
      </c>
      <c r="O3" s="49">
        <v>0</v>
      </c>
      <c r="P3" s="1">
        <v>0</v>
      </c>
      <c r="Q3">
        <v>0</v>
      </c>
      <c r="S3" t="s">
        <v>12</v>
      </c>
      <c r="T3">
        <v>500</v>
      </c>
      <c r="U3" t="s">
        <v>12</v>
      </c>
      <c r="V3">
        <f>F2+Tabela3[[#This Row],[2*]]+0.847*F4</f>
        <v>1759.665</v>
      </c>
      <c r="W3" s="17">
        <f>$T3*$B$3/$V3</f>
        <v>10178.641957418031</v>
      </c>
      <c r="X3" s="17">
        <v>4000</v>
      </c>
      <c r="Y3" s="17">
        <f t="shared" si="0"/>
        <v>3.5193300000000001</v>
      </c>
      <c r="Z3">
        <f>$B$3/V3</f>
        <v>20.357283914836064</v>
      </c>
    </row>
    <row r="4" spans="1:26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0</v>
      </c>
      <c r="N4">
        <v>5</v>
      </c>
      <c r="O4" s="49">
        <v>0</v>
      </c>
      <c r="P4" s="1">
        <f>M4*$B$5</f>
        <v>0</v>
      </c>
      <c r="Q4">
        <v>3</v>
      </c>
      <c r="S4" t="s">
        <v>12</v>
      </c>
      <c r="T4">
        <v>300</v>
      </c>
      <c r="U4" t="s">
        <v>17</v>
      </c>
      <c r="V4">
        <f>Tabela3[[#This Row],[2*]]+0.401*F5</f>
        <v>1007.379</v>
      </c>
      <c r="W4" s="17">
        <f>$T4*$B$3/$V4</f>
        <v>10667.881700928845</v>
      </c>
      <c r="X4" s="17">
        <v>4000</v>
      </c>
      <c r="Y4" s="17">
        <f t="shared" si="0"/>
        <v>3.3579300000000001</v>
      </c>
      <c r="Z4">
        <f>$B$3/V4</f>
        <v>35.559605669762817</v>
      </c>
    </row>
    <row r="5" spans="1:26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3</v>
      </c>
      <c r="N5">
        <v>9</v>
      </c>
      <c r="O5" s="49">
        <f>MAXA(-(4*M3-Tabela6[[#This Row],[Done]])-M4,0)</f>
        <v>0</v>
      </c>
      <c r="P5" s="1"/>
      <c r="Q5">
        <v>13</v>
      </c>
      <c r="S5" t="s">
        <v>12</v>
      </c>
      <c r="T5">
        <v>500</v>
      </c>
      <c r="U5" t="s">
        <v>12</v>
      </c>
      <c r="V5">
        <f>F4+Tabela3[[#This Row],[2*]]+0.847*F6</f>
        <v>2215.125</v>
      </c>
      <c r="W5" s="17">
        <f>$T5*$B$3/$V5</f>
        <v>8085.7739405225439</v>
      </c>
      <c r="X5" s="17">
        <v>4000</v>
      </c>
      <c r="Y5" s="17">
        <f t="shared" si="0"/>
        <v>4.43025</v>
      </c>
      <c r="Z5">
        <f>$B$3/V5</f>
        <v>16.171547881045086</v>
      </c>
    </row>
    <row r="6" spans="1:26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1</v>
      </c>
      <c r="N6">
        <v>2</v>
      </c>
      <c r="O6" s="49">
        <f>MAXA(-(M5+M4-O5-Tabela6[[#This Row],[Done]]),0)</f>
        <v>0</v>
      </c>
      <c r="P6" s="1">
        <f>M6*$B$4</f>
        <v>82182</v>
      </c>
      <c r="Q6">
        <v>0</v>
      </c>
      <c r="S6" t="s">
        <v>26</v>
      </c>
      <c r="T6">
        <v>450</v>
      </c>
      <c r="U6" t="s">
        <v>17</v>
      </c>
      <c r="V6">
        <f>G4+0.186*G5</f>
        <v>1008.096</v>
      </c>
      <c r="W6" s="17">
        <f>$T6*$B$4/$V6</f>
        <v>36684.899057232644</v>
      </c>
      <c r="X6" s="17">
        <v>9600</v>
      </c>
      <c r="Y6" s="17">
        <f t="shared" si="0"/>
        <v>2.2402133333333332</v>
      </c>
      <c r="Z6">
        <f>$B$4/V6</f>
        <v>81.521997904961438</v>
      </c>
    </row>
    <row r="7" spans="1:26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4</v>
      </c>
      <c r="N7">
        <v>5</v>
      </c>
      <c r="O7" s="49">
        <f>MAXA(-3*(M4+M5-O5)+Tabela6[[#This Row],[Done]],0)</f>
        <v>0</v>
      </c>
      <c r="P7" s="1"/>
      <c r="Q7">
        <v>9</v>
      </c>
      <c r="S7" t="s">
        <v>26</v>
      </c>
      <c r="T7">
        <v>750</v>
      </c>
      <c r="U7" t="s">
        <v>12</v>
      </c>
      <c r="V7">
        <f>G4+G5+0.489*G6</f>
        <v>2282.9610000000002</v>
      </c>
      <c r="W7" s="17">
        <f>$T7*$B$4/$V7</f>
        <v>26998.490118753667</v>
      </c>
      <c r="X7" s="17">
        <v>9600</v>
      </c>
      <c r="Y7" s="17">
        <f t="shared" si="0"/>
        <v>3.0439480000000003</v>
      </c>
      <c r="Z7">
        <f>$B$4/V7</f>
        <v>35.997986825004894</v>
      </c>
    </row>
    <row r="8" spans="1:26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126</v>
      </c>
      <c r="M8">
        <f>MAXA(M7+M6-O7-Tabela6[[#This Row],[Done]],0)</f>
        <v>3</v>
      </c>
      <c r="N8">
        <v>2</v>
      </c>
      <c r="O8" s="49">
        <f>MAXA(-(M7+M6-O7-Tabela6[[#This Row],[Done]]),0)</f>
        <v>0</v>
      </c>
      <c r="P8" s="1">
        <f>M8*$B$3</f>
        <v>107466</v>
      </c>
      <c r="Q8">
        <v>3</v>
      </c>
      <c r="S8" t="s">
        <v>27</v>
      </c>
      <c r="T8">
        <v>600</v>
      </c>
      <c r="U8" t="s">
        <v>17</v>
      </c>
      <c r="V8">
        <f>V4</f>
        <v>1007.379</v>
      </c>
      <c r="W8" s="17">
        <f>$T8*$B$5/$V8</f>
        <v>113016.05453359659</v>
      </c>
      <c r="X8" s="17">
        <v>22300</v>
      </c>
      <c r="Y8" s="17">
        <f t="shared" si="0"/>
        <v>1.678965</v>
      </c>
      <c r="Z8">
        <f>$B$5/V8</f>
        <v>188.36009088932764</v>
      </c>
    </row>
    <row r="9" spans="1:26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129</v>
      </c>
      <c r="M9" s="6">
        <f>MAXA(2*(M7+M6-O7)-Tabela6[[#This Row],[Done]],0)</f>
        <v>10</v>
      </c>
      <c r="N9">
        <v>0</v>
      </c>
      <c r="O9" s="49">
        <f>MAXA(-(4*M7-Tabela6[[#This Row],[Done]])-M8,0)</f>
        <v>0</v>
      </c>
      <c r="P9" s="45"/>
      <c r="Q9">
        <v>28</v>
      </c>
    </row>
    <row r="10" spans="1:26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168</v>
      </c>
      <c r="M10">
        <v>0</v>
      </c>
      <c r="N10">
        <v>0</v>
      </c>
      <c r="O10" s="49"/>
      <c r="P10" s="52">
        <f>Tabela6[[#This Row],[Missing]]*$B$2</f>
        <v>0</v>
      </c>
      <c r="Q10">
        <v>0</v>
      </c>
    </row>
    <row r="11" spans="1:26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169</v>
      </c>
      <c r="M11" s="6">
        <f>MAXA(2*M10-Tabela6[[#This Row],[Done]],0)</f>
        <v>0</v>
      </c>
      <c r="N11">
        <v>300</v>
      </c>
      <c r="O11" s="49"/>
      <c r="P11" s="45"/>
      <c r="Q11">
        <v>0</v>
      </c>
    </row>
    <row r="12" spans="1:26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128</v>
      </c>
      <c r="O12" s="44">
        <f>SUM(Tabela6[XP to gain])</f>
        <v>189648</v>
      </c>
    </row>
    <row r="13" spans="1:26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6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123</v>
      </c>
      <c r="N14" t="s">
        <v>124</v>
      </c>
      <c r="O14" t="s">
        <v>127</v>
      </c>
      <c r="P14" t="s">
        <v>35</v>
      </c>
    </row>
    <row r="15" spans="1:26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125</v>
      </c>
      <c r="M15">
        <v>0</v>
      </c>
      <c r="N15">
        <v>0</v>
      </c>
      <c r="O15" s="1">
        <v>0</v>
      </c>
    </row>
    <row r="16" spans="1:26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126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129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168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169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128</v>
      </c>
      <c r="O24" s="44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41" t="s">
        <v>243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123</v>
      </c>
      <c r="N27" t="s">
        <v>124</v>
      </c>
      <c r="O27" t="s">
        <v>127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351</v>
      </c>
      <c r="M28">
        <f>4-Tabela610[[#This Row],[Done]]</f>
        <v>3</v>
      </c>
      <c r="N28">
        <v>1</v>
      </c>
      <c r="O28" s="1">
        <f>Tabela610[[#This Row],[Missing]]*$B$6</f>
        <v>1339941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0</v>
      </c>
      <c r="N30">
        <v>14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v>10</v>
      </c>
      <c r="O31" s="1">
        <f>M31*$B$4</f>
        <v>0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0</v>
      </c>
      <c r="N32">
        <v>14</v>
      </c>
      <c r="O32" s="1"/>
    </row>
    <row r="33" spans="4:15">
      <c r="D33">
        <v>32</v>
      </c>
      <c r="I33">
        <v>43048</v>
      </c>
      <c r="J33">
        <v>51990</v>
      </c>
      <c r="L33" t="s">
        <v>126</v>
      </c>
      <c r="M33">
        <f>MAXA(3+M32-Tabela610[[#This Row],[Done]],0)</f>
        <v>3</v>
      </c>
      <c r="N33">
        <v>0</v>
      </c>
      <c r="O33" s="1">
        <f>M33*$B$3</f>
        <v>107466</v>
      </c>
    </row>
    <row r="34" spans="4:15">
      <c r="D34">
        <v>33</v>
      </c>
      <c r="I34">
        <v>49617</v>
      </c>
      <c r="J34">
        <v>59924</v>
      </c>
      <c r="L34" s="6" t="s">
        <v>129</v>
      </c>
      <c r="M34" s="6">
        <f>MAXA(2*(M31+M32-10)-Tabela610[[#This Row],[Done]],0)</f>
        <v>0</v>
      </c>
      <c r="N34">
        <v>0</v>
      </c>
      <c r="O34" s="45"/>
    </row>
    <row r="35" spans="4:15">
      <c r="D35">
        <v>34</v>
      </c>
      <c r="I35">
        <v>57188</v>
      </c>
      <c r="J35">
        <v>69068</v>
      </c>
      <c r="L35" t="s">
        <v>168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169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128</v>
      </c>
      <c r="O37" s="44">
        <f>SUM(Tabela610[XP to gain])</f>
        <v>1826907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zoomScale="85" zoomScaleNormal="85" workbookViewId="0">
      <pane ySplit="1" topLeftCell="A1083" activePane="bottomLeft" state="frozen"/>
      <selection pane="bottomLeft" activeCell="A1126" sqref="A112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211</v>
      </c>
      <c r="I1" t="s">
        <v>182</v>
      </c>
      <c r="J1" t="s">
        <v>181</v>
      </c>
      <c r="K1" t="s">
        <v>188</v>
      </c>
      <c r="L1" t="s">
        <v>186</v>
      </c>
      <c r="M1" t="s">
        <v>283</v>
      </c>
      <c r="O1" t="s">
        <v>11</v>
      </c>
      <c r="P1" t="s">
        <v>211</v>
      </c>
      <c r="Q1" t="s">
        <v>181</v>
      </c>
      <c r="R1" t="s">
        <v>188</v>
      </c>
      <c r="S1" t="s">
        <v>186</v>
      </c>
      <c r="T1" t="s">
        <v>311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9">
        <f>IFERROR(SUMIFS(Tabela10[Fod Worth],Tabela10[Drop],DropAnalityka[[#This Row],[Drop]],Tabela10[Grade],DropAnalityka[[#This Row],[Grade]])*DropAnalityka[[#This Row],[Quality/Quantity]],0)</f>
        <v>0</v>
      </c>
      <c r="L2" s="49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9">
        <f>IFERROR(SUMIFS(Tabela10[Fod Worth],Tabela10[Drop],DropAnalityka[[#This Row],[Drop]],Tabela10[Grade],DropAnalityka[[#This Row],[Grade]])*DropAnalityka[[#This Row],[Quality/Quantity]],0)</f>
        <v>0</v>
      </c>
      <c r="L3" s="49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9">
        <f>IFERROR(SUMIFS(Tabela10[Fod Worth],Tabela10[Drop],DropAnalityka[[#This Row],[Drop]],Tabela10[Grade],DropAnalityka[[#This Row],[Grade]])*DropAnalityka[[#This Row],[Quality/Quantity]],0)</f>
        <v>11500</v>
      </c>
      <c r="L4" s="49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9">
        <f>IFERROR(SUMIFS(Tabela10[Fod Worth],Tabela10[Drop],DropAnalityka[[#This Row],[Drop]],Tabela10[Grade],DropAnalityka[[#This Row],[Grade]])*DropAnalityka[[#This Row],[Quality/Quantity]],0)</f>
        <v>0</v>
      </c>
      <c r="L5" s="49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9">
        <f>IFERROR(SUMIFS(Tabela10[Fod Worth],Tabela10[Drop],DropAnalityka[[#This Row],[Drop]],Tabela10[Grade],DropAnalityka[[#This Row],[Grade]])*DropAnalityka[[#This Row],[Quality/Quantity]],0)</f>
        <v>0</v>
      </c>
      <c r="L6" s="49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9">
        <f>IFERROR(SUMIFS(Tabela10[Fod Worth],Tabela10[Drop],DropAnalityka[[#This Row],[Drop]],Tabela10[Grade],DropAnalityka[[#This Row],[Grade]])*DropAnalityka[[#This Row],[Quality/Quantity]],0)</f>
        <v>0</v>
      </c>
      <c r="L7" s="49">
        <f>IFERROR(SUMIFS(Tabela10[Exp Gain only 2*+],Tabela10[Drop],DropAnalityka[[#This Row],[Drop]],Tabela10[Grade],DropAnalityka[[#This Row],[Grade]])*DropAnalityka[[#This Row],[Quality/Quantity]],0)</f>
        <v>0</v>
      </c>
      <c r="O7" t="s">
        <v>310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9">
        <f>IFERROR(SUMIFS(Tabela10[Fod Worth],Tabela10[Drop],DropAnalityka[[#This Row],[Drop]],Tabela10[Grade],DropAnalityka[[#This Row],[Grade]])*DropAnalityka[[#This Row],[Quality/Quantity]],0)</f>
        <v>0</v>
      </c>
      <c r="L8" s="49">
        <f>IFERROR(SUMIFS(Tabela10[Exp Gain only 2*+],Tabela10[Drop],DropAnalityka[[#This Row],[Drop]],Tabela10[Grade],DropAnalityka[[#This Row],[Grade]])*DropAnalityka[[#This Row],[Quality/Quantity]],0)</f>
        <v>800</v>
      </c>
      <c r="O8" t="s">
        <v>215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9">
        <f>IFERROR(SUMIFS(Tabela10[Fod Worth],Tabela10[Drop],DropAnalityka[[#This Row],[Drop]],Tabela10[Grade],DropAnalityka[[#This Row],[Grade]])*DropAnalityka[[#This Row],[Quality/Quantity]],0)</f>
        <v>11500</v>
      </c>
      <c r="L9" s="49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9">
        <f>IFERROR(SUMIFS(Tabela10[Fod Worth],Tabela10[Drop],DropAnalityka[[#This Row],[Drop]],Tabela10[Grade],DropAnalityka[[#This Row],[Grade]])*DropAnalityka[[#This Row],[Quality/Quantity]],0)</f>
        <v>0</v>
      </c>
      <c r="L10" s="49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9">
        <f>IFERROR(SUMIFS(Tabela10[Fod Worth],Tabela10[Drop],DropAnalityka[[#This Row],[Drop]],Tabela10[Grade],DropAnalityka[[#This Row],[Grade]])*DropAnalityka[[#This Row],[Quality/Quantity]],0)</f>
        <v>0</v>
      </c>
      <c r="L11" s="49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9">
        <f>IFERROR(SUMIFS(Tabela10[Fod Worth],Tabela10[Drop],DropAnalityka[[#This Row],[Drop]],Tabela10[Grade],DropAnalityka[[#This Row],[Grade]])*DropAnalityka[[#This Row],[Quality/Quantity]],0)</f>
        <v>11500</v>
      </c>
      <c r="L12" s="49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9">
        <f>IFERROR(SUMIFS(Tabela10[Fod Worth],Tabela10[Drop],DropAnalityka[[#This Row],[Drop]],Tabela10[Grade],DropAnalityka[[#This Row],[Grade]])*DropAnalityka[[#This Row],[Quality/Quantity]],0)</f>
        <v>0</v>
      </c>
      <c r="L13" s="49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9">
        <f>IFERROR(SUMIFS(Tabela10[Fod Worth],Tabela10[Drop],DropAnalityka[[#This Row],[Drop]],Tabela10[Grade],DropAnalityka[[#This Row],[Grade]])*DropAnalityka[[#This Row],[Quality/Quantity]],0)</f>
        <v>0</v>
      </c>
      <c r="L14" s="49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9">
        <f>IFERROR(SUMIFS(Tabela10[Fod Worth],Tabela10[Drop],DropAnalityka[[#This Row],[Drop]],Tabela10[Grade],DropAnalityka[[#This Row],[Grade]])*DropAnalityka[[#This Row],[Quality/Quantity]],0)</f>
        <v>0</v>
      </c>
      <c r="L15" s="49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9">
        <f>IFERROR(SUMIFS(Tabela10[Fod Worth],Tabela10[Drop],DropAnalityka[[#This Row],[Drop]],Tabela10[Grade],DropAnalityka[[#This Row],[Grade]])*DropAnalityka[[#This Row],[Quality/Quantity]],0)</f>
        <v>0</v>
      </c>
      <c r="L16" s="49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9">
        <f>IFERROR(SUMIFS(Tabela10[Fod Worth],Tabela10[Drop],DropAnalityka[[#This Row],[Drop]],Tabela10[Grade],DropAnalityka[[#This Row],[Grade]])*DropAnalityka[[#This Row],[Quality/Quantity]],0)</f>
        <v>0</v>
      </c>
      <c r="L17" s="49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9">
        <f>IFERROR(SUMIFS(Tabela10[Fod Worth],Tabela10[Drop],DropAnalityka[[#This Row],[Drop]],Tabela10[Grade],DropAnalityka[[#This Row],[Grade]])*DropAnalityka[[#This Row],[Quality/Quantity]],0)</f>
        <v>0</v>
      </c>
      <c r="L18" s="49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9">
        <f>IFERROR(SUMIFS(Tabela10[Fod Worth],Tabela10[Drop],DropAnalityka[[#This Row],[Drop]],Tabela10[Grade],DropAnalityka[[#This Row],[Grade]])*DropAnalityka[[#This Row],[Quality/Quantity]],0)</f>
        <v>0</v>
      </c>
      <c r="L19" s="49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9">
        <f>IFERROR(SUMIFS(Tabela10[Fod Worth],Tabela10[Drop],DropAnalityka[[#This Row],[Drop]],Tabela10[Grade],DropAnalityka[[#This Row],[Grade]])*DropAnalityka[[#This Row],[Quality/Quantity]],0)</f>
        <v>0</v>
      </c>
      <c r="L20" s="49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9">
        <f>IFERROR(SUMIFS(Tabela10[Fod Worth],Tabela10[Drop],DropAnalityka[[#This Row],[Drop]],Tabela10[Grade],DropAnalityka[[#This Row],[Grade]])*DropAnalityka[[#This Row],[Quality/Quantity]],0)</f>
        <v>0</v>
      </c>
      <c r="L21" s="49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9">
        <f>IFERROR(SUMIFS(Tabela10[Fod Worth],Tabela10[Drop],DropAnalityka[[#This Row],[Drop]],Tabela10[Grade],DropAnalityka[[#This Row],[Grade]])*DropAnalityka[[#This Row],[Quality/Quantity]],0)</f>
        <v>0</v>
      </c>
      <c r="L22" s="49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9">
        <f>IFERROR(SUMIFS(Tabela10[Fod Worth],Tabela10[Drop],DropAnalityka[[#This Row],[Drop]],Tabela10[Grade],DropAnalityka[[#This Row],[Grade]])*DropAnalityka[[#This Row],[Quality/Quantity]],0)</f>
        <v>0</v>
      </c>
      <c r="L23" s="49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9">
        <f>IFERROR(SUMIFS(Tabela10[Fod Worth],Tabela10[Drop],DropAnalityka[[#This Row],[Drop]],Tabela10[Grade],DropAnalityka[[#This Row],[Grade]])*DropAnalityka[[#This Row],[Quality/Quantity]],0)</f>
        <v>0</v>
      </c>
      <c r="L24" s="49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9">
        <f>IFERROR(SUMIFS(Tabela10[Fod Worth],Tabela10[Drop],DropAnalityka[[#This Row],[Drop]],Tabela10[Grade],DropAnalityka[[#This Row],[Grade]])*DropAnalityka[[#This Row],[Quality/Quantity]],0)</f>
        <v>0</v>
      </c>
      <c r="L25" s="49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9">
        <f>IFERROR(SUMIFS(Tabela10[Fod Worth],Tabela10[Drop],DropAnalityka[[#This Row],[Drop]],Tabela10[Grade],DropAnalityka[[#This Row],[Grade]])*DropAnalityka[[#This Row],[Quality/Quantity]],0)</f>
        <v>0</v>
      </c>
      <c r="L26" s="49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9">
        <f>IFERROR(SUMIFS(Tabela10[Fod Worth],Tabela10[Drop],DropAnalityka[[#This Row],[Drop]],Tabela10[Grade],DropAnalityka[[#This Row],[Grade]])*DropAnalityka[[#This Row],[Quality/Quantity]],0)</f>
        <v>0</v>
      </c>
      <c r="L27" s="49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9">
        <f>IFERROR(SUMIFS(Tabela10[Fod Worth],Tabela10[Drop],DropAnalityka[[#This Row],[Drop]],Tabela10[Grade],DropAnalityka[[#This Row],[Grade]])*DropAnalityka[[#This Row],[Quality/Quantity]],0)</f>
        <v>0</v>
      </c>
      <c r="L28" s="49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9">
        <f>IFERROR(SUMIFS(Tabela10[Fod Worth],Tabela10[Drop],DropAnalityka[[#This Row],[Drop]],Tabela10[Grade],DropAnalityka[[#This Row],[Grade]])*DropAnalityka[[#This Row],[Quality/Quantity]],0)</f>
        <v>0</v>
      </c>
      <c r="L29" s="49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9">
        <f>IFERROR(SUMIFS(Tabela10[Fod Worth],Tabela10[Drop],DropAnalityka[[#This Row],[Drop]],Tabela10[Grade],DropAnalityka[[#This Row],[Grade]])*DropAnalityka[[#This Row],[Quality/Quantity]],0)</f>
        <v>0</v>
      </c>
      <c r="L30" s="49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9">
        <f>IFERROR(SUMIFS(Tabela10[Fod Worth],Tabela10[Drop],DropAnalityka[[#This Row],[Drop]],Tabela10[Grade],DropAnalityka[[#This Row],[Grade]])*DropAnalityka[[#This Row],[Quality/Quantity]],0)</f>
        <v>0</v>
      </c>
      <c r="L31" s="49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9">
        <f>IFERROR(SUMIFS(Tabela10[Fod Worth],Tabela10[Drop],DropAnalityka[[#This Row],[Drop]],Tabela10[Grade],DropAnalityka[[#This Row],[Grade]])*DropAnalityka[[#This Row],[Quality/Quantity]],0)</f>
        <v>0</v>
      </c>
      <c r="L32" s="49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9">
        <f>IFERROR(SUMIFS(Tabela10[Fod Worth],Tabela10[Drop],DropAnalityka[[#This Row],[Drop]],Tabela10[Grade],DropAnalityka[[#This Row],[Grade]])*DropAnalityka[[#This Row],[Quality/Quantity]],0)</f>
        <v>0</v>
      </c>
      <c r="L33" s="49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9">
        <f>IFERROR(SUMIFS(Tabela10[Fod Worth],Tabela10[Drop],DropAnalityka[[#This Row],[Drop]],Tabela10[Grade],DropAnalityka[[#This Row],[Grade]])*DropAnalityka[[#This Row],[Quality/Quantity]],0)</f>
        <v>0</v>
      </c>
      <c r="L34" s="49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9">
        <f>IFERROR(SUMIFS(Tabela10[Fod Worth],Tabela10[Drop],DropAnalityka[[#This Row],[Drop]],Tabela10[Grade],DropAnalityka[[#This Row],[Grade]])*DropAnalityka[[#This Row],[Quality/Quantity]],0)</f>
        <v>0</v>
      </c>
      <c r="L35" s="49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9">
        <f>IFERROR(SUMIFS(Tabela10[Fod Worth],Tabela10[Drop],DropAnalityka[[#This Row],[Drop]],Tabela10[Grade],DropAnalityka[[#This Row],[Grade]])*DropAnalityka[[#This Row],[Quality/Quantity]],0)</f>
        <v>0</v>
      </c>
      <c r="L36" s="49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9">
        <f>IFERROR(SUMIFS(Tabela10[Fod Worth],Tabela10[Drop],DropAnalityka[[#This Row],[Drop]],Tabela10[Grade],DropAnalityka[[#This Row],[Grade]])*DropAnalityka[[#This Row],[Quality/Quantity]],0)</f>
        <v>0</v>
      </c>
      <c r="L37" s="49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9">
        <f>IFERROR(SUMIFS(Tabela10[Fod Worth],Tabela10[Drop],DropAnalityka[[#This Row],[Drop]],Tabela10[Grade],DropAnalityka[[#This Row],[Grade]])*DropAnalityka[[#This Row],[Quality/Quantity]],0)</f>
        <v>0</v>
      </c>
      <c r="L38" s="49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9">
        <f>IFERROR(SUMIFS(Tabela10[Fod Worth],Tabela10[Drop],DropAnalityka[[#This Row],[Drop]],Tabela10[Grade],DropAnalityka[[#This Row],[Grade]])*DropAnalityka[[#This Row],[Quality/Quantity]],0)</f>
        <v>0</v>
      </c>
      <c r="L39" s="49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9">
        <f>IFERROR(SUMIFS(Tabela10[Fod Worth],Tabela10[Drop],DropAnalityka[[#This Row],[Drop]],Tabela10[Grade],DropAnalityka[[#This Row],[Grade]])*DropAnalityka[[#This Row],[Quality/Quantity]],0)</f>
        <v>0</v>
      </c>
      <c r="L40" s="49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9">
        <f>IFERROR(SUMIFS(Tabela10[Fod Worth],Tabela10[Drop],DropAnalityka[[#This Row],[Drop]],Tabela10[Grade],DropAnalityka[[#This Row],[Grade]])*DropAnalityka[[#This Row],[Quality/Quantity]],0)</f>
        <v>0</v>
      </c>
      <c r="L41" s="49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9">
        <f>IFERROR(SUMIFS(Tabela10[Fod Worth],Tabela10[Drop],DropAnalityka[[#This Row],[Drop]],Tabela10[Grade],DropAnalityka[[#This Row],[Grade]])*DropAnalityka[[#This Row],[Quality/Quantity]],0)</f>
        <v>0</v>
      </c>
      <c r="L42" s="49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9">
        <f>IFERROR(SUMIFS(Tabela10[Fod Worth],Tabela10[Drop],DropAnalityka[[#This Row],[Drop]],Tabela10[Grade],DropAnalityka[[#This Row],[Grade]])*DropAnalityka[[#This Row],[Quality/Quantity]],0)</f>
        <v>0</v>
      </c>
      <c r="L43" s="49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9">
        <f>IFERROR(SUMIFS(Tabela10[Fod Worth],Tabela10[Drop],DropAnalityka[[#This Row],[Drop]],Tabela10[Grade],DropAnalityka[[#This Row],[Grade]])*DropAnalityka[[#This Row],[Quality/Quantity]],0)</f>
        <v>0</v>
      </c>
      <c r="L44" s="49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9">
        <f>IFERROR(SUMIFS(Tabela10[Fod Worth],Tabela10[Drop],DropAnalityka[[#This Row],[Drop]],Tabela10[Grade],DropAnalityka[[#This Row],[Grade]])*DropAnalityka[[#This Row],[Quality/Quantity]],0)</f>
        <v>0</v>
      </c>
      <c r="L45" s="49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9">
        <f>IFERROR(SUMIFS(Tabela10[Fod Worth],Tabela10[Drop],DropAnalityka[[#This Row],[Drop]],Tabela10[Grade],DropAnalityka[[#This Row],[Grade]])*DropAnalityka[[#This Row],[Quality/Quantity]],0)</f>
        <v>0</v>
      </c>
      <c r="L46" s="49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9">
        <f>IFERROR(SUMIFS(Tabela10[Fod Worth],Tabela10[Drop],DropAnalityka[[#This Row],[Drop]],Tabela10[Grade],DropAnalityka[[#This Row],[Grade]])*DropAnalityka[[#This Row],[Quality/Quantity]],0)</f>
        <v>0</v>
      </c>
      <c r="L47" s="49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9">
        <f>IFERROR(SUMIFS(Tabela10[Fod Worth],Tabela10[Drop],DropAnalityka[[#This Row],[Drop]],Tabela10[Grade],DropAnalityka[[#This Row],[Grade]])*DropAnalityka[[#This Row],[Quality/Quantity]],0)</f>
        <v>0</v>
      </c>
      <c r="L48" s="49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9">
        <f>IFERROR(SUMIFS(Tabela10[Fod Worth],Tabela10[Drop],DropAnalityka[[#This Row],[Drop]],Tabela10[Grade],DropAnalityka[[#This Row],[Grade]])*DropAnalityka[[#This Row],[Quality/Quantity]],0)</f>
        <v>0</v>
      </c>
      <c r="L49" s="49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9">
        <f>IFERROR(SUMIFS(Tabela10[Fod Worth],Tabela10[Drop],DropAnalityka[[#This Row],[Drop]],Tabela10[Grade],DropAnalityka[[#This Row],[Grade]])*DropAnalityka[[#This Row],[Quality/Quantity]],0)</f>
        <v>0</v>
      </c>
      <c r="L50" s="49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9">
        <f>IFERROR(SUMIFS(Tabela10[Fod Worth],Tabela10[Drop],DropAnalityka[[#This Row],[Drop]],Tabela10[Grade],DropAnalityka[[#This Row],[Grade]])*DropAnalityka[[#This Row],[Quality/Quantity]],0)</f>
        <v>0</v>
      </c>
      <c r="L51" s="49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9">
        <f>IFERROR(SUMIFS(Tabela10[Fod Worth],Tabela10[Drop],DropAnalityka[[#This Row],[Drop]],Tabela10[Grade],DropAnalityka[[#This Row],[Grade]])*DropAnalityka[[#This Row],[Quality/Quantity]],0)</f>
        <v>0</v>
      </c>
      <c r="L52" s="49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9">
        <f>IFERROR(SUMIFS(Tabela10[Fod Worth],Tabela10[Drop],DropAnalityka[[#This Row],[Drop]],Tabela10[Grade],DropAnalityka[[#This Row],[Grade]])*DropAnalityka[[#This Row],[Quality/Quantity]],0)</f>
        <v>0</v>
      </c>
      <c r="L53" s="49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9">
        <f>IFERROR(SUMIFS(Tabela10[Fod Worth],Tabela10[Drop],DropAnalityka[[#This Row],[Drop]],Tabela10[Grade],DropAnalityka[[#This Row],[Grade]])*DropAnalityka[[#This Row],[Quality/Quantity]],0)</f>
        <v>0</v>
      </c>
      <c r="L54" s="49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9">
        <f>IFERROR(SUMIFS(Tabela10[Fod Worth],Tabela10[Drop],DropAnalityka[[#This Row],[Drop]],Tabela10[Grade],DropAnalityka[[#This Row],[Grade]])*DropAnalityka[[#This Row],[Quality/Quantity]],0)</f>
        <v>0</v>
      </c>
      <c r="L55" s="49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9">
        <f>IFERROR(SUMIFS(Tabela10[Fod Worth],Tabela10[Drop],DropAnalityka[[#This Row],[Drop]],Tabela10[Grade],DropAnalityka[[#This Row],[Grade]])*DropAnalityka[[#This Row],[Quality/Quantity]],0)</f>
        <v>0</v>
      </c>
      <c r="L56" s="49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9">
        <f>IFERROR(SUMIFS(Tabela10[Fod Worth],Tabela10[Drop],DropAnalityka[[#This Row],[Drop]],Tabela10[Grade],DropAnalityka[[#This Row],[Grade]])*DropAnalityka[[#This Row],[Quality/Quantity]],0)</f>
        <v>0</v>
      </c>
      <c r="L57" s="49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9">
        <f>IFERROR(SUMIFS(Tabela10[Fod Worth],Tabela10[Drop],DropAnalityka[[#This Row],[Drop]],Tabela10[Grade],DropAnalityka[[#This Row],[Grade]])*DropAnalityka[[#This Row],[Quality/Quantity]],0)</f>
        <v>0</v>
      </c>
      <c r="L58" s="49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9">
        <f>IFERROR(SUMIFS(Tabela10[Fod Worth],Tabela10[Drop],DropAnalityka[[#This Row],[Drop]],Tabela10[Grade],DropAnalityka[[#This Row],[Grade]])*DropAnalityka[[#This Row],[Quality/Quantity]],0)</f>
        <v>0</v>
      </c>
      <c r="L59" s="49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9">
        <f>IFERROR(SUMIFS(Tabela10[Fod Worth],Tabela10[Drop],DropAnalityka[[#This Row],[Drop]],Tabela10[Grade],DropAnalityka[[#This Row],[Grade]])*DropAnalityka[[#This Row],[Quality/Quantity]],0)</f>
        <v>0</v>
      </c>
      <c r="L60" s="49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9">
        <f>IFERROR(SUMIFS(Tabela10[Fod Worth],Tabela10[Drop],DropAnalityka[[#This Row],[Drop]],Tabela10[Grade],DropAnalityka[[#This Row],[Grade]])*DropAnalityka[[#This Row],[Quality/Quantity]],0)</f>
        <v>0</v>
      </c>
      <c r="L61" s="49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9">
        <f>IFERROR(SUMIFS(Tabela10[Fod Worth],Tabela10[Drop],DropAnalityka[[#This Row],[Drop]],Tabela10[Grade],DropAnalityka[[#This Row],[Grade]])*DropAnalityka[[#This Row],[Quality/Quantity]],0)</f>
        <v>0</v>
      </c>
      <c r="L62" s="49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9">
        <f>IFERROR(SUMIFS(Tabela10[Fod Worth],Tabela10[Drop],DropAnalityka[[#This Row],[Drop]],Tabela10[Grade],DropAnalityka[[#This Row],[Grade]])*DropAnalityka[[#This Row],[Quality/Quantity]],0)</f>
        <v>0</v>
      </c>
      <c r="L63" s="49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9">
        <f>IFERROR(SUMIFS(Tabela10[Fod Worth],Tabela10[Drop],DropAnalityka[[#This Row],[Drop]],Tabela10[Grade],DropAnalityka[[#This Row],[Grade]])*DropAnalityka[[#This Row],[Quality/Quantity]],0)</f>
        <v>0</v>
      </c>
      <c r="L64" s="49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9">
        <f>IFERROR(SUMIFS(Tabela10[Fod Worth],Tabela10[Drop],DropAnalityka[[#This Row],[Drop]],Tabela10[Grade],DropAnalityka[[#This Row],[Grade]])*DropAnalityka[[#This Row],[Quality/Quantity]],0)</f>
        <v>0</v>
      </c>
      <c r="L65" s="49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9">
        <f>IFERROR(SUMIFS(Tabela10[Fod Worth],Tabela10[Drop],DropAnalityka[[#This Row],[Drop]],Tabela10[Grade],DropAnalityka[[#This Row],[Grade]])*DropAnalityka[[#This Row],[Quality/Quantity]],0)</f>
        <v>0</v>
      </c>
      <c r="L66" s="49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9">
        <f>IFERROR(SUMIFS(Tabela10[Fod Worth],Tabela10[Drop],DropAnalityka[[#This Row],[Drop]],Tabela10[Grade],DropAnalityka[[#This Row],[Grade]])*DropAnalityka[[#This Row],[Quality/Quantity]],0)</f>
        <v>0</v>
      </c>
      <c r="L67" s="49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9">
        <f>IFERROR(SUMIFS(Tabela10[Fod Worth],Tabela10[Drop],DropAnalityka[[#This Row],[Drop]],Tabela10[Grade],DropAnalityka[[#This Row],[Grade]])*DropAnalityka[[#This Row],[Quality/Quantity]],0)</f>
        <v>0</v>
      </c>
      <c r="L68" s="49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9">
        <f>IFERROR(SUMIFS(Tabela10[Fod Worth],Tabela10[Drop],DropAnalityka[[#This Row],[Drop]],Tabela10[Grade],DropAnalityka[[#This Row],[Grade]])*DropAnalityka[[#This Row],[Quality/Quantity]],0)</f>
        <v>0</v>
      </c>
      <c r="L69" s="49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9">
        <f>IFERROR(SUMIFS(Tabela10[Fod Worth],Tabela10[Drop],DropAnalityka[[#This Row],[Drop]],Tabela10[Grade],DropAnalityka[[#This Row],[Grade]])*DropAnalityka[[#This Row],[Quality/Quantity]],0)</f>
        <v>0</v>
      </c>
      <c r="L70" s="49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9">
        <f>IFERROR(SUMIFS(Tabela10[Fod Worth],Tabela10[Drop],DropAnalityka[[#This Row],[Drop]],Tabela10[Grade],DropAnalityka[[#This Row],[Grade]])*DropAnalityka[[#This Row],[Quality/Quantity]],0)</f>
        <v>11500</v>
      </c>
      <c r="L71" s="49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9">
        <f>IFERROR(SUMIFS(Tabela10[Fod Worth],Tabela10[Drop],DropAnalityka[[#This Row],[Drop]],Tabela10[Grade],DropAnalityka[[#This Row],[Grade]])*DropAnalityka[[#This Row],[Quality/Quantity]],0)</f>
        <v>0</v>
      </c>
      <c r="L72" s="49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9">
        <f>IFERROR(SUMIFS(Tabela10[Fod Worth],Tabela10[Drop],DropAnalityka[[#This Row],[Drop]],Tabela10[Grade],DropAnalityka[[#This Row],[Grade]])*DropAnalityka[[#This Row],[Quality/Quantity]],0)</f>
        <v>0</v>
      </c>
      <c r="L73" s="49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9">
        <f>IFERROR(SUMIFS(Tabela10[Fod Worth],Tabela10[Drop],DropAnalityka[[#This Row],[Drop]],Tabela10[Grade],DropAnalityka[[#This Row],[Grade]])*DropAnalityka[[#This Row],[Quality/Quantity]],0)</f>
        <v>0</v>
      </c>
      <c r="L74" s="49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9">
        <f>IFERROR(SUMIFS(Tabela10[Fod Worth],Tabela10[Drop],DropAnalityka[[#This Row],[Drop]],Tabela10[Grade],DropAnalityka[[#This Row],[Grade]])*DropAnalityka[[#This Row],[Quality/Quantity]],0)</f>
        <v>11500</v>
      </c>
      <c r="L75" s="49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9">
        <f>IFERROR(SUMIFS(Tabela10[Fod Worth],Tabela10[Drop],DropAnalityka[[#This Row],[Drop]],Tabela10[Grade],DropAnalityka[[#This Row],[Grade]])*DropAnalityka[[#This Row],[Quality/Quantity]],0)</f>
        <v>0</v>
      </c>
      <c r="L76" s="49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9">
        <f>IFERROR(SUMIFS(Tabela10[Fod Worth],Tabela10[Drop],DropAnalityka[[#This Row],[Drop]],Tabela10[Grade],DropAnalityka[[#This Row],[Grade]])*DropAnalityka[[#This Row],[Quality/Quantity]],0)</f>
        <v>0</v>
      </c>
      <c r="L77" s="49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9">
        <f>IFERROR(SUMIFS(Tabela10[Fod Worth],Tabela10[Drop],DropAnalityka[[#This Row],[Drop]],Tabela10[Grade],DropAnalityka[[#This Row],[Grade]])*DropAnalityka[[#This Row],[Quality/Quantity]],0)</f>
        <v>0</v>
      </c>
      <c r="L78" s="49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9">
        <f>IFERROR(SUMIFS(Tabela10[Fod Worth],Tabela10[Drop],DropAnalityka[[#This Row],[Drop]],Tabela10[Grade],DropAnalityka[[#This Row],[Grade]])*DropAnalityka[[#This Row],[Quality/Quantity]],0)</f>
        <v>0</v>
      </c>
      <c r="L79" s="49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9">
        <f>IFERROR(SUMIFS(Tabela10[Fod Worth],Tabela10[Drop],DropAnalityka[[#This Row],[Drop]],Tabela10[Grade],DropAnalityka[[#This Row],[Grade]])*DropAnalityka[[#This Row],[Quality/Quantity]],0)</f>
        <v>0</v>
      </c>
      <c r="L80" s="49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9">
        <f>IFERROR(SUMIFS(Tabela10[Fod Worth],Tabela10[Drop],DropAnalityka[[#This Row],[Drop]],Tabela10[Grade],DropAnalityka[[#This Row],[Grade]])*DropAnalityka[[#This Row],[Quality/Quantity]],0)</f>
        <v>0</v>
      </c>
      <c r="L81" s="49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9">
        <f>IFERROR(SUMIFS(Tabela10[Fod Worth],Tabela10[Drop],DropAnalityka[[#This Row],[Drop]],Tabela10[Grade],DropAnalityka[[#This Row],[Grade]])*DropAnalityka[[#This Row],[Quality/Quantity]],0)</f>
        <v>0</v>
      </c>
      <c r="L82" s="49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9">
        <f>IFERROR(SUMIFS(Tabela10[Fod Worth],Tabela10[Drop],DropAnalityka[[#This Row],[Drop]],Tabela10[Grade],DropAnalityka[[#This Row],[Grade]])*DropAnalityka[[#This Row],[Quality/Quantity]],0)</f>
        <v>0</v>
      </c>
      <c r="L83" s="49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9">
        <f>IFERROR(SUMIFS(Tabela10[Fod Worth],Tabela10[Drop],DropAnalityka[[#This Row],[Drop]],Tabela10[Grade],DropAnalityka[[#This Row],[Grade]])*DropAnalityka[[#This Row],[Quality/Quantity]],0)</f>
        <v>0</v>
      </c>
      <c r="L84" s="49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9">
        <f>IFERROR(SUMIFS(Tabela10[Fod Worth],Tabela10[Drop],DropAnalityka[[#This Row],[Drop]],Tabela10[Grade],DropAnalityka[[#This Row],[Grade]])*DropAnalityka[[#This Row],[Quality/Quantity]],0)</f>
        <v>0</v>
      </c>
      <c r="L85" s="49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9">
        <f>IFERROR(SUMIFS(Tabela10[Fod Worth],Tabela10[Drop],DropAnalityka[[#This Row],[Drop]],Tabela10[Grade],DropAnalityka[[#This Row],[Grade]])*DropAnalityka[[#This Row],[Quality/Quantity]],0)</f>
        <v>0</v>
      </c>
      <c r="L86" s="49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9">
        <f>IFERROR(SUMIFS(Tabela10[Fod Worth],Tabela10[Drop],DropAnalityka[[#This Row],[Drop]],Tabela10[Grade],DropAnalityka[[#This Row],[Grade]])*DropAnalityka[[#This Row],[Quality/Quantity]],0)</f>
        <v>0</v>
      </c>
      <c r="L87" s="49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9">
        <f>IFERROR(SUMIFS(Tabela10[Fod Worth],Tabela10[Drop],DropAnalityka[[#This Row],[Drop]],Tabela10[Grade],DropAnalityka[[#This Row],[Grade]])*DropAnalityka[[#This Row],[Quality/Quantity]],0)</f>
        <v>0</v>
      </c>
      <c r="L88" s="49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9">
        <f>IFERROR(SUMIFS(Tabela10[Fod Worth],Tabela10[Drop],DropAnalityka[[#This Row],[Drop]],Tabela10[Grade],DropAnalityka[[#This Row],[Grade]])*DropAnalityka[[#This Row],[Quality/Quantity]],0)</f>
        <v>0</v>
      </c>
      <c r="L89" s="49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9">
        <f>IFERROR(SUMIFS(Tabela10[Fod Worth],Tabela10[Drop],DropAnalityka[[#This Row],[Drop]],Tabela10[Grade],DropAnalityka[[#This Row],[Grade]])*DropAnalityka[[#This Row],[Quality/Quantity]],0)</f>
        <v>0</v>
      </c>
      <c r="L90" s="49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9">
        <f>IFERROR(SUMIFS(Tabela10[Fod Worth],Tabela10[Drop],DropAnalityka[[#This Row],[Drop]],Tabela10[Grade],DropAnalityka[[#This Row],[Grade]])*DropAnalityka[[#This Row],[Quality/Quantity]],0)</f>
        <v>0</v>
      </c>
      <c r="L91" s="49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9">
        <f>IFERROR(SUMIFS(Tabela10[Fod Worth],Tabela10[Drop],DropAnalityka[[#This Row],[Drop]],Tabela10[Grade],DropAnalityka[[#This Row],[Grade]])*DropAnalityka[[#This Row],[Quality/Quantity]],0)</f>
        <v>0</v>
      </c>
      <c r="L92" s="49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9">
        <f>IFERROR(SUMIFS(Tabela10[Fod Worth],Tabela10[Drop],DropAnalityka[[#This Row],[Drop]],Tabela10[Grade],DropAnalityka[[#This Row],[Grade]])*DropAnalityka[[#This Row],[Quality/Quantity]],0)</f>
        <v>0</v>
      </c>
      <c r="L93" s="49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9">
        <f>IFERROR(SUMIFS(Tabela10[Fod Worth],Tabela10[Drop],DropAnalityka[[#This Row],[Drop]],Tabela10[Grade],DropAnalityka[[#This Row],[Grade]])*DropAnalityka[[#This Row],[Quality/Quantity]],0)</f>
        <v>0</v>
      </c>
      <c r="L94" s="49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9">
        <f>IFERROR(SUMIFS(Tabela10[Fod Worth],Tabela10[Drop],DropAnalityka[[#This Row],[Drop]],Tabela10[Grade],DropAnalityka[[#This Row],[Grade]])*DropAnalityka[[#This Row],[Quality/Quantity]],0)</f>
        <v>0</v>
      </c>
      <c r="L95" s="49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9">
        <f>IFERROR(SUMIFS(Tabela10[Fod Worth],Tabela10[Drop],DropAnalityka[[#This Row],[Drop]],Tabela10[Grade],DropAnalityka[[#This Row],[Grade]])*DropAnalityka[[#This Row],[Quality/Quantity]],0)</f>
        <v>0</v>
      </c>
      <c r="L96" s="49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9">
        <f>IFERROR(SUMIFS(Tabela10[Fod Worth],Tabela10[Drop],DropAnalityka[[#This Row],[Drop]],Tabela10[Grade],DropAnalityka[[#This Row],[Grade]])*DropAnalityka[[#This Row],[Quality/Quantity]],0)</f>
        <v>0</v>
      </c>
      <c r="L97" s="49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9">
        <f>IFERROR(SUMIFS(Tabela10[Fod Worth],Tabela10[Drop],DropAnalityka[[#This Row],[Drop]],Tabela10[Grade],DropAnalityka[[#This Row],[Grade]])*DropAnalityka[[#This Row],[Quality/Quantity]],0)</f>
        <v>0</v>
      </c>
      <c r="L98" s="49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9">
        <f>IFERROR(SUMIFS(Tabela10[Fod Worth],Tabela10[Drop],DropAnalityka[[#This Row],[Drop]],Tabela10[Grade],DropAnalityka[[#This Row],[Grade]])*DropAnalityka[[#This Row],[Quality/Quantity]],0)</f>
        <v>0</v>
      </c>
      <c r="L99" s="49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9">
        <f>IFERROR(SUMIFS(Tabela10[Fod Worth],Tabela10[Drop],DropAnalityka[[#This Row],[Drop]],Tabela10[Grade],DropAnalityka[[#This Row],[Grade]])*DropAnalityka[[#This Row],[Quality/Quantity]],0)</f>
        <v>0</v>
      </c>
      <c r="L100" s="49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9">
        <f>IFERROR(SUMIFS(Tabela10[Fod Worth],Tabela10[Drop],DropAnalityka[[#This Row],[Drop]],Tabela10[Grade],DropAnalityka[[#This Row],[Grade]])*DropAnalityka[[#This Row],[Quality/Quantity]],0)</f>
        <v>0</v>
      </c>
      <c r="L101" s="49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9">
        <f>IFERROR(SUMIFS(Tabela10[Fod Worth],Tabela10[Drop],DropAnalityka[[#This Row],[Drop]],Tabela10[Grade],DropAnalityka[[#This Row],[Grade]])*DropAnalityka[[#This Row],[Quality/Quantity]],0)</f>
        <v>0</v>
      </c>
      <c r="L102" s="49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9">
        <f>IFERROR(SUMIFS(Tabela10[Fod Worth],Tabela10[Drop],DropAnalityka[[#This Row],[Drop]],Tabela10[Grade],DropAnalityka[[#This Row],[Grade]])*DropAnalityka[[#This Row],[Quality/Quantity]],0)</f>
        <v>0</v>
      </c>
      <c r="L103" s="49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9">
        <f>IFERROR(SUMIFS(Tabela10[Fod Worth],Tabela10[Drop],DropAnalityka[[#This Row],[Drop]],Tabela10[Grade],DropAnalityka[[#This Row],[Grade]])*DropAnalityka[[#This Row],[Quality/Quantity]],0)</f>
        <v>0</v>
      </c>
      <c r="L104" s="49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9">
        <f>IFERROR(SUMIFS(Tabela10[Fod Worth],Tabela10[Drop],DropAnalityka[[#This Row],[Drop]],Tabela10[Grade],DropAnalityka[[#This Row],[Grade]])*DropAnalityka[[#This Row],[Quality/Quantity]],0)</f>
        <v>0</v>
      </c>
      <c r="L105" s="49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9">
        <f>IFERROR(SUMIFS(Tabela10[Fod Worth],Tabela10[Drop],DropAnalityka[[#This Row],[Drop]],Tabela10[Grade],DropAnalityka[[#This Row],[Grade]])*DropAnalityka[[#This Row],[Quality/Quantity]],0)</f>
        <v>0</v>
      </c>
      <c r="L106" s="49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9">
        <f>IFERROR(SUMIFS(Tabela10[Fod Worth],Tabela10[Drop],DropAnalityka[[#This Row],[Drop]],Tabela10[Grade],DropAnalityka[[#This Row],[Grade]])*DropAnalityka[[#This Row],[Quality/Quantity]],0)</f>
        <v>0</v>
      </c>
      <c r="L107" s="49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9">
        <f>IFERROR(SUMIFS(Tabela10[Fod Worth],Tabela10[Drop],DropAnalityka[[#This Row],[Drop]],Tabela10[Grade],DropAnalityka[[#This Row],[Grade]])*DropAnalityka[[#This Row],[Quality/Quantity]],0)</f>
        <v>0</v>
      </c>
      <c r="L108" s="49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9">
        <f>IFERROR(SUMIFS(Tabela10[Fod Worth],Tabela10[Drop],DropAnalityka[[#This Row],[Drop]],Tabela10[Grade],DropAnalityka[[#This Row],[Grade]])*DropAnalityka[[#This Row],[Quality/Quantity]],0)</f>
        <v>0</v>
      </c>
      <c r="L109" s="49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9">
        <f>IFERROR(SUMIFS(Tabela10[Fod Worth],Tabela10[Drop],DropAnalityka[[#This Row],[Drop]],Tabela10[Grade],DropAnalityka[[#This Row],[Grade]])*DropAnalityka[[#This Row],[Quality/Quantity]],0)</f>
        <v>0</v>
      </c>
      <c r="L110" s="49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9">
        <f>IFERROR(SUMIFS(Tabela10[Fod Worth],Tabela10[Drop],DropAnalityka[[#This Row],[Drop]],Tabela10[Grade],DropAnalityka[[#This Row],[Grade]])*DropAnalityka[[#This Row],[Quality/Quantity]],0)</f>
        <v>0</v>
      </c>
      <c r="L111" s="49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9">
        <f>IFERROR(SUMIFS(Tabela10[Fod Worth],Tabela10[Drop],DropAnalityka[[#This Row],[Drop]],Tabela10[Grade],DropAnalityka[[#This Row],[Grade]])*DropAnalityka[[#This Row],[Quality/Quantity]],0)</f>
        <v>0</v>
      </c>
      <c r="L112" s="49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9">
        <f>IFERROR(SUMIFS(Tabela10[Fod Worth],Tabela10[Drop],DropAnalityka[[#This Row],[Drop]],Tabela10[Grade],DropAnalityka[[#This Row],[Grade]])*DropAnalityka[[#This Row],[Quality/Quantity]],0)</f>
        <v>0</v>
      </c>
      <c r="L113" s="49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9">
        <f>IFERROR(SUMIFS(Tabela10[Fod Worth],Tabela10[Drop],DropAnalityka[[#This Row],[Drop]],Tabela10[Grade],DropAnalityka[[#This Row],[Grade]])*DropAnalityka[[#This Row],[Quality/Quantity]],0)</f>
        <v>0</v>
      </c>
      <c r="L114" s="49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9">
        <f>IFERROR(SUMIFS(Tabela10[Fod Worth],Tabela10[Drop],DropAnalityka[[#This Row],[Drop]],Tabela10[Grade],DropAnalityka[[#This Row],[Grade]])*DropAnalityka[[#This Row],[Quality/Quantity]],0)</f>
        <v>0</v>
      </c>
      <c r="L115" s="49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9">
        <f>IFERROR(SUMIFS(Tabela10[Fod Worth],Tabela10[Drop],DropAnalityka[[#This Row],[Drop]],Tabela10[Grade],DropAnalityka[[#This Row],[Grade]])*DropAnalityka[[#This Row],[Quality/Quantity]],0)</f>
        <v>0</v>
      </c>
      <c r="L116" s="49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9">
        <f>IFERROR(SUMIFS(Tabela10[Fod Worth],Tabela10[Drop],DropAnalityka[[#This Row],[Drop]],Tabela10[Grade],DropAnalityka[[#This Row],[Grade]])*DropAnalityka[[#This Row],[Quality/Quantity]],0)</f>
        <v>0</v>
      </c>
      <c r="L117" s="49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9">
        <f>IFERROR(SUMIFS(Tabela10[Fod Worth],Tabela10[Drop],DropAnalityka[[#This Row],[Drop]],Tabela10[Grade],DropAnalityka[[#This Row],[Grade]])*DropAnalityka[[#This Row],[Quality/Quantity]],0)</f>
        <v>0</v>
      </c>
      <c r="L118" s="49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9">
        <f>IFERROR(SUMIFS(Tabela10[Fod Worth],Tabela10[Drop],DropAnalityka[[#This Row],[Drop]],Tabela10[Grade],DropAnalityka[[#This Row],[Grade]])*DropAnalityka[[#This Row],[Quality/Quantity]],0)</f>
        <v>0</v>
      </c>
      <c r="L119" s="49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274</v>
      </c>
      <c r="G120">
        <v>2</v>
      </c>
      <c r="H120" t="s">
        <v>292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9">
        <f>IFERROR(SUMIFS(Tabela10[Fod Worth],Tabela10[Drop],DropAnalityka[[#This Row],[Drop]],Tabela10[Grade],DropAnalityka[[#This Row],[Grade]])*DropAnalityka[[#This Row],[Quality/Quantity]],0)</f>
        <v>0</v>
      </c>
      <c r="L120" s="49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9">
        <f>IFERROR(SUMIFS(Tabela10[Fod Worth],Tabela10[Drop],DropAnalityka[[#This Row],[Drop]],Tabela10[Grade],DropAnalityka[[#This Row],[Grade]])*DropAnalityka[[#This Row],[Quality/Quantity]],0)</f>
        <v>0</v>
      </c>
      <c r="L121" s="49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9">
        <f>IFERROR(SUMIFS(Tabela10[Fod Worth],Tabela10[Drop],DropAnalityka[[#This Row],[Drop]],Tabela10[Grade],DropAnalityka[[#This Row],[Grade]])*DropAnalityka[[#This Row],[Quality/Quantity]],0)</f>
        <v>0</v>
      </c>
      <c r="L122" s="49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9">
        <f>IFERROR(SUMIFS(Tabela10[Fod Worth],Tabela10[Drop],DropAnalityka[[#This Row],[Drop]],Tabela10[Grade],DropAnalityka[[#This Row],[Grade]])*DropAnalityka[[#This Row],[Quality/Quantity]],0)</f>
        <v>0</v>
      </c>
      <c r="L123" s="49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9">
        <f>IFERROR(SUMIFS(Tabela10[Fod Worth],Tabela10[Drop],DropAnalityka[[#This Row],[Drop]],Tabela10[Grade],DropAnalityka[[#This Row],[Grade]])*DropAnalityka[[#This Row],[Quality/Quantity]],0)</f>
        <v>0</v>
      </c>
      <c r="L124" s="49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9">
        <f>IFERROR(SUMIFS(Tabela10[Fod Worth],Tabela10[Drop],DropAnalityka[[#This Row],[Drop]],Tabela10[Grade],DropAnalityka[[#This Row],[Grade]])*DropAnalityka[[#This Row],[Quality/Quantity]],0)</f>
        <v>0</v>
      </c>
      <c r="L125" s="49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9">
        <f>IFERROR(SUMIFS(Tabela10[Fod Worth],Tabela10[Drop],DropAnalityka[[#This Row],[Drop]],Tabela10[Grade],DropAnalityka[[#This Row],[Grade]])*DropAnalityka[[#This Row],[Quality/Quantity]],0)</f>
        <v>0</v>
      </c>
      <c r="L126" s="49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9">
        <f>IFERROR(SUMIFS(Tabela10[Fod Worth],Tabela10[Drop],DropAnalityka[[#This Row],[Drop]],Tabela10[Grade],DropAnalityka[[#This Row],[Grade]])*DropAnalityka[[#This Row],[Quality/Quantity]],0)</f>
        <v>0</v>
      </c>
      <c r="L127" s="49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9">
        <f>IFERROR(SUMIFS(Tabela10[Fod Worth],Tabela10[Drop],DropAnalityka[[#This Row],[Drop]],Tabela10[Grade],DropAnalityka[[#This Row],[Grade]])*DropAnalityka[[#This Row],[Quality/Quantity]],0)</f>
        <v>0</v>
      </c>
      <c r="L128" s="49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9">
        <f>IFERROR(SUMIFS(Tabela10[Fod Worth],Tabela10[Drop],DropAnalityka[[#This Row],[Drop]],Tabela10[Grade],DropAnalityka[[#This Row],[Grade]])*DropAnalityka[[#This Row],[Quality/Quantity]],0)</f>
        <v>11500</v>
      </c>
      <c r="L129" s="49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9">
        <f>IFERROR(SUMIFS(Tabela10[Fod Worth],Tabela10[Drop],DropAnalityka[[#This Row],[Drop]],Tabela10[Grade],DropAnalityka[[#This Row],[Grade]])*DropAnalityka[[#This Row],[Quality/Quantity]],0)</f>
        <v>0</v>
      </c>
      <c r="L130" s="49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9">
        <f>IFERROR(SUMIFS(Tabela10[Fod Worth],Tabela10[Drop],DropAnalityka[[#This Row],[Drop]],Tabela10[Grade],DropAnalityka[[#This Row],[Grade]])*DropAnalityka[[#This Row],[Quality/Quantity]],0)</f>
        <v>11500</v>
      </c>
      <c r="L131" s="49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9">
        <f>IFERROR(SUMIFS(Tabela10[Fod Worth],Tabela10[Drop],DropAnalityka[[#This Row],[Drop]],Tabela10[Grade],DropAnalityka[[#This Row],[Grade]])*DropAnalityka[[#This Row],[Quality/Quantity]],0)</f>
        <v>0</v>
      </c>
      <c r="L132" s="49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9">
        <f>IFERROR(SUMIFS(Tabela10[Fod Worth],Tabela10[Drop],DropAnalityka[[#This Row],[Drop]],Tabela10[Grade],DropAnalityka[[#This Row],[Grade]])*DropAnalityka[[#This Row],[Quality/Quantity]],0)</f>
        <v>11500</v>
      </c>
      <c r="L133" s="49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9">
        <f>IFERROR(SUMIFS(Tabela10[Fod Worth],Tabela10[Drop],DropAnalityka[[#This Row],[Drop]],Tabela10[Grade],DropAnalityka[[#This Row],[Grade]])*DropAnalityka[[#This Row],[Quality/Quantity]],0)</f>
        <v>0</v>
      </c>
      <c r="L134" s="49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9">
        <f>IFERROR(SUMIFS(Tabela10[Fod Worth],Tabela10[Drop],DropAnalityka[[#This Row],[Drop]],Tabela10[Grade],DropAnalityka[[#This Row],[Grade]])*DropAnalityka[[#This Row],[Quality/Quantity]],0)</f>
        <v>0</v>
      </c>
      <c r="L135" s="49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9">
        <f>IFERROR(SUMIFS(Tabela10[Fod Worth],Tabela10[Drop],DropAnalityka[[#This Row],[Drop]],Tabela10[Grade],DropAnalityka[[#This Row],[Grade]])*DropAnalityka[[#This Row],[Quality/Quantity]],0)</f>
        <v>0</v>
      </c>
      <c r="L136" s="49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9">
        <f>IFERROR(SUMIFS(Tabela10[Fod Worth],Tabela10[Drop],DropAnalityka[[#This Row],[Drop]],Tabela10[Grade],DropAnalityka[[#This Row],[Grade]])*DropAnalityka[[#This Row],[Quality/Quantity]],0)</f>
        <v>11500</v>
      </c>
      <c r="L137" s="49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9">
        <f>IFERROR(SUMIFS(Tabela10[Fod Worth],Tabela10[Drop],DropAnalityka[[#This Row],[Drop]],Tabela10[Grade],DropAnalityka[[#This Row],[Grade]])*DropAnalityka[[#This Row],[Quality/Quantity]],0)</f>
        <v>0</v>
      </c>
      <c r="L138" s="49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9">
        <f>IFERROR(SUMIFS(Tabela10[Fod Worth],Tabela10[Drop],DropAnalityka[[#This Row],[Drop]],Tabela10[Grade],DropAnalityka[[#This Row],[Grade]])*DropAnalityka[[#This Row],[Quality/Quantity]],0)</f>
        <v>0</v>
      </c>
      <c r="L139" s="49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9">
        <f>IFERROR(SUMIFS(Tabela10[Fod Worth],Tabela10[Drop],DropAnalityka[[#This Row],[Drop]],Tabela10[Grade],DropAnalityka[[#This Row],[Grade]])*DropAnalityka[[#This Row],[Quality/Quantity]],0)</f>
        <v>0</v>
      </c>
      <c r="L140" s="49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9">
        <f>IFERROR(SUMIFS(Tabela10[Fod Worth],Tabela10[Drop],DropAnalityka[[#This Row],[Drop]],Tabela10[Grade],DropAnalityka[[#This Row],[Grade]])*DropAnalityka[[#This Row],[Quality/Quantity]],0)</f>
        <v>0</v>
      </c>
      <c r="L141" s="49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9">
        <f>IFERROR(SUMIFS(Tabela10[Fod Worth],Tabela10[Drop],DropAnalityka[[#This Row],[Drop]],Tabela10[Grade],DropAnalityka[[#This Row],[Grade]])*DropAnalityka[[#This Row],[Quality/Quantity]],0)</f>
        <v>0</v>
      </c>
      <c r="L142" s="49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9">
        <f>IFERROR(SUMIFS(Tabela10[Fod Worth],Tabela10[Drop],DropAnalityka[[#This Row],[Drop]],Tabela10[Grade],DropAnalityka[[#This Row],[Grade]])*DropAnalityka[[#This Row],[Quality/Quantity]],0)</f>
        <v>0</v>
      </c>
      <c r="L143" s="49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9">
        <f>IFERROR(SUMIFS(Tabela10[Fod Worth],Tabela10[Drop],DropAnalityka[[#This Row],[Drop]],Tabela10[Grade],DropAnalityka[[#This Row],[Grade]])*DropAnalityka[[#This Row],[Quality/Quantity]],0)</f>
        <v>0</v>
      </c>
      <c r="L144" s="49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9">
        <f>IFERROR(SUMIFS(Tabela10[Fod Worth],Tabela10[Drop],DropAnalityka[[#This Row],[Drop]],Tabela10[Grade],DropAnalityka[[#This Row],[Grade]])*DropAnalityka[[#This Row],[Quality/Quantity]],0)</f>
        <v>0</v>
      </c>
      <c r="L145" s="49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9">
        <f>IFERROR(SUMIFS(Tabela10[Fod Worth],Tabela10[Drop],DropAnalityka[[#This Row],[Drop]],Tabela10[Grade],DropAnalityka[[#This Row],[Grade]])*DropAnalityka[[#This Row],[Quality/Quantity]],0)</f>
        <v>0</v>
      </c>
      <c r="L146" s="49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9">
        <f>IFERROR(SUMIFS(Tabela10[Fod Worth],Tabela10[Drop],DropAnalityka[[#This Row],[Drop]],Tabela10[Grade],DropAnalityka[[#This Row],[Grade]])*DropAnalityka[[#This Row],[Quality/Quantity]],0)</f>
        <v>0</v>
      </c>
      <c r="L147" s="49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9">
        <f>IFERROR(SUMIFS(Tabela10[Fod Worth],Tabela10[Drop],DropAnalityka[[#This Row],[Drop]],Tabela10[Grade],DropAnalityka[[#This Row],[Grade]])*DropAnalityka[[#This Row],[Quality/Quantity]],0)</f>
        <v>0</v>
      </c>
      <c r="L148" s="49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9">
        <f>IFERROR(SUMIFS(Tabela10[Fod Worth],Tabela10[Drop],DropAnalityka[[#This Row],[Drop]],Tabela10[Grade],DropAnalityka[[#This Row],[Grade]])*DropAnalityka[[#This Row],[Quality/Quantity]],0)</f>
        <v>0</v>
      </c>
      <c r="L149" s="49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9">
        <f>IFERROR(SUMIFS(Tabela10[Fod Worth],Tabela10[Drop],DropAnalityka[[#This Row],[Drop]],Tabela10[Grade],DropAnalityka[[#This Row],[Grade]])*DropAnalityka[[#This Row],[Quality/Quantity]],0)</f>
        <v>0</v>
      </c>
      <c r="L150" s="49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9">
        <f>IFERROR(SUMIFS(Tabela10[Fod Worth],Tabela10[Drop],DropAnalityka[[#This Row],[Drop]],Tabela10[Grade],DropAnalityka[[#This Row],[Grade]])*DropAnalityka[[#This Row],[Quality/Quantity]],0)</f>
        <v>0</v>
      </c>
      <c r="L151" s="49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9">
        <f>IFERROR(SUMIFS(Tabela10[Fod Worth],Tabela10[Drop],DropAnalityka[[#This Row],[Drop]],Tabela10[Grade],DropAnalityka[[#This Row],[Grade]])*DropAnalityka[[#This Row],[Quality/Quantity]],0)</f>
        <v>0</v>
      </c>
      <c r="L152" s="49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9">
        <f>IFERROR(SUMIFS(Tabela10[Fod Worth],Tabela10[Drop],DropAnalityka[[#This Row],[Drop]],Tabela10[Grade],DropAnalityka[[#This Row],[Grade]])*DropAnalityka[[#This Row],[Quality/Quantity]],0)</f>
        <v>0</v>
      </c>
      <c r="L153" s="49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9">
        <f>IFERROR(SUMIFS(Tabela10[Fod Worth],Tabela10[Drop],DropAnalityka[[#This Row],[Drop]],Tabela10[Grade],DropAnalityka[[#This Row],[Grade]])*DropAnalityka[[#This Row],[Quality/Quantity]],0)</f>
        <v>0</v>
      </c>
      <c r="L154" s="49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9">
        <f>IFERROR(SUMIFS(Tabela10[Fod Worth],Tabela10[Drop],DropAnalityka[[#This Row],[Drop]],Tabela10[Grade],DropAnalityka[[#This Row],[Grade]])*DropAnalityka[[#This Row],[Quality/Quantity]],0)</f>
        <v>0</v>
      </c>
      <c r="L155" s="49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9">
        <f>IFERROR(SUMIFS(Tabela10[Fod Worth],Tabela10[Drop],DropAnalityka[[#This Row],[Drop]],Tabela10[Grade],DropAnalityka[[#This Row],[Grade]])*DropAnalityka[[#This Row],[Quality/Quantity]],0)</f>
        <v>0</v>
      </c>
      <c r="L156" s="49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9">
        <f>IFERROR(SUMIFS(Tabela10[Fod Worth],Tabela10[Drop],DropAnalityka[[#This Row],[Drop]],Tabela10[Grade],DropAnalityka[[#This Row],[Grade]])*DropAnalityka[[#This Row],[Quality/Quantity]],0)</f>
        <v>0</v>
      </c>
      <c r="L157" s="49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9">
        <f>IFERROR(SUMIFS(Tabela10[Fod Worth],Tabela10[Drop],DropAnalityka[[#This Row],[Drop]],Tabela10[Grade],DropAnalityka[[#This Row],[Grade]])*DropAnalityka[[#This Row],[Quality/Quantity]],0)</f>
        <v>0</v>
      </c>
      <c r="L158" s="49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9">
        <f>IFERROR(SUMIFS(Tabela10[Fod Worth],Tabela10[Drop],DropAnalityka[[#This Row],[Drop]],Tabela10[Grade],DropAnalityka[[#This Row],[Grade]])*DropAnalityka[[#This Row],[Quality/Quantity]],0)</f>
        <v>0</v>
      </c>
      <c r="L159" s="49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9">
        <f>IFERROR(SUMIFS(Tabela10[Fod Worth],Tabela10[Drop],DropAnalityka[[#This Row],[Drop]],Tabela10[Grade],DropAnalityka[[#This Row],[Grade]])*DropAnalityka[[#This Row],[Quality/Quantity]],0)</f>
        <v>0</v>
      </c>
      <c r="L160" s="49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9">
        <f>IFERROR(SUMIFS(Tabela10[Fod Worth],Tabela10[Drop],DropAnalityka[[#This Row],[Drop]],Tabela10[Grade],DropAnalityka[[#This Row],[Grade]])*DropAnalityka[[#This Row],[Quality/Quantity]],0)</f>
        <v>0</v>
      </c>
      <c r="L161" s="49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9">
        <f>IFERROR(SUMIFS(Tabela10[Fod Worth],Tabela10[Drop],DropAnalityka[[#This Row],[Drop]],Tabela10[Grade],DropAnalityka[[#This Row],[Grade]])*DropAnalityka[[#This Row],[Quality/Quantity]],0)</f>
        <v>0</v>
      </c>
      <c r="L162" s="49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9">
        <f>IFERROR(SUMIFS(Tabela10[Fod Worth],Tabela10[Drop],DropAnalityka[[#This Row],[Drop]],Tabela10[Grade],DropAnalityka[[#This Row],[Grade]])*DropAnalityka[[#This Row],[Quality/Quantity]],0)</f>
        <v>11500</v>
      </c>
      <c r="L163" s="49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9">
        <f>IFERROR(SUMIFS(Tabela10[Fod Worth],Tabela10[Drop],DropAnalityka[[#This Row],[Drop]],Tabela10[Grade],DropAnalityka[[#This Row],[Grade]])*DropAnalityka[[#This Row],[Quality/Quantity]],0)</f>
        <v>0</v>
      </c>
      <c r="L164" s="49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9">
        <f>IFERROR(SUMIFS(Tabela10[Fod Worth],Tabela10[Drop],DropAnalityka[[#This Row],[Drop]],Tabela10[Grade],DropAnalityka[[#This Row],[Grade]])*DropAnalityka[[#This Row],[Quality/Quantity]],0)</f>
        <v>0</v>
      </c>
      <c r="L165" s="49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9">
        <f>IFERROR(SUMIFS(Tabela10[Fod Worth],Tabela10[Drop],DropAnalityka[[#This Row],[Drop]],Tabela10[Grade],DropAnalityka[[#This Row],[Grade]])*DropAnalityka[[#This Row],[Quality/Quantity]],0)</f>
        <v>0</v>
      </c>
      <c r="L166" s="49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9">
        <f>IFERROR(SUMIFS(Tabela10[Fod Worth],Tabela10[Drop],DropAnalityka[[#This Row],[Drop]],Tabela10[Grade],DropAnalityka[[#This Row],[Grade]])*DropAnalityka[[#This Row],[Quality/Quantity]],0)</f>
        <v>0</v>
      </c>
      <c r="L167" s="49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9">
        <f>IFERROR(SUMIFS(Tabela10[Fod Worth],Tabela10[Drop],DropAnalityka[[#This Row],[Drop]],Tabela10[Grade],DropAnalityka[[#This Row],[Grade]])*DropAnalityka[[#This Row],[Quality/Quantity]],0)</f>
        <v>0</v>
      </c>
      <c r="L168" s="49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9">
        <f>IFERROR(SUMIFS(Tabela10[Fod Worth],Tabela10[Drop],DropAnalityka[[#This Row],[Drop]],Tabela10[Grade],DropAnalityka[[#This Row],[Grade]])*DropAnalityka[[#This Row],[Quality/Quantity]],0)</f>
        <v>0</v>
      </c>
      <c r="L169" s="49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274</v>
      </c>
      <c r="G170">
        <v>2</v>
      </c>
      <c r="H170" t="s">
        <v>292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9">
        <f>IFERROR(SUMIFS(Tabela10[Fod Worth],Tabela10[Drop],DropAnalityka[[#This Row],[Drop]],Tabela10[Grade],DropAnalityka[[#This Row],[Grade]])*DropAnalityka[[#This Row],[Quality/Quantity]],0)</f>
        <v>0</v>
      </c>
      <c r="L170" s="49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9">
        <f>IFERROR(SUMIFS(Tabela10[Fod Worth],Tabela10[Drop],DropAnalityka[[#This Row],[Drop]],Tabela10[Grade],DropAnalityka[[#This Row],[Grade]])*DropAnalityka[[#This Row],[Quality/Quantity]],0)</f>
        <v>0</v>
      </c>
      <c r="L171" s="49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9">
        <f>IFERROR(SUMIFS(Tabela10[Fod Worth],Tabela10[Drop],DropAnalityka[[#This Row],[Drop]],Tabela10[Grade],DropAnalityka[[#This Row],[Grade]])*DropAnalityka[[#This Row],[Quality/Quantity]],0)</f>
        <v>0</v>
      </c>
      <c r="L172" s="49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9">
        <f>IFERROR(SUMIFS(Tabela10[Fod Worth],Tabela10[Drop],DropAnalityka[[#This Row],[Drop]],Tabela10[Grade],DropAnalityka[[#This Row],[Grade]])*DropAnalityka[[#This Row],[Quality/Quantity]],0)</f>
        <v>0</v>
      </c>
      <c r="L173" s="49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274</v>
      </c>
      <c r="G174">
        <v>1</v>
      </c>
      <c r="H174" t="s">
        <v>314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9">
        <f>IFERROR(SUMIFS(Tabela10[Fod Worth],Tabela10[Drop],DropAnalityka[[#This Row],[Drop]],Tabela10[Grade],DropAnalityka[[#This Row],[Grade]])*DropAnalityka[[#This Row],[Quality/Quantity]],0)</f>
        <v>0</v>
      </c>
      <c r="L174" s="49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9">
        <f>IFERROR(SUMIFS(Tabela10[Fod Worth],Tabela10[Drop],DropAnalityka[[#This Row],[Drop]],Tabela10[Grade],DropAnalityka[[#This Row],[Grade]])*DropAnalityka[[#This Row],[Quality/Quantity]],0)</f>
        <v>0</v>
      </c>
      <c r="L175" s="49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271</v>
      </c>
      <c r="G176">
        <v>2</v>
      </c>
      <c r="H176" t="s">
        <v>292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9">
        <f>IFERROR(SUMIFS(Tabela10[Fod Worth],Tabela10[Drop],DropAnalityka[[#This Row],[Drop]],Tabela10[Grade],DropAnalityka[[#This Row],[Grade]])*DropAnalityka[[#This Row],[Quality/Quantity]],0)</f>
        <v>0</v>
      </c>
      <c r="L176" s="49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9">
        <f>IFERROR(SUMIFS(Tabela10[Fod Worth],Tabela10[Drop],DropAnalityka[[#This Row],[Drop]],Tabela10[Grade],DropAnalityka[[#This Row],[Grade]])*DropAnalityka[[#This Row],[Quality/Quantity]],0)</f>
        <v>0</v>
      </c>
      <c r="L177" s="49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9">
        <f>IFERROR(SUMIFS(Tabela10[Fod Worth],Tabela10[Drop],DropAnalityka[[#This Row],[Drop]],Tabela10[Grade],DropAnalityka[[#This Row],[Grade]])*DropAnalityka[[#This Row],[Quality/Quantity]],0)</f>
        <v>11500</v>
      </c>
      <c r="L178" s="49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9">
        <f>IFERROR(SUMIFS(Tabela10[Fod Worth],Tabela10[Drop],DropAnalityka[[#This Row],[Drop]],Tabela10[Grade],DropAnalityka[[#This Row],[Grade]])*DropAnalityka[[#This Row],[Quality/Quantity]],0)</f>
        <v>0</v>
      </c>
      <c r="L179" s="49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9">
        <f>IFERROR(SUMIFS(Tabela10[Fod Worth],Tabela10[Drop],DropAnalityka[[#This Row],[Drop]],Tabela10[Grade],DropAnalityka[[#This Row],[Grade]])*DropAnalityka[[#This Row],[Quality/Quantity]],0)</f>
        <v>11500</v>
      </c>
      <c r="L180" s="49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9">
        <f>IFERROR(SUMIFS(Tabela10[Fod Worth],Tabela10[Drop],DropAnalityka[[#This Row],[Drop]],Tabela10[Grade],DropAnalityka[[#This Row],[Grade]])*DropAnalityka[[#This Row],[Quality/Quantity]],0)</f>
        <v>0</v>
      </c>
      <c r="L181" s="49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9">
        <f>IFERROR(SUMIFS(Tabela10[Fod Worth],Tabela10[Drop],DropAnalityka[[#This Row],[Drop]],Tabela10[Grade],DropAnalityka[[#This Row],[Grade]])*DropAnalityka[[#This Row],[Quality/Quantity]],0)</f>
        <v>0</v>
      </c>
      <c r="L182" s="49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9">
        <f>IFERROR(SUMIFS(Tabela10[Fod Worth],Tabela10[Drop],DropAnalityka[[#This Row],[Drop]],Tabela10[Grade],DropAnalityka[[#This Row],[Grade]])*DropAnalityka[[#This Row],[Quality/Quantity]],0)</f>
        <v>0</v>
      </c>
      <c r="L183" s="49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9">
        <f>IFERROR(SUMIFS(Tabela10[Fod Worth],Tabela10[Drop],DropAnalityka[[#This Row],[Drop]],Tabela10[Grade],DropAnalityka[[#This Row],[Grade]])*DropAnalityka[[#This Row],[Quality/Quantity]],0)</f>
        <v>0</v>
      </c>
      <c r="L184" s="49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9">
        <f>IFERROR(SUMIFS(Tabela10[Fod Worth],Tabela10[Drop],DropAnalityka[[#This Row],[Drop]],Tabela10[Grade],DropAnalityka[[#This Row],[Grade]])*DropAnalityka[[#This Row],[Quality/Quantity]],0)</f>
        <v>0</v>
      </c>
      <c r="L185" s="49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9">
        <f>IFERROR(SUMIFS(Tabela10[Fod Worth],Tabela10[Drop],DropAnalityka[[#This Row],[Drop]],Tabela10[Grade],DropAnalityka[[#This Row],[Grade]])*DropAnalityka[[#This Row],[Quality/Quantity]],0)</f>
        <v>0</v>
      </c>
      <c r="L186" s="49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9">
        <f>IFERROR(SUMIFS(Tabela10[Fod Worth],Tabela10[Drop],DropAnalityka[[#This Row],[Drop]],Tabela10[Grade],DropAnalityka[[#This Row],[Grade]])*DropAnalityka[[#This Row],[Quality/Quantity]],0)</f>
        <v>0</v>
      </c>
      <c r="L187" s="49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9">
        <f>IFERROR(SUMIFS(Tabela10[Fod Worth],Tabela10[Drop],DropAnalityka[[#This Row],[Drop]],Tabela10[Grade],DropAnalityka[[#This Row],[Grade]])*DropAnalityka[[#This Row],[Quality/Quantity]],0)</f>
        <v>0</v>
      </c>
      <c r="L188" s="49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9">
        <f>IFERROR(SUMIFS(Tabela10[Fod Worth],Tabela10[Drop],DropAnalityka[[#This Row],[Drop]],Tabela10[Grade],DropAnalityka[[#This Row],[Grade]])*DropAnalityka[[#This Row],[Quality/Quantity]],0)</f>
        <v>0</v>
      </c>
      <c r="L189" s="49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9">
        <f>IFERROR(SUMIFS(Tabela10[Fod Worth],Tabela10[Drop],DropAnalityka[[#This Row],[Drop]],Tabela10[Grade],DropAnalityka[[#This Row],[Grade]])*DropAnalityka[[#This Row],[Quality/Quantity]],0)</f>
        <v>0</v>
      </c>
      <c r="L190" s="49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9">
        <f>IFERROR(SUMIFS(Tabela10[Fod Worth],Tabela10[Drop],DropAnalityka[[#This Row],[Drop]],Tabela10[Grade],DropAnalityka[[#This Row],[Grade]])*DropAnalityka[[#This Row],[Quality/Quantity]],0)</f>
        <v>0</v>
      </c>
      <c r="L191" s="49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9">
        <f>IFERROR(SUMIFS(Tabela10[Fod Worth],Tabela10[Drop],DropAnalityka[[#This Row],[Drop]],Tabela10[Grade],DropAnalityka[[#This Row],[Grade]])*DropAnalityka[[#This Row],[Quality/Quantity]],0)</f>
        <v>0</v>
      </c>
      <c r="L192" s="49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9">
        <f>IFERROR(SUMIFS(Tabela10[Fod Worth],Tabela10[Drop],DropAnalityka[[#This Row],[Drop]],Tabela10[Grade],DropAnalityka[[#This Row],[Grade]])*DropAnalityka[[#This Row],[Quality/Quantity]],0)</f>
        <v>0</v>
      </c>
      <c r="L193" s="49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9">
        <f>IFERROR(SUMIFS(Tabela10[Fod Worth],Tabela10[Drop],DropAnalityka[[#This Row],[Drop]],Tabela10[Grade],DropAnalityka[[#This Row],[Grade]])*DropAnalityka[[#This Row],[Quality/Quantity]],0)</f>
        <v>0</v>
      </c>
      <c r="L194" s="49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9">
        <f>IFERROR(SUMIFS(Tabela10[Fod Worth],Tabela10[Drop],DropAnalityka[[#This Row],[Drop]],Tabela10[Grade],DropAnalityka[[#This Row],[Grade]])*DropAnalityka[[#This Row],[Quality/Quantity]],0)</f>
        <v>0</v>
      </c>
      <c r="L195" s="49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9">
        <f>IFERROR(SUMIFS(Tabela10[Fod Worth],Tabela10[Drop],DropAnalityka[[#This Row],[Drop]],Tabela10[Grade],DropAnalityka[[#This Row],[Grade]])*DropAnalityka[[#This Row],[Quality/Quantity]],0)</f>
        <v>0</v>
      </c>
      <c r="L196" s="49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9">
        <f>IFERROR(SUMIFS(Tabela10[Fod Worth],Tabela10[Drop],DropAnalityka[[#This Row],[Drop]],Tabela10[Grade],DropAnalityka[[#This Row],[Grade]])*DropAnalityka[[#This Row],[Quality/Quantity]],0)</f>
        <v>0</v>
      </c>
      <c r="L197" s="49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9">
        <f>IFERROR(SUMIFS(Tabela10[Fod Worth],Tabela10[Drop],DropAnalityka[[#This Row],[Drop]],Tabela10[Grade],DropAnalityka[[#This Row],[Grade]])*DropAnalityka[[#This Row],[Quality/Quantity]],0)</f>
        <v>0</v>
      </c>
      <c r="L198" s="49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9">
        <f>IFERROR(SUMIFS(Tabela10[Fod Worth],Tabela10[Drop],DropAnalityka[[#This Row],[Drop]],Tabela10[Grade],DropAnalityka[[#This Row],[Grade]])*DropAnalityka[[#This Row],[Quality/Quantity]],0)</f>
        <v>0</v>
      </c>
      <c r="L199" s="49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9">
        <f>IFERROR(SUMIFS(Tabela10[Fod Worth],Tabela10[Drop],DropAnalityka[[#This Row],[Drop]],Tabela10[Grade],DropAnalityka[[#This Row],[Grade]])*DropAnalityka[[#This Row],[Quality/Quantity]],0)</f>
        <v>0</v>
      </c>
      <c r="L200" s="49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9">
        <f>IFERROR(SUMIFS(Tabela10[Fod Worth],Tabela10[Drop],DropAnalityka[[#This Row],[Drop]],Tabela10[Grade],DropAnalityka[[#This Row],[Grade]])*DropAnalityka[[#This Row],[Quality/Quantity]],0)</f>
        <v>0</v>
      </c>
      <c r="L201" s="49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9">
        <f>IFERROR(SUMIFS(Tabela10[Fod Worth],Tabela10[Drop],DropAnalityka[[#This Row],[Drop]],Tabela10[Grade],DropAnalityka[[#This Row],[Grade]])*DropAnalityka[[#This Row],[Quality/Quantity]],0)</f>
        <v>0</v>
      </c>
      <c r="L202" s="49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9">
        <f>IFERROR(SUMIFS(Tabela10[Fod Worth],Tabela10[Drop],DropAnalityka[[#This Row],[Drop]],Tabela10[Grade],DropAnalityka[[#This Row],[Grade]])*DropAnalityka[[#This Row],[Quality/Quantity]],0)</f>
        <v>0</v>
      </c>
      <c r="L203" s="49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9">
        <f>IFERROR(SUMIFS(Tabela10[Fod Worth],Tabela10[Drop],DropAnalityka[[#This Row],[Drop]],Tabela10[Grade],DropAnalityka[[#This Row],[Grade]])*DropAnalityka[[#This Row],[Quality/Quantity]],0)</f>
        <v>0</v>
      </c>
      <c r="L204" s="49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9">
        <f>IFERROR(SUMIFS(Tabela10[Fod Worth],Tabela10[Drop],DropAnalityka[[#This Row],[Drop]],Tabela10[Grade],DropAnalityka[[#This Row],[Grade]])*DropAnalityka[[#This Row],[Quality/Quantity]],0)</f>
        <v>0</v>
      </c>
      <c r="L205" s="49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9">
        <f>IFERROR(SUMIFS(Tabela10[Fod Worth],Tabela10[Drop],DropAnalityka[[#This Row],[Drop]],Tabela10[Grade],DropAnalityka[[#This Row],[Grade]])*DropAnalityka[[#This Row],[Quality/Quantity]],0)</f>
        <v>0</v>
      </c>
      <c r="L206" s="49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9">
        <f>IFERROR(SUMIFS(Tabela10[Fod Worth],Tabela10[Drop],DropAnalityka[[#This Row],[Drop]],Tabela10[Grade],DropAnalityka[[#This Row],[Grade]])*DropAnalityka[[#This Row],[Quality/Quantity]],0)</f>
        <v>0</v>
      </c>
      <c r="L207" s="49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9">
        <f>IFERROR(SUMIFS(Tabela10[Fod Worth],Tabela10[Drop],DropAnalityka[[#This Row],[Drop]],Tabela10[Grade],DropAnalityka[[#This Row],[Grade]])*DropAnalityka[[#This Row],[Quality/Quantity]],0)</f>
        <v>0</v>
      </c>
      <c r="L208" s="49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9">
        <f>IFERROR(SUMIFS(Tabela10[Fod Worth],Tabela10[Drop],DropAnalityka[[#This Row],[Drop]],Tabela10[Grade],DropAnalityka[[#This Row],[Grade]])*DropAnalityka[[#This Row],[Quality/Quantity]],0)</f>
        <v>0</v>
      </c>
      <c r="L209" s="49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9">
        <f>IFERROR(SUMIFS(Tabela10[Fod Worth],Tabela10[Drop],DropAnalityka[[#This Row],[Drop]],Tabela10[Grade],DropAnalityka[[#This Row],[Grade]])*DropAnalityka[[#This Row],[Quality/Quantity]],0)</f>
        <v>0</v>
      </c>
      <c r="L210" s="49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9">
        <f>IFERROR(SUMIFS(Tabela10[Fod Worth],Tabela10[Drop],DropAnalityka[[#This Row],[Drop]],Tabela10[Grade],DropAnalityka[[#This Row],[Grade]])*DropAnalityka[[#This Row],[Quality/Quantity]],0)</f>
        <v>0</v>
      </c>
      <c r="L211" s="49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9">
        <f>IFERROR(SUMIFS(Tabela10[Fod Worth],Tabela10[Drop],DropAnalityka[[#This Row],[Drop]],Tabela10[Grade],DropAnalityka[[#This Row],[Grade]])*DropAnalityka[[#This Row],[Quality/Quantity]],0)</f>
        <v>0</v>
      </c>
      <c r="L212" s="49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9">
        <f>IFERROR(SUMIFS(Tabela10[Fod Worth],Tabela10[Drop],DropAnalityka[[#This Row],[Drop]],Tabela10[Grade],DropAnalityka[[#This Row],[Grade]])*DropAnalityka[[#This Row],[Quality/Quantity]],0)</f>
        <v>0</v>
      </c>
      <c r="L213" s="49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9">
        <f>IFERROR(SUMIFS(Tabela10[Fod Worth],Tabela10[Drop],DropAnalityka[[#This Row],[Drop]],Tabela10[Grade],DropAnalityka[[#This Row],[Grade]])*DropAnalityka[[#This Row],[Quality/Quantity]],0)</f>
        <v>0</v>
      </c>
      <c r="L214" s="49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9">
        <f>IFERROR(SUMIFS(Tabela10[Fod Worth],Tabela10[Drop],DropAnalityka[[#This Row],[Drop]],Tabela10[Grade],DropAnalityka[[#This Row],[Grade]])*DropAnalityka[[#This Row],[Quality/Quantity]],0)</f>
        <v>11500</v>
      </c>
      <c r="L215" s="49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9">
        <f>IFERROR(SUMIFS(Tabela10[Fod Worth],Tabela10[Drop],DropAnalityka[[#This Row],[Drop]],Tabela10[Grade],DropAnalityka[[#This Row],[Grade]])*DropAnalityka[[#This Row],[Quality/Quantity]],0)</f>
        <v>0</v>
      </c>
      <c r="L216" s="49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9">
        <f>IFERROR(SUMIFS(Tabela10[Fod Worth],Tabela10[Drop],DropAnalityka[[#This Row],[Drop]],Tabela10[Grade],DropAnalityka[[#This Row],[Grade]])*DropAnalityka[[#This Row],[Quality/Quantity]],0)</f>
        <v>11500</v>
      </c>
      <c r="L217" s="49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9">
        <f>IFERROR(SUMIFS(Tabela10[Fod Worth],Tabela10[Drop],DropAnalityka[[#This Row],[Drop]],Tabela10[Grade],DropAnalityka[[#This Row],[Grade]])*DropAnalityka[[#This Row],[Quality/Quantity]],0)</f>
        <v>0</v>
      </c>
      <c r="L218" s="49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9">
        <f>IFERROR(SUMIFS(Tabela10[Fod Worth],Tabela10[Drop],DropAnalityka[[#This Row],[Drop]],Tabela10[Grade],DropAnalityka[[#This Row],[Grade]])*DropAnalityka[[#This Row],[Quality/Quantity]],0)</f>
        <v>0</v>
      </c>
      <c r="L219" s="49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9">
        <f>IFERROR(SUMIFS(Tabela10[Fod Worth],Tabela10[Drop],DropAnalityka[[#This Row],[Drop]],Tabela10[Grade],DropAnalityka[[#This Row],[Grade]])*DropAnalityka[[#This Row],[Quality/Quantity]],0)</f>
        <v>0</v>
      </c>
      <c r="L220" s="49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9">
        <f>IFERROR(SUMIFS(Tabela10[Fod Worth],Tabela10[Drop],DropAnalityka[[#This Row],[Drop]],Tabela10[Grade],DropAnalityka[[#This Row],[Grade]])*DropAnalityka[[#This Row],[Quality/Quantity]],0)</f>
        <v>0</v>
      </c>
      <c r="L221" s="49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9">
        <f>IFERROR(SUMIFS(Tabela10[Fod Worth],Tabela10[Drop],DropAnalityka[[#This Row],[Drop]],Tabela10[Grade],DropAnalityka[[#This Row],[Grade]])*DropAnalityka[[#This Row],[Quality/Quantity]],0)</f>
        <v>11500</v>
      </c>
      <c r="L222" s="49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9">
        <f>IFERROR(SUMIFS(Tabela10[Fod Worth],Tabela10[Drop],DropAnalityka[[#This Row],[Drop]],Tabela10[Grade],DropAnalityka[[#This Row],[Grade]])*DropAnalityka[[#This Row],[Quality/Quantity]],0)</f>
        <v>0</v>
      </c>
      <c r="L223" s="49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9">
        <f>IFERROR(SUMIFS(Tabela10[Fod Worth],Tabela10[Drop],DropAnalityka[[#This Row],[Drop]],Tabela10[Grade],DropAnalityka[[#This Row],[Grade]])*DropAnalityka[[#This Row],[Quality/Quantity]],0)</f>
        <v>0</v>
      </c>
      <c r="L224" s="49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9">
        <f>IFERROR(SUMIFS(Tabela10[Fod Worth],Tabela10[Drop],DropAnalityka[[#This Row],[Drop]],Tabela10[Grade],DropAnalityka[[#This Row],[Grade]])*DropAnalityka[[#This Row],[Quality/Quantity]],0)</f>
        <v>11500</v>
      </c>
      <c r="L225" s="49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9">
        <f>IFERROR(SUMIFS(Tabela10[Fod Worth],Tabela10[Drop],DropAnalityka[[#This Row],[Drop]],Tabela10[Grade],DropAnalityka[[#This Row],[Grade]])*DropAnalityka[[#This Row],[Quality/Quantity]],0)</f>
        <v>11500</v>
      </c>
      <c r="L226" s="49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9">
        <f>IFERROR(SUMIFS(Tabela10[Fod Worth],Tabela10[Drop],DropAnalityka[[#This Row],[Drop]],Tabela10[Grade],DropAnalityka[[#This Row],[Grade]])*DropAnalityka[[#This Row],[Quality/Quantity]],0)</f>
        <v>11500</v>
      </c>
      <c r="L227" s="49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9">
        <f>IFERROR(SUMIFS(Tabela10[Fod Worth],Tabela10[Drop],DropAnalityka[[#This Row],[Drop]],Tabela10[Grade],DropAnalityka[[#This Row],[Grade]])*DropAnalityka[[#This Row],[Quality/Quantity]],0)</f>
        <v>0</v>
      </c>
      <c r="L228" s="49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9">
        <f>IFERROR(SUMIFS(Tabela10[Fod Worth],Tabela10[Drop],DropAnalityka[[#This Row],[Drop]],Tabela10[Grade],DropAnalityka[[#This Row],[Grade]])*DropAnalityka[[#This Row],[Quality/Quantity]],0)</f>
        <v>0</v>
      </c>
      <c r="L229" s="49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9">
        <f>IFERROR(SUMIFS(Tabela10[Fod Worth],Tabela10[Drop],DropAnalityka[[#This Row],[Drop]],Tabela10[Grade],DropAnalityka[[#This Row],[Grade]])*DropAnalityka[[#This Row],[Quality/Quantity]],0)</f>
        <v>11500</v>
      </c>
      <c r="L230" s="49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9">
        <f>IFERROR(SUMIFS(Tabela10[Fod Worth],Tabela10[Drop],DropAnalityka[[#This Row],[Drop]],Tabela10[Grade],DropAnalityka[[#This Row],[Grade]])*DropAnalityka[[#This Row],[Quality/Quantity]],0)</f>
        <v>0</v>
      </c>
      <c r="L231" s="49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9">
        <f>IFERROR(SUMIFS(Tabela10[Fod Worth],Tabela10[Drop],DropAnalityka[[#This Row],[Drop]],Tabela10[Grade],DropAnalityka[[#This Row],[Grade]])*DropAnalityka[[#This Row],[Quality/Quantity]],0)</f>
        <v>0</v>
      </c>
      <c r="L232" s="49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9">
        <f>IFERROR(SUMIFS(Tabela10[Fod Worth],Tabela10[Drop],DropAnalityka[[#This Row],[Drop]],Tabela10[Grade],DropAnalityka[[#This Row],[Grade]])*DropAnalityka[[#This Row],[Quality/Quantity]],0)</f>
        <v>0</v>
      </c>
      <c r="L233" s="49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9">
        <f>IFERROR(SUMIFS(Tabela10[Fod Worth],Tabela10[Drop],DropAnalityka[[#This Row],[Drop]],Tabela10[Grade],DropAnalityka[[#This Row],[Grade]])*DropAnalityka[[#This Row],[Quality/Quantity]],0)</f>
        <v>0</v>
      </c>
      <c r="L234" s="49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9">
        <f>IFERROR(SUMIFS(Tabela10[Fod Worth],Tabela10[Drop],DropAnalityka[[#This Row],[Drop]],Tabela10[Grade],DropAnalityka[[#This Row],[Grade]])*DropAnalityka[[#This Row],[Quality/Quantity]],0)</f>
        <v>0</v>
      </c>
      <c r="L235" s="49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9">
        <f>IFERROR(SUMIFS(Tabela10[Fod Worth],Tabela10[Drop],DropAnalityka[[#This Row],[Drop]],Tabela10[Grade],DropAnalityka[[#This Row],[Grade]])*DropAnalityka[[#This Row],[Quality/Quantity]],0)</f>
        <v>0</v>
      </c>
      <c r="L236" s="49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9">
        <f>IFERROR(SUMIFS(Tabela10[Fod Worth],Tabela10[Drop],DropAnalityka[[#This Row],[Drop]],Tabela10[Grade],DropAnalityka[[#This Row],[Grade]])*DropAnalityka[[#This Row],[Quality/Quantity]],0)</f>
        <v>0</v>
      </c>
      <c r="L237" s="49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9">
        <f>IFERROR(SUMIFS(Tabela10[Fod Worth],Tabela10[Drop],DropAnalityka[[#This Row],[Drop]],Tabela10[Grade],DropAnalityka[[#This Row],[Grade]])*DropAnalityka[[#This Row],[Quality/Quantity]],0)</f>
        <v>0</v>
      </c>
      <c r="L238" s="49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9">
        <f>IFERROR(SUMIFS(Tabela10[Fod Worth],Tabela10[Drop],DropAnalityka[[#This Row],[Drop]],Tabela10[Grade],DropAnalityka[[#This Row],[Grade]])*DropAnalityka[[#This Row],[Quality/Quantity]],0)</f>
        <v>0</v>
      </c>
      <c r="L239" s="49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9">
        <f>IFERROR(SUMIFS(Tabela10[Fod Worth],Tabela10[Drop],DropAnalityka[[#This Row],[Drop]],Tabela10[Grade],DropAnalityka[[#This Row],[Grade]])*DropAnalityka[[#This Row],[Quality/Quantity]],0)</f>
        <v>0</v>
      </c>
      <c r="L240" s="49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9">
        <f>IFERROR(SUMIFS(Tabela10[Fod Worth],Tabela10[Drop],DropAnalityka[[#This Row],[Drop]],Tabela10[Grade],DropAnalityka[[#This Row],[Grade]])*DropAnalityka[[#This Row],[Quality/Quantity]],0)</f>
        <v>0</v>
      </c>
      <c r="L241" s="49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9">
        <f>IFERROR(SUMIFS(Tabela10[Fod Worth],Tabela10[Drop],DropAnalityka[[#This Row],[Drop]],Tabela10[Grade],DropAnalityka[[#This Row],[Grade]])*DropAnalityka[[#This Row],[Quality/Quantity]],0)</f>
        <v>0</v>
      </c>
      <c r="L242" s="49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9">
        <f>IFERROR(SUMIFS(Tabela10[Fod Worth],Tabela10[Drop],DropAnalityka[[#This Row],[Drop]],Tabela10[Grade],DropAnalityka[[#This Row],[Grade]])*DropAnalityka[[#This Row],[Quality/Quantity]],0)</f>
        <v>0</v>
      </c>
      <c r="L243" s="49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9">
        <f>IFERROR(SUMIFS(Tabela10[Fod Worth],Tabela10[Drop],DropAnalityka[[#This Row],[Drop]],Tabela10[Grade],DropAnalityka[[#This Row],[Grade]])*DropAnalityka[[#This Row],[Quality/Quantity]],0)</f>
        <v>0</v>
      </c>
      <c r="L244" s="49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9">
        <f>IFERROR(SUMIFS(Tabela10[Fod Worth],Tabela10[Drop],DropAnalityka[[#This Row],[Drop]],Tabela10[Grade],DropAnalityka[[#This Row],[Grade]])*DropAnalityka[[#This Row],[Quality/Quantity]],0)</f>
        <v>11500</v>
      </c>
      <c r="L245" s="49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9">
        <f>IFERROR(SUMIFS(Tabela10[Fod Worth],Tabela10[Drop],DropAnalityka[[#This Row],[Drop]],Tabela10[Grade],DropAnalityka[[#This Row],[Grade]])*DropAnalityka[[#This Row],[Quality/Quantity]],0)</f>
        <v>0</v>
      </c>
      <c r="L246" s="49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9">
        <f>IFERROR(SUMIFS(Tabela10[Fod Worth],Tabela10[Drop],DropAnalityka[[#This Row],[Drop]],Tabela10[Grade],DropAnalityka[[#This Row],[Grade]])*DropAnalityka[[#This Row],[Quality/Quantity]],0)</f>
        <v>0</v>
      </c>
      <c r="L247" s="49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9">
        <f>IFERROR(SUMIFS(Tabela10[Fod Worth],Tabela10[Drop],DropAnalityka[[#This Row],[Drop]],Tabela10[Grade],DropAnalityka[[#This Row],[Grade]])*DropAnalityka[[#This Row],[Quality/Quantity]],0)</f>
        <v>0</v>
      </c>
      <c r="L248" s="49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9">
        <f>IFERROR(SUMIFS(Tabela10[Fod Worth],Tabela10[Drop],DropAnalityka[[#This Row],[Drop]],Tabela10[Grade],DropAnalityka[[#This Row],[Grade]])*DropAnalityka[[#This Row],[Quality/Quantity]],0)</f>
        <v>0</v>
      </c>
      <c r="L249" s="49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9">
        <f>IFERROR(SUMIFS(Tabela10[Fod Worth],Tabela10[Drop],DropAnalityka[[#This Row],[Drop]],Tabela10[Grade],DropAnalityka[[#This Row],[Grade]])*DropAnalityka[[#This Row],[Quality/Quantity]],0)</f>
        <v>0</v>
      </c>
      <c r="L250" s="49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9">
        <f>IFERROR(SUMIFS(Tabela10[Fod Worth],Tabela10[Drop],DropAnalityka[[#This Row],[Drop]],Tabela10[Grade],DropAnalityka[[#This Row],[Grade]])*DropAnalityka[[#This Row],[Quality/Quantity]],0)</f>
        <v>0</v>
      </c>
      <c r="L251" s="49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9">
        <f>IFERROR(SUMIFS(Tabela10[Fod Worth],Tabela10[Drop],DropAnalityka[[#This Row],[Drop]],Tabela10[Grade],DropAnalityka[[#This Row],[Grade]])*DropAnalityka[[#This Row],[Quality/Quantity]],0)</f>
        <v>0</v>
      </c>
      <c r="L252" s="49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9">
        <f>IFERROR(SUMIFS(Tabela10[Fod Worth],Tabela10[Drop],DropAnalityka[[#This Row],[Drop]],Tabela10[Grade],DropAnalityka[[#This Row],[Grade]])*DropAnalityka[[#This Row],[Quality/Quantity]],0)</f>
        <v>0</v>
      </c>
      <c r="L253" s="49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9">
        <f>IFERROR(SUMIFS(Tabela10[Fod Worth],Tabela10[Drop],DropAnalityka[[#This Row],[Drop]],Tabela10[Grade],DropAnalityka[[#This Row],[Grade]])*DropAnalityka[[#This Row],[Quality/Quantity]],0)</f>
        <v>0</v>
      </c>
      <c r="L254" s="49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9">
        <f>IFERROR(SUMIFS(Tabela10[Fod Worth],Tabela10[Drop],DropAnalityka[[#This Row],[Drop]],Tabela10[Grade],DropAnalityka[[#This Row],[Grade]])*DropAnalityka[[#This Row],[Quality/Quantity]],0)</f>
        <v>0</v>
      </c>
      <c r="L255" s="49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9">
        <f>IFERROR(SUMIFS(Tabela10[Fod Worth],Tabela10[Drop],DropAnalityka[[#This Row],[Drop]],Tabela10[Grade],DropAnalityka[[#This Row],[Grade]])*DropAnalityka[[#This Row],[Quality/Quantity]],0)</f>
        <v>0</v>
      </c>
      <c r="L256" s="49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9">
        <f>IFERROR(SUMIFS(Tabela10[Fod Worth],Tabela10[Drop],DropAnalityka[[#This Row],[Drop]],Tabela10[Grade],DropAnalityka[[#This Row],[Grade]])*DropAnalityka[[#This Row],[Quality/Quantity]],0)</f>
        <v>0</v>
      </c>
      <c r="L257" s="49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9">
        <f>IFERROR(SUMIFS(Tabela10[Fod Worth],Tabela10[Drop],DropAnalityka[[#This Row],[Drop]],Tabela10[Grade],DropAnalityka[[#This Row],[Grade]])*DropAnalityka[[#This Row],[Quality/Quantity]],0)</f>
        <v>0</v>
      </c>
      <c r="L258" s="49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9">
        <f>IFERROR(SUMIFS(Tabela10[Fod Worth],Tabela10[Drop],DropAnalityka[[#This Row],[Drop]],Tabela10[Grade],DropAnalityka[[#This Row],[Grade]])*DropAnalityka[[#This Row],[Quality/Quantity]],0)</f>
        <v>0</v>
      </c>
      <c r="L259" s="49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9">
        <f>IFERROR(SUMIFS(Tabela10[Fod Worth],Tabela10[Drop],DropAnalityka[[#This Row],[Drop]],Tabela10[Grade],DropAnalityka[[#This Row],[Grade]])*DropAnalityka[[#This Row],[Quality/Quantity]],0)</f>
        <v>0</v>
      </c>
      <c r="L260" s="49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9">
        <f>IFERROR(SUMIFS(Tabela10[Fod Worth],Tabela10[Drop],DropAnalityka[[#This Row],[Drop]],Tabela10[Grade],DropAnalityka[[#This Row],[Grade]])*DropAnalityka[[#This Row],[Quality/Quantity]],0)</f>
        <v>0</v>
      </c>
      <c r="L261" s="49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9">
        <f>IFERROR(SUMIFS(Tabela10[Fod Worth],Tabela10[Drop],DropAnalityka[[#This Row],[Drop]],Tabela10[Grade],DropAnalityka[[#This Row],[Grade]])*DropAnalityka[[#This Row],[Quality/Quantity]],0)</f>
        <v>0</v>
      </c>
      <c r="L262" s="49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9">
        <f>IFERROR(SUMIFS(Tabela10[Fod Worth],Tabela10[Drop],DropAnalityka[[#This Row],[Drop]],Tabela10[Grade],DropAnalityka[[#This Row],[Grade]])*DropAnalityka[[#This Row],[Quality/Quantity]],0)</f>
        <v>0</v>
      </c>
      <c r="L263" s="49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9">
        <f>IFERROR(SUMIFS(Tabela10[Fod Worth],Tabela10[Drop],DropAnalityka[[#This Row],[Drop]],Tabela10[Grade],DropAnalityka[[#This Row],[Grade]])*DropAnalityka[[#This Row],[Quality/Quantity]],0)</f>
        <v>0</v>
      </c>
      <c r="L264" s="49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9">
        <f>IFERROR(SUMIFS(Tabela10[Fod Worth],Tabela10[Drop],DropAnalityka[[#This Row],[Drop]],Tabela10[Grade],DropAnalityka[[#This Row],[Grade]])*DropAnalityka[[#This Row],[Quality/Quantity]],0)</f>
        <v>0</v>
      </c>
      <c r="L265" s="49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9">
        <f>IFERROR(SUMIFS(Tabela10[Fod Worth],Tabela10[Drop],DropAnalityka[[#This Row],[Drop]],Tabela10[Grade],DropAnalityka[[#This Row],[Grade]])*DropAnalityka[[#This Row],[Quality/Quantity]],0)</f>
        <v>0</v>
      </c>
      <c r="L266" s="49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9">
        <f>IFERROR(SUMIFS(Tabela10[Fod Worth],Tabela10[Drop],DropAnalityka[[#This Row],[Drop]],Tabela10[Grade],DropAnalityka[[#This Row],[Grade]])*DropAnalityka[[#This Row],[Quality/Quantity]],0)</f>
        <v>0</v>
      </c>
      <c r="L267" s="49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9">
        <f>IFERROR(SUMIFS(Tabela10[Fod Worth],Tabela10[Drop],DropAnalityka[[#This Row],[Drop]],Tabela10[Grade],DropAnalityka[[#This Row],[Grade]])*DropAnalityka[[#This Row],[Quality/Quantity]],0)</f>
        <v>0</v>
      </c>
      <c r="L268" s="49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9">
        <f>IFERROR(SUMIFS(Tabela10[Fod Worth],Tabela10[Drop],DropAnalityka[[#This Row],[Drop]],Tabela10[Grade],DropAnalityka[[#This Row],[Grade]])*DropAnalityka[[#This Row],[Quality/Quantity]],0)</f>
        <v>0</v>
      </c>
      <c r="L269" s="49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9">
        <f>IFERROR(SUMIFS(Tabela10[Fod Worth],Tabela10[Drop],DropAnalityka[[#This Row],[Drop]],Tabela10[Grade],DropAnalityka[[#This Row],[Grade]])*DropAnalityka[[#This Row],[Quality/Quantity]],0)</f>
        <v>0</v>
      </c>
      <c r="L270" s="49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9">
        <f>IFERROR(SUMIFS(Tabela10[Fod Worth],Tabela10[Drop],DropAnalityka[[#This Row],[Drop]],Tabela10[Grade],DropAnalityka[[#This Row],[Grade]])*DropAnalityka[[#This Row],[Quality/Quantity]],0)</f>
        <v>0</v>
      </c>
      <c r="L271" s="49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9">
        <f>IFERROR(SUMIFS(Tabela10[Fod Worth],Tabela10[Drop],DropAnalityka[[#This Row],[Drop]],Tabela10[Grade],DropAnalityka[[#This Row],[Grade]])*DropAnalityka[[#This Row],[Quality/Quantity]],0)</f>
        <v>0</v>
      </c>
      <c r="L272" s="49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9">
        <f>IFERROR(SUMIFS(Tabela10[Fod Worth],Tabela10[Drop],DropAnalityka[[#This Row],[Drop]],Tabela10[Grade],DropAnalityka[[#This Row],[Grade]])*DropAnalityka[[#This Row],[Quality/Quantity]],0)</f>
        <v>0</v>
      </c>
      <c r="L273" s="49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9">
        <f>IFERROR(SUMIFS(Tabela10[Fod Worth],Tabela10[Drop],DropAnalityka[[#This Row],[Drop]],Tabela10[Grade],DropAnalityka[[#This Row],[Grade]])*DropAnalityka[[#This Row],[Quality/Quantity]],0)</f>
        <v>0</v>
      </c>
      <c r="L274" s="49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9">
        <f>IFERROR(SUMIFS(Tabela10[Fod Worth],Tabela10[Drop],DropAnalityka[[#This Row],[Drop]],Tabela10[Grade],DropAnalityka[[#This Row],[Grade]])*DropAnalityka[[#This Row],[Quality/Quantity]],0)</f>
        <v>0</v>
      </c>
      <c r="L275" s="49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9">
        <f>IFERROR(SUMIFS(Tabela10[Fod Worth],Tabela10[Drop],DropAnalityka[[#This Row],[Drop]],Tabela10[Grade],DropAnalityka[[#This Row],[Grade]])*DropAnalityka[[#This Row],[Quality/Quantity]],0)</f>
        <v>0</v>
      </c>
      <c r="L276" s="49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9">
        <f>IFERROR(SUMIFS(Tabela10[Fod Worth],Tabela10[Drop],DropAnalityka[[#This Row],[Drop]],Tabela10[Grade],DropAnalityka[[#This Row],[Grade]])*DropAnalityka[[#This Row],[Quality/Quantity]],0)</f>
        <v>11500</v>
      </c>
      <c r="L277" s="49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9">
        <f>IFERROR(SUMIFS(Tabela10[Fod Worth],Tabela10[Drop],DropAnalityka[[#This Row],[Drop]],Tabela10[Grade],DropAnalityka[[#This Row],[Grade]])*DropAnalityka[[#This Row],[Quality/Quantity]],0)</f>
        <v>0</v>
      </c>
      <c r="L278" s="49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9">
        <f>IFERROR(SUMIFS(Tabela10[Fod Worth],Tabela10[Drop],DropAnalityka[[#This Row],[Drop]],Tabela10[Grade],DropAnalityka[[#This Row],[Grade]])*DropAnalityka[[#This Row],[Quality/Quantity]],0)</f>
        <v>0</v>
      </c>
      <c r="L279" s="49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9">
        <f>IFERROR(SUMIFS(Tabela10[Fod Worth],Tabela10[Drop],DropAnalityka[[#This Row],[Drop]],Tabela10[Grade],DropAnalityka[[#This Row],[Grade]])*DropAnalityka[[#This Row],[Quality/Quantity]],0)</f>
        <v>0</v>
      </c>
      <c r="L280" s="49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9">
        <f>IFERROR(SUMIFS(Tabela10[Fod Worth],Tabela10[Drop],DropAnalityka[[#This Row],[Drop]],Tabela10[Grade],DropAnalityka[[#This Row],[Grade]])*DropAnalityka[[#This Row],[Quality/Quantity]],0)</f>
        <v>0</v>
      </c>
      <c r="L281" s="49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9">
        <f>IFERROR(SUMIFS(Tabela10[Fod Worth],Tabela10[Drop],DropAnalityka[[#This Row],[Drop]],Tabela10[Grade],DropAnalityka[[#This Row],[Grade]])*DropAnalityka[[#This Row],[Quality/Quantity]],0)</f>
        <v>0</v>
      </c>
      <c r="L282" s="49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9">
        <f>IFERROR(SUMIFS(Tabela10[Fod Worth],Tabela10[Drop],DropAnalityka[[#This Row],[Drop]],Tabela10[Grade],DropAnalityka[[#This Row],[Grade]])*DropAnalityka[[#This Row],[Quality/Quantity]],0)</f>
        <v>0</v>
      </c>
      <c r="L283" s="49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274</v>
      </c>
      <c r="G284">
        <v>4</v>
      </c>
      <c r="H284" t="s">
        <v>292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9">
        <f>IFERROR(SUMIFS(Tabela10[Fod Worth],Tabela10[Drop],DropAnalityka[[#This Row],[Drop]],Tabela10[Grade],DropAnalityka[[#This Row],[Grade]])*DropAnalityka[[#This Row],[Quality/Quantity]],0)</f>
        <v>0</v>
      </c>
      <c r="L284" s="49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146</v>
      </c>
      <c r="B285" t="s">
        <v>9</v>
      </c>
      <c r="C285">
        <v>5</v>
      </c>
      <c r="D285">
        <v>1500</v>
      </c>
      <c r="E285">
        <v>0</v>
      </c>
      <c r="F285" t="s">
        <v>294</v>
      </c>
      <c r="G285">
        <v>3</v>
      </c>
      <c r="H285" t="s">
        <v>292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9">
        <f>IFERROR(SUMIFS(Tabela10[Fod Worth],Tabela10[Drop],DropAnalityka[[#This Row],[Drop]],Tabela10[Grade],DropAnalityka[[#This Row],[Grade]])*DropAnalityka[[#This Row],[Quality/Quantity]],0)</f>
        <v>0</v>
      </c>
      <c r="L285" s="49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146</v>
      </c>
      <c r="B286" t="s">
        <v>9</v>
      </c>
      <c r="C286">
        <v>5</v>
      </c>
      <c r="D286">
        <v>1782</v>
      </c>
      <c r="E286">
        <v>0</v>
      </c>
      <c r="F286" t="s">
        <v>294</v>
      </c>
      <c r="G286">
        <v>2</v>
      </c>
      <c r="H286" t="s">
        <v>292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9">
        <f>IFERROR(SUMIFS(Tabela10[Fod Worth],Tabela10[Drop],DropAnalityka[[#This Row],[Drop]],Tabela10[Grade],DropAnalityka[[#This Row],[Grade]])*DropAnalityka[[#This Row],[Quality/Quantity]],0)</f>
        <v>0</v>
      </c>
      <c r="L286" s="49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146</v>
      </c>
      <c r="B287" t="s">
        <v>9</v>
      </c>
      <c r="C287">
        <v>5</v>
      </c>
      <c r="D287">
        <v>1666</v>
      </c>
      <c r="E287">
        <v>1</v>
      </c>
      <c r="F287" t="s">
        <v>294</v>
      </c>
      <c r="G287">
        <v>1</v>
      </c>
      <c r="H287" t="s">
        <v>314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9">
        <f>IFERROR(SUMIFS(Tabela10[Fod Worth],Tabela10[Drop],DropAnalityka[[#This Row],[Drop]],Tabela10[Grade],DropAnalityka[[#This Row],[Grade]])*DropAnalityka[[#This Row],[Quality/Quantity]],0)</f>
        <v>0</v>
      </c>
      <c r="L287" s="49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146</v>
      </c>
      <c r="B288" t="s">
        <v>9</v>
      </c>
      <c r="C288">
        <v>5</v>
      </c>
      <c r="D288">
        <v>1556</v>
      </c>
      <c r="E288">
        <v>0</v>
      </c>
      <c r="F288" t="s">
        <v>294</v>
      </c>
      <c r="G288">
        <v>2</v>
      </c>
      <c r="H288" t="s">
        <v>292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9">
        <f>IFERROR(SUMIFS(Tabela10[Fod Worth],Tabela10[Drop],DropAnalityka[[#This Row],[Drop]],Tabela10[Grade],DropAnalityka[[#This Row],[Grade]])*DropAnalityka[[#This Row],[Quality/Quantity]],0)</f>
        <v>0</v>
      </c>
      <c r="L288" s="49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146</v>
      </c>
      <c r="B289" t="s">
        <v>9</v>
      </c>
      <c r="C289">
        <v>5</v>
      </c>
      <c r="D289">
        <v>2860</v>
      </c>
      <c r="E289">
        <v>0</v>
      </c>
      <c r="F289" t="s">
        <v>294</v>
      </c>
      <c r="G289">
        <v>1</v>
      </c>
      <c r="H289" t="s">
        <v>314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9">
        <f>IFERROR(SUMIFS(Tabela10[Fod Worth],Tabela10[Drop],DropAnalityka[[#This Row],[Drop]],Tabela10[Grade],DropAnalityka[[#This Row],[Grade]])*DropAnalityka[[#This Row],[Quality/Quantity]],0)</f>
        <v>0</v>
      </c>
      <c r="L289" s="49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146</v>
      </c>
      <c r="B290" t="s">
        <v>9</v>
      </c>
      <c r="C290">
        <v>5</v>
      </c>
      <c r="D290">
        <v>2986</v>
      </c>
      <c r="E290">
        <v>0</v>
      </c>
      <c r="F290" t="s">
        <v>294</v>
      </c>
      <c r="G290">
        <v>2</v>
      </c>
      <c r="H290" t="s">
        <v>292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9">
        <f>IFERROR(SUMIFS(Tabela10[Fod Worth],Tabela10[Drop],DropAnalityka[[#This Row],[Drop]],Tabela10[Grade],DropAnalityka[[#This Row],[Grade]])*DropAnalityka[[#This Row],[Quality/Quantity]],0)</f>
        <v>0</v>
      </c>
      <c r="L290" s="49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146</v>
      </c>
      <c r="B291" t="s">
        <v>9</v>
      </c>
      <c r="C291">
        <v>5</v>
      </c>
      <c r="D291">
        <v>3172</v>
      </c>
      <c r="E291">
        <v>1</v>
      </c>
      <c r="F291" t="s">
        <v>147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9">
        <f>IFERROR(SUMIFS(Tabela10[Fod Worth],Tabela10[Drop],DropAnalityka[[#This Row],[Drop]],Tabela10[Grade],DropAnalityka[[#This Row],[Grade]])*DropAnalityka[[#This Row],[Quality/Quantity]],0)</f>
        <v>0</v>
      </c>
      <c r="L291" s="49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146</v>
      </c>
      <c r="B292" t="s">
        <v>9</v>
      </c>
      <c r="C292">
        <v>5</v>
      </c>
      <c r="D292">
        <v>1420</v>
      </c>
      <c r="E292">
        <v>0</v>
      </c>
      <c r="F292" t="s">
        <v>294</v>
      </c>
      <c r="G292">
        <v>2</v>
      </c>
      <c r="H292" t="s">
        <v>314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9">
        <f>IFERROR(SUMIFS(Tabela10[Fod Worth],Tabela10[Drop],DropAnalityka[[#This Row],[Drop]],Tabela10[Grade],DropAnalityka[[#This Row],[Grade]])*DropAnalityka[[#This Row],[Quality/Quantity]],0)</f>
        <v>0</v>
      </c>
      <c r="L292" s="49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146</v>
      </c>
      <c r="B293" t="s">
        <v>9</v>
      </c>
      <c r="C293">
        <v>5</v>
      </c>
      <c r="D293">
        <v>1352</v>
      </c>
      <c r="E293">
        <v>0</v>
      </c>
      <c r="F293" t="s">
        <v>294</v>
      </c>
      <c r="G293">
        <v>1</v>
      </c>
      <c r="H293" t="s">
        <v>314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9">
        <f>IFERROR(SUMIFS(Tabela10[Fod Worth],Tabela10[Drop],DropAnalityka[[#This Row],[Drop]],Tabela10[Grade],DropAnalityka[[#This Row],[Grade]])*DropAnalityka[[#This Row],[Quality/Quantity]],0)</f>
        <v>0</v>
      </c>
      <c r="L293" s="49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146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9">
        <f>IFERROR(SUMIFS(Tabela10[Fod Worth],Tabela10[Drop],DropAnalityka[[#This Row],[Drop]],Tabela10[Grade],DropAnalityka[[#This Row],[Grade]])*DropAnalityka[[#This Row],[Quality/Quantity]],0)</f>
        <v>0</v>
      </c>
      <c r="L294" s="49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146</v>
      </c>
      <c r="B295" t="s">
        <v>9</v>
      </c>
      <c r="C295">
        <v>5</v>
      </c>
      <c r="D295">
        <v>1428</v>
      </c>
      <c r="E295">
        <v>1</v>
      </c>
      <c r="F295" t="s">
        <v>215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9">
        <f>IFERROR(SUMIFS(Tabela10[Fod Worth],Tabela10[Drop],DropAnalityka[[#This Row],[Drop]],Tabela10[Grade],DropAnalityka[[#This Row],[Grade]])*DropAnalityka[[#This Row],[Quality/Quantity]],0)</f>
        <v>2587.5</v>
      </c>
      <c r="L295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146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9">
        <f>IFERROR(SUMIFS(Tabela10[Fod Worth],Tabela10[Drop],DropAnalityka[[#This Row],[Drop]],Tabela10[Grade],DropAnalityka[[#This Row],[Grade]])*DropAnalityka[[#This Row],[Quality/Quantity]],0)</f>
        <v>0</v>
      </c>
      <c r="L296" s="49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146</v>
      </c>
      <c r="B297" t="s">
        <v>9</v>
      </c>
      <c r="C297">
        <v>5</v>
      </c>
      <c r="D297">
        <v>1559</v>
      </c>
      <c r="E297">
        <v>0</v>
      </c>
      <c r="F297" t="s">
        <v>294</v>
      </c>
      <c r="G297">
        <v>1</v>
      </c>
      <c r="H297" t="s">
        <v>314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9">
        <f>IFERROR(SUMIFS(Tabela10[Fod Worth],Tabela10[Drop],DropAnalityka[[#This Row],[Drop]],Tabela10[Grade],DropAnalityka[[#This Row],[Grade]])*DropAnalityka[[#This Row],[Quality/Quantity]],0)</f>
        <v>0</v>
      </c>
      <c r="L297" s="49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146</v>
      </c>
      <c r="B298" t="s">
        <v>9</v>
      </c>
      <c r="C298">
        <v>5</v>
      </c>
      <c r="D298">
        <v>1600</v>
      </c>
      <c r="E298">
        <v>0</v>
      </c>
      <c r="F298" t="s">
        <v>294</v>
      </c>
      <c r="G298">
        <v>3</v>
      </c>
      <c r="H298" t="s">
        <v>314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9">
        <f>IFERROR(SUMIFS(Tabela10[Fod Worth],Tabela10[Drop],DropAnalityka[[#This Row],[Drop]],Tabela10[Grade],DropAnalityka[[#This Row],[Grade]])*DropAnalityka[[#This Row],[Quality/Quantity]],0)</f>
        <v>0</v>
      </c>
      <c r="L298" s="49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146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9">
        <f>IFERROR(SUMIFS(Tabela10[Fod Worth],Tabela10[Drop],DropAnalityka[[#This Row],[Drop]],Tabela10[Grade],DropAnalityka[[#This Row],[Grade]])*DropAnalityka[[#This Row],[Quality/Quantity]],0)</f>
        <v>0</v>
      </c>
      <c r="L299" s="49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146</v>
      </c>
      <c r="B300" t="s">
        <v>9</v>
      </c>
      <c r="C300">
        <v>5</v>
      </c>
      <c r="D300">
        <v>1389</v>
      </c>
      <c r="E300">
        <v>0</v>
      </c>
      <c r="F300" t="s">
        <v>294</v>
      </c>
      <c r="G300">
        <v>4</v>
      </c>
      <c r="H300" t="s">
        <v>292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9">
        <f>IFERROR(SUMIFS(Tabela10[Fod Worth],Tabela10[Drop],DropAnalityka[[#This Row],[Drop]],Tabela10[Grade],DropAnalityka[[#This Row],[Grade]])*DropAnalityka[[#This Row],[Quality/Quantity]],0)</f>
        <v>0</v>
      </c>
      <c r="L300" s="49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9">
        <f>IFERROR(SUMIFS(Tabela10[Fod Worth],Tabela10[Drop],DropAnalityka[[#This Row],[Drop]],Tabela10[Grade],DropAnalityka[[#This Row],[Grade]])*DropAnalityka[[#This Row],[Quality/Quantity]],0)</f>
        <v>0</v>
      </c>
      <c r="L301" s="49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9">
        <f>IFERROR(SUMIFS(Tabela10[Fod Worth],Tabela10[Drop],DropAnalityka[[#This Row],[Drop]],Tabela10[Grade],DropAnalityka[[#This Row],[Grade]])*DropAnalityka[[#This Row],[Quality/Quantity]],0)</f>
        <v>11500</v>
      </c>
      <c r="L302" s="49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9">
        <f>IFERROR(SUMIFS(Tabela10[Fod Worth],Tabela10[Drop],DropAnalityka[[#This Row],[Drop]],Tabela10[Grade],DropAnalityka[[#This Row],[Grade]])*DropAnalityka[[#This Row],[Quality/Quantity]],0)</f>
        <v>0</v>
      </c>
      <c r="L303" s="49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9">
        <f>IFERROR(SUMIFS(Tabela10[Fod Worth],Tabela10[Drop],DropAnalityka[[#This Row],[Drop]],Tabela10[Grade],DropAnalityka[[#This Row],[Grade]])*DropAnalityka[[#This Row],[Quality/Quantity]],0)</f>
        <v>0</v>
      </c>
      <c r="L304" s="49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9">
        <f>IFERROR(SUMIFS(Tabela10[Fod Worth],Tabela10[Drop],DropAnalityka[[#This Row],[Drop]],Tabela10[Grade],DropAnalityka[[#This Row],[Grade]])*DropAnalityka[[#This Row],[Quality/Quantity]],0)</f>
        <v>0</v>
      </c>
      <c r="L305" s="49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9">
        <f>IFERROR(SUMIFS(Tabela10[Fod Worth],Tabela10[Drop],DropAnalityka[[#This Row],[Drop]],Tabela10[Grade],DropAnalityka[[#This Row],[Grade]])*DropAnalityka[[#This Row],[Quality/Quantity]],0)</f>
        <v>0</v>
      </c>
      <c r="L306" s="49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9">
        <f>IFERROR(SUMIFS(Tabela10[Fod Worth],Tabela10[Drop],DropAnalityka[[#This Row],[Drop]],Tabela10[Grade],DropAnalityka[[#This Row],[Grade]])*DropAnalityka[[#This Row],[Quality/Quantity]],0)</f>
        <v>0</v>
      </c>
      <c r="L307" s="49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9">
        <f>IFERROR(SUMIFS(Tabela10[Fod Worth],Tabela10[Drop],DropAnalityka[[#This Row],[Drop]],Tabela10[Grade],DropAnalityka[[#This Row],[Grade]])*DropAnalityka[[#This Row],[Quality/Quantity]],0)</f>
        <v>0</v>
      </c>
      <c r="L308" s="49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150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9">
        <f>IFERROR(SUMIFS(Tabela10[Fod Worth],Tabela10[Drop],DropAnalityka[[#This Row],[Drop]],Tabela10[Grade],DropAnalityka[[#This Row],[Grade]])*DropAnalityka[[#This Row],[Quality/Quantity]],0)</f>
        <v>0</v>
      </c>
      <c r="L309" s="49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9">
        <f>IFERROR(SUMIFS(Tabela10[Fod Worth],Tabela10[Drop],DropAnalityka[[#This Row],[Drop]],Tabela10[Grade],DropAnalityka[[#This Row],[Grade]])*DropAnalityka[[#This Row],[Quality/Quantity]],0)</f>
        <v>34500</v>
      </c>
      <c r="L310" s="49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9">
        <f>IFERROR(SUMIFS(Tabela10[Fod Worth],Tabela10[Drop],DropAnalityka[[#This Row],[Drop]],Tabela10[Grade],DropAnalityka[[#This Row],[Grade]])*DropAnalityka[[#This Row],[Quality/Quantity]],0)</f>
        <v>0</v>
      </c>
      <c r="L311" s="49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9">
        <f>IFERROR(SUMIFS(Tabela10[Fod Worth],Tabela10[Drop],DropAnalityka[[#This Row],[Drop]],Tabela10[Grade],DropAnalityka[[#This Row],[Grade]])*DropAnalityka[[#This Row],[Quality/Quantity]],0)</f>
        <v>11500</v>
      </c>
      <c r="L312" s="49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9">
        <f>IFERROR(SUMIFS(Tabela10[Fod Worth],Tabela10[Drop],DropAnalityka[[#This Row],[Drop]],Tabela10[Grade],DropAnalityka[[#This Row],[Grade]])*DropAnalityka[[#This Row],[Quality/Quantity]],0)</f>
        <v>0</v>
      </c>
      <c r="L313" s="49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9">
        <f>IFERROR(SUMIFS(Tabela10[Fod Worth],Tabela10[Drop],DropAnalityka[[#This Row],[Drop]],Tabela10[Grade],DropAnalityka[[#This Row],[Grade]])*DropAnalityka[[#This Row],[Quality/Quantity]],0)</f>
        <v>0</v>
      </c>
      <c r="L314" s="49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9">
        <f>IFERROR(SUMIFS(Tabela10[Fod Worth],Tabela10[Drop],DropAnalityka[[#This Row],[Drop]],Tabela10[Grade],DropAnalityka[[#This Row],[Grade]])*DropAnalityka[[#This Row],[Quality/Quantity]],0)</f>
        <v>0</v>
      </c>
      <c r="L315" s="49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9">
        <f>IFERROR(SUMIFS(Tabela10[Fod Worth],Tabela10[Drop],DropAnalityka[[#This Row],[Drop]],Tabela10[Grade],DropAnalityka[[#This Row],[Grade]])*DropAnalityka[[#This Row],[Quality/Quantity]],0)</f>
        <v>0</v>
      </c>
      <c r="L316" s="49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9">
        <f>IFERROR(SUMIFS(Tabela10[Fod Worth],Tabela10[Drop],DropAnalityka[[#This Row],[Drop]],Tabela10[Grade],DropAnalityka[[#This Row],[Grade]])*DropAnalityka[[#This Row],[Quality/Quantity]],0)</f>
        <v>0</v>
      </c>
      <c r="L317" s="49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9">
        <f>IFERROR(SUMIFS(Tabela10[Fod Worth],Tabela10[Drop],DropAnalityka[[#This Row],[Drop]],Tabela10[Grade],DropAnalityka[[#This Row],[Grade]])*DropAnalityka[[#This Row],[Quality/Quantity]],0)</f>
        <v>0</v>
      </c>
      <c r="L318" s="49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9">
        <f>IFERROR(SUMIFS(Tabela10[Fod Worth],Tabela10[Drop],DropAnalityka[[#This Row],[Drop]],Tabela10[Grade],DropAnalityka[[#This Row],[Grade]])*DropAnalityka[[#This Row],[Quality/Quantity]],0)</f>
        <v>0</v>
      </c>
      <c r="L319" s="49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9">
        <f>IFERROR(SUMIFS(Tabela10[Fod Worth],Tabela10[Drop],DropAnalityka[[#This Row],[Drop]],Tabela10[Grade],DropAnalityka[[#This Row],[Grade]])*DropAnalityka[[#This Row],[Quality/Quantity]],0)</f>
        <v>0</v>
      </c>
      <c r="L320" s="49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9">
        <f>IFERROR(SUMIFS(Tabela10[Fod Worth],Tabela10[Drop],DropAnalityka[[#This Row],[Drop]],Tabela10[Grade],DropAnalityka[[#This Row],[Grade]])*DropAnalityka[[#This Row],[Quality/Quantity]],0)</f>
        <v>0</v>
      </c>
      <c r="L321" s="49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9">
        <f>IFERROR(SUMIFS(Tabela10[Fod Worth],Tabela10[Drop],DropAnalityka[[#This Row],[Drop]],Tabela10[Grade],DropAnalityka[[#This Row],[Grade]])*DropAnalityka[[#This Row],[Quality/Quantity]],0)</f>
        <v>0</v>
      </c>
      <c r="L322" s="49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9">
        <f>IFERROR(SUMIFS(Tabela10[Fod Worth],Tabela10[Drop],DropAnalityka[[#This Row],[Drop]],Tabela10[Grade],DropAnalityka[[#This Row],[Grade]])*DropAnalityka[[#This Row],[Quality/Quantity]],0)</f>
        <v>0</v>
      </c>
      <c r="L323" s="49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9">
        <f>IFERROR(SUMIFS(Tabela10[Fod Worth],Tabela10[Drop],DropAnalityka[[#This Row],[Drop]],Tabela10[Grade],DropAnalityka[[#This Row],[Grade]])*DropAnalityka[[#This Row],[Quality/Quantity]],0)</f>
        <v>0</v>
      </c>
      <c r="L324" s="49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9">
        <f>IFERROR(SUMIFS(Tabela10[Fod Worth],Tabela10[Drop],DropAnalityka[[#This Row],[Drop]],Tabela10[Grade],DropAnalityka[[#This Row],[Grade]])*DropAnalityka[[#This Row],[Quality/Quantity]],0)</f>
        <v>0</v>
      </c>
      <c r="L325" s="49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9">
        <f>IFERROR(SUMIFS(Tabela10[Fod Worth],Tabela10[Drop],DropAnalityka[[#This Row],[Drop]],Tabela10[Grade],DropAnalityka[[#This Row],[Grade]])*DropAnalityka[[#This Row],[Quality/Quantity]],0)</f>
        <v>0</v>
      </c>
      <c r="L326" s="49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9">
        <f>IFERROR(SUMIFS(Tabela10[Fod Worth],Tabela10[Drop],DropAnalityka[[#This Row],[Drop]],Tabela10[Grade],DropAnalityka[[#This Row],[Grade]])*DropAnalityka[[#This Row],[Quality/Quantity]],0)</f>
        <v>0</v>
      </c>
      <c r="L327" s="49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9">
        <f>IFERROR(SUMIFS(Tabela10[Fod Worth],Tabela10[Drop],DropAnalityka[[#This Row],[Drop]],Tabela10[Grade],DropAnalityka[[#This Row],[Grade]])*DropAnalityka[[#This Row],[Quality/Quantity]],0)</f>
        <v>0</v>
      </c>
      <c r="L328" s="49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9">
        <f>IFERROR(SUMIFS(Tabela10[Fod Worth],Tabela10[Drop],DropAnalityka[[#This Row],[Drop]],Tabela10[Grade],DropAnalityka[[#This Row],[Grade]])*DropAnalityka[[#This Row],[Quality/Quantity]],0)</f>
        <v>11500</v>
      </c>
      <c r="L329" s="49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9">
        <f>IFERROR(SUMIFS(Tabela10[Fod Worth],Tabela10[Drop],DropAnalityka[[#This Row],[Drop]],Tabela10[Grade],DropAnalityka[[#This Row],[Grade]])*DropAnalityka[[#This Row],[Quality/Quantity]],0)</f>
        <v>11500</v>
      </c>
      <c r="L330" s="49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9">
        <f>IFERROR(SUMIFS(Tabela10[Fod Worth],Tabela10[Drop],DropAnalityka[[#This Row],[Drop]],Tabela10[Grade],DropAnalityka[[#This Row],[Grade]])*DropAnalityka[[#This Row],[Quality/Quantity]],0)</f>
        <v>0</v>
      </c>
      <c r="L331" s="49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9">
        <f>IFERROR(SUMIFS(Tabela10[Fod Worth],Tabela10[Drop],DropAnalityka[[#This Row],[Drop]],Tabela10[Grade],DropAnalityka[[#This Row],[Grade]])*DropAnalityka[[#This Row],[Quality/Quantity]],0)</f>
        <v>0</v>
      </c>
      <c r="L332" s="49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9">
        <f>IFERROR(SUMIFS(Tabela10[Fod Worth],Tabela10[Drop],DropAnalityka[[#This Row],[Drop]],Tabela10[Grade],DropAnalityka[[#This Row],[Grade]])*DropAnalityka[[#This Row],[Quality/Quantity]],0)</f>
        <v>0</v>
      </c>
      <c r="L333" s="49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179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9">
        <f>IFERROR(SUMIFS(Tabela10[Fod Worth],Tabela10[Drop],DropAnalityka[[#This Row],[Drop]],Tabela10[Grade],DropAnalityka[[#This Row],[Grade]])*DropAnalityka[[#This Row],[Quality/Quantity]],0)</f>
        <v>0</v>
      </c>
      <c r="L334" s="49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274</v>
      </c>
      <c r="G335">
        <v>1</v>
      </c>
      <c r="H335" t="s">
        <v>314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9">
        <f>IFERROR(SUMIFS(Tabela10[Fod Worth],Tabela10[Drop],DropAnalityka[[#This Row],[Drop]],Tabela10[Grade],DropAnalityka[[#This Row],[Grade]])*DropAnalityka[[#This Row],[Quality/Quantity]],0)</f>
        <v>0</v>
      </c>
      <c r="L335" s="49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180</v>
      </c>
      <c r="B336" t="s">
        <v>9</v>
      </c>
      <c r="C336">
        <v>5</v>
      </c>
      <c r="D336">
        <v>1000</v>
      </c>
      <c r="E336">
        <v>0</v>
      </c>
      <c r="F336" t="s">
        <v>273</v>
      </c>
      <c r="G336">
        <v>5</v>
      </c>
      <c r="H336" t="s">
        <v>292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9">
        <f>IFERROR(SUMIFS(Tabela10[Fod Worth],Tabela10[Drop],DropAnalityka[[#This Row],[Drop]],Tabela10[Grade],DropAnalityka[[#This Row],[Grade]])*DropAnalityka[[#This Row],[Quality/Quantity]],0)</f>
        <v>0</v>
      </c>
      <c r="L336" s="49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9">
        <f>IFERROR(SUMIFS(Tabela10[Fod Worth],Tabela10[Drop],DropAnalityka[[#This Row],[Drop]],Tabela10[Grade],DropAnalityka[[#This Row],[Grade]])*DropAnalityka[[#This Row],[Quality/Quantity]],0)</f>
        <v>0</v>
      </c>
      <c r="L337" s="49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9">
        <f>IFERROR(SUMIFS(Tabela10[Fod Worth],Tabela10[Drop],DropAnalityka[[#This Row],[Drop]],Tabela10[Grade],DropAnalityka[[#This Row],[Grade]])*DropAnalityka[[#This Row],[Quality/Quantity]],0)</f>
        <v>0</v>
      </c>
      <c r="L338" s="49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9">
        <f>IFERROR(SUMIFS(Tabela10[Fod Worth],Tabela10[Drop],DropAnalityka[[#This Row],[Drop]],Tabela10[Grade],DropAnalityka[[#This Row],[Grade]])*DropAnalityka[[#This Row],[Quality/Quantity]],0)</f>
        <v>0</v>
      </c>
      <c r="L339" s="49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9">
        <f>IFERROR(SUMIFS(Tabela10[Fod Worth],Tabela10[Drop],DropAnalityka[[#This Row],[Drop]],Tabela10[Grade],DropAnalityka[[#This Row],[Grade]])*DropAnalityka[[#This Row],[Quality/Quantity]],0)</f>
        <v>0</v>
      </c>
      <c r="L340" s="49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9">
        <f>IFERROR(SUMIFS(Tabela10[Fod Worth],Tabela10[Drop],DropAnalityka[[#This Row],[Drop]],Tabela10[Grade],DropAnalityka[[#This Row],[Grade]])*DropAnalityka[[#This Row],[Quality/Quantity]],0)</f>
        <v>0</v>
      </c>
      <c r="L341" s="49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9">
        <f>IFERROR(SUMIFS(Tabela10[Fod Worth],Tabela10[Drop],DropAnalityka[[#This Row],[Drop]],Tabela10[Grade],DropAnalityka[[#This Row],[Grade]])*DropAnalityka[[#This Row],[Quality/Quantity]],0)</f>
        <v>0</v>
      </c>
      <c r="L342" s="49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9">
        <f>IFERROR(SUMIFS(Tabela10[Fod Worth],Tabela10[Drop],DropAnalityka[[#This Row],[Drop]],Tabela10[Grade],DropAnalityka[[#This Row],[Grade]])*DropAnalityka[[#This Row],[Quality/Quantity]],0)</f>
        <v>0</v>
      </c>
      <c r="L343" s="49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9">
        <f>IFERROR(SUMIFS(Tabela10[Fod Worth],Tabela10[Drop],DropAnalityka[[#This Row],[Drop]],Tabela10[Grade],DropAnalityka[[#This Row],[Grade]])*DropAnalityka[[#This Row],[Quality/Quantity]],0)</f>
        <v>0</v>
      </c>
      <c r="L344" s="49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9">
        <f>IFERROR(SUMIFS(Tabela10[Fod Worth],Tabela10[Drop],DropAnalityka[[#This Row],[Drop]],Tabela10[Grade],DropAnalityka[[#This Row],[Grade]])*DropAnalityka[[#This Row],[Quality/Quantity]],0)</f>
        <v>0</v>
      </c>
      <c r="L345" s="49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9">
        <f>IFERROR(SUMIFS(Tabela10[Fod Worth],Tabela10[Drop],DropAnalityka[[#This Row],[Drop]],Tabela10[Grade],DropAnalityka[[#This Row],[Grade]])*DropAnalityka[[#This Row],[Quality/Quantity]],0)</f>
        <v>0</v>
      </c>
      <c r="L346" s="49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150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9">
        <f>IFERROR(SUMIFS(Tabela10[Fod Worth],Tabela10[Drop],DropAnalityka[[#This Row],[Drop]],Tabela10[Grade],DropAnalityka[[#This Row],[Grade]])*DropAnalityka[[#This Row],[Quality/Quantity]],0)</f>
        <v>0</v>
      </c>
      <c r="L347" s="49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9">
        <f>IFERROR(SUMIFS(Tabela10[Fod Worth],Tabela10[Drop],DropAnalityka[[#This Row],[Drop]],Tabela10[Grade],DropAnalityka[[#This Row],[Grade]])*DropAnalityka[[#This Row],[Quality/Quantity]],0)</f>
        <v>0</v>
      </c>
      <c r="L348" s="49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9">
        <f>IFERROR(SUMIFS(Tabela10[Fod Worth],Tabela10[Drop],DropAnalityka[[#This Row],[Drop]],Tabela10[Grade],DropAnalityka[[#This Row],[Grade]])*DropAnalityka[[#This Row],[Quality/Quantity]],0)</f>
        <v>0</v>
      </c>
      <c r="L349" s="49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9">
        <f>IFERROR(SUMIFS(Tabela10[Fod Worth],Tabela10[Drop],DropAnalityka[[#This Row],[Drop]],Tabela10[Grade],DropAnalityka[[#This Row],[Grade]])*DropAnalityka[[#This Row],[Quality/Quantity]],0)</f>
        <v>0</v>
      </c>
      <c r="L350" s="49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9">
        <f>IFERROR(SUMIFS(Tabela10[Fod Worth],Tabela10[Drop],DropAnalityka[[#This Row],[Drop]],Tabela10[Grade],DropAnalityka[[#This Row],[Grade]])*DropAnalityka[[#This Row],[Quality/Quantity]],0)</f>
        <v>0</v>
      </c>
      <c r="L351" s="49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9">
        <f>IFERROR(SUMIFS(Tabela10[Fod Worth],Tabela10[Drop],DropAnalityka[[#This Row],[Drop]],Tabela10[Grade],DropAnalityka[[#This Row],[Grade]])*DropAnalityka[[#This Row],[Quality/Quantity]],0)</f>
        <v>0</v>
      </c>
      <c r="L352" s="49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9">
        <f>IFERROR(SUMIFS(Tabela10[Fod Worth],Tabela10[Drop],DropAnalityka[[#This Row],[Drop]],Tabela10[Grade],DropAnalityka[[#This Row],[Grade]])*DropAnalityka[[#This Row],[Quality/Quantity]],0)</f>
        <v>0</v>
      </c>
      <c r="L353" s="49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9">
        <f>IFERROR(SUMIFS(Tabela10[Fod Worth],Tabela10[Drop],DropAnalityka[[#This Row],[Drop]],Tabela10[Grade],DropAnalityka[[#This Row],[Grade]])*DropAnalityka[[#This Row],[Quality/Quantity]],0)</f>
        <v>0</v>
      </c>
      <c r="L354" s="49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9">
        <f>IFERROR(SUMIFS(Tabela10[Fod Worth],Tabela10[Drop],DropAnalityka[[#This Row],[Drop]],Tabela10[Grade],DropAnalityka[[#This Row],[Grade]])*DropAnalityka[[#This Row],[Quality/Quantity]],0)</f>
        <v>0</v>
      </c>
      <c r="L355" s="49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9">
        <f>IFERROR(SUMIFS(Tabela10[Fod Worth],Tabela10[Drop],DropAnalityka[[#This Row],[Drop]],Tabela10[Grade],DropAnalityka[[#This Row],[Grade]])*DropAnalityka[[#This Row],[Quality/Quantity]],0)</f>
        <v>0</v>
      </c>
      <c r="L356" s="49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9">
        <f>IFERROR(SUMIFS(Tabela10[Fod Worth],Tabela10[Drop],DropAnalityka[[#This Row],[Drop]],Tabela10[Grade],DropAnalityka[[#This Row],[Grade]])*DropAnalityka[[#This Row],[Quality/Quantity]],0)</f>
        <v>0</v>
      </c>
      <c r="L357" s="49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9">
        <f>IFERROR(SUMIFS(Tabela10[Fod Worth],Tabela10[Drop],DropAnalityka[[#This Row],[Drop]],Tabela10[Grade],DropAnalityka[[#This Row],[Grade]])*DropAnalityka[[#This Row],[Quality/Quantity]],0)</f>
        <v>0</v>
      </c>
      <c r="L358" s="49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9">
        <f>IFERROR(SUMIFS(Tabela10[Fod Worth],Tabela10[Drop],DropAnalityka[[#This Row],[Drop]],Tabela10[Grade],DropAnalityka[[#This Row],[Grade]])*DropAnalityka[[#This Row],[Quality/Quantity]],0)</f>
        <v>0</v>
      </c>
      <c r="L359" s="49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9">
        <f>IFERROR(SUMIFS(Tabela10[Fod Worth],Tabela10[Drop],DropAnalityka[[#This Row],[Drop]],Tabela10[Grade],DropAnalityka[[#This Row],[Grade]])*DropAnalityka[[#This Row],[Quality/Quantity]],0)</f>
        <v>0</v>
      </c>
      <c r="L360" s="49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9">
        <f>IFERROR(SUMIFS(Tabela10[Fod Worth],Tabela10[Drop],DropAnalityka[[#This Row],[Drop]],Tabela10[Grade],DropAnalityka[[#This Row],[Grade]])*DropAnalityka[[#This Row],[Quality/Quantity]],0)</f>
        <v>0</v>
      </c>
      <c r="L361" s="49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9">
        <f>IFERROR(SUMIFS(Tabela10[Fod Worth],Tabela10[Drop],DropAnalityka[[#This Row],[Drop]],Tabela10[Grade],DropAnalityka[[#This Row],[Grade]])*DropAnalityka[[#This Row],[Quality/Quantity]],0)</f>
        <v>0</v>
      </c>
      <c r="L362" s="49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9">
        <f>IFERROR(SUMIFS(Tabela10[Fod Worth],Tabela10[Drop],DropAnalityka[[#This Row],[Drop]],Tabela10[Grade],DropAnalityka[[#This Row],[Grade]])*DropAnalityka[[#This Row],[Quality/Quantity]],0)</f>
        <v>0</v>
      </c>
      <c r="L363" s="49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9">
        <f>IFERROR(SUMIFS(Tabela10[Fod Worth],Tabela10[Drop],DropAnalityka[[#This Row],[Drop]],Tabela10[Grade],DropAnalityka[[#This Row],[Grade]])*DropAnalityka[[#This Row],[Quality/Quantity]],0)</f>
        <v>0</v>
      </c>
      <c r="L364" s="49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9">
        <f>IFERROR(SUMIFS(Tabela10[Fod Worth],Tabela10[Drop],DropAnalityka[[#This Row],[Drop]],Tabela10[Grade],DropAnalityka[[#This Row],[Grade]])*DropAnalityka[[#This Row],[Quality/Quantity]],0)</f>
        <v>0</v>
      </c>
      <c r="L365" s="49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9">
        <f>IFERROR(SUMIFS(Tabela10[Fod Worth],Tabela10[Drop],DropAnalityka[[#This Row],[Drop]],Tabela10[Grade],DropAnalityka[[#This Row],[Grade]])*DropAnalityka[[#This Row],[Quality/Quantity]],0)</f>
        <v>0</v>
      </c>
      <c r="L366" s="49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179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9">
        <f>IFERROR(SUMIFS(Tabela10[Fod Worth],Tabela10[Drop],DropAnalityka[[#This Row],[Drop]],Tabela10[Grade],DropAnalityka[[#This Row],[Grade]])*DropAnalityka[[#This Row],[Quality/Quantity]],0)</f>
        <v>0</v>
      </c>
      <c r="L367" s="49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179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9">
        <f>IFERROR(SUMIFS(Tabela10[Fod Worth],Tabela10[Drop],DropAnalityka[[#This Row],[Drop]],Tabela10[Grade],DropAnalityka[[#This Row],[Grade]])*DropAnalityka[[#This Row],[Quality/Quantity]],0)</f>
        <v>0</v>
      </c>
      <c r="L368" s="49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179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9">
        <f>IFERROR(SUMIFS(Tabela10[Fod Worth],Tabela10[Drop],DropAnalityka[[#This Row],[Drop]],Tabela10[Grade],DropAnalityka[[#This Row],[Grade]])*DropAnalityka[[#This Row],[Quality/Quantity]],0)</f>
        <v>0</v>
      </c>
      <c r="L369" s="49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179</v>
      </c>
      <c r="B370" t="s">
        <v>9</v>
      </c>
      <c r="C370">
        <v>5</v>
      </c>
      <c r="D370">
        <v>2547</v>
      </c>
      <c r="E370">
        <v>2</v>
      </c>
      <c r="F370" t="s">
        <v>150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9">
        <f>IFERROR(SUMIFS(Tabela10[Fod Worth],Tabela10[Drop],DropAnalityka[[#This Row],[Drop]],Tabela10[Grade],DropAnalityka[[#This Row],[Grade]])*DropAnalityka[[#This Row],[Quality/Quantity]],0)</f>
        <v>0</v>
      </c>
      <c r="L370" s="49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179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9">
        <f>IFERROR(SUMIFS(Tabela10[Fod Worth],Tabela10[Drop],DropAnalityka[[#This Row],[Drop]],Tabela10[Grade],DropAnalityka[[#This Row],[Grade]])*DropAnalityka[[#This Row],[Quality/Quantity]],0)</f>
        <v>0</v>
      </c>
      <c r="L371" s="49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179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9">
        <f>IFERROR(SUMIFS(Tabela10[Fod Worth],Tabela10[Drop],DropAnalityka[[#This Row],[Drop]],Tabela10[Grade],DropAnalityka[[#This Row],[Grade]])*DropAnalityka[[#This Row],[Quality/Quantity]],0)</f>
        <v>0</v>
      </c>
      <c r="L372" s="49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179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9">
        <f>IFERROR(SUMIFS(Tabela10[Fod Worth],Tabela10[Drop],DropAnalityka[[#This Row],[Drop]],Tabela10[Grade],DropAnalityka[[#This Row],[Grade]])*DropAnalityka[[#This Row],[Quality/Quantity]],0)</f>
        <v>0</v>
      </c>
      <c r="L373" s="49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179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9">
        <f>IFERROR(SUMIFS(Tabela10[Fod Worth],Tabela10[Drop],DropAnalityka[[#This Row],[Drop]],Tabela10[Grade],DropAnalityka[[#This Row],[Grade]])*DropAnalityka[[#This Row],[Quality/Quantity]],0)</f>
        <v>0</v>
      </c>
      <c r="L374" s="49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179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9">
        <f>IFERROR(SUMIFS(Tabela10[Fod Worth],Tabela10[Drop],DropAnalityka[[#This Row],[Drop]],Tabela10[Grade],DropAnalityka[[#This Row],[Grade]])*DropAnalityka[[#This Row],[Quality/Quantity]],0)</f>
        <v>0</v>
      </c>
      <c r="L375" s="49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179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9">
        <f>IFERROR(SUMIFS(Tabela10[Fod Worth],Tabela10[Drop],DropAnalityka[[#This Row],[Drop]],Tabela10[Grade],DropAnalityka[[#This Row],[Grade]])*DropAnalityka[[#This Row],[Quality/Quantity]],0)</f>
        <v>0</v>
      </c>
      <c r="L376" s="49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179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9">
        <f>IFERROR(SUMIFS(Tabela10[Fod Worth],Tabela10[Drop],DropAnalityka[[#This Row],[Drop]],Tabela10[Grade],DropAnalityka[[#This Row],[Grade]])*DropAnalityka[[#This Row],[Quality/Quantity]],0)</f>
        <v>0</v>
      </c>
      <c r="L377" s="49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179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9">
        <f>IFERROR(SUMIFS(Tabela10[Fod Worth],Tabela10[Drop],DropAnalityka[[#This Row],[Drop]],Tabela10[Grade],DropAnalityka[[#This Row],[Grade]])*DropAnalityka[[#This Row],[Quality/Quantity]],0)</f>
        <v>0</v>
      </c>
      <c r="L378" s="49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179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9">
        <f>IFERROR(SUMIFS(Tabela10[Fod Worth],Tabela10[Drop],DropAnalityka[[#This Row],[Drop]],Tabela10[Grade],DropAnalityka[[#This Row],[Grade]])*DropAnalityka[[#This Row],[Quality/Quantity]],0)</f>
        <v>0</v>
      </c>
      <c r="L379" s="49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179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9">
        <f>IFERROR(SUMIFS(Tabela10[Fod Worth],Tabela10[Drop],DropAnalityka[[#This Row],[Drop]],Tabela10[Grade],DropAnalityka[[#This Row],[Grade]])*DropAnalityka[[#This Row],[Quality/Quantity]],0)</f>
        <v>0</v>
      </c>
      <c r="L380" s="49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179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9">
        <f>IFERROR(SUMIFS(Tabela10[Fod Worth],Tabela10[Drop],DropAnalityka[[#This Row],[Drop]],Tabela10[Grade],DropAnalityka[[#This Row],[Grade]])*DropAnalityka[[#This Row],[Quality/Quantity]],0)</f>
        <v>0</v>
      </c>
      <c r="L381" s="49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179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9">
        <f>IFERROR(SUMIFS(Tabela10[Fod Worth],Tabela10[Drop],DropAnalityka[[#This Row],[Drop]],Tabela10[Grade],DropAnalityka[[#This Row],[Grade]])*DropAnalityka[[#This Row],[Quality/Quantity]],0)</f>
        <v>0</v>
      </c>
      <c r="L382" s="49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9">
        <f>IFERROR(SUMIFS(Tabela10[Fod Worth],Tabela10[Drop],DropAnalityka[[#This Row],[Drop]],Tabela10[Grade],DropAnalityka[[#This Row],[Grade]])*DropAnalityka[[#This Row],[Quality/Quantity]],0)</f>
        <v>0</v>
      </c>
      <c r="L383" s="49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9">
        <f>IFERROR(SUMIFS(Tabela10[Fod Worth],Tabela10[Drop],DropAnalityka[[#This Row],[Drop]],Tabela10[Grade],DropAnalityka[[#This Row],[Grade]])*DropAnalityka[[#This Row],[Quality/Quantity]],0)</f>
        <v>0</v>
      </c>
      <c r="L384" s="49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9">
        <f>IFERROR(SUMIFS(Tabela10[Fod Worth],Tabela10[Drop],DropAnalityka[[#This Row],[Drop]],Tabela10[Grade],DropAnalityka[[#This Row],[Grade]])*DropAnalityka[[#This Row],[Quality/Quantity]],0)</f>
        <v>0</v>
      </c>
      <c r="L385" s="49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9">
        <f>IFERROR(SUMIFS(Tabela10[Fod Worth],Tabela10[Drop],DropAnalityka[[#This Row],[Drop]],Tabela10[Grade],DropAnalityka[[#This Row],[Grade]])*DropAnalityka[[#This Row],[Quality/Quantity]],0)</f>
        <v>0</v>
      </c>
      <c r="L386" s="49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9">
        <f>IFERROR(SUMIFS(Tabela10[Fod Worth],Tabela10[Drop],DropAnalityka[[#This Row],[Drop]],Tabela10[Grade],DropAnalityka[[#This Row],[Grade]])*DropAnalityka[[#This Row],[Quality/Quantity]],0)</f>
        <v>0</v>
      </c>
      <c r="L387" s="49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9">
        <f>IFERROR(SUMIFS(Tabela10[Fod Worth],Tabela10[Drop],DropAnalityka[[#This Row],[Drop]],Tabela10[Grade],DropAnalityka[[#This Row],[Grade]])*DropAnalityka[[#This Row],[Quality/Quantity]],0)</f>
        <v>0</v>
      </c>
      <c r="L388" s="49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9">
        <f>IFERROR(SUMIFS(Tabela10[Fod Worth],Tabela10[Drop],DropAnalityka[[#This Row],[Drop]],Tabela10[Grade],DropAnalityka[[#This Row],[Grade]])*DropAnalityka[[#This Row],[Quality/Quantity]],0)</f>
        <v>0</v>
      </c>
      <c r="L389" s="49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9">
        <f>IFERROR(SUMIFS(Tabela10[Fod Worth],Tabela10[Drop],DropAnalityka[[#This Row],[Drop]],Tabela10[Grade],DropAnalityka[[#This Row],[Grade]])*DropAnalityka[[#This Row],[Quality/Quantity]],0)</f>
        <v>0</v>
      </c>
      <c r="L390" s="49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9">
        <f>IFERROR(SUMIFS(Tabela10[Fod Worth],Tabela10[Drop],DropAnalityka[[#This Row],[Drop]],Tabela10[Grade],DropAnalityka[[#This Row],[Grade]])*DropAnalityka[[#This Row],[Quality/Quantity]],0)</f>
        <v>0</v>
      </c>
      <c r="L391" s="49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9">
        <f>IFERROR(SUMIFS(Tabela10[Fod Worth],Tabela10[Drop],DropAnalityka[[#This Row],[Drop]],Tabela10[Grade],DropAnalityka[[#This Row],[Grade]])*DropAnalityka[[#This Row],[Quality/Quantity]],0)</f>
        <v>0</v>
      </c>
      <c r="L392" s="49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9">
        <f>IFERROR(SUMIFS(Tabela10[Fod Worth],Tabela10[Drop],DropAnalityka[[#This Row],[Drop]],Tabela10[Grade],DropAnalityka[[#This Row],[Grade]])*DropAnalityka[[#This Row],[Quality/Quantity]],0)</f>
        <v>0</v>
      </c>
      <c r="L393" s="49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9">
        <f>IFERROR(SUMIFS(Tabela10[Fod Worth],Tabela10[Drop],DropAnalityka[[#This Row],[Drop]],Tabela10[Grade],DropAnalityka[[#This Row],[Grade]])*DropAnalityka[[#This Row],[Quality/Quantity]],0)</f>
        <v>0</v>
      </c>
      <c r="L394" s="49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9">
        <f>IFERROR(SUMIFS(Tabela10[Fod Worth],Tabela10[Drop],DropAnalityka[[#This Row],[Drop]],Tabela10[Grade],DropAnalityka[[#This Row],[Grade]])*DropAnalityka[[#This Row],[Quality/Quantity]],0)</f>
        <v>0</v>
      </c>
      <c r="L395" s="49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9">
        <f>IFERROR(SUMIFS(Tabela10[Fod Worth],Tabela10[Drop],DropAnalityka[[#This Row],[Drop]],Tabela10[Grade],DropAnalityka[[#This Row],[Grade]])*DropAnalityka[[#This Row],[Quality/Quantity]],0)</f>
        <v>0</v>
      </c>
      <c r="L396" s="49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9">
        <f>IFERROR(SUMIFS(Tabela10[Fod Worth],Tabela10[Drop],DropAnalityka[[#This Row],[Drop]],Tabela10[Grade],DropAnalityka[[#This Row],[Grade]])*DropAnalityka[[#This Row],[Quality/Quantity]],0)</f>
        <v>0</v>
      </c>
      <c r="L397" s="49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9">
        <f>IFERROR(SUMIFS(Tabela10[Fod Worth],Tabela10[Drop],DropAnalityka[[#This Row],[Drop]],Tabela10[Grade],DropAnalityka[[#This Row],[Grade]])*DropAnalityka[[#This Row],[Quality/Quantity]],0)</f>
        <v>0</v>
      </c>
      <c r="L398" s="49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9">
        <f>IFERROR(SUMIFS(Tabela10[Fod Worth],Tabela10[Drop],DropAnalityka[[#This Row],[Drop]],Tabela10[Grade],DropAnalityka[[#This Row],[Grade]])*DropAnalityka[[#This Row],[Quality/Quantity]],0)</f>
        <v>0</v>
      </c>
      <c r="L399" s="49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9">
        <f>IFERROR(SUMIFS(Tabela10[Fod Worth],Tabela10[Drop],DropAnalityka[[#This Row],[Drop]],Tabela10[Grade],DropAnalityka[[#This Row],[Grade]])*DropAnalityka[[#This Row],[Quality/Quantity]],0)</f>
        <v>0</v>
      </c>
      <c r="L400" s="49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9">
        <f>IFERROR(SUMIFS(Tabela10[Fod Worth],Tabela10[Drop],DropAnalityka[[#This Row],[Drop]],Tabela10[Grade],DropAnalityka[[#This Row],[Grade]])*DropAnalityka[[#This Row],[Quality/Quantity]],0)</f>
        <v>0</v>
      </c>
      <c r="L401" s="49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9">
        <f>IFERROR(SUMIFS(Tabela10[Fod Worth],Tabela10[Drop],DropAnalityka[[#This Row],[Drop]],Tabela10[Grade],DropAnalityka[[#This Row],[Grade]])*DropAnalityka[[#This Row],[Quality/Quantity]],0)</f>
        <v>0</v>
      </c>
      <c r="L402" s="49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9">
        <f>IFERROR(SUMIFS(Tabela10[Fod Worth],Tabela10[Drop],DropAnalityka[[#This Row],[Drop]],Tabela10[Grade],DropAnalityka[[#This Row],[Grade]])*DropAnalityka[[#This Row],[Quality/Quantity]],0)</f>
        <v>0</v>
      </c>
      <c r="L403" s="49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9">
        <f>IFERROR(SUMIFS(Tabela10[Fod Worth],Tabela10[Drop],DropAnalityka[[#This Row],[Drop]],Tabela10[Grade],DropAnalityka[[#This Row],[Grade]])*DropAnalityka[[#This Row],[Quality/Quantity]],0)</f>
        <v>0</v>
      </c>
      <c r="L404" s="49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9">
        <f>IFERROR(SUMIFS(Tabela10[Fod Worth],Tabela10[Drop],DropAnalityka[[#This Row],[Drop]],Tabela10[Grade],DropAnalityka[[#This Row],[Grade]])*DropAnalityka[[#This Row],[Quality/Quantity]],0)</f>
        <v>0</v>
      </c>
      <c r="L405" s="49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9">
        <f>IFERROR(SUMIFS(Tabela10[Fod Worth],Tabela10[Drop],DropAnalityka[[#This Row],[Drop]],Tabela10[Grade],DropAnalityka[[#This Row],[Grade]])*DropAnalityka[[#This Row],[Quality/Quantity]],0)</f>
        <v>0</v>
      </c>
      <c r="L406" s="49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9">
        <f>IFERROR(SUMIFS(Tabela10[Fod Worth],Tabela10[Drop],DropAnalityka[[#This Row],[Drop]],Tabela10[Grade],DropAnalityka[[#This Row],[Grade]])*DropAnalityka[[#This Row],[Quality/Quantity]],0)</f>
        <v>0</v>
      </c>
      <c r="L407" s="49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9">
        <f>IFERROR(SUMIFS(Tabela10[Fod Worth],Tabela10[Drop],DropAnalityka[[#This Row],[Drop]],Tabela10[Grade],DropAnalityka[[#This Row],[Grade]])*DropAnalityka[[#This Row],[Quality/Quantity]],0)</f>
        <v>0</v>
      </c>
      <c r="L408" s="49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9">
        <f>IFERROR(SUMIFS(Tabela10[Fod Worth],Tabela10[Drop],DropAnalityka[[#This Row],[Drop]],Tabela10[Grade],DropAnalityka[[#This Row],[Grade]])*DropAnalityka[[#This Row],[Quality/Quantity]],0)</f>
        <v>0</v>
      </c>
      <c r="L409" s="49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9">
        <f>IFERROR(SUMIFS(Tabela10[Fod Worth],Tabela10[Drop],DropAnalityka[[#This Row],[Drop]],Tabela10[Grade],DropAnalityka[[#This Row],[Grade]])*DropAnalityka[[#This Row],[Quality/Quantity]],0)</f>
        <v>0</v>
      </c>
      <c r="L410" s="49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9">
        <f>IFERROR(SUMIFS(Tabela10[Fod Worth],Tabela10[Drop],DropAnalityka[[#This Row],[Drop]],Tabela10[Grade],DropAnalityka[[#This Row],[Grade]])*DropAnalityka[[#This Row],[Quality/Quantity]],0)</f>
        <v>0</v>
      </c>
      <c r="L411" s="49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9">
        <f>IFERROR(SUMIFS(Tabela10[Fod Worth],Tabela10[Drop],DropAnalityka[[#This Row],[Drop]],Tabela10[Grade],DropAnalityka[[#This Row],[Grade]])*DropAnalityka[[#This Row],[Quality/Quantity]],0)</f>
        <v>0</v>
      </c>
      <c r="L412" s="49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9">
        <f>IFERROR(SUMIFS(Tabela10[Fod Worth],Tabela10[Drop],DropAnalityka[[#This Row],[Drop]],Tabela10[Grade],DropAnalityka[[#This Row],[Grade]])*DropAnalityka[[#This Row],[Quality/Quantity]],0)</f>
        <v>0</v>
      </c>
      <c r="L413" s="49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9">
        <f>IFERROR(SUMIFS(Tabela10[Fod Worth],Tabela10[Drop],DropAnalityka[[#This Row],[Drop]],Tabela10[Grade],DropAnalityka[[#This Row],[Grade]])*DropAnalityka[[#This Row],[Quality/Quantity]],0)</f>
        <v>0</v>
      </c>
      <c r="L414" s="49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9">
        <f>IFERROR(SUMIFS(Tabela10[Fod Worth],Tabela10[Drop],DropAnalityka[[#This Row],[Drop]],Tabela10[Grade],DropAnalityka[[#This Row],[Grade]])*DropAnalityka[[#This Row],[Quality/Quantity]],0)</f>
        <v>0</v>
      </c>
      <c r="L415" s="49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9">
        <f>IFERROR(SUMIFS(Tabela10[Fod Worth],Tabela10[Drop],DropAnalityka[[#This Row],[Drop]],Tabela10[Grade],DropAnalityka[[#This Row],[Grade]])*DropAnalityka[[#This Row],[Quality/Quantity]],0)</f>
        <v>0</v>
      </c>
      <c r="L416" s="49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9">
        <f>IFERROR(SUMIFS(Tabela10[Fod Worth],Tabela10[Drop],DropAnalityka[[#This Row],[Drop]],Tabela10[Grade],DropAnalityka[[#This Row],[Grade]])*DropAnalityka[[#This Row],[Quality/Quantity]],0)</f>
        <v>0</v>
      </c>
      <c r="L417" s="49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9">
        <f>IFERROR(SUMIFS(Tabela10[Fod Worth],Tabela10[Drop],DropAnalityka[[#This Row],[Drop]],Tabela10[Grade],DropAnalityka[[#This Row],[Grade]])*DropAnalityka[[#This Row],[Quality/Quantity]],0)</f>
        <v>0</v>
      </c>
      <c r="L418" s="49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9">
        <f>IFERROR(SUMIFS(Tabela10[Fod Worth],Tabela10[Drop],DropAnalityka[[#This Row],[Drop]],Tabela10[Grade],DropAnalityka[[#This Row],[Grade]])*DropAnalityka[[#This Row],[Quality/Quantity]],0)</f>
        <v>0</v>
      </c>
      <c r="L419" s="49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9">
        <f>IFERROR(SUMIFS(Tabela10[Fod Worth],Tabela10[Drop],DropAnalityka[[#This Row],[Drop]],Tabela10[Grade],DropAnalityka[[#This Row],[Grade]])*DropAnalityka[[#This Row],[Quality/Quantity]],0)</f>
        <v>0</v>
      </c>
      <c r="L420" s="49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9">
        <f>IFERROR(SUMIFS(Tabela10[Fod Worth],Tabela10[Drop],DropAnalityka[[#This Row],[Drop]],Tabela10[Grade],DropAnalityka[[#This Row],[Grade]])*DropAnalityka[[#This Row],[Quality/Quantity]],0)</f>
        <v>0</v>
      </c>
      <c r="L421" s="49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9">
        <f>IFERROR(SUMIFS(Tabela10[Fod Worth],Tabela10[Drop],DropAnalityka[[#This Row],[Drop]],Tabela10[Grade],DropAnalityka[[#This Row],[Grade]])*DropAnalityka[[#This Row],[Quality/Quantity]],0)</f>
        <v>0</v>
      </c>
      <c r="L422" s="49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9">
        <f>IFERROR(SUMIFS(Tabela10[Fod Worth],Tabela10[Drop],DropAnalityka[[#This Row],[Drop]],Tabela10[Grade],DropAnalityka[[#This Row],[Grade]])*DropAnalityka[[#This Row],[Quality/Quantity]],0)</f>
        <v>0</v>
      </c>
      <c r="L423" s="49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9">
        <f>IFERROR(SUMIFS(Tabela10[Fod Worth],Tabela10[Drop],DropAnalityka[[#This Row],[Drop]],Tabela10[Grade],DropAnalityka[[#This Row],[Grade]])*DropAnalityka[[#This Row],[Quality/Quantity]],0)</f>
        <v>0</v>
      </c>
      <c r="L424" s="49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9">
        <f>IFERROR(SUMIFS(Tabela10[Fod Worth],Tabela10[Drop],DropAnalityka[[#This Row],[Drop]],Tabela10[Grade],DropAnalityka[[#This Row],[Grade]])*DropAnalityka[[#This Row],[Quality/Quantity]],0)</f>
        <v>0</v>
      </c>
      <c r="L425" s="49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9">
        <f>IFERROR(SUMIFS(Tabela10[Fod Worth],Tabela10[Drop],DropAnalityka[[#This Row],[Drop]],Tabela10[Grade],DropAnalityka[[#This Row],[Grade]])*DropAnalityka[[#This Row],[Quality/Quantity]],0)</f>
        <v>0</v>
      </c>
      <c r="L426" s="49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9">
        <f>IFERROR(SUMIFS(Tabela10[Fod Worth],Tabela10[Drop],DropAnalityka[[#This Row],[Drop]],Tabela10[Grade],DropAnalityka[[#This Row],[Grade]])*DropAnalityka[[#This Row],[Quality/Quantity]],0)</f>
        <v>0</v>
      </c>
      <c r="L427" s="49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9">
        <f>IFERROR(SUMIFS(Tabela10[Fod Worth],Tabela10[Drop],DropAnalityka[[#This Row],[Drop]],Tabela10[Grade],DropAnalityka[[#This Row],[Grade]])*DropAnalityka[[#This Row],[Quality/Quantity]],0)</f>
        <v>0</v>
      </c>
      <c r="L428" s="49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9">
        <f>IFERROR(SUMIFS(Tabela10[Fod Worth],Tabela10[Drop],DropAnalityka[[#This Row],[Drop]],Tabela10[Grade],DropAnalityka[[#This Row],[Grade]])*DropAnalityka[[#This Row],[Quality/Quantity]],0)</f>
        <v>0</v>
      </c>
      <c r="L429" s="49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9">
        <f>IFERROR(SUMIFS(Tabela10[Fod Worth],Tabela10[Drop],DropAnalityka[[#This Row],[Drop]],Tabela10[Grade],DropAnalityka[[#This Row],[Grade]])*DropAnalityka[[#This Row],[Quality/Quantity]],0)</f>
        <v>0</v>
      </c>
      <c r="L430" s="49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9">
        <f>IFERROR(SUMIFS(Tabela10[Fod Worth],Tabela10[Drop],DropAnalityka[[#This Row],[Drop]],Tabela10[Grade],DropAnalityka[[#This Row],[Grade]])*DropAnalityka[[#This Row],[Quality/Quantity]],0)</f>
        <v>0</v>
      </c>
      <c r="L431" s="49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9">
        <f>IFERROR(SUMIFS(Tabela10[Fod Worth],Tabela10[Drop],DropAnalityka[[#This Row],[Drop]],Tabela10[Grade],DropAnalityka[[#This Row],[Grade]])*DropAnalityka[[#This Row],[Quality/Quantity]],0)</f>
        <v>0</v>
      </c>
      <c r="L432" s="49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9">
        <f>IFERROR(SUMIFS(Tabela10[Fod Worth],Tabela10[Drop],DropAnalityka[[#This Row],[Drop]],Tabela10[Grade],DropAnalityka[[#This Row],[Grade]])*DropAnalityka[[#This Row],[Quality/Quantity]],0)</f>
        <v>11500</v>
      </c>
      <c r="L433" s="49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9">
        <f>IFERROR(SUMIFS(Tabela10[Fod Worth],Tabela10[Drop],DropAnalityka[[#This Row],[Drop]],Tabela10[Grade],DropAnalityka[[#This Row],[Grade]])*DropAnalityka[[#This Row],[Quality/Quantity]],0)</f>
        <v>0</v>
      </c>
      <c r="L434" s="49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9">
        <f>IFERROR(SUMIFS(Tabela10[Fod Worth],Tabela10[Drop],DropAnalityka[[#This Row],[Drop]],Tabela10[Grade],DropAnalityka[[#This Row],[Grade]])*DropAnalityka[[#This Row],[Quality/Quantity]],0)</f>
        <v>0</v>
      </c>
      <c r="L435" s="49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9">
        <f>IFERROR(SUMIFS(Tabela10[Fod Worth],Tabela10[Drop],DropAnalityka[[#This Row],[Drop]],Tabela10[Grade],DropAnalityka[[#This Row],[Grade]])*DropAnalityka[[#This Row],[Quality/Quantity]],0)</f>
        <v>0</v>
      </c>
      <c r="L436" s="49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9">
        <f>IFERROR(SUMIFS(Tabela10[Fod Worth],Tabela10[Drop],DropAnalityka[[#This Row],[Drop]],Tabela10[Grade],DropAnalityka[[#This Row],[Grade]])*DropAnalityka[[#This Row],[Quality/Quantity]],0)</f>
        <v>0</v>
      </c>
      <c r="L437" s="49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185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9">
        <f>IFERROR(SUMIFS(Tabela10[Fod Worth],Tabela10[Drop],DropAnalityka[[#This Row],[Drop]],Tabela10[Grade],DropAnalityka[[#This Row],[Grade]])*DropAnalityka[[#This Row],[Quality/Quantity]],0)</f>
        <v>0</v>
      </c>
      <c r="L438" s="49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9">
        <f>IFERROR(SUMIFS(Tabela10[Fod Worth],Tabela10[Drop],DropAnalityka[[#This Row],[Drop]],Tabela10[Grade],DropAnalityka[[#This Row],[Grade]])*DropAnalityka[[#This Row],[Quality/Quantity]],0)</f>
        <v>0</v>
      </c>
      <c r="L439" s="49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9">
        <f>IFERROR(SUMIFS(Tabela10[Fod Worth],Tabela10[Drop],DropAnalityka[[#This Row],[Drop]],Tabela10[Grade],DropAnalityka[[#This Row],[Grade]])*DropAnalityka[[#This Row],[Quality/Quantity]],0)</f>
        <v>11500</v>
      </c>
      <c r="L440" s="49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9">
        <f>IFERROR(SUMIFS(Tabela10[Fod Worth],Tabela10[Drop],DropAnalityka[[#This Row],[Drop]],Tabela10[Grade],DropAnalityka[[#This Row],[Grade]])*DropAnalityka[[#This Row],[Quality/Quantity]],0)</f>
        <v>0</v>
      </c>
      <c r="L441" s="49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9">
        <f>IFERROR(SUMIFS(Tabela10[Fod Worth],Tabela10[Drop],DropAnalityka[[#This Row],[Drop]],Tabela10[Grade],DropAnalityka[[#This Row],[Grade]])*DropAnalityka[[#This Row],[Quality/Quantity]],0)</f>
        <v>34500</v>
      </c>
      <c r="L442" s="49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9">
        <f>IFERROR(SUMIFS(Tabela10[Fod Worth],Tabela10[Drop],DropAnalityka[[#This Row],[Drop]],Tabela10[Grade],DropAnalityka[[#This Row],[Grade]])*DropAnalityka[[#This Row],[Quality/Quantity]],0)</f>
        <v>0</v>
      </c>
      <c r="L443" s="49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9">
        <f>IFERROR(SUMIFS(Tabela10[Fod Worth],Tabela10[Drop],DropAnalityka[[#This Row],[Drop]],Tabela10[Grade],DropAnalityka[[#This Row],[Grade]])*DropAnalityka[[#This Row],[Quality/Quantity]],0)</f>
        <v>0</v>
      </c>
      <c r="L444" s="49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9">
        <f>IFERROR(SUMIFS(Tabela10[Fod Worth],Tabela10[Drop],DropAnalityka[[#This Row],[Drop]],Tabela10[Grade],DropAnalityka[[#This Row],[Grade]])*DropAnalityka[[#This Row],[Quality/Quantity]],0)</f>
        <v>0</v>
      </c>
      <c r="L445" s="49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9">
        <f>IFERROR(SUMIFS(Tabela10[Fod Worth],Tabela10[Drop],DropAnalityka[[#This Row],[Drop]],Tabela10[Grade],DropAnalityka[[#This Row],[Grade]])*DropAnalityka[[#This Row],[Quality/Quantity]],0)</f>
        <v>0</v>
      </c>
      <c r="L446" s="49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9">
        <f>IFERROR(SUMIFS(Tabela10[Fod Worth],Tabela10[Drop],DropAnalityka[[#This Row],[Drop]],Tabela10[Grade],DropAnalityka[[#This Row],[Grade]])*DropAnalityka[[#This Row],[Quality/Quantity]],0)</f>
        <v>0</v>
      </c>
      <c r="L447" s="49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9">
        <f>IFERROR(SUMIFS(Tabela10[Fod Worth],Tabela10[Drop],DropAnalityka[[#This Row],[Drop]],Tabela10[Grade],DropAnalityka[[#This Row],[Grade]])*DropAnalityka[[#This Row],[Quality/Quantity]],0)</f>
        <v>0</v>
      </c>
      <c r="L448" s="49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9">
        <f>IFERROR(SUMIFS(Tabela10[Fod Worth],Tabela10[Drop],DropAnalityka[[#This Row],[Drop]],Tabela10[Grade],DropAnalityka[[#This Row],[Grade]])*DropAnalityka[[#This Row],[Quality/Quantity]],0)</f>
        <v>0</v>
      </c>
      <c r="L449" s="49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9">
        <f>IFERROR(SUMIFS(Tabela10[Fod Worth],Tabela10[Drop],DropAnalityka[[#This Row],[Drop]],Tabela10[Grade],DropAnalityka[[#This Row],[Grade]])*DropAnalityka[[#This Row],[Quality/Quantity]],0)</f>
        <v>0</v>
      </c>
      <c r="L450" s="49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9">
        <f>IFERROR(SUMIFS(Tabela10[Fod Worth],Tabela10[Drop],DropAnalityka[[#This Row],[Drop]],Tabela10[Grade],DropAnalityka[[#This Row],[Grade]])*DropAnalityka[[#This Row],[Quality/Quantity]],0)</f>
        <v>0</v>
      </c>
      <c r="L451" s="49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9">
        <f>IFERROR(SUMIFS(Tabela10[Fod Worth],Tabela10[Drop],DropAnalityka[[#This Row],[Drop]],Tabela10[Grade],DropAnalityka[[#This Row],[Grade]])*DropAnalityka[[#This Row],[Quality/Quantity]],0)</f>
        <v>0</v>
      </c>
      <c r="L452" s="49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9">
        <f>IFERROR(SUMIFS(Tabela10[Fod Worth],Tabela10[Drop],DropAnalityka[[#This Row],[Drop]],Tabela10[Grade],DropAnalityka[[#This Row],[Grade]])*DropAnalityka[[#This Row],[Quality/Quantity]],0)</f>
        <v>0</v>
      </c>
      <c r="L453" s="49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9">
        <f>IFERROR(SUMIFS(Tabela10[Fod Worth],Tabela10[Drop],DropAnalityka[[#This Row],[Drop]],Tabela10[Grade],DropAnalityka[[#This Row],[Grade]])*DropAnalityka[[#This Row],[Quality/Quantity]],0)</f>
        <v>0</v>
      </c>
      <c r="L454" s="49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9">
        <f>IFERROR(SUMIFS(Tabela10[Fod Worth],Tabela10[Drop],DropAnalityka[[#This Row],[Drop]],Tabela10[Grade],DropAnalityka[[#This Row],[Grade]])*DropAnalityka[[#This Row],[Quality/Quantity]],0)</f>
        <v>0</v>
      </c>
      <c r="L455" s="49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9">
        <f>IFERROR(SUMIFS(Tabela10[Fod Worth],Tabela10[Drop],DropAnalityka[[#This Row],[Drop]],Tabela10[Grade],DropAnalityka[[#This Row],[Grade]])*DropAnalityka[[#This Row],[Quality/Quantity]],0)</f>
        <v>0</v>
      </c>
      <c r="L456" s="49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9">
        <f>IFERROR(SUMIFS(Tabela10[Fod Worth],Tabela10[Drop],DropAnalityka[[#This Row],[Drop]],Tabela10[Grade],DropAnalityka[[#This Row],[Grade]])*DropAnalityka[[#This Row],[Quality/Quantity]],0)</f>
        <v>0</v>
      </c>
      <c r="L457" s="49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9">
        <f>IFERROR(SUMIFS(Tabela10[Fod Worth],Tabela10[Drop],DropAnalityka[[#This Row],[Drop]],Tabela10[Grade],DropAnalityka[[#This Row],[Grade]])*DropAnalityka[[#This Row],[Quality/Quantity]],0)</f>
        <v>0</v>
      </c>
      <c r="L458" s="49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9">
        <f>IFERROR(SUMIFS(Tabela10[Fod Worth],Tabela10[Drop],DropAnalityka[[#This Row],[Drop]],Tabela10[Grade],DropAnalityka[[#This Row],[Grade]])*DropAnalityka[[#This Row],[Quality/Quantity]],0)</f>
        <v>0</v>
      </c>
      <c r="L459" s="49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9">
        <f>IFERROR(SUMIFS(Tabela10[Fod Worth],Tabela10[Drop],DropAnalityka[[#This Row],[Drop]],Tabela10[Grade],DropAnalityka[[#This Row],[Grade]])*DropAnalityka[[#This Row],[Quality/Quantity]],0)</f>
        <v>0</v>
      </c>
      <c r="L460" s="49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9">
        <f>IFERROR(SUMIFS(Tabela10[Fod Worth],Tabela10[Drop],DropAnalityka[[#This Row],[Drop]],Tabela10[Grade],DropAnalityka[[#This Row],[Grade]])*DropAnalityka[[#This Row],[Quality/Quantity]],0)</f>
        <v>0</v>
      </c>
      <c r="L461" s="49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9">
        <f>IFERROR(SUMIFS(Tabela10[Fod Worth],Tabela10[Drop],DropAnalityka[[#This Row],[Drop]],Tabela10[Grade],DropAnalityka[[#This Row],[Grade]])*DropAnalityka[[#This Row],[Quality/Quantity]],0)</f>
        <v>0</v>
      </c>
      <c r="L462" s="49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9">
        <f>IFERROR(SUMIFS(Tabela10[Fod Worth],Tabela10[Drop],DropAnalityka[[#This Row],[Drop]],Tabela10[Grade],DropAnalityka[[#This Row],[Grade]])*DropAnalityka[[#This Row],[Quality/Quantity]],0)</f>
        <v>0</v>
      </c>
      <c r="L463" s="49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9">
        <f>IFERROR(SUMIFS(Tabela10[Fod Worth],Tabela10[Drop],DropAnalityka[[#This Row],[Drop]],Tabela10[Grade],DropAnalityka[[#This Row],[Grade]])*DropAnalityka[[#This Row],[Quality/Quantity]],0)</f>
        <v>11500</v>
      </c>
      <c r="L464" s="49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9">
        <f>IFERROR(SUMIFS(Tabela10[Fod Worth],Tabela10[Drop],DropAnalityka[[#This Row],[Drop]],Tabela10[Grade],DropAnalityka[[#This Row],[Grade]])*DropAnalityka[[#This Row],[Quality/Quantity]],0)</f>
        <v>0</v>
      </c>
      <c r="L465" s="49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150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9">
        <f>IFERROR(SUMIFS(Tabela10[Fod Worth],Tabela10[Drop],DropAnalityka[[#This Row],[Drop]],Tabela10[Grade],DropAnalityka[[#This Row],[Grade]])*DropAnalityka[[#This Row],[Quality/Quantity]],0)</f>
        <v>0</v>
      </c>
      <c r="L466" s="49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150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9">
        <f>IFERROR(SUMIFS(Tabela10[Fod Worth],Tabela10[Drop],DropAnalityka[[#This Row],[Drop]],Tabela10[Grade],DropAnalityka[[#This Row],[Grade]])*DropAnalityka[[#This Row],[Quality/Quantity]],0)</f>
        <v>0</v>
      </c>
      <c r="L467" s="49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9">
        <f>IFERROR(SUMIFS(Tabela10[Fod Worth],Tabela10[Drop],DropAnalityka[[#This Row],[Drop]],Tabela10[Grade],DropAnalityka[[#This Row],[Grade]])*DropAnalityka[[#This Row],[Quality/Quantity]],0)</f>
        <v>0</v>
      </c>
      <c r="L468" s="49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9">
        <f>IFERROR(SUMIFS(Tabela10[Fod Worth],Tabela10[Drop],DropAnalityka[[#This Row],[Drop]],Tabela10[Grade],DropAnalityka[[#This Row],[Grade]])*DropAnalityka[[#This Row],[Quality/Quantity]],0)</f>
        <v>0</v>
      </c>
      <c r="L469" s="49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9">
        <f>IFERROR(SUMIFS(Tabela10[Fod Worth],Tabela10[Drop],DropAnalityka[[#This Row],[Drop]],Tabela10[Grade],DropAnalityka[[#This Row],[Grade]])*DropAnalityka[[#This Row],[Quality/Quantity]],0)</f>
        <v>0</v>
      </c>
      <c r="L470" s="49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9">
        <f>IFERROR(SUMIFS(Tabela10[Fod Worth],Tabela10[Drop],DropAnalityka[[#This Row],[Drop]],Tabela10[Grade],DropAnalityka[[#This Row],[Grade]])*DropAnalityka[[#This Row],[Quality/Quantity]],0)</f>
        <v>0</v>
      </c>
      <c r="L471" s="49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9">
        <f>IFERROR(SUMIFS(Tabela10[Fod Worth],Tabela10[Drop],DropAnalityka[[#This Row],[Drop]],Tabela10[Grade],DropAnalityka[[#This Row],[Grade]])*DropAnalityka[[#This Row],[Quality/Quantity]],0)</f>
        <v>0</v>
      </c>
      <c r="L472" s="49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150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9">
        <f>IFERROR(SUMIFS(Tabela10[Fod Worth],Tabela10[Drop],DropAnalityka[[#This Row],[Drop]],Tabela10[Grade],DropAnalityka[[#This Row],[Grade]])*DropAnalityka[[#This Row],[Quality/Quantity]],0)</f>
        <v>0</v>
      </c>
      <c r="L473" s="49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9">
        <f>IFERROR(SUMIFS(Tabela10[Fod Worth],Tabela10[Drop],DropAnalityka[[#This Row],[Drop]],Tabela10[Grade],DropAnalityka[[#This Row],[Grade]])*DropAnalityka[[#This Row],[Quality/Quantity]],0)</f>
        <v>0</v>
      </c>
      <c r="L474" s="49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9">
        <f>IFERROR(SUMIFS(Tabela10[Fod Worth],Tabela10[Drop],DropAnalityka[[#This Row],[Drop]],Tabela10[Grade],DropAnalityka[[#This Row],[Grade]])*DropAnalityka[[#This Row],[Quality/Quantity]],0)</f>
        <v>0</v>
      </c>
      <c r="L475" s="49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9">
        <f>IFERROR(SUMIFS(Tabela10[Fod Worth],Tabela10[Drop],DropAnalityka[[#This Row],[Drop]],Tabela10[Grade],DropAnalityka[[#This Row],[Grade]])*DropAnalityka[[#This Row],[Quality/Quantity]],0)</f>
        <v>0</v>
      </c>
      <c r="L476" s="49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9">
        <f>IFERROR(SUMIFS(Tabela10[Fod Worth],Tabela10[Drop],DropAnalityka[[#This Row],[Drop]],Tabela10[Grade],DropAnalityka[[#This Row],[Grade]])*DropAnalityka[[#This Row],[Quality/Quantity]],0)</f>
        <v>0</v>
      </c>
      <c r="L477" s="49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9">
        <f>IFERROR(SUMIFS(Tabela10[Fod Worth],Tabela10[Drop],DropAnalityka[[#This Row],[Drop]],Tabela10[Grade],DropAnalityka[[#This Row],[Grade]])*DropAnalityka[[#This Row],[Quality/Quantity]],0)</f>
        <v>0</v>
      </c>
      <c r="L478" s="49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9">
        <f>IFERROR(SUMIFS(Tabela10[Fod Worth],Tabela10[Drop],DropAnalityka[[#This Row],[Drop]],Tabela10[Grade],DropAnalityka[[#This Row],[Grade]])*DropAnalityka[[#This Row],[Quality/Quantity]],0)</f>
        <v>11500</v>
      </c>
      <c r="L479" s="49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9">
        <f>IFERROR(SUMIFS(Tabela10[Fod Worth],Tabela10[Drop],DropAnalityka[[#This Row],[Drop]],Tabela10[Grade],DropAnalityka[[#This Row],[Grade]])*DropAnalityka[[#This Row],[Quality/Quantity]],0)</f>
        <v>0</v>
      </c>
      <c r="L480" s="49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9">
        <f>IFERROR(SUMIFS(Tabela10[Fod Worth],Tabela10[Drop],DropAnalityka[[#This Row],[Drop]],Tabela10[Grade],DropAnalityka[[#This Row],[Grade]])*DropAnalityka[[#This Row],[Quality/Quantity]],0)</f>
        <v>0</v>
      </c>
      <c r="L481" s="49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9">
        <f>IFERROR(SUMIFS(Tabela10[Fod Worth],Tabela10[Drop],DropAnalityka[[#This Row],[Drop]],Tabela10[Grade],DropAnalityka[[#This Row],[Grade]])*DropAnalityka[[#This Row],[Quality/Quantity]],0)</f>
        <v>0</v>
      </c>
      <c r="L482" s="49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9">
        <f>IFERROR(SUMIFS(Tabela10[Fod Worth],Tabela10[Drop],DropAnalityka[[#This Row],[Drop]],Tabela10[Grade],DropAnalityka[[#This Row],[Grade]])*DropAnalityka[[#This Row],[Quality/Quantity]],0)</f>
        <v>0</v>
      </c>
      <c r="L483" s="49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150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9">
        <f>IFERROR(SUMIFS(Tabela10[Fod Worth],Tabela10[Drop],DropAnalityka[[#This Row],[Drop]],Tabela10[Grade],DropAnalityka[[#This Row],[Grade]])*DropAnalityka[[#This Row],[Quality/Quantity]],0)</f>
        <v>0</v>
      </c>
      <c r="L484" s="49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9">
        <f>IFERROR(SUMIFS(Tabela10[Fod Worth],Tabela10[Drop],DropAnalityka[[#This Row],[Drop]],Tabela10[Grade],DropAnalityka[[#This Row],[Grade]])*DropAnalityka[[#This Row],[Quality/Quantity]],0)</f>
        <v>0</v>
      </c>
      <c r="L485" s="49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9">
        <f>IFERROR(SUMIFS(Tabela10[Fod Worth],Tabela10[Drop],DropAnalityka[[#This Row],[Drop]],Tabela10[Grade],DropAnalityka[[#This Row],[Grade]])*DropAnalityka[[#This Row],[Quality/Quantity]],0)</f>
        <v>0</v>
      </c>
      <c r="L486" s="49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9">
        <f>IFERROR(SUMIFS(Tabela10[Fod Worth],Tabela10[Drop],DropAnalityka[[#This Row],[Drop]],Tabela10[Grade],DropAnalityka[[#This Row],[Grade]])*DropAnalityka[[#This Row],[Quality/Quantity]],0)</f>
        <v>0</v>
      </c>
      <c r="L487" s="49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9">
        <f>IFERROR(SUMIFS(Tabela10[Fod Worth],Tabela10[Drop],DropAnalityka[[#This Row],[Drop]],Tabela10[Grade],DropAnalityka[[#This Row],[Grade]])*DropAnalityka[[#This Row],[Quality/Quantity]],0)</f>
        <v>0</v>
      </c>
      <c r="L488" s="49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9">
        <f>IFERROR(SUMIFS(Tabela10[Fod Worth],Tabela10[Drop],DropAnalityka[[#This Row],[Drop]],Tabela10[Grade],DropAnalityka[[#This Row],[Grade]])*DropAnalityka[[#This Row],[Quality/Quantity]],0)</f>
        <v>0</v>
      </c>
      <c r="L489" s="49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9">
        <f>IFERROR(SUMIFS(Tabela10[Fod Worth],Tabela10[Drop],DropAnalityka[[#This Row],[Drop]],Tabela10[Grade],DropAnalityka[[#This Row],[Grade]])*DropAnalityka[[#This Row],[Quality/Quantity]],0)</f>
        <v>0</v>
      </c>
      <c r="L490" s="49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9">
        <f>IFERROR(SUMIFS(Tabela10[Fod Worth],Tabela10[Drop],DropAnalityka[[#This Row],[Drop]],Tabela10[Grade],DropAnalityka[[#This Row],[Grade]])*DropAnalityka[[#This Row],[Quality/Quantity]],0)</f>
        <v>0</v>
      </c>
      <c r="L491" s="49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9">
        <f>IFERROR(SUMIFS(Tabela10[Fod Worth],Tabela10[Drop],DropAnalityka[[#This Row],[Drop]],Tabela10[Grade],DropAnalityka[[#This Row],[Grade]])*DropAnalityka[[#This Row],[Quality/Quantity]],0)</f>
        <v>0</v>
      </c>
      <c r="L492" s="49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9">
        <f>IFERROR(SUMIFS(Tabela10[Fod Worth],Tabela10[Drop],DropAnalityka[[#This Row],[Drop]],Tabela10[Grade],DropAnalityka[[#This Row],[Grade]])*DropAnalityka[[#This Row],[Quality/Quantity]],0)</f>
        <v>0</v>
      </c>
      <c r="L493" s="49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9">
        <f>IFERROR(SUMIFS(Tabela10[Fod Worth],Tabela10[Drop],DropAnalityka[[#This Row],[Drop]],Tabela10[Grade],DropAnalityka[[#This Row],[Grade]])*DropAnalityka[[#This Row],[Quality/Quantity]],0)</f>
        <v>0</v>
      </c>
      <c r="L494" s="49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9">
        <f>IFERROR(SUMIFS(Tabela10[Fod Worth],Tabela10[Drop],DropAnalityka[[#This Row],[Drop]],Tabela10[Grade],DropAnalityka[[#This Row],[Grade]])*DropAnalityka[[#This Row],[Quality/Quantity]],0)</f>
        <v>0</v>
      </c>
      <c r="L495" s="49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9">
        <f>IFERROR(SUMIFS(Tabela10[Fod Worth],Tabela10[Drop],DropAnalityka[[#This Row],[Drop]],Tabela10[Grade],DropAnalityka[[#This Row],[Grade]])*DropAnalityka[[#This Row],[Quality/Quantity]],0)</f>
        <v>0</v>
      </c>
      <c r="L496" s="49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9">
        <f>IFERROR(SUMIFS(Tabela10[Fod Worth],Tabela10[Drop],DropAnalityka[[#This Row],[Drop]],Tabela10[Grade],DropAnalityka[[#This Row],[Grade]])*DropAnalityka[[#This Row],[Quality/Quantity]],0)</f>
        <v>0</v>
      </c>
      <c r="L497" s="49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9">
        <f>IFERROR(SUMIFS(Tabela10[Fod Worth],Tabela10[Drop],DropAnalityka[[#This Row],[Drop]],Tabela10[Grade],DropAnalityka[[#This Row],[Grade]])*DropAnalityka[[#This Row],[Quality/Quantity]],0)</f>
        <v>0</v>
      </c>
      <c r="L498" s="49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9">
        <f>IFERROR(SUMIFS(Tabela10[Fod Worth],Tabela10[Drop],DropAnalityka[[#This Row],[Drop]],Tabela10[Grade],DropAnalityka[[#This Row],[Grade]])*DropAnalityka[[#This Row],[Quality/Quantity]],0)</f>
        <v>34500</v>
      </c>
      <c r="L499" s="49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9">
        <f>IFERROR(SUMIFS(Tabela10[Fod Worth],Tabela10[Drop],DropAnalityka[[#This Row],[Drop]],Tabela10[Grade],DropAnalityka[[#This Row],[Grade]])*DropAnalityka[[#This Row],[Quality/Quantity]],0)</f>
        <v>0</v>
      </c>
      <c r="L500" s="49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150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9">
        <f>IFERROR(SUMIFS(Tabela10[Fod Worth],Tabela10[Drop],DropAnalityka[[#This Row],[Drop]],Tabela10[Grade],DropAnalityka[[#This Row],[Grade]])*DropAnalityka[[#This Row],[Quality/Quantity]],0)</f>
        <v>0</v>
      </c>
      <c r="L501" s="49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9">
        <f>IFERROR(SUMIFS(Tabela10[Fod Worth],Tabela10[Drop],DropAnalityka[[#This Row],[Drop]],Tabela10[Grade],DropAnalityka[[#This Row],[Grade]])*DropAnalityka[[#This Row],[Quality/Quantity]],0)</f>
        <v>0</v>
      </c>
      <c r="L502" s="49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9">
        <f>IFERROR(SUMIFS(Tabela10[Fod Worth],Tabela10[Drop],DropAnalityka[[#This Row],[Drop]],Tabela10[Grade],DropAnalityka[[#This Row],[Grade]])*DropAnalityka[[#This Row],[Quality/Quantity]],0)</f>
        <v>0</v>
      </c>
      <c r="L503" s="49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9">
        <f>IFERROR(SUMIFS(Tabela10[Fod Worth],Tabela10[Drop],DropAnalityka[[#This Row],[Drop]],Tabela10[Grade],DropAnalityka[[#This Row],[Grade]])*DropAnalityka[[#This Row],[Quality/Quantity]],0)</f>
        <v>0</v>
      </c>
      <c r="L504" s="49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9">
        <f>IFERROR(SUMIFS(Tabela10[Fod Worth],Tabela10[Drop],DropAnalityka[[#This Row],[Drop]],Tabela10[Grade],DropAnalityka[[#This Row],[Grade]])*DropAnalityka[[#This Row],[Quality/Quantity]],0)</f>
        <v>0</v>
      </c>
      <c r="L505" s="49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9">
        <f>IFERROR(SUMIFS(Tabela10[Fod Worth],Tabela10[Drop],DropAnalityka[[#This Row],[Drop]],Tabela10[Grade],DropAnalityka[[#This Row],[Grade]])*DropAnalityka[[#This Row],[Quality/Quantity]],0)</f>
        <v>0</v>
      </c>
      <c r="L506" s="49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9">
        <f>IFERROR(SUMIFS(Tabela10[Fod Worth],Tabela10[Drop],DropAnalityka[[#This Row],[Drop]],Tabela10[Grade],DropAnalityka[[#This Row],[Grade]])*DropAnalityka[[#This Row],[Quality/Quantity]],0)</f>
        <v>0</v>
      </c>
      <c r="L507" s="49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9">
        <f>IFERROR(SUMIFS(Tabela10[Fod Worth],Tabela10[Drop],DropAnalityka[[#This Row],[Drop]],Tabela10[Grade],DropAnalityka[[#This Row],[Grade]])*DropAnalityka[[#This Row],[Quality/Quantity]],0)</f>
        <v>0</v>
      </c>
      <c r="L508" s="49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9">
        <f>IFERROR(SUMIFS(Tabela10[Fod Worth],Tabela10[Drop],DropAnalityka[[#This Row],[Drop]],Tabela10[Grade],DropAnalityka[[#This Row],[Grade]])*DropAnalityka[[#This Row],[Quality/Quantity]],0)</f>
        <v>0</v>
      </c>
      <c r="L509" s="49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9">
        <f>IFERROR(SUMIFS(Tabela10[Fod Worth],Tabela10[Drop],DropAnalityka[[#This Row],[Drop]],Tabela10[Grade],DropAnalityka[[#This Row],[Grade]])*DropAnalityka[[#This Row],[Quality/Quantity]],0)</f>
        <v>0</v>
      </c>
      <c r="L510" s="49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9">
        <f>IFERROR(SUMIFS(Tabela10[Fod Worth],Tabela10[Drop],DropAnalityka[[#This Row],[Drop]],Tabela10[Grade],DropAnalityka[[#This Row],[Grade]])*DropAnalityka[[#This Row],[Quality/Quantity]],0)</f>
        <v>0</v>
      </c>
      <c r="L511" s="49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9">
        <f>IFERROR(SUMIFS(Tabela10[Fod Worth],Tabela10[Drop],DropAnalityka[[#This Row],[Drop]],Tabela10[Grade],DropAnalityka[[#This Row],[Grade]])*DropAnalityka[[#This Row],[Quality/Quantity]],0)</f>
        <v>0</v>
      </c>
      <c r="L512" s="49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9">
        <f>IFERROR(SUMIFS(Tabela10[Fod Worth],Tabela10[Drop],DropAnalityka[[#This Row],[Drop]],Tabela10[Grade],DropAnalityka[[#This Row],[Grade]])*DropAnalityka[[#This Row],[Quality/Quantity]],0)</f>
        <v>0</v>
      </c>
      <c r="L513" s="49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9">
        <f>IFERROR(SUMIFS(Tabela10[Fod Worth],Tabela10[Drop],DropAnalityka[[#This Row],[Drop]],Tabela10[Grade],DropAnalityka[[#This Row],[Grade]])*DropAnalityka[[#This Row],[Quality/Quantity]],0)</f>
        <v>0</v>
      </c>
      <c r="L514" s="49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9">
        <f>IFERROR(SUMIFS(Tabela10[Fod Worth],Tabela10[Drop],DropAnalityka[[#This Row],[Drop]],Tabela10[Grade],DropAnalityka[[#This Row],[Grade]])*DropAnalityka[[#This Row],[Quality/Quantity]],0)</f>
        <v>0</v>
      </c>
      <c r="L515" s="49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9">
        <f>IFERROR(SUMIFS(Tabela10[Fod Worth],Tabela10[Drop],DropAnalityka[[#This Row],[Drop]],Tabela10[Grade],DropAnalityka[[#This Row],[Grade]])*DropAnalityka[[#This Row],[Quality/Quantity]],0)</f>
        <v>0</v>
      </c>
      <c r="L516" s="49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9">
        <f>IFERROR(SUMIFS(Tabela10[Fod Worth],Tabela10[Drop],DropAnalityka[[#This Row],[Drop]],Tabela10[Grade],DropAnalityka[[#This Row],[Grade]])*DropAnalityka[[#This Row],[Quality/Quantity]],0)</f>
        <v>0</v>
      </c>
      <c r="L517" s="49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9">
        <f>IFERROR(SUMIFS(Tabela10[Fod Worth],Tabela10[Drop],DropAnalityka[[#This Row],[Drop]],Tabela10[Grade],DropAnalityka[[#This Row],[Grade]])*DropAnalityka[[#This Row],[Quality/Quantity]],0)</f>
        <v>0</v>
      </c>
      <c r="L518" s="49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9">
        <f>IFERROR(SUMIFS(Tabela10[Fod Worth],Tabela10[Drop],DropAnalityka[[#This Row],[Drop]],Tabela10[Grade],DropAnalityka[[#This Row],[Grade]])*DropAnalityka[[#This Row],[Quality/Quantity]],0)</f>
        <v>0</v>
      </c>
      <c r="L519" s="49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9">
        <f>IFERROR(SUMIFS(Tabela10[Fod Worth],Tabela10[Drop],DropAnalityka[[#This Row],[Drop]],Tabela10[Grade],DropAnalityka[[#This Row],[Grade]])*DropAnalityka[[#This Row],[Quality/Quantity]],0)</f>
        <v>34500</v>
      </c>
      <c r="L520" s="49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9">
        <f>IFERROR(SUMIFS(Tabela10[Fod Worth],Tabela10[Drop],DropAnalityka[[#This Row],[Drop]],Tabela10[Grade],DropAnalityka[[#This Row],[Grade]])*DropAnalityka[[#This Row],[Quality/Quantity]],0)</f>
        <v>0</v>
      </c>
      <c r="L521" s="49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274</v>
      </c>
      <c r="G522">
        <v>1</v>
      </c>
      <c r="H522" t="s">
        <v>314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9">
        <f>IFERROR(SUMIFS(Tabela10[Fod Worth],Tabela10[Drop],DropAnalityka[[#This Row],[Drop]],Tabela10[Grade],DropAnalityka[[#This Row],[Grade]])*DropAnalityka[[#This Row],[Quality/Quantity]],0)</f>
        <v>0</v>
      </c>
      <c r="L522" s="49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274</v>
      </c>
      <c r="G523">
        <v>1</v>
      </c>
      <c r="H523" t="s">
        <v>314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9">
        <f>IFERROR(SUMIFS(Tabela10[Fod Worth],Tabela10[Drop],DropAnalityka[[#This Row],[Drop]],Tabela10[Grade],DropAnalityka[[#This Row],[Grade]])*DropAnalityka[[#This Row],[Quality/Quantity]],0)</f>
        <v>0</v>
      </c>
      <c r="L523" s="49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274</v>
      </c>
      <c r="G524">
        <v>4</v>
      </c>
      <c r="H524" t="s">
        <v>292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9">
        <f>IFERROR(SUMIFS(Tabela10[Fod Worth],Tabela10[Drop],DropAnalityka[[#This Row],[Drop]],Tabela10[Grade],DropAnalityka[[#This Row],[Grade]])*DropAnalityka[[#This Row],[Quality/Quantity]],0)</f>
        <v>0</v>
      </c>
      <c r="L524" s="49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179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9">
        <f>IFERROR(SUMIFS(Tabela10[Fod Worth],Tabela10[Drop],DropAnalityka[[#This Row],[Drop]],Tabela10[Grade],DropAnalityka[[#This Row],[Grade]])*DropAnalityka[[#This Row],[Quality/Quantity]],0)</f>
        <v>0</v>
      </c>
      <c r="L525" s="49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179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9">
        <f>IFERROR(SUMIFS(Tabela10[Fod Worth],Tabela10[Drop],DropAnalityka[[#This Row],[Drop]],Tabela10[Grade],DropAnalityka[[#This Row],[Grade]])*DropAnalityka[[#This Row],[Quality/Quantity]],0)</f>
        <v>0</v>
      </c>
      <c r="L526" s="49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179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9">
        <f>IFERROR(SUMIFS(Tabela10[Fod Worth],Tabela10[Drop],DropAnalityka[[#This Row],[Drop]],Tabela10[Grade],DropAnalityka[[#This Row],[Grade]])*DropAnalityka[[#This Row],[Quality/Quantity]],0)</f>
        <v>0</v>
      </c>
      <c r="L527" s="49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179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9">
        <f>IFERROR(SUMIFS(Tabela10[Fod Worth],Tabela10[Drop],DropAnalityka[[#This Row],[Drop]],Tabela10[Grade],DropAnalityka[[#This Row],[Grade]])*DropAnalityka[[#This Row],[Quality/Quantity]],0)</f>
        <v>11500</v>
      </c>
      <c r="L528" s="49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179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9">
        <f>IFERROR(SUMIFS(Tabela10[Fod Worth],Tabela10[Drop],DropAnalityka[[#This Row],[Drop]],Tabela10[Grade],DropAnalityka[[#This Row],[Grade]])*DropAnalityka[[#This Row],[Quality/Quantity]],0)</f>
        <v>0</v>
      </c>
      <c r="L529" s="49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179</v>
      </c>
      <c r="B530" t="s">
        <v>9</v>
      </c>
      <c r="C530">
        <v>6</v>
      </c>
      <c r="D530">
        <v>2638</v>
      </c>
      <c r="E530">
        <v>0</v>
      </c>
      <c r="F530" t="s">
        <v>150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9">
        <f>IFERROR(SUMIFS(Tabela10[Fod Worth],Tabela10[Drop],DropAnalityka[[#This Row],[Drop]],Tabela10[Grade],DropAnalityka[[#This Row],[Grade]])*DropAnalityka[[#This Row],[Quality/Quantity]],0)</f>
        <v>0</v>
      </c>
      <c r="L530" s="49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179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9">
        <f>IFERROR(SUMIFS(Tabela10[Fod Worth],Tabela10[Drop],DropAnalityka[[#This Row],[Drop]],Tabela10[Grade],DropAnalityka[[#This Row],[Grade]])*DropAnalityka[[#This Row],[Quality/Quantity]],0)</f>
        <v>0</v>
      </c>
      <c r="L531" s="49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179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9">
        <f>IFERROR(SUMIFS(Tabela10[Fod Worth],Tabela10[Drop],DropAnalityka[[#This Row],[Drop]],Tabela10[Grade],DropAnalityka[[#This Row],[Grade]])*DropAnalityka[[#This Row],[Quality/Quantity]],0)</f>
        <v>0</v>
      </c>
      <c r="L532" s="49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179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9">
        <f>IFERROR(SUMIFS(Tabela10[Fod Worth],Tabela10[Drop],DropAnalityka[[#This Row],[Drop]],Tabela10[Grade],DropAnalityka[[#This Row],[Grade]])*DropAnalityka[[#This Row],[Quality/Quantity]],0)</f>
        <v>0</v>
      </c>
      <c r="L533" s="49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179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9">
        <f>IFERROR(SUMIFS(Tabela10[Fod Worth],Tabela10[Drop],DropAnalityka[[#This Row],[Drop]],Tabela10[Grade],DropAnalityka[[#This Row],[Grade]])*DropAnalityka[[#This Row],[Quality/Quantity]],0)</f>
        <v>0</v>
      </c>
      <c r="L534" s="49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217</v>
      </c>
      <c r="B535" t="s">
        <v>9</v>
      </c>
      <c r="C535">
        <v>8</v>
      </c>
      <c r="D535">
        <v>2498</v>
      </c>
      <c r="E535">
        <v>2</v>
      </c>
      <c r="F535" t="s">
        <v>271</v>
      </c>
      <c r="G535">
        <v>3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9">
        <f>IFERROR(SUMIFS(Tabela10[Fod Worth],Tabela10[Drop],DropAnalityka[[#This Row],[Drop]],Tabela10[Grade],DropAnalityka[[#This Row],[Grade]])*DropAnalityka[[#This Row],[Quality/Quantity]],0)</f>
        <v>0</v>
      </c>
      <c r="L535" s="49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217</v>
      </c>
      <c r="B536" t="s">
        <v>9</v>
      </c>
      <c r="C536">
        <v>7</v>
      </c>
      <c r="D536">
        <v>2073</v>
      </c>
      <c r="E536">
        <v>0</v>
      </c>
      <c r="F536" t="s">
        <v>271</v>
      </c>
      <c r="G536">
        <v>1</v>
      </c>
      <c r="H536" t="s">
        <v>314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9">
        <f>IFERROR(SUMIFS(Tabela10[Fod Worth],Tabela10[Drop],DropAnalityka[[#This Row],[Drop]],Tabela10[Grade],DropAnalityka[[#This Row],[Grade]])*DropAnalityka[[#This Row],[Quality/Quantity]],0)</f>
        <v>0</v>
      </c>
      <c r="L536" s="49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217</v>
      </c>
      <c r="B537" t="s">
        <v>9</v>
      </c>
      <c r="C537">
        <v>7</v>
      </c>
      <c r="D537">
        <v>2143</v>
      </c>
      <c r="E537">
        <v>0</v>
      </c>
      <c r="F537" t="s">
        <v>271</v>
      </c>
      <c r="G537">
        <v>3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9">
        <f>IFERROR(SUMIFS(Tabela10[Fod Worth],Tabela10[Drop],DropAnalityka[[#This Row],[Drop]],Tabela10[Grade],DropAnalityka[[#This Row],[Grade]])*DropAnalityka[[#This Row],[Quality/Quantity]],0)</f>
        <v>0</v>
      </c>
      <c r="L537" s="49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217</v>
      </c>
      <c r="B538" t="s">
        <v>9</v>
      </c>
      <c r="C538">
        <v>7</v>
      </c>
      <c r="D538">
        <v>1852</v>
      </c>
      <c r="E538">
        <v>1</v>
      </c>
      <c r="F538" t="s">
        <v>271</v>
      </c>
      <c r="G538">
        <v>1</v>
      </c>
      <c r="H538" t="s">
        <v>314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9">
        <f>IFERROR(SUMIFS(Tabela10[Fod Worth],Tabela10[Drop],DropAnalityka[[#This Row],[Drop]],Tabela10[Grade],DropAnalityka[[#This Row],[Grade]])*DropAnalityka[[#This Row],[Quality/Quantity]],0)</f>
        <v>0</v>
      </c>
      <c r="L538" s="49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217</v>
      </c>
      <c r="B539" t="s">
        <v>9</v>
      </c>
      <c r="C539">
        <v>7</v>
      </c>
      <c r="D539">
        <v>2417</v>
      </c>
      <c r="E539">
        <v>0</v>
      </c>
      <c r="F539" t="s">
        <v>215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9">
        <f>IFERROR(SUMIFS(Tabela10[Fod Worth],Tabela10[Drop],DropAnalityka[[#This Row],[Drop]],Tabela10[Grade],DropAnalityka[[#This Row],[Grade]])*DropAnalityka[[#This Row],[Quality/Quantity]],0)</f>
        <v>862.5</v>
      </c>
      <c r="L539" s="49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217</v>
      </c>
      <c r="B540" t="s">
        <v>9</v>
      </c>
      <c r="C540">
        <v>8</v>
      </c>
      <c r="D540">
        <v>2146</v>
      </c>
      <c r="E540">
        <v>0</v>
      </c>
      <c r="F540" t="s">
        <v>271</v>
      </c>
      <c r="G540">
        <v>2</v>
      </c>
      <c r="H540" t="s">
        <v>314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9">
        <f>IFERROR(SUMIFS(Tabela10[Fod Worth],Tabela10[Drop],DropAnalityka[[#This Row],[Drop]],Tabela10[Grade],DropAnalityka[[#This Row],[Grade]])*DropAnalityka[[#This Row],[Quality/Quantity]],0)</f>
        <v>0</v>
      </c>
      <c r="L540" s="49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217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9">
        <f>IFERROR(SUMIFS(Tabela10[Fod Worth],Tabela10[Drop],DropAnalityka[[#This Row],[Drop]],Tabela10[Grade],DropAnalityka[[#This Row],[Grade]])*DropAnalityka[[#This Row],[Quality/Quantity]],0)</f>
        <v>0</v>
      </c>
      <c r="L541" s="49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217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9">
        <f>IFERROR(SUMIFS(Tabela10[Fod Worth],Tabela10[Drop],DropAnalityka[[#This Row],[Drop]],Tabela10[Grade],DropAnalityka[[#This Row],[Grade]])*DropAnalityka[[#This Row],[Quality/Quantity]],0)</f>
        <v>0</v>
      </c>
      <c r="L542" s="49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217</v>
      </c>
      <c r="B543" t="s">
        <v>9</v>
      </c>
      <c r="C543">
        <v>8</v>
      </c>
      <c r="D543">
        <v>2223</v>
      </c>
      <c r="E543">
        <v>1</v>
      </c>
      <c r="F543" t="s">
        <v>271</v>
      </c>
      <c r="G543">
        <v>5</v>
      </c>
      <c r="H543" t="s">
        <v>292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9">
        <f>IFERROR(SUMIFS(Tabela10[Fod Worth],Tabela10[Drop],DropAnalityka[[#This Row],[Drop]],Tabela10[Grade],DropAnalityka[[#This Row],[Grade]])*DropAnalityka[[#This Row],[Quality/Quantity]],0)</f>
        <v>0</v>
      </c>
      <c r="L543" s="49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217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9">
        <f>IFERROR(SUMIFS(Tabela10[Fod Worth],Tabela10[Drop],DropAnalityka[[#This Row],[Drop]],Tabela10[Grade],DropAnalityka[[#This Row],[Grade]])*DropAnalityka[[#This Row],[Quality/Quantity]],0)</f>
        <v>0</v>
      </c>
      <c r="L544" s="49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217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9">
        <f>IFERROR(SUMIFS(Tabela10[Fod Worth],Tabela10[Drop],DropAnalityka[[#This Row],[Drop]],Tabela10[Grade],DropAnalityka[[#This Row],[Grade]])*DropAnalityka[[#This Row],[Quality/Quantity]],0)</f>
        <v>0</v>
      </c>
      <c r="L545" s="49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217</v>
      </c>
      <c r="B546" t="s">
        <v>9</v>
      </c>
      <c r="C546">
        <v>8</v>
      </c>
      <c r="D546">
        <v>2404</v>
      </c>
      <c r="E546">
        <v>1</v>
      </c>
      <c r="F546" t="s">
        <v>271</v>
      </c>
      <c r="G546">
        <v>4</v>
      </c>
      <c r="H546" t="s">
        <v>292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9">
        <f>IFERROR(SUMIFS(Tabela10[Fod Worth],Tabela10[Drop],DropAnalityka[[#This Row],[Drop]],Tabela10[Grade],DropAnalityka[[#This Row],[Grade]])*DropAnalityka[[#This Row],[Quality/Quantity]],0)</f>
        <v>0</v>
      </c>
      <c r="L546" s="49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217</v>
      </c>
      <c r="B547" t="s">
        <v>9</v>
      </c>
      <c r="C547">
        <v>8</v>
      </c>
      <c r="D547">
        <v>3017</v>
      </c>
      <c r="E547">
        <v>1</v>
      </c>
      <c r="F547" t="s">
        <v>271</v>
      </c>
      <c r="G547">
        <v>4</v>
      </c>
      <c r="H547" t="s">
        <v>292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9">
        <f>IFERROR(SUMIFS(Tabela10[Fod Worth],Tabela10[Drop],DropAnalityka[[#This Row],[Drop]],Tabela10[Grade],DropAnalityka[[#This Row],[Grade]])*DropAnalityka[[#This Row],[Quality/Quantity]],0)</f>
        <v>0</v>
      </c>
      <c r="L547" s="49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217</v>
      </c>
      <c r="B548" t="s">
        <v>9</v>
      </c>
      <c r="C548">
        <v>8</v>
      </c>
      <c r="D548">
        <v>2175</v>
      </c>
      <c r="E548">
        <v>0</v>
      </c>
      <c r="F548" t="s">
        <v>150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9">
        <f>IFERROR(SUMIFS(Tabela10[Fod Worth],Tabela10[Drop],DropAnalityka[[#This Row],[Drop]],Tabela10[Grade],DropAnalityka[[#This Row],[Grade]])*DropAnalityka[[#This Row],[Quality/Quantity]],0)</f>
        <v>0</v>
      </c>
      <c r="L548" s="49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217</v>
      </c>
      <c r="B549" t="s">
        <v>9</v>
      </c>
      <c r="C549">
        <v>8</v>
      </c>
      <c r="D549">
        <v>2276</v>
      </c>
      <c r="E549">
        <v>0</v>
      </c>
      <c r="F549" t="s">
        <v>271</v>
      </c>
      <c r="G549">
        <v>4</v>
      </c>
      <c r="H549" t="s">
        <v>292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9">
        <f>IFERROR(SUMIFS(Tabela10[Fod Worth],Tabela10[Drop],DropAnalityka[[#This Row],[Drop]],Tabela10[Grade],DropAnalityka[[#This Row],[Grade]])*DropAnalityka[[#This Row],[Quality/Quantity]],0)</f>
        <v>0</v>
      </c>
      <c r="L549" s="49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217</v>
      </c>
      <c r="B550" t="s">
        <v>9</v>
      </c>
      <c r="C550">
        <v>8</v>
      </c>
      <c r="D550">
        <v>2576</v>
      </c>
      <c r="E550">
        <v>3</v>
      </c>
      <c r="F550" t="s">
        <v>271</v>
      </c>
      <c r="G550">
        <v>4</v>
      </c>
      <c r="H550" t="s">
        <v>292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9">
        <f>IFERROR(SUMIFS(Tabela10[Fod Worth],Tabela10[Drop],DropAnalityka[[#This Row],[Drop]],Tabela10[Grade],DropAnalityka[[#This Row],[Grade]])*DropAnalityka[[#This Row],[Quality/Quantity]],0)</f>
        <v>0</v>
      </c>
      <c r="L550" s="49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217</v>
      </c>
      <c r="B551" t="s">
        <v>9</v>
      </c>
      <c r="C551">
        <v>8</v>
      </c>
      <c r="D551">
        <v>2058</v>
      </c>
      <c r="E551">
        <v>1</v>
      </c>
      <c r="F551" t="s">
        <v>271</v>
      </c>
      <c r="G551">
        <v>5</v>
      </c>
      <c r="H551" t="s">
        <v>292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9">
        <f>IFERROR(SUMIFS(Tabela10[Fod Worth],Tabela10[Drop],DropAnalityka[[#This Row],[Drop]],Tabela10[Grade],DropAnalityka[[#This Row],[Grade]])*DropAnalityka[[#This Row],[Quality/Quantity]],0)</f>
        <v>0</v>
      </c>
      <c r="L551" s="49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217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9">
        <f>IFERROR(SUMIFS(Tabela10[Fod Worth],Tabela10[Drop],DropAnalityka[[#This Row],[Drop]],Tabela10[Grade],DropAnalityka[[#This Row],[Grade]])*DropAnalityka[[#This Row],[Quality/Quantity]],0)</f>
        <v>0</v>
      </c>
      <c r="L552" s="49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217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9">
        <f>IFERROR(SUMIFS(Tabela10[Fod Worth],Tabela10[Drop],DropAnalityka[[#This Row],[Drop]],Tabela10[Grade],DropAnalityka[[#This Row],[Grade]])*DropAnalityka[[#This Row],[Quality/Quantity]],0)</f>
        <v>0</v>
      </c>
      <c r="L553" s="49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217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9">
        <f>IFERROR(SUMIFS(Tabela10[Fod Worth],Tabela10[Drop],DropAnalityka[[#This Row],[Drop]],Tabela10[Grade],DropAnalityka[[#This Row],[Grade]])*DropAnalityka[[#This Row],[Quality/Quantity]],0)</f>
        <v>0</v>
      </c>
      <c r="L554" s="49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217</v>
      </c>
      <c r="B555" t="s">
        <v>9</v>
      </c>
      <c r="C555">
        <v>8</v>
      </c>
      <c r="D555">
        <v>2526</v>
      </c>
      <c r="E555">
        <v>0</v>
      </c>
      <c r="F555" t="s">
        <v>271</v>
      </c>
      <c r="G555">
        <v>1</v>
      </c>
      <c r="H555" t="s">
        <v>293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9">
        <f>IFERROR(SUMIFS(Tabela10[Fod Worth],Tabela10[Drop],DropAnalityka[[#This Row],[Drop]],Tabela10[Grade],DropAnalityka[[#This Row],[Grade]])*DropAnalityka[[#This Row],[Quality/Quantity]],0)</f>
        <v>0</v>
      </c>
      <c r="L555" s="49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217</v>
      </c>
      <c r="B556" t="s">
        <v>9</v>
      </c>
      <c r="C556">
        <v>8</v>
      </c>
      <c r="D556">
        <v>2483</v>
      </c>
      <c r="E556">
        <v>3</v>
      </c>
      <c r="F556" t="s">
        <v>271</v>
      </c>
      <c r="G556">
        <v>1</v>
      </c>
      <c r="H556" t="s">
        <v>293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9">
        <f>IFERROR(SUMIFS(Tabela10[Fod Worth],Tabela10[Drop],DropAnalityka[[#This Row],[Drop]],Tabela10[Grade],DropAnalityka[[#This Row],[Grade]])*DropAnalityka[[#This Row],[Quality/Quantity]],0)</f>
        <v>0</v>
      </c>
      <c r="L556" s="49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217</v>
      </c>
      <c r="B557" t="s">
        <v>9</v>
      </c>
      <c r="C557">
        <v>8</v>
      </c>
      <c r="D557">
        <v>2491</v>
      </c>
      <c r="E557">
        <v>0</v>
      </c>
      <c r="F557" t="s">
        <v>237</v>
      </c>
      <c r="G557" t="s">
        <v>312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9">
        <f>IFERROR(SUMIFS(Tabela10[Fod Worth],Tabela10[Drop],DropAnalityka[[#This Row],[Drop]],Tabela10[Grade],DropAnalityka[[#This Row],[Grade]])*DropAnalityka[[#This Row],[Quality/Quantity]],0)</f>
        <v>0</v>
      </c>
      <c r="L557" s="49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217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9">
        <f>IFERROR(SUMIFS(Tabela10[Fod Worth],Tabela10[Drop],DropAnalityka[[#This Row],[Drop]],Tabela10[Grade],DropAnalityka[[#This Row],[Grade]])*DropAnalityka[[#This Row],[Quality/Quantity]],0)</f>
        <v>0</v>
      </c>
      <c r="L558" s="49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217</v>
      </c>
      <c r="B559" t="s">
        <v>9</v>
      </c>
      <c r="C559">
        <v>8</v>
      </c>
      <c r="D559">
        <v>2671</v>
      </c>
      <c r="E559">
        <v>2</v>
      </c>
      <c r="F559" t="s">
        <v>271</v>
      </c>
      <c r="G559">
        <v>4</v>
      </c>
      <c r="H559" t="s">
        <v>292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9">
        <f>IFERROR(SUMIFS(Tabela10[Fod Worth],Tabela10[Drop],DropAnalityka[[#This Row],[Drop]],Tabela10[Grade],DropAnalityka[[#This Row],[Grade]])*DropAnalityka[[#This Row],[Quality/Quantity]],0)</f>
        <v>0</v>
      </c>
      <c r="L559" s="49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217</v>
      </c>
      <c r="B560" t="s">
        <v>9</v>
      </c>
      <c r="C560">
        <v>8</v>
      </c>
      <c r="D560">
        <v>2186</v>
      </c>
      <c r="E560">
        <v>1</v>
      </c>
      <c r="F560" t="s">
        <v>216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9">
        <f>IFERROR(SUMIFS(Tabela10[Fod Worth],Tabela10[Drop],DropAnalityka[[#This Row],[Drop]],Tabela10[Grade],DropAnalityka[[#This Row],[Grade]])*DropAnalityka[[#This Row],[Quality/Quantity]],0)</f>
        <v>0</v>
      </c>
      <c r="L560" s="49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217</v>
      </c>
      <c r="B561" t="s">
        <v>9</v>
      </c>
      <c r="C561">
        <v>8</v>
      </c>
      <c r="D561">
        <v>2316</v>
      </c>
      <c r="E561">
        <v>0</v>
      </c>
      <c r="F561" t="s">
        <v>271</v>
      </c>
      <c r="G561">
        <v>3</v>
      </c>
      <c r="H561" t="s">
        <v>292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9">
        <f>IFERROR(SUMIFS(Tabela10[Fod Worth],Tabela10[Drop],DropAnalityka[[#This Row],[Drop]],Tabela10[Grade],DropAnalityka[[#This Row],[Grade]])*DropAnalityka[[#This Row],[Quality/Quantity]],0)</f>
        <v>0</v>
      </c>
      <c r="L561" s="49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217</v>
      </c>
      <c r="B562" t="s">
        <v>9</v>
      </c>
      <c r="C562">
        <v>8</v>
      </c>
      <c r="D562">
        <v>2046</v>
      </c>
      <c r="E562">
        <v>1</v>
      </c>
      <c r="F562" t="s">
        <v>271</v>
      </c>
      <c r="G562">
        <v>4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9">
        <f>IFERROR(SUMIFS(Tabela10[Fod Worth],Tabela10[Drop],DropAnalityka[[#This Row],[Drop]],Tabela10[Grade],DropAnalityka[[#This Row],[Grade]])*DropAnalityka[[#This Row],[Quality/Quantity]],0)</f>
        <v>0</v>
      </c>
      <c r="L562" s="49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217</v>
      </c>
      <c r="B563" t="s">
        <v>9</v>
      </c>
      <c r="C563">
        <v>8</v>
      </c>
      <c r="D563">
        <v>2303</v>
      </c>
      <c r="E563">
        <v>3</v>
      </c>
      <c r="F563" t="s">
        <v>271</v>
      </c>
      <c r="G563">
        <v>1</v>
      </c>
      <c r="H563" t="s">
        <v>314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9">
        <f>IFERROR(SUMIFS(Tabela10[Fod Worth],Tabela10[Drop],DropAnalityka[[#This Row],[Drop]],Tabela10[Grade],DropAnalityka[[#This Row],[Grade]])*DropAnalityka[[#This Row],[Quality/Quantity]],0)</f>
        <v>0</v>
      </c>
      <c r="L563" s="49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217</v>
      </c>
      <c r="B564" t="s">
        <v>9</v>
      </c>
      <c r="C564">
        <v>8</v>
      </c>
      <c r="D564">
        <v>2396</v>
      </c>
      <c r="E564">
        <v>1</v>
      </c>
      <c r="F564" t="s">
        <v>271</v>
      </c>
      <c r="G564">
        <v>1</v>
      </c>
      <c r="H564" t="s">
        <v>314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9">
        <f>IFERROR(SUMIFS(Tabela10[Fod Worth],Tabela10[Drop],DropAnalityka[[#This Row],[Drop]],Tabela10[Grade],DropAnalityka[[#This Row],[Grade]])*DropAnalityka[[#This Row],[Quality/Quantity]],0)</f>
        <v>0</v>
      </c>
      <c r="L564" s="49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217</v>
      </c>
      <c r="B565" t="s">
        <v>9</v>
      </c>
      <c r="C565">
        <v>8</v>
      </c>
      <c r="D565">
        <v>2325</v>
      </c>
      <c r="E565">
        <v>1</v>
      </c>
      <c r="F565" t="s">
        <v>271</v>
      </c>
      <c r="G565">
        <v>2</v>
      </c>
      <c r="H565" t="s">
        <v>293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9">
        <f>IFERROR(SUMIFS(Tabela10[Fod Worth],Tabela10[Drop],DropAnalityka[[#This Row],[Drop]],Tabela10[Grade],DropAnalityka[[#This Row],[Grade]])*DropAnalityka[[#This Row],[Quality/Quantity]],0)</f>
        <v>0</v>
      </c>
      <c r="L565" s="49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217</v>
      </c>
      <c r="B566" t="s">
        <v>9</v>
      </c>
      <c r="C566">
        <v>8</v>
      </c>
      <c r="D566">
        <v>2398</v>
      </c>
      <c r="E566">
        <v>1</v>
      </c>
      <c r="F566" t="s">
        <v>271</v>
      </c>
      <c r="G566">
        <v>3</v>
      </c>
      <c r="H566" t="s">
        <v>292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9">
        <f>IFERROR(SUMIFS(Tabela10[Fod Worth],Tabela10[Drop],DropAnalityka[[#This Row],[Drop]],Tabela10[Grade],DropAnalityka[[#This Row],[Grade]])*DropAnalityka[[#This Row],[Quality/Quantity]],0)</f>
        <v>0</v>
      </c>
      <c r="L566" s="49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217</v>
      </c>
      <c r="B567" t="s">
        <v>9</v>
      </c>
      <c r="C567">
        <v>8</v>
      </c>
      <c r="D567">
        <v>2668</v>
      </c>
      <c r="E567">
        <v>0</v>
      </c>
      <c r="F567" t="s">
        <v>271</v>
      </c>
      <c r="G567">
        <v>3</v>
      </c>
      <c r="H567" t="s">
        <v>293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9">
        <f>IFERROR(SUMIFS(Tabela10[Fod Worth],Tabela10[Drop],DropAnalityka[[#This Row],[Drop]],Tabela10[Grade],DropAnalityka[[#This Row],[Grade]])*DropAnalityka[[#This Row],[Quality/Quantity]],0)</f>
        <v>0</v>
      </c>
      <c r="L567" s="49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274</v>
      </c>
      <c r="G568">
        <v>2</v>
      </c>
      <c r="H568" t="s">
        <v>314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9">
        <f>IFERROR(SUMIFS(Tabela10[Fod Worth],Tabela10[Drop],DropAnalityka[[#This Row],[Drop]],Tabela10[Grade],DropAnalityka[[#This Row],[Grade]])*DropAnalityka[[#This Row],[Quality/Quantity]],0)</f>
        <v>0</v>
      </c>
      <c r="L568" s="49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274</v>
      </c>
      <c r="G569">
        <v>1</v>
      </c>
      <c r="H569" t="s">
        <v>314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9">
        <f>IFERROR(SUMIFS(Tabela10[Fod Worth],Tabela10[Drop],DropAnalityka[[#This Row],[Drop]],Tabela10[Grade],DropAnalityka[[#This Row],[Grade]])*DropAnalityka[[#This Row],[Quality/Quantity]],0)</f>
        <v>0</v>
      </c>
      <c r="L569" s="49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274</v>
      </c>
      <c r="G570">
        <v>4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9">
        <f>IFERROR(SUMIFS(Tabela10[Fod Worth],Tabela10[Drop],DropAnalityka[[#This Row],[Drop]],Tabela10[Grade],DropAnalityka[[#This Row],[Grade]])*DropAnalityka[[#This Row],[Quality/Quantity]],0)</f>
        <v>0</v>
      </c>
      <c r="L570" s="49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274</v>
      </c>
      <c r="G571">
        <v>1</v>
      </c>
      <c r="H571" t="s">
        <v>314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9">
        <f>IFERROR(SUMIFS(Tabela10[Fod Worth],Tabela10[Drop],DropAnalityka[[#This Row],[Drop]],Tabela10[Grade],DropAnalityka[[#This Row],[Grade]])*DropAnalityka[[#This Row],[Quality/Quantity]],0)</f>
        <v>0</v>
      </c>
      <c r="L571" s="49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274</v>
      </c>
      <c r="G572">
        <v>1</v>
      </c>
      <c r="H572" t="s">
        <v>314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9">
        <f>IFERROR(SUMIFS(Tabela10[Fod Worth],Tabela10[Drop],DropAnalityka[[#This Row],[Drop]],Tabela10[Grade],DropAnalityka[[#This Row],[Grade]])*DropAnalityka[[#This Row],[Quality/Quantity]],0)</f>
        <v>0</v>
      </c>
      <c r="L572" s="49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274</v>
      </c>
      <c r="G573">
        <v>4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9">
        <f>IFERROR(SUMIFS(Tabela10[Fod Worth],Tabela10[Drop],DropAnalityka[[#This Row],[Drop]],Tabela10[Grade],DropAnalityka[[#This Row],[Grade]])*DropAnalityka[[#This Row],[Quality/Quantity]],0)</f>
        <v>0</v>
      </c>
      <c r="L573" s="49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274</v>
      </c>
      <c r="G574">
        <v>3</v>
      </c>
      <c r="H574" t="s">
        <v>314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9">
        <f>IFERROR(SUMIFS(Tabela10[Fod Worth],Tabela10[Drop],DropAnalityka[[#This Row],[Drop]],Tabela10[Grade],DropAnalityka[[#This Row],[Grade]])*DropAnalityka[[#This Row],[Quality/Quantity]],0)</f>
        <v>0</v>
      </c>
      <c r="L574" s="49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274</v>
      </c>
      <c r="G575">
        <v>3</v>
      </c>
      <c r="H575" t="s">
        <v>314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9">
        <f>IFERROR(SUMIFS(Tabela10[Fod Worth],Tabela10[Drop],DropAnalityka[[#This Row],[Drop]],Tabela10[Grade],DropAnalityka[[#This Row],[Grade]])*DropAnalityka[[#This Row],[Quality/Quantity]],0)</f>
        <v>0</v>
      </c>
      <c r="L575" s="49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274</v>
      </c>
      <c r="G576">
        <v>4</v>
      </c>
      <c r="H576" t="s">
        <v>292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9">
        <f>IFERROR(SUMIFS(Tabela10[Fod Worth],Tabela10[Drop],DropAnalityka[[#This Row],[Drop]],Tabela10[Grade],DropAnalityka[[#This Row],[Grade]])*DropAnalityka[[#This Row],[Quality/Quantity]],0)</f>
        <v>0</v>
      </c>
      <c r="L576" s="49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274</v>
      </c>
      <c r="G577">
        <v>3</v>
      </c>
      <c r="H577" t="s">
        <v>292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9">
        <f>IFERROR(SUMIFS(Tabela10[Fod Worth],Tabela10[Drop],DropAnalityka[[#This Row],[Drop]],Tabela10[Grade],DropAnalityka[[#This Row],[Grade]])*DropAnalityka[[#This Row],[Quality/Quantity]],0)</f>
        <v>0</v>
      </c>
      <c r="L577" s="49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271</v>
      </c>
      <c r="G578">
        <v>3</v>
      </c>
      <c r="H578" t="s">
        <v>292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9">
        <f>IFERROR(SUMIFS(Tabela10[Fod Worth],Tabela10[Drop],DropAnalityka[[#This Row],[Drop]],Tabela10[Grade],DropAnalityka[[#This Row],[Grade]])*DropAnalityka[[#This Row],[Quality/Quantity]],0)</f>
        <v>0</v>
      </c>
      <c r="L578" s="49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274</v>
      </c>
      <c r="G579">
        <v>5</v>
      </c>
      <c r="H579" t="s">
        <v>292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9">
        <f>IFERROR(SUMIFS(Tabela10[Fod Worth],Tabela10[Drop],DropAnalityka[[#This Row],[Drop]],Tabela10[Grade],DropAnalityka[[#This Row],[Grade]])*DropAnalityka[[#This Row],[Quality/Quantity]],0)</f>
        <v>0</v>
      </c>
      <c r="L579" s="49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9">
        <f>IFERROR(SUMIFS(Tabela10[Fod Worth],Tabela10[Drop],DropAnalityka[[#This Row],[Drop]],Tabela10[Grade],DropAnalityka[[#This Row],[Grade]])*DropAnalityka[[#This Row],[Quality/Quantity]],0)</f>
        <v>0</v>
      </c>
      <c r="L580" s="49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150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9">
        <f>IFERROR(SUMIFS(Tabela10[Fod Worth],Tabela10[Drop],DropAnalityka[[#This Row],[Drop]],Tabela10[Grade],DropAnalityka[[#This Row],[Grade]])*DropAnalityka[[#This Row],[Quality/Quantity]],0)</f>
        <v>0</v>
      </c>
      <c r="L581" s="49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274</v>
      </c>
      <c r="G582">
        <v>3</v>
      </c>
      <c r="H582" t="s">
        <v>292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9">
        <f>IFERROR(SUMIFS(Tabela10[Fod Worth],Tabela10[Drop],DropAnalityka[[#This Row],[Drop]],Tabela10[Grade],DropAnalityka[[#This Row],[Grade]])*DropAnalityka[[#This Row],[Quality/Quantity]],0)</f>
        <v>0</v>
      </c>
      <c r="L582" s="49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274</v>
      </c>
      <c r="G583">
        <v>2</v>
      </c>
      <c r="H583" t="s">
        <v>293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9">
        <f>IFERROR(SUMIFS(Tabela10[Fod Worth],Tabela10[Drop],DropAnalityka[[#This Row],[Drop]],Tabela10[Grade],DropAnalityka[[#This Row],[Grade]])*DropAnalityka[[#This Row],[Quality/Quantity]],0)</f>
        <v>0</v>
      </c>
      <c r="L583" s="49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179</v>
      </c>
      <c r="B584" t="s">
        <v>9</v>
      </c>
      <c r="C584">
        <v>6</v>
      </c>
      <c r="D584">
        <v>2097</v>
      </c>
      <c r="E584">
        <v>2</v>
      </c>
      <c r="F584" t="s">
        <v>280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9">
        <f>IFERROR(SUMIFS(Tabela10[Fod Worth],Tabela10[Drop],DropAnalityka[[#This Row],[Drop]],Tabela10[Grade],DropAnalityka[[#This Row],[Grade]])*DropAnalityka[[#This Row],[Quality/Quantity]],0)</f>
        <v>0</v>
      </c>
      <c r="L584" s="49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9">
        <f>IFERROR(SUMIFS(Tabela10[Fod Worth],Tabela10[Drop],DropAnalityka[[#This Row],[Drop]],Tabela10[Grade],DropAnalityka[[#This Row],[Grade]])*DropAnalityka[[#This Row],[Quality/Quantity]],0)</f>
        <v>0</v>
      </c>
      <c r="L585" s="49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9">
        <f>IFERROR(SUMIFS(Tabela10[Fod Worth],Tabela10[Drop],DropAnalityka[[#This Row],[Drop]],Tabela10[Grade],DropAnalityka[[#This Row],[Grade]])*DropAnalityka[[#This Row],[Quality/Quantity]],0)</f>
        <v>11500</v>
      </c>
      <c r="L586" s="49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9">
        <f>IFERROR(SUMIFS(Tabela10[Fod Worth],Tabela10[Drop],DropAnalityka[[#This Row],[Drop]],Tabela10[Grade],DropAnalityka[[#This Row],[Grade]])*DropAnalityka[[#This Row],[Quality/Quantity]],0)</f>
        <v>11500</v>
      </c>
      <c r="L587" s="49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9">
        <f>IFERROR(SUMIFS(Tabela10[Fod Worth],Tabela10[Drop],DropAnalityka[[#This Row],[Drop]],Tabela10[Grade],DropAnalityka[[#This Row],[Grade]])*DropAnalityka[[#This Row],[Quality/Quantity]],0)</f>
        <v>0</v>
      </c>
      <c r="L588" s="49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9">
        <f>IFERROR(SUMIFS(Tabela10[Fod Worth],Tabela10[Drop],DropAnalityka[[#This Row],[Drop]],Tabela10[Grade],DropAnalityka[[#This Row],[Grade]])*DropAnalityka[[#This Row],[Quality/Quantity]],0)</f>
        <v>0</v>
      </c>
      <c r="L589" s="49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9">
        <f>IFERROR(SUMIFS(Tabela10[Fod Worth],Tabela10[Drop],DropAnalityka[[#This Row],[Drop]],Tabela10[Grade],DropAnalityka[[#This Row],[Grade]])*DropAnalityka[[#This Row],[Quality/Quantity]],0)</f>
        <v>0</v>
      </c>
      <c r="L590" s="49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9">
        <f>IFERROR(SUMIFS(Tabela10[Fod Worth],Tabela10[Drop],DropAnalityka[[#This Row],[Drop]],Tabela10[Grade],DropAnalityka[[#This Row],[Grade]])*DropAnalityka[[#This Row],[Quality/Quantity]],0)</f>
        <v>0</v>
      </c>
      <c r="L591" s="49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9">
        <f>IFERROR(SUMIFS(Tabela10[Fod Worth],Tabela10[Drop],DropAnalityka[[#This Row],[Drop]],Tabela10[Grade],DropAnalityka[[#This Row],[Grade]])*DropAnalityka[[#This Row],[Quality/Quantity]],0)</f>
        <v>0</v>
      </c>
      <c r="L592" s="49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9">
        <f>IFERROR(SUMIFS(Tabela10[Fod Worth],Tabela10[Drop],DropAnalityka[[#This Row],[Drop]],Tabela10[Grade],DropAnalityka[[#This Row],[Grade]])*DropAnalityka[[#This Row],[Quality/Quantity]],0)</f>
        <v>0</v>
      </c>
      <c r="L593" s="49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9">
        <f>IFERROR(SUMIFS(Tabela10[Fod Worth],Tabela10[Drop],DropAnalityka[[#This Row],[Drop]],Tabela10[Grade],DropAnalityka[[#This Row],[Grade]])*DropAnalityka[[#This Row],[Quality/Quantity]],0)</f>
        <v>0</v>
      </c>
      <c r="L594" s="49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9">
        <f>IFERROR(SUMIFS(Tabela10[Fod Worth],Tabela10[Drop],DropAnalityka[[#This Row],[Drop]],Tabela10[Grade],DropAnalityka[[#This Row],[Grade]])*DropAnalityka[[#This Row],[Quality/Quantity]],0)</f>
        <v>0</v>
      </c>
      <c r="L595" s="49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9">
        <f>IFERROR(SUMIFS(Tabela10[Fod Worth],Tabela10[Drop],DropAnalityka[[#This Row],[Drop]],Tabela10[Grade],DropAnalityka[[#This Row],[Grade]])*DropAnalityka[[#This Row],[Quality/Quantity]],0)</f>
        <v>0</v>
      </c>
      <c r="L596" s="49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9">
        <f>IFERROR(SUMIFS(Tabela10[Fod Worth],Tabela10[Drop],DropAnalityka[[#This Row],[Drop]],Tabela10[Grade],DropAnalityka[[#This Row],[Grade]])*DropAnalityka[[#This Row],[Quality/Quantity]],0)</f>
        <v>0</v>
      </c>
      <c r="L597" s="49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9">
        <f>IFERROR(SUMIFS(Tabela10[Fod Worth],Tabela10[Drop],DropAnalityka[[#This Row],[Drop]],Tabela10[Grade],DropAnalityka[[#This Row],[Grade]])*DropAnalityka[[#This Row],[Quality/Quantity]],0)</f>
        <v>0</v>
      </c>
      <c r="L598" s="49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9">
        <f>IFERROR(SUMIFS(Tabela10[Fod Worth],Tabela10[Drop],DropAnalityka[[#This Row],[Drop]],Tabela10[Grade],DropAnalityka[[#This Row],[Grade]])*DropAnalityka[[#This Row],[Quality/Quantity]],0)</f>
        <v>0</v>
      </c>
      <c r="L599" s="49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9">
        <f>IFERROR(SUMIFS(Tabela10[Fod Worth],Tabela10[Drop],DropAnalityka[[#This Row],[Drop]],Tabela10[Grade],DropAnalityka[[#This Row],[Grade]])*DropAnalityka[[#This Row],[Quality/Quantity]],0)</f>
        <v>0</v>
      </c>
      <c r="L600" s="49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9">
        <f>IFERROR(SUMIFS(Tabela10[Fod Worth],Tabela10[Drop],DropAnalityka[[#This Row],[Drop]],Tabela10[Grade],DropAnalityka[[#This Row],[Grade]])*DropAnalityka[[#This Row],[Quality/Quantity]],0)</f>
        <v>0</v>
      </c>
      <c r="L601" s="49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9">
        <f>IFERROR(SUMIFS(Tabela10[Fod Worth],Tabela10[Drop],DropAnalityka[[#This Row],[Drop]],Tabela10[Grade],DropAnalityka[[#This Row],[Grade]])*DropAnalityka[[#This Row],[Quality/Quantity]],0)</f>
        <v>0</v>
      </c>
      <c r="L602" s="49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9">
        <f>IFERROR(SUMIFS(Tabela10[Fod Worth],Tabela10[Drop],DropAnalityka[[#This Row],[Drop]],Tabela10[Grade],DropAnalityka[[#This Row],[Grade]])*DropAnalityka[[#This Row],[Quality/Quantity]],0)</f>
        <v>0</v>
      </c>
      <c r="L603" s="49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9">
        <f>IFERROR(SUMIFS(Tabela10[Fod Worth],Tabela10[Drop],DropAnalityka[[#This Row],[Drop]],Tabela10[Grade],DropAnalityka[[#This Row],[Grade]])*DropAnalityka[[#This Row],[Quality/Quantity]],0)</f>
        <v>11500</v>
      </c>
      <c r="L604" s="49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9">
        <f>IFERROR(SUMIFS(Tabela10[Fod Worth],Tabela10[Drop],DropAnalityka[[#This Row],[Drop]],Tabela10[Grade],DropAnalityka[[#This Row],[Grade]])*DropAnalityka[[#This Row],[Quality/Quantity]],0)</f>
        <v>0</v>
      </c>
      <c r="L605" s="49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9">
        <f>IFERROR(SUMIFS(Tabela10[Fod Worth],Tabela10[Drop],DropAnalityka[[#This Row],[Drop]],Tabela10[Grade],DropAnalityka[[#This Row],[Grade]])*DropAnalityka[[#This Row],[Quality/Quantity]],0)</f>
        <v>0</v>
      </c>
      <c r="L606" s="49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9">
        <f>IFERROR(SUMIFS(Tabela10[Fod Worth],Tabela10[Drop],DropAnalityka[[#This Row],[Drop]],Tabela10[Grade],DropAnalityka[[#This Row],[Grade]])*DropAnalityka[[#This Row],[Quality/Quantity]],0)</f>
        <v>0</v>
      </c>
      <c r="L607" s="49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9">
        <f>IFERROR(SUMIFS(Tabela10[Fod Worth],Tabela10[Drop],DropAnalityka[[#This Row],[Drop]],Tabela10[Grade],DropAnalityka[[#This Row],[Grade]])*DropAnalityka[[#This Row],[Quality/Quantity]],0)</f>
        <v>0</v>
      </c>
      <c r="L608" s="49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9">
        <f>IFERROR(SUMIFS(Tabela10[Fod Worth],Tabela10[Drop],DropAnalityka[[#This Row],[Drop]],Tabela10[Grade],DropAnalityka[[#This Row],[Grade]])*DropAnalityka[[#This Row],[Quality/Quantity]],0)</f>
        <v>0</v>
      </c>
      <c r="L609" s="49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9">
        <f>IFERROR(SUMIFS(Tabela10[Fod Worth],Tabela10[Drop],DropAnalityka[[#This Row],[Drop]],Tabela10[Grade],DropAnalityka[[#This Row],[Grade]])*DropAnalityka[[#This Row],[Quality/Quantity]],0)</f>
        <v>0</v>
      </c>
      <c r="L610" s="49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9">
        <f>IFERROR(SUMIFS(Tabela10[Fod Worth],Tabela10[Drop],DropAnalityka[[#This Row],[Drop]],Tabela10[Grade],DropAnalityka[[#This Row],[Grade]])*DropAnalityka[[#This Row],[Quality/Quantity]],0)</f>
        <v>11500</v>
      </c>
      <c r="L611" s="49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9">
        <f>IFERROR(SUMIFS(Tabela10[Fod Worth],Tabela10[Drop],DropAnalityka[[#This Row],[Drop]],Tabela10[Grade],DropAnalityka[[#This Row],[Grade]])*DropAnalityka[[#This Row],[Quality/Quantity]],0)</f>
        <v>0</v>
      </c>
      <c r="L612" s="49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9">
        <f>IFERROR(SUMIFS(Tabela10[Fod Worth],Tabela10[Drop],DropAnalityka[[#This Row],[Drop]],Tabela10[Grade],DropAnalityka[[#This Row],[Grade]])*DropAnalityka[[#This Row],[Quality/Quantity]],0)</f>
        <v>0</v>
      </c>
      <c r="L613" s="49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9">
        <f>IFERROR(SUMIFS(Tabela10[Fod Worth],Tabela10[Drop],DropAnalityka[[#This Row],[Drop]],Tabela10[Grade],DropAnalityka[[#This Row],[Grade]])*DropAnalityka[[#This Row],[Quality/Quantity]],0)</f>
        <v>0</v>
      </c>
      <c r="L614" s="49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9">
        <f>IFERROR(SUMIFS(Tabela10[Fod Worth],Tabela10[Drop],DropAnalityka[[#This Row],[Drop]],Tabela10[Grade],DropAnalityka[[#This Row],[Grade]])*DropAnalityka[[#This Row],[Quality/Quantity]],0)</f>
        <v>0</v>
      </c>
      <c r="L615" s="49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9">
        <f>IFERROR(SUMIFS(Tabela10[Fod Worth],Tabela10[Drop],DropAnalityka[[#This Row],[Drop]],Tabela10[Grade],DropAnalityka[[#This Row],[Grade]])*DropAnalityka[[#This Row],[Quality/Quantity]],0)</f>
        <v>0</v>
      </c>
      <c r="L616" s="49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9">
        <f>IFERROR(SUMIFS(Tabela10[Fod Worth],Tabela10[Drop],DropAnalityka[[#This Row],[Drop]],Tabela10[Grade],DropAnalityka[[#This Row],[Grade]])*DropAnalityka[[#This Row],[Quality/Quantity]],0)</f>
        <v>0</v>
      </c>
      <c r="L617" s="49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9">
        <f>IFERROR(SUMIFS(Tabela10[Fod Worth],Tabela10[Drop],DropAnalityka[[#This Row],[Drop]],Tabela10[Grade],DropAnalityka[[#This Row],[Grade]])*DropAnalityka[[#This Row],[Quality/Quantity]],0)</f>
        <v>0</v>
      </c>
      <c r="L618" s="49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9">
        <f>IFERROR(SUMIFS(Tabela10[Fod Worth],Tabela10[Drop],DropAnalityka[[#This Row],[Drop]],Tabela10[Grade],DropAnalityka[[#This Row],[Grade]])*DropAnalityka[[#This Row],[Quality/Quantity]],0)</f>
        <v>0</v>
      </c>
      <c r="L619" s="49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9">
        <f>IFERROR(SUMIFS(Tabela10[Fod Worth],Tabela10[Drop],DropAnalityka[[#This Row],[Drop]],Tabela10[Grade],DropAnalityka[[#This Row],[Grade]])*DropAnalityka[[#This Row],[Quality/Quantity]],0)</f>
        <v>0</v>
      </c>
      <c r="L620" s="49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9">
        <f>IFERROR(SUMIFS(Tabela10[Fod Worth],Tabela10[Drop],DropAnalityka[[#This Row],[Drop]],Tabela10[Grade],DropAnalityka[[#This Row],[Grade]])*DropAnalityka[[#This Row],[Quality/Quantity]],0)</f>
        <v>0</v>
      </c>
      <c r="L621" s="49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9">
        <f>IFERROR(SUMIFS(Tabela10[Fod Worth],Tabela10[Drop],DropAnalityka[[#This Row],[Drop]],Tabela10[Grade],DropAnalityka[[#This Row],[Grade]])*DropAnalityka[[#This Row],[Quality/Quantity]],0)</f>
        <v>0</v>
      </c>
      <c r="L622" s="49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9">
        <f>IFERROR(SUMIFS(Tabela10[Fod Worth],Tabela10[Drop],DropAnalityka[[#This Row],[Drop]],Tabela10[Grade],DropAnalityka[[#This Row],[Grade]])*DropAnalityka[[#This Row],[Quality/Quantity]],0)</f>
        <v>0</v>
      </c>
      <c r="L623" s="49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9">
        <f>IFERROR(SUMIFS(Tabela10[Fod Worth],Tabela10[Drop],DropAnalityka[[#This Row],[Drop]],Tabela10[Grade],DropAnalityka[[#This Row],[Grade]])*DropAnalityka[[#This Row],[Quality/Quantity]],0)</f>
        <v>0</v>
      </c>
      <c r="L624" s="49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9">
        <f>IFERROR(SUMIFS(Tabela10[Fod Worth],Tabela10[Drop],DropAnalityka[[#This Row],[Drop]],Tabela10[Grade],DropAnalityka[[#This Row],[Grade]])*DropAnalityka[[#This Row],[Quality/Quantity]],0)</f>
        <v>0</v>
      </c>
      <c r="L625" s="49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9">
        <f>IFERROR(SUMIFS(Tabela10[Fod Worth],Tabela10[Drop],DropAnalityka[[#This Row],[Drop]],Tabela10[Grade],DropAnalityka[[#This Row],[Grade]])*DropAnalityka[[#This Row],[Quality/Quantity]],0)</f>
        <v>0</v>
      </c>
      <c r="L626" s="49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9">
        <f>IFERROR(SUMIFS(Tabela10[Fod Worth],Tabela10[Drop],DropAnalityka[[#This Row],[Drop]],Tabela10[Grade],DropAnalityka[[#This Row],[Grade]])*DropAnalityka[[#This Row],[Quality/Quantity]],0)</f>
        <v>0</v>
      </c>
      <c r="L627" s="49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9">
        <f>IFERROR(SUMIFS(Tabela10[Fod Worth],Tabela10[Drop],DropAnalityka[[#This Row],[Drop]],Tabela10[Grade],DropAnalityka[[#This Row],[Grade]])*DropAnalityka[[#This Row],[Quality/Quantity]],0)</f>
        <v>0</v>
      </c>
      <c r="L628" s="49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9">
        <f>IFERROR(SUMIFS(Tabela10[Fod Worth],Tabela10[Drop],DropAnalityka[[#This Row],[Drop]],Tabela10[Grade],DropAnalityka[[#This Row],[Grade]])*DropAnalityka[[#This Row],[Quality/Quantity]],0)</f>
        <v>0</v>
      </c>
      <c r="L629" s="49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9">
        <f>IFERROR(SUMIFS(Tabela10[Fod Worth],Tabela10[Drop],DropAnalityka[[#This Row],[Drop]],Tabela10[Grade],DropAnalityka[[#This Row],[Grade]])*DropAnalityka[[#This Row],[Quality/Quantity]],0)</f>
        <v>0</v>
      </c>
      <c r="L630" s="49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9">
        <f>IFERROR(SUMIFS(Tabela10[Fod Worth],Tabela10[Drop],DropAnalityka[[#This Row],[Drop]],Tabela10[Grade],DropAnalityka[[#This Row],[Grade]])*DropAnalityka[[#This Row],[Quality/Quantity]],0)</f>
        <v>0</v>
      </c>
      <c r="L631" s="49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9">
        <f>IFERROR(SUMIFS(Tabela10[Fod Worth],Tabela10[Drop],DropAnalityka[[#This Row],[Drop]],Tabela10[Grade],DropAnalityka[[#This Row],[Grade]])*DropAnalityka[[#This Row],[Quality/Quantity]],0)</f>
        <v>0</v>
      </c>
      <c r="L632" s="49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9">
        <f>IFERROR(SUMIFS(Tabela10[Fod Worth],Tabela10[Drop],DropAnalityka[[#This Row],[Drop]],Tabela10[Grade],DropAnalityka[[#This Row],[Grade]])*DropAnalityka[[#This Row],[Quality/Quantity]],0)</f>
        <v>0</v>
      </c>
      <c r="L633" s="49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9">
        <f>IFERROR(SUMIFS(Tabela10[Fod Worth],Tabela10[Drop],DropAnalityka[[#This Row],[Drop]],Tabela10[Grade],DropAnalityka[[#This Row],[Grade]])*DropAnalityka[[#This Row],[Quality/Quantity]],0)</f>
        <v>0</v>
      </c>
      <c r="L634" s="49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9">
        <f>IFERROR(SUMIFS(Tabela10[Fod Worth],Tabela10[Drop],DropAnalityka[[#This Row],[Drop]],Tabela10[Grade],DropAnalityka[[#This Row],[Grade]])*DropAnalityka[[#This Row],[Quality/Quantity]],0)</f>
        <v>0</v>
      </c>
      <c r="L635" s="49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9">
        <f>IFERROR(SUMIFS(Tabela10[Fod Worth],Tabela10[Drop],DropAnalityka[[#This Row],[Drop]],Tabela10[Grade],DropAnalityka[[#This Row],[Grade]])*DropAnalityka[[#This Row],[Quality/Quantity]],0)</f>
        <v>0</v>
      </c>
      <c r="L636" s="49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9">
        <f>IFERROR(SUMIFS(Tabela10[Fod Worth],Tabela10[Drop],DropAnalityka[[#This Row],[Drop]],Tabela10[Grade],DropAnalityka[[#This Row],[Grade]])*DropAnalityka[[#This Row],[Quality/Quantity]],0)</f>
        <v>0</v>
      </c>
      <c r="L637" s="49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9">
        <f>IFERROR(SUMIFS(Tabela10[Fod Worth],Tabela10[Drop],DropAnalityka[[#This Row],[Drop]],Tabela10[Grade],DropAnalityka[[#This Row],[Grade]])*DropAnalityka[[#This Row],[Quality/Quantity]],0)</f>
        <v>0</v>
      </c>
      <c r="L638" s="49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9">
        <f>IFERROR(SUMIFS(Tabela10[Fod Worth],Tabela10[Drop],DropAnalityka[[#This Row],[Drop]],Tabela10[Grade],DropAnalityka[[#This Row],[Grade]])*DropAnalityka[[#This Row],[Quality/Quantity]],0)</f>
        <v>0</v>
      </c>
      <c r="L639" s="49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9">
        <f>IFERROR(SUMIFS(Tabela10[Fod Worth],Tabela10[Drop],DropAnalityka[[#This Row],[Drop]],Tabela10[Grade],DropAnalityka[[#This Row],[Grade]])*DropAnalityka[[#This Row],[Quality/Quantity]],0)</f>
        <v>0</v>
      </c>
      <c r="L640" s="49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9">
        <f>IFERROR(SUMIFS(Tabela10[Fod Worth],Tabela10[Drop],DropAnalityka[[#This Row],[Drop]],Tabela10[Grade],DropAnalityka[[#This Row],[Grade]])*DropAnalityka[[#This Row],[Quality/Quantity]],0)</f>
        <v>0</v>
      </c>
      <c r="L641" s="49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9">
        <f>IFERROR(SUMIFS(Tabela10[Fod Worth],Tabela10[Drop],DropAnalityka[[#This Row],[Drop]],Tabela10[Grade],DropAnalityka[[#This Row],[Grade]])*DropAnalityka[[#This Row],[Quality/Quantity]],0)</f>
        <v>0</v>
      </c>
      <c r="L642" s="49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9">
        <f>IFERROR(SUMIFS(Tabela10[Fod Worth],Tabela10[Drop],DropAnalityka[[#This Row],[Drop]],Tabela10[Grade],DropAnalityka[[#This Row],[Grade]])*DropAnalityka[[#This Row],[Quality/Quantity]],0)</f>
        <v>0</v>
      </c>
      <c r="L643" s="49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9">
        <f>IFERROR(SUMIFS(Tabela10[Fod Worth],Tabela10[Drop],DropAnalityka[[#This Row],[Drop]],Tabela10[Grade],DropAnalityka[[#This Row],[Grade]])*DropAnalityka[[#This Row],[Quality/Quantity]],0)</f>
        <v>0</v>
      </c>
      <c r="L644" s="49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9">
        <f>IFERROR(SUMIFS(Tabela10[Fod Worth],Tabela10[Drop],DropAnalityka[[#This Row],[Drop]],Tabela10[Grade],DropAnalityka[[#This Row],[Grade]])*DropAnalityka[[#This Row],[Quality/Quantity]],0)</f>
        <v>0</v>
      </c>
      <c r="L645" s="49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9">
        <f>IFERROR(SUMIFS(Tabela10[Fod Worth],Tabela10[Drop],DropAnalityka[[#This Row],[Drop]],Tabela10[Grade],DropAnalityka[[#This Row],[Grade]])*DropAnalityka[[#This Row],[Quality/Quantity]],0)</f>
        <v>0</v>
      </c>
      <c r="L646" s="49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9">
        <f>IFERROR(SUMIFS(Tabela10[Fod Worth],Tabela10[Drop],DropAnalityka[[#This Row],[Drop]],Tabela10[Grade],DropAnalityka[[#This Row],[Grade]])*DropAnalityka[[#This Row],[Quality/Quantity]],0)</f>
        <v>0</v>
      </c>
      <c r="L647" s="49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9">
        <f>IFERROR(SUMIFS(Tabela10[Fod Worth],Tabela10[Drop],DropAnalityka[[#This Row],[Drop]],Tabela10[Grade],DropAnalityka[[#This Row],[Grade]])*DropAnalityka[[#This Row],[Quality/Quantity]],0)</f>
        <v>0</v>
      </c>
      <c r="L648" s="49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9">
        <f>IFERROR(SUMIFS(Tabela10[Fod Worth],Tabela10[Drop],DropAnalityka[[#This Row],[Drop]],Tabela10[Grade],DropAnalityka[[#This Row],[Grade]])*DropAnalityka[[#This Row],[Quality/Quantity]],0)</f>
        <v>0</v>
      </c>
      <c r="L649" s="49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9">
        <f>IFERROR(SUMIFS(Tabela10[Fod Worth],Tabela10[Drop],DropAnalityka[[#This Row],[Drop]],Tabela10[Grade],DropAnalityka[[#This Row],[Grade]])*DropAnalityka[[#This Row],[Quality/Quantity]],0)</f>
        <v>0</v>
      </c>
      <c r="L650" s="49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9">
        <f>IFERROR(SUMIFS(Tabela10[Fod Worth],Tabela10[Drop],DropAnalityka[[#This Row],[Drop]],Tabela10[Grade],DropAnalityka[[#This Row],[Grade]])*DropAnalityka[[#This Row],[Quality/Quantity]],0)</f>
        <v>0</v>
      </c>
      <c r="L651" s="49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9">
        <f>IFERROR(SUMIFS(Tabela10[Fod Worth],Tabela10[Drop],DropAnalityka[[#This Row],[Drop]],Tabela10[Grade],DropAnalityka[[#This Row],[Grade]])*DropAnalityka[[#This Row],[Quality/Quantity]],0)</f>
        <v>0</v>
      </c>
      <c r="L652" s="49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9">
        <f>IFERROR(SUMIFS(Tabela10[Fod Worth],Tabela10[Drop],DropAnalityka[[#This Row],[Drop]],Tabela10[Grade],DropAnalityka[[#This Row],[Grade]])*DropAnalityka[[#This Row],[Quality/Quantity]],0)</f>
        <v>0</v>
      </c>
      <c r="L653" s="49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9">
        <f>IFERROR(SUMIFS(Tabela10[Fod Worth],Tabela10[Drop],DropAnalityka[[#This Row],[Drop]],Tabela10[Grade],DropAnalityka[[#This Row],[Grade]])*DropAnalityka[[#This Row],[Quality/Quantity]],0)</f>
        <v>0</v>
      </c>
      <c r="L654" s="49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274</v>
      </c>
      <c r="G655">
        <v>4</v>
      </c>
      <c r="H655" t="s">
        <v>292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9">
        <f>IFERROR(SUMIFS(Tabela10[Fod Worth],Tabela10[Drop],DropAnalityka[[#This Row],[Drop]],Tabela10[Grade],DropAnalityka[[#This Row],[Grade]])*DropAnalityka[[#This Row],[Quality/Quantity]],0)</f>
        <v>0</v>
      </c>
      <c r="L655" s="49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274</v>
      </c>
      <c r="G656">
        <v>1</v>
      </c>
      <c r="H656" t="s">
        <v>293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9">
        <f>IFERROR(SUMIFS(Tabela10[Fod Worth],Tabela10[Drop],DropAnalityka[[#This Row],[Drop]],Tabela10[Grade],DropAnalityka[[#This Row],[Grade]])*DropAnalityka[[#This Row],[Quality/Quantity]],0)</f>
        <v>0</v>
      </c>
      <c r="L656" s="49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274</v>
      </c>
      <c r="G657">
        <v>1</v>
      </c>
      <c r="H657" t="s">
        <v>314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9">
        <f>IFERROR(SUMIFS(Tabela10[Fod Worth],Tabela10[Drop],DropAnalityka[[#This Row],[Drop]],Tabela10[Grade],DropAnalityka[[#This Row],[Grade]])*DropAnalityka[[#This Row],[Quality/Quantity]],0)</f>
        <v>0</v>
      </c>
      <c r="L657" s="49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271</v>
      </c>
      <c r="G658">
        <v>1</v>
      </c>
      <c r="H658" t="s">
        <v>314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9">
        <f>IFERROR(SUMIFS(Tabela10[Fod Worth],Tabela10[Drop],DropAnalityka[[#This Row],[Drop]],Tabela10[Grade],DropAnalityka[[#This Row],[Grade]])*DropAnalityka[[#This Row],[Quality/Quantity]],0)</f>
        <v>0</v>
      </c>
      <c r="L658" s="49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9">
        <f>IFERROR(SUMIFS(Tabela10[Fod Worth],Tabela10[Drop],DropAnalityka[[#This Row],[Drop]],Tabela10[Grade],DropAnalityka[[#This Row],[Grade]])*DropAnalityka[[#This Row],[Quality/Quantity]],0)</f>
        <v>0</v>
      </c>
      <c r="L659" s="49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274</v>
      </c>
      <c r="G660">
        <v>1</v>
      </c>
      <c r="H660" t="s">
        <v>314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9">
        <f>IFERROR(SUMIFS(Tabela10[Fod Worth],Tabela10[Drop],DropAnalityka[[#This Row],[Drop]],Tabela10[Grade],DropAnalityka[[#This Row],[Grade]])*DropAnalityka[[#This Row],[Quality/Quantity]],0)</f>
        <v>0</v>
      </c>
      <c r="L660" s="49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9">
        <f>IFERROR(SUMIFS(Tabela10[Fod Worth],Tabela10[Drop],DropAnalityka[[#This Row],[Drop]],Tabela10[Grade],DropAnalityka[[#This Row],[Grade]])*DropAnalityka[[#This Row],[Quality/Quantity]],0)</f>
        <v>0</v>
      </c>
      <c r="L661" s="49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274</v>
      </c>
      <c r="G662">
        <v>1</v>
      </c>
      <c r="H662" t="s">
        <v>314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9">
        <f>IFERROR(SUMIFS(Tabela10[Fod Worth],Tabela10[Drop],DropAnalityka[[#This Row],[Drop]],Tabela10[Grade],DropAnalityka[[#This Row],[Grade]])*DropAnalityka[[#This Row],[Quality/Quantity]],0)</f>
        <v>0</v>
      </c>
      <c r="L662" s="49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274</v>
      </c>
      <c r="G663">
        <v>5</v>
      </c>
      <c r="H663" t="s">
        <v>292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9">
        <f>IFERROR(SUMIFS(Tabela10[Fod Worth],Tabela10[Drop],DropAnalityka[[#This Row],[Drop]],Tabela10[Grade],DropAnalityka[[#This Row],[Grade]])*DropAnalityka[[#This Row],[Quality/Quantity]],0)</f>
        <v>0</v>
      </c>
      <c r="L663" s="49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274</v>
      </c>
      <c r="G664">
        <v>4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9">
        <f>IFERROR(SUMIFS(Tabela10[Fod Worth],Tabela10[Drop],DropAnalityka[[#This Row],[Drop]],Tabela10[Grade],DropAnalityka[[#This Row],[Grade]])*DropAnalityka[[#This Row],[Quality/Quantity]],0)</f>
        <v>0</v>
      </c>
      <c r="L664" s="49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274</v>
      </c>
      <c r="G665">
        <v>2</v>
      </c>
      <c r="H665" t="s">
        <v>314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9">
        <f>IFERROR(SUMIFS(Tabela10[Fod Worth],Tabela10[Drop],DropAnalityka[[#This Row],[Drop]],Tabela10[Grade],DropAnalityka[[#This Row],[Grade]])*DropAnalityka[[#This Row],[Quality/Quantity]],0)</f>
        <v>0</v>
      </c>
      <c r="L665" s="49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274</v>
      </c>
      <c r="G666">
        <v>1</v>
      </c>
      <c r="H666" t="s">
        <v>314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9">
        <f>IFERROR(SUMIFS(Tabela10[Fod Worth],Tabela10[Drop],DropAnalityka[[#This Row],[Drop]],Tabela10[Grade],DropAnalityka[[#This Row],[Grade]])*DropAnalityka[[#This Row],[Quality/Quantity]],0)</f>
        <v>0</v>
      </c>
      <c r="L666" s="49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274</v>
      </c>
      <c r="G667">
        <v>3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9">
        <f>IFERROR(SUMIFS(Tabela10[Fod Worth],Tabela10[Drop],DropAnalityka[[#This Row],[Drop]],Tabela10[Grade],DropAnalityka[[#This Row],[Grade]])*DropAnalityka[[#This Row],[Quality/Quantity]],0)</f>
        <v>0</v>
      </c>
      <c r="L667" s="49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272</v>
      </c>
      <c r="G668">
        <v>1</v>
      </c>
      <c r="H668" t="s">
        <v>314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9">
        <f>IFERROR(SUMIFS(Tabela10[Fod Worth],Tabela10[Drop],DropAnalityka[[#This Row],[Drop]],Tabela10[Grade],DropAnalityka[[#This Row],[Grade]])*DropAnalityka[[#This Row],[Quality/Quantity]],0)</f>
        <v>0</v>
      </c>
      <c r="L668" s="49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272</v>
      </c>
      <c r="G669">
        <v>2</v>
      </c>
      <c r="H669" t="s">
        <v>314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9">
        <f>IFERROR(SUMIFS(Tabela10[Fod Worth],Tabela10[Drop],DropAnalityka[[#This Row],[Drop]],Tabela10[Grade],DropAnalityka[[#This Row],[Grade]])*DropAnalityka[[#This Row],[Quality/Quantity]],0)</f>
        <v>0</v>
      </c>
      <c r="L669" s="49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274</v>
      </c>
      <c r="G670">
        <v>5</v>
      </c>
      <c r="H670" t="s">
        <v>292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9">
        <f>IFERROR(SUMIFS(Tabela10[Fod Worth],Tabela10[Drop],DropAnalityka[[#This Row],[Drop]],Tabela10[Grade],DropAnalityka[[#This Row],[Grade]])*DropAnalityka[[#This Row],[Quality/Quantity]],0)</f>
        <v>0</v>
      </c>
      <c r="L670" s="49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9">
        <f>IFERROR(SUMIFS(Tabela10[Fod Worth],Tabela10[Drop],DropAnalityka[[#This Row],[Drop]],Tabela10[Grade],DropAnalityka[[#This Row],[Grade]])*DropAnalityka[[#This Row],[Quality/Quantity]],0)</f>
        <v>11500</v>
      </c>
      <c r="L671" s="49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274</v>
      </c>
      <c r="G672">
        <v>3</v>
      </c>
      <c r="H672" t="s">
        <v>292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9">
        <f>IFERROR(SUMIFS(Tabela10[Fod Worth],Tabela10[Drop],DropAnalityka[[#This Row],[Drop]],Tabela10[Grade],DropAnalityka[[#This Row],[Grade]])*DropAnalityka[[#This Row],[Quality/Quantity]],0)</f>
        <v>0</v>
      </c>
      <c r="L672" s="49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274</v>
      </c>
      <c r="G673">
        <v>4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9">
        <f>IFERROR(SUMIFS(Tabela10[Fod Worth],Tabela10[Drop],DropAnalityka[[#This Row],[Drop]],Tabela10[Grade],DropAnalityka[[#This Row],[Grade]])*DropAnalityka[[#This Row],[Quality/Quantity]],0)</f>
        <v>0</v>
      </c>
      <c r="L673" s="49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272</v>
      </c>
      <c r="G674">
        <v>3</v>
      </c>
      <c r="H674" t="s">
        <v>314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9">
        <f>IFERROR(SUMIFS(Tabela10[Fod Worth],Tabela10[Drop],DropAnalityka[[#This Row],[Drop]],Tabela10[Grade],DropAnalityka[[#This Row],[Grade]])*DropAnalityka[[#This Row],[Quality/Quantity]],0)</f>
        <v>0</v>
      </c>
      <c r="L674" s="49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274</v>
      </c>
      <c r="G675">
        <v>5</v>
      </c>
      <c r="H675" t="s">
        <v>292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9">
        <f>IFERROR(SUMIFS(Tabela10[Fod Worth],Tabela10[Drop],DropAnalityka[[#This Row],[Drop]],Tabela10[Grade],DropAnalityka[[#This Row],[Grade]])*DropAnalityka[[#This Row],[Quality/Quantity]],0)</f>
        <v>0</v>
      </c>
      <c r="L675" s="49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293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9">
        <f>IFERROR(SUMIFS(Tabela10[Fod Worth],Tabela10[Drop],DropAnalityka[[#This Row],[Drop]],Tabela10[Grade],DropAnalityka[[#This Row],[Grade]])*DropAnalityka[[#This Row],[Quality/Quantity]],0)</f>
        <v>0</v>
      </c>
      <c r="L676" s="49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274</v>
      </c>
      <c r="G677">
        <v>5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9">
        <f>IFERROR(SUMIFS(Tabela10[Fod Worth],Tabela10[Drop],DropAnalityka[[#This Row],[Drop]],Tabela10[Grade],DropAnalityka[[#This Row],[Grade]])*DropAnalityka[[#This Row],[Quality/Quantity]],0)</f>
        <v>0</v>
      </c>
      <c r="L677" s="49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272</v>
      </c>
      <c r="G678">
        <v>1</v>
      </c>
      <c r="H678" t="s">
        <v>314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9">
        <f>IFERROR(SUMIFS(Tabela10[Fod Worth],Tabela10[Drop],DropAnalityka[[#This Row],[Drop]],Tabela10[Grade],DropAnalityka[[#This Row],[Grade]])*DropAnalityka[[#This Row],[Quality/Quantity]],0)</f>
        <v>0</v>
      </c>
      <c r="L678" s="49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179</v>
      </c>
      <c r="B679" t="s">
        <v>9</v>
      </c>
      <c r="C679">
        <v>8</v>
      </c>
      <c r="D679">
        <v>3681</v>
      </c>
      <c r="E679">
        <v>1</v>
      </c>
      <c r="F679" t="s">
        <v>280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9">
        <f>IFERROR(SUMIFS(Tabela10[Fod Worth],Tabela10[Drop],DropAnalityka[[#This Row],[Drop]],Tabela10[Grade],DropAnalityka[[#This Row],[Grade]])*DropAnalityka[[#This Row],[Quality/Quantity]],0)</f>
        <v>0</v>
      </c>
      <c r="L679" s="49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9">
        <f>IFERROR(SUMIFS(Tabela10[Fod Worth],Tabela10[Drop],DropAnalityka[[#This Row],[Drop]],Tabela10[Grade],DropAnalityka[[#This Row],[Grade]])*DropAnalityka[[#This Row],[Quality/Quantity]],0)</f>
        <v>0</v>
      </c>
      <c r="L680" s="49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9">
        <f>IFERROR(SUMIFS(Tabela10[Fod Worth],Tabela10[Drop],DropAnalityka[[#This Row],[Drop]],Tabela10[Grade],DropAnalityka[[#This Row],[Grade]])*DropAnalityka[[#This Row],[Quality/Quantity]],0)</f>
        <v>0</v>
      </c>
      <c r="L681" s="49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9">
        <f>IFERROR(SUMIFS(Tabela10[Fod Worth],Tabela10[Drop],DropAnalityka[[#This Row],[Drop]],Tabela10[Grade],DropAnalityka[[#This Row],[Grade]])*DropAnalityka[[#This Row],[Quality/Quantity]],0)</f>
        <v>0</v>
      </c>
      <c r="L682" s="49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9">
        <f>IFERROR(SUMIFS(Tabela10[Fod Worth],Tabela10[Drop],DropAnalityka[[#This Row],[Drop]],Tabela10[Grade],DropAnalityka[[#This Row],[Grade]])*DropAnalityka[[#This Row],[Quality/Quantity]],0)</f>
        <v>0</v>
      </c>
      <c r="L683" s="49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9">
        <f>IFERROR(SUMIFS(Tabela10[Fod Worth],Tabela10[Drop],DropAnalityka[[#This Row],[Drop]],Tabela10[Grade],DropAnalityka[[#This Row],[Grade]])*DropAnalityka[[#This Row],[Quality/Quantity]],0)</f>
        <v>0</v>
      </c>
      <c r="L684" s="49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9">
        <f>IFERROR(SUMIFS(Tabela10[Fod Worth],Tabela10[Drop],DropAnalityka[[#This Row],[Drop]],Tabela10[Grade],DropAnalityka[[#This Row],[Grade]])*DropAnalityka[[#This Row],[Quality/Quantity]],0)</f>
        <v>0</v>
      </c>
      <c r="L685" s="49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9">
        <f>IFERROR(SUMIFS(Tabela10[Fod Worth],Tabela10[Drop],DropAnalityka[[#This Row],[Drop]],Tabela10[Grade],DropAnalityka[[#This Row],[Grade]])*DropAnalityka[[#This Row],[Quality/Quantity]],0)</f>
        <v>0</v>
      </c>
      <c r="L686" s="49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9">
        <f>IFERROR(SUMIFS(Tabela10[Fod Worth],Tabela10[Drop],DropAnalityka[[#This Row],[Drop]],Tabela10[Grade],DropAnalityka[[#This Row],[Grade]])*DropAnalityka[[#This Row],[Quality/Quantity]],0)</f>
        <v>0</v>
      </c>
      <c r="L687" s="49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9">
        <f>IFERROR(SUMIFS(Tabela10[Fod Worth],Tabela10[Drop],DropAnalityka[[#This Row],[Drop]],Tabela10[Grade],DropAnalityka[[#This Row],[Grade]])*DropAnalityka[[#This Row],[Quality/Quantity]],0)</f>
        <v>0</v>
      </c>
      <c r="L688" s="49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9">
        <f>IFERROR(SUMIFS(Tabela10[Fod Worth],Tabela10[Drop],DropAnalityka[[#This Row],[Drop]],Tabela10[Grade],DropAnalityka[[#This Row],[Grade]])*DropAnalityka[[#This Row],[Quality/Quantity]],0)</f>
        <v>0</v>
      </c>
      <c r="L689" s="49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274</v>
      </c>
      <c r="G690">
        <v>1</v>
      </c>
      <c r="H690" t="s">
        <v>314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9">
        <f>IFERROR(SUMIFS(Tabela10[Fod Worth],Tabela10[Drop],DropAnalityka[[#This Row],[Drop]],Tabela10[Grade],DropAnalityka[[#This Row],[Grade]])*DropAnalityka[[#This Row],[Quality/Quantity]],0)</f>
        <v>0</v>
      </c>
      <c r="L690" s="49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274</v>
      </c>
      <c r="G691">
        <v>1</v>
      </c>
      <c r="H691" t="s">
        <v>293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9">
        <f>IFERROR(SUMIFS(Tabela10[Fod Worth],Tabela10[Drop],DropAnalityka[[#This Row],[Drop]],Tabela10[Grade],DropAnalityka[[#This Row],[Grade]])*DropAnalityka[[#This Row],[Quality/Quantity]],0)</f>
        <v>0</v>
      </c>
      <c r="L691" s="49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274</v>
      </c>
      <c r="G692">
        <v>1</v>
      </c>
      <c r="H692" t="s">
        <v>314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9">
        <f>IFERROR(SUMIFS(Tabela10[Fod Worth],Tabela10[Drop],DropAnalityka[[#This Row],[Drop]],Tabela10[Grade],DropAnalityka[[#This Row],[Grade]])*DropAnalityka[[#This Row],[Quality/Quantity]],0)</f>
        <v>0</v>
      </c>
      <c r="L692" s="49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272</v>
      </c>
      <c r="G693">
        <v>1</v>
      </c>
      <c r="H693" t="s">
        <v>314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9">
        <f>IFERROR(SUMIFS(Tabela10[Fod Worth],Tabela10[Drop],DropAnalityka[[#This Row],[Drop]],Tabela10[Grade],DropAnalityka[[#This Row],[Grade]])*DropAnalityka[[#This Row],[Quality/Quantity]],0)</f>
        <v>0</v>
      </c>
      <c r="L693" s="49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274</v>
      </c>
      <c r="G694">
        <v>4</v>
      </c>
      <c r="H694" t="s">
        <v>292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9">
        <f>IFERROR(SUMIFS(Tabela10[Fod Worth],Tabela10[Drop],DropAnalityka[[#This Row],[Drop]],Tabela10[Grade],DropAnalityka[[#This Row],[Grade]])*DropAnalityka[[#This Row],[Quality/Quantity]],0)</f>
        <v>0</v>
      </c>
      <c r="L694" s="49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293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9">
        <f>IFERROR(SUMIFS(Tabela10[Fod Worth],Tabela10[Drop],DropAnalityka[[#This Row],[Drop]],Tabela10[Grade],DropAnalityka[[#This Row],[Grade]])*DropAnalityka[[#This Row],[Quality/Quantity]],0)</f>
        <v>0</v>
      </c>
      <c r="L695" s="49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274</v>
      </c>
      <c r="G696">
        <v>1</v>
      </c>
      <c r="H696" t="s">
        <v>314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9">
        <f>IFERROR(SUMIFS(Tabela10[Fod Worth],Tabela10[Drop],DropAnalityka[[#This Row],[Drop]],Tabela10[Grade],DropAnalityka[[#This Row],[Grade]])*DropAnalityka[[#This Row],[Quality/Quantity]],0)</f>
        <v>0</v>
      </c>
      <c r="L696" s="49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274</v>
      </c>
      <c r="G697">
        <v>5</v>
      </c>
      <c r="H697" t="s">
        <v>292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9">
        <f>IFERROR(SUMIFS(Tabela10[Fod Worth],Tabela10[Drop],DropAnalityka[[#This Row],[Drop]],Tabela10[Grade],DropAnalityka[[#This Row],[Grade]])*DropAnalityka[[#This Row],[Quality/Quantity]],0)</f>
        <v>0</v>
      </c>
      <c r="L697" s="49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274</v>
      </c>
      <c r="G698">
        <v>1</v>
      </c>
      <c r="H698" t="s">
        <v>293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9">
        <f>IFERROR(SUMIFS(Tabela10[Fod Worth],Tabela10[Drop],DropAnalityka[[#This Row],[Drop]],Tabela10[Grade],DropAnalityka[[#This Row],[Grade]])*DropAnalityka[[#This Row],[Quality/Quantity]],0)</f>
        <v>0</v>
      </c>
      <c r="L698" s="49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274</v>
      </c>
      <c r="G699">
        <v>3</v>
      </c>
      <c r="H699" t="s">
        <v>292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9">
        <f>IFERROR(SUMIFS(Tabela10[Fod Worth],Tabela10[Drop],DropAnalityka[[#This Row],[Drop]],Tabela10[Grade],DropAnalityka[[#This Row],[Grade]])*DropAnalityka[[#This Row],[Quality/Quantity]],0)</f>
        <v>0</v>
      </c>
      <c r="L699" s="49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9">
        <f>IFERROR(SUMIFS(Tabela10[Fod Worth],Tabela10[Drop],DropAnalityka[[#This Row],[Drop]],Tabela10[Grade],DropAnalityka[[#This Row],[Grade]])*DropAnalityka[[#This Row],[Quality/Quantity]],0)</f>
        <v>0</v>
      </c>
      <c r="L700" s="49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274</v>
      </c>
      <c r="G701">
        <v>5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9">
        <f>IFERROR(SUMIFS(Tabela10[Fod Worth],Tabela10[Drop],DropAnalityka[[#This Row],[Drop]],Tabela10[Grade],DropAnalityka[[#This Row],[Grade]])*DropAnalityka[[#This Row],[Quality/Quantity]],0)</f>
        <v>0</v>
      </c>
      <c r="L701" s="49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274</v>
      </c>
      <c r="G702">
        <v>1</v>
      </c>
      <c r="H702" t="s">
        <v>314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9">
        <f>IFERROR(SUMIFS(Tabela10[Fod Worth],Tabela10[Drop],DropAnalityka[[#This Row],[Drop]],Tabela10[Grade],DropAnalityka[[#This Row],[Grade]])*DropAnalityka[[#This Row],[Quality/Quantity]],0)</f>
        <v>0</v>
      </c>
      <c r="L702" s="49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274</v>
      </c>
      <c r="G703">
        <v>1</v>
      </c>
      <c r="H703" t="s">
        <v>293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9">
        <f>IFERROR(SUMIFS(Tabela10[Fod Worth],Tabela10[Drop],DropAnalityka[[#This Row],[Drop]],Tabela10[Grade],DropAnalityka[[#This Row],[Grade]])*DropAnalityka[[#This Row],[Quality/Quantity]],0)</f>
        <v>0</v>
      </c>
      <c r="L703" s="49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274</v>
      </c>
      <c r="G704">
        <v>1</v>
      </c>
      <c r="H704" t="s">
        <v>314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9">
        <f>IFERROR(SUMIFS(Tabela10[Fod Worth],Tabela10[Drop],DropAnalityka[[#This Row],[Drop]],Tabela10[Grade],DropAnalityka[[#This Row],[Grade]])*DropAnalityka[[#This Row],[Quality/Quantity]],0)</f>
        <v>0</v>
      </c>
      <c r="L704" s="49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9">
        <f>IFERROR(SUMIFS(Tabela10[Fod Worth],Tabela10[Drop],DropAnalityka[[#This Row],[Drop]],Tabela10[Grade],DropAnalityka[[#This Row],[Grade]])*DropAnalityka[[#This Row],[Quality/Quantity]],0)</f>
        <v>0</v>
      </c>
      <c r="L705" s="49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274</v>
      </c>
      <c r="G706">
        <v>3</v>
      </c>
      <c r="H706" t="s">
        <v>292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9">
        <f>IFERROR(SUMIFS(Tabela10[Fod Worth],Tabela10[Drop],DropAnalityka[[#This Row],[Drop]],Tabela10[Grade],DropAnalityka[[#This Row],[Grade]])*DropAnalityka[[#This Row],[Quality/Quantity]],0)</f>
        <v>0</v>
      </c>
      <c r="L706" s="49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274</v>
      </c>
      <c r="G707">
        <v>4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9">
        <f>IFERROR(SUMIFS(Tabela10[Fod Worth],Tabela10[Drop],DropAnalityka[[#This Row],[Drop]],Tabela10[Grade],DropAnalityka[[#This Row],[Grade]])*DropAnalityka[[#This Row],[Quality/Quantity]],0)</f>
        <v>0</v>
      </c>
      <c r="L707" s="49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180</v>
      </c>
      <c r="B708" t="s">
        <v>9</v>
      </c>
      <c r="C708">
        <v>7</v>
      </c>
      <c r="D708">
        <v>2217</v>
      </c>
      <c r="E708">
        <v>0</v>
      </c>
      <c r="F708" t="s">
        <v>273</v>
      </c>
      <c r="G708">
        <v>2</v>
      </c>
      <c r="H708" t="s">
        <v>314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9">
        <f>IFERROR(SUMIFS(Tabela10[Fod Worth],Tabela10[Drop],DropAnalityka[[#This Row],[Drop]],Tabela10[Grade],DropAnalityka[[#This Row],[Grade]])*DropAnalityka[[#This Row],[Quality/Quantity]],0)</f>
        <v>0</v>
      </c>
      <c r="L708" s="49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180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9">
        <f>IFERROR(SUMIFS(Tabela10[Fod Worth],Tabela10[Drop],DropAnalityka[[#This Row],[Drop]],Tabela10[Grade],DropAnalityka[[#This Row],[Grade]])*DropAnalityka[[#This Row],[Quality/Quantity]],0)</f>
        <v>0</v>
      </c>
      <c r="L709" s="49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180</v>
      </c>
      <c r="B710" t="s">
        <v>9</v>
      </c>
      <c r="C710">
        <v>8</v>
      </c>
      <c r="D710">
        <v>2286</v>
      </c>
      <c r="E710">
        <v>0</v>
      </c>
      <c r="F710" t="s">
        <v>273</v>
      </c>
      <c r="G710">
        <v>2</v>
      </c>
      <c r="H710" t="s">
        <v>314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9">
        <f>IFERROR(SUMIFS(Tabela10[Fod Worth],Tabela10[Drop],DropAnalityka[[#This Row],[Drop]],Tabela10[Grade],DropAnalityka[[#This Row],[Grade]])*DropAnalityka[[#This Row],[Quality/Quantity]],0)</f>
        <v>0</v>
      </c>
      <c r="L710" s="49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180</v>
      </c>
      <c r="B711" t="s">
        <v>9</v>
      </c>
      <c r="C711">
        <v>8</v>
      </c>
      <c r="D711">
        <v>2828</v>
      </c>
      <c r="E711">
        <v>0</v>
      </c>
      <c r="F711" t="s">
        <v>273</v>
      </c>
      <c r="G711">
        <v>1</v>
      </c>
      <c r="H711" t="s">
        <v>314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9">
        <f>IFERROR(SUMIFS(Tabela10[Fod Worth],Tabela10[Drop],DropAnalityka[[#This Row],[Drop]],Tabela10[Grade],DropAnalityka[[#This Row],[Grade]])*DropAnalityka[[#This Row],[Quality/Quantity]],0)</f>
        <v>0</v>
      </c>
      <c r="L711" s="49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180</v>
      </c>
      <c r="B712" t="s">
        <v>9</v>
      </c>
      <c r="C712">
        <v>9</v>
      </c>
      <c r="D712">
        <v>2917</v>
      </c>
      <c r="E712">
        <v>2</v>
      </c>
      <c r="F712" t="s">
        <v>273</v>
      </c>
      <c r="G712">
        <v>3</v>
      </c>
      <c r="H712" t="s">
        <v>314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9">
        <f>IFERROR(SUMIFS(Tabela10[Fod Worth],Tabela10[Drop],DropAnalityka[[#This Row],[Drop]],Tabela10[Grade],DropAnalityka[[#This Row],[Grade]])*DropAnalityka[[#This Row],[Quality/Quantity]],0)</f>
        <v>0</v>
      </c>
      <c r="L712" s="49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180</v>
      </c>
      <c r="B713" t="s">
        <v>9</v>
      </c>
      <c r="C713">
        <v>10</v>
      </c>
      <c r="D713">
        <v>2771</v>
      </c>
      <c r="E713">
        <v>0</v>
      </c>
      <c r="F713" t="s">
        <v>273</v>
      </c>
      <c r="G713">
        <v>1</v>
      </c>
      <c r="H713" t="s">
        <v>314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9">
        <f>IFERROR(SUMIFS(Tabela10[Fod Worth],Tabela10[Drop],DropAnalityka[[#This Row],[Drop]],Tabela10[Grade],DropAnalityka[[#This Row],[Grade]])*DropAnalityka[[#This Row],[Quality/Quantity]],0)</f>
        <v>0</v>
      </c>
      <c r="L713" s="49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180</v>
      </c>
      <c r="B714" t="s">
        <v>9</v>
      </c>
      <c r="C714">
        <v>10</v>
      </c>
      <c r="D714">
        <v>3158</v>
      </c>
      <c r="E714">
        <v>1</v>
      </c>
      <c r="F714" t="s">
        <v>273</v>
      </c>
      <c r="G714">
        <v>3</v>
      </c>
      <c r="H714" t="s">
        <v>293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9">
        <f>IFERROR(SUMIFS(Tabela10[Fod Worth],Tabela10[Drop],DropAnalityka[[#This Row],[Drop]],Tabela10[Grade],DropAnalityka[[#This Row],[Grade]])*DropAnalityka[[#This Row],[Quality/Quantity]],0)</f>
        <v>0</v>
      </c>
      <c r="L714" s="49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180</v>
      </c>
      <c r="B715" t="s">
        <v>9</v>
      </c>
      <c r="C715">
        <v>10</v>
      </c>
      <c r="D715">
        <v>3080</v>
      </c>
      <c r="E715">
        <v>0</v>
      </c>
      <c r="F715" t="s">
        <v>273</v>
      </c>
      <c r="G715">
        <v>5</v>
      </c>
      <c r="H715" t="s">
        <v>292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9">
        <f>IFERROR(SUMIFS(Tabela10[Fod Worth],Tabela10[Drop],DropAnalityka[[#This Row],[Drop]],Tabela10[Grade],DropAnalityka[[#This Row],[Grade]])*DropAnalityka[[#This Row],[Quality/Quantity]],0)</f>
        <v>0</v>
      </c>
      <c r="L715" s="49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180</v>
      </c>
      <c r="B716" t="s">
        <v>9</v>
      </c>
      <c r="C716">
        <v>10</v>
      </c>
      <c r="D716">
        <v>3091</v>
      </c>
      <c r="E716">
        <v>2</v>
      </c>
      <c r="F716" t="s">
        <v>273</v>
      </c>
      <c r="G716">
        <v>5</v>
      </c>
      <c r="H716" t="s">
        <v>292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9">
        <f>IFERROR(SUMIFS(Tabela10[Fod Worth],Tabela10[Drop],DropAnalityka[[#This Row],[Drop]],Tabela10[Grade],DropAnalityka[[#This Row],[Grade]])*DropAnalityka[[#This Row],[Quality/Quantity]],0)</f>
        <v>0</v>
      </c>
      <c r="L716" s="49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274</v>
      </c>
      <c r="G717">
        <v>2</v>
      </c>
      <c r="H717" t="s">
        <v>293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9">
        <f>IFERROR(SUMIFS(Tabela10[Fod Worth],Tabela10[Drop],DropAnalityka[[#This Row],[Drop]],Tabela10[Grade],DropAnalityka[[#This Row],[Grade]])*DropAnalityka[[#This Row],[Quality/Quantity]],0)</f>
        <v>0</v>
      </c>
      <c r="L717" s="49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274</v>
      </c>
      <c r="G718">
        <v>1</v>
      </c>
      <c r="H718" t="s">
        <v>314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9">
        <f>IFERROR(SUMIFS(Tabela10[Fod Worth],Tabela10[Drop],DropAnalityka[[#This Row],[Drop]],Tabela10[Grade],DropAnalityka[[#This Row],[Grade]])*DropAnalityka[[#This Row],[Quality/Quantity]],0)</f>
        <v>0</v>
      </c>
      <c r="L718" s="49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274</v>
      </c>
      <c r="G719">
        <v>5</v>
      </c>
      <c r="H719" t="s">
        <v>292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9">
        <f>IFERROR(SUMIFS(Tabela10[Fod Worth],Tabela10[Drop],DropAnalityka[[#This Row],[Drop]],Tabela10[Grade],DropAnalityka[[#This Row],[Grade]])*DropAnalityka[[#This Row],[Quality/Quantity]],0)</f>
        <v>0</v>
      </c>
      <c r="L719" s="49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274</v>
      </c>
      <c r="G720">
        <v>5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9">
        <f>IFERROR(SUMIFS(Tabela10[Fod Worth],Tabela10[Drop],DropAnalityka[[#This Row],[Drop]],Tabela10[Grade],DropAnalityka[[#This Row],[Grade]])*DropAnalityka[[#This Row],[Quality/Quantity]],0)</f>
        <v>0</v>
      </c>
      <c r="L720" s="49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274</v>
      </c>
      <c r="G721">
        <v>1</v>
      </c>
      <c r="H721" t="s">
        <v>314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9">
        <f>IFERROR(SUMIFS(Tabela10[Fod Worth],Tabela10[Drop],DropAnalityka[[#This Row],[Drop]],Tabela10[Grade],DropAnalityka[[#This Row],[Grade]])*DropAnalityka[[#This Row],[Quality/Quantity]],0)</f>
        <v>0</v>
      </c>
      <c r="L721" s="49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274</v>
      </c>
      <c r="G722">
        <v>5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9">
        <f>IFERROR(SUMIFS(Tabela10[Fod Worth],Tabela10[Drop],DropAnalityka[[#This Row],[Drop]],Tabela10[Grade],DropAnalityka[[#This Row],[Grade]])*DropAnalityka[[#This Row],[Quality/Quantity]],0)</f>
        <v>0</v>
      </c>
      <c r="L722" s="49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274</v>
      </c>
      <c r="G723">
        <v>2</v>
      </c>
      <c r="H723" t="s">
        <v>314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9">
        <f>IFERROR(SUMIFS(Tabela10[Fod Worth],Tabela10[Drop],DropAnalityka[[#This Row],[Drop]],Tabela10[Grade],DropAnalityka[[#This Row],[Grade]])*DropAnalityka[[#This Row],[Quality/Quantity]],0)</f>
        <v>0</v>
      </c>
      <c r="L723" s="49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274</v>
      </c>
      <c r="G724">
        <v>3</v>
      </c>
      <c r="H724" t="s">
        <v>292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9">
        <f>IFERROR(SUMIFS(Tabela10[Fod Worth],Tabela10[Drop],DropAnalityka[[#This Row],[Drop]],Tabela10[Grade],DropAnalityka[[#This Row],[Grade]])*DropAnalityka[[#This Row],[Quality/Quantity]],0)</f>
        <v>0</v>
      </c>
      <c r="L724" s="49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9">
        <f>IFERROR(SUMIFS(Tabela10[Fod Worth],Tabela10[Drop],DropAnalityka[[#This Row],[Drop]],Tabela10[Grade],DropAnalityka[[#This Row],[Grade]])*DropAnalityka[[#This Row],[Quality/Quantity]],0)</f>
        <v>11500</v>
      </c>
      <c r="L725" s="49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179</v>
      </c>
      <c r="B726" t="s">
        <v>9</v>
      </c>
      <c r="C726">
        <v>8</v>
      </c>
      <c r="D726">
        <v>3502</v>
      </c>
      <c r="E726">
        <v>1</v>
      </c>
      <c r="F726" t="s">
        <v>280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9">
        <f>IFERROR(SUMIFS(Tabela10[Fod Worth],Tabela10[Drop],DropAnalityka[[#This Row],[Drop]],Tabela10[Grade],DropAnalityka[[#This Row],[Grade]])*DropAnalityka[[#This Row],[Quality/Quantity]],0)</f>
        <v>0</v>
      </c>
      <c r="L726" s="49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9">
        <f>IFERROR(SUMIFS(Tabela10[Fod Worth],Tabela10[Drop],DropAnalityka[[#This Row],[Drop]],Tabela10[Grade],DropAnalityka[[#This Row],[Grade]])*DropAnalityka[[#This Row],[Quality/Quantity]],0)</f>
        <v>0</v>
      </c>
      <c r="L727" s="49">
        <f>IFERROR(SUMIFS(Tabela10[Exp Gain only 2*+],Tabela10[Drop],DropAnalityka[[#This Row],[Drop]],Tabela10[Grade],DropAnalityka[[#This Row],[Grade]])*DropAnalityka[[#This Row],[Quality/Quantity]],0)</f>
        <v>0</v>
      </c>
      <c r="M727" t="s">
        <v>214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274</v>
      </c>
      <c r="G728">
        <v>1</v>
      </c>
      <c r="H728" t="s">
        <v>293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9">
        <f>IFERROR(SUMIFS(Tabela10[Fod Worth],Tabela10[Drop],DropAnalityka[[#This Row],[Drop]],Tabela10[Grade],DropAnalityka[[#This Row],[Grade]])*DropAnalityka[[#This Row],[Quality/Quantity]],0)</f>
        <v>0</v>
      </c>
      <c r="L728" s="49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9">
        <f>IFERROR(SUMIFS(Tabela10[Fod Worth],Tabela10[Drop],DropAnalityka[[#This Row],[Drop]],Tabela10[Grade],DropAnalityka[[#This Row],[Grade]])*DropAnalityka[[#This Row],[Quality/Quantity]],0)</f>
        <v>11500</v>
      </c>
      <c r="L729" s="49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274</v>
      </c>
      <c r="G730">
        <v>3</v>
      </c>
      <c r="H730" t="s">
        <v>314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9">
        <f>IFERROR(SUMIFS(Tabela10[Fod Worth],Tabela10[Drop],DropAnalityka[[#This Row],[Drop]],Tabela10[Grade],DropAnalityka[[#This Row],[Grade]])*DropAnalityka[[#This Row],[Quality/Quantity]],0)</f>
        <v>0</v>
      </c>
      <c r="L730" s="49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271</v>
      </c>
      <c r="G731">
        <v>2</v>
      </c>
      <c r="H731" t="s">
        <v>314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9">
        <f>IFERROR(SUMIFS(Tabela10[Fod Worth],Tabela10[Drop],DropAnalityka[[#This Row],[Drop]],Tabela10[Grade],DropAnalityka[[#This Row],[Grade]])*DropAnalityka[[#This Row],[Quality/Quantity]],0)</f>
        <v>0</v>
      </c>
      <c r="L731" s="49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271</v>
      </c>
      <c r="G732">
        <v>4</v>
      </c>
      <c r="H732" t="s">
        <v>292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9">
        <f>IFERROR(SUMIFS(Tabela10[Fod Worth],Tabela10[Drop],DropAnalityka[[#This Row],[Drop]],Tabela10[Grade],DropAnalityka[[#This Row],[Grade]])*DropAnalityka[[#This Row],[Quality/Quantity]],0)</f>
        <v>0</v>
      </c>
      <c r="L732" s="49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274</v>
      </c>
      <c r="G733">
        <v>1</v>
      </c>
      <c r="H733" t="s">
        <v>293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9">
        <f>IFERROR(SUMIFS(Tabela10[Fod Worth],Tabela10[Drop],DropAnalityka[[#This Row],[Drop]],Tabela10[Grade],DropAnalityka[[#This Row],[Grade]])*DropAnalityka[[#This Row],[Quality/Quantity]],0)</f>
        <v>0</v>
      </c>
      <c r="L733" s="49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9">
        <f>IFERROR(SUMIFS(Tabela10[Fod Worth],Tabela10[Drop],DropAnalityka[[#This Row],[Drop]],Tabela10[Grade],DropAnalityka[[#This Row],[Grade]])*DropAnalityka[[#This Row],[Quality/Quantity]],0)</f>
        <v>34500</v>
      </c>
      <c r="L734" s="49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9">
        <f>IFERROR(SUMIFS(Tabela10[Fod Worth],Tabela10[Drop],DropAnalityka[[#This Row],[Drop]],Tabela10[Grade],DropAnalityka[[#This Row],[Grade]])*DropAnalityka[[#This Row],[Quality/Quantity]],0)</f>
        <v>0</v>
      </c>
      <c r="L735" s="49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9">
        <f>IFERROR(SUMIFS(Tabela10[Fod Worth],Tabela10[Drop],DropAnalityka[[#This Row],[Drop]],Tabela10[Grade],DropAnalityka[[#This Row],[Grade]])*DropAnalityka[[#This Row],[Quality/Quantity]],0)</f>
        <v>0</v>
      </c>
      <c r="L736" s="49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9">
        <f>IFERROR(SUMIFS(Tabela10[Fod Worth],Tabela10[Drop],DropAnalityka[[#This Row],[Drop]],Tabela10[Grade],DropAnalityka[[#This Row],[Grade]])*DropAnalityka[[#This Row],[Quality/Quantity]],0)</f>
        <v>0</v>
      </c>
      <c r="L737" s="49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9">
        <f>IFERROR(SUMIFS(Tabela10[Fod Worth],Tabela10[Drop],DropAnalityka[[#This Row],[Drop]],Tabela10[Grade],DropAnalityka[[#This Row],[Grade]])*DropAnalityka[[#This Row],[Quality/Quantity]],0)</f>
        <v>0</v>
      </c>
      <c r="L738" s="49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9">
        <f>IFERROR(SUMIFS(Tabela10[Fod Worth],Tabela10[Drop],DropAnalityka[[#This Row],[Drop]],Tabela10[Grade],DropAnalityka[[#This Row],[Grade]])*DropAnalityka[[#This Row],[Quality/Quantity]],0)</f>
        <v>0</v>
      </c>
      <c r="L739" s="49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9">
        <f>IFERROR(SUMIFS(Tabela10[Fod Worth],Tabela10[Drop],DropAnalityka[[#This Row],[Drop]],Tabela10[Grade],DropAnalityka[[#This Row],[Grade]])*DropAnalityka[[#This Row],[Quality/Quantity]],0)</f>
        <v>0</v>
      </c>
      <c r="L740" s="49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9">
        <f>IFERROR(SUMIFS(Tabela10[Fod Worth],Tabela10[Drop],DropAnalityka[[#This Row],[Drop]],Tabela10[Grade],DropAnalityka[[#This Row],[Grade]])*DropAnalityka[[#This Row],[Quality/Quantity]],0)</f>
        <v>0</v>
      </c>
      <c r="L741" s="49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9">
        <f>IFERROR(SUMIFS(Tabela10[Fod Worth],Tabela10[Drop],DropAnalityka[[#This Row],[Drop]],Tabela10[Grade],DropAnalityka[[#This Row],[Grade]])*DropAnalityka[[#This Row],[Quality/Quantity]],0)</f>
        <v>0</v>
      </c>
      <c r="L742" s="49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9">
        <f>IFERROR(SUMIFS(Tabela10[Fod Worth],Tabela10[Drop],DropAnalityka[[#This Row],[Drop]],Tabela10[Grade],DropAnalityka[[#This Row],[Grade]])*DropAnalityka[[#This Row],[Quality/Quantity]],0)</f>
        <v>0</v>
      </c>
      <c r="L743" s="49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9">
        <f>IFERROR(SUMIFS(Tabela10[Fod Worth],Tabela10[Drop],DropAnalityka[[#This Row],[Drop]],Tabela10[Grade],DropAnalityka[[#This Row],[Grade]])*DropAnalityka[[#This Row],[Quality/Quantity]],0)</f>
        <v>0</v>
      </c>
      <c r="L744" s="49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9">
        <f>IFERROR(SUMIFS(Tabela10[Fod Worth],Tabela10[Drop],DropAnalityka[[#This Row],[Drop]],Tabela10[Grade],DropAnalityka[[#This Row],[Grade]])*DropAnalityka[[#This Row],[Quality/Quantity]],0)</f>
        <v>11500</v>
      </c>
      <c r="L745" s="49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9">
        <f>IFERROR(SUMIFS(Tabela10[Fod Worth],Tabela10[Drop],DropAnalityka[[#This Row],[Drop]],Tabela10[Grade],DropAnalityka[[#This Row],[Grade]])*DropAnalityka[[#This Row],[Quality/Quantity]],0)</f>
        <v>11500</v>
      </c>
      <c r="L746" s="49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9">
        <f>IFERROR(SUMIFS(Tabela10[Fod Worth],Tabela10[Drop],DropAnalityka[[#This Row],[Drop]],Tabela10[Grade],DropAnalityka[[#This Row],[Grade]])*DropAnalityka[[#This Row],[Quality/Quantity]],0)</f>
        <v>0</v>
      </c>
      <c r="L747" s="49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9">
        <f>IFERROR(SUMIFS(Tabela10[Fod Worth],Tabela10[Drop],DropAnalityka[[#This Row],[Drop]],Tabela10[Grade],DropAnalityka[[#This Row],[Grade]])*DropAnalityka[[#This Row],[Quality/Quantity]],0)</f>
        <v>0</v>
      </c>
      <c r="L748" s="49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9">
        <f>IFERROR(SUMIFS(Tabela10[Fod Worth],Tabela10[Drop],DropAnalityka[[#This Row],[Drop]],Tabela10[Grade],DropAnalityka[[#This Row],[Grade]])*DropAnalityka[[#This Row],[Quality/Quantity]],0)</f>
        <v>0</v>
      </c>
      <c r="L749" s="49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9">
        <f>IFERROR(SUMIFS(Tabela10[Fod Worth],Tabela10[Drop],DropAnalityka[[#This Row],[Drop]],Tabela10[Grade],DropAnalityka[[#This Row],[Grade]])*DropAnalityka[[#This Row],[Quality/Quantity]],0)</f>
        <v>0</v>
      </c>
      <c r="L750" s="49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9">
        <f>IFERROR(SUMIFS(Tabela10[Fod Worth],Tabela10[Drop],DropAnalityka[[#This Row],[Drop]],Tabela10[Grade],DropAnalityka[[#This Row],[Grade]])*DropAnalityka[[#This Row],[Quality/Quantity]],0)</f>
        <v>0</v>
      </c>
      <c r="L751" s="49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7">
        <f>IFERROR(SUMIFS(Tabela10[Fod Worth],Tabela10[Drop],DropAnalityka[[#This Row],[Drop]],Tabela10[Grade],DropAnalityka[[#This Row],[Grade]])*DropAnalityka[[#This Row],[Quality/Quantity]],0)</f>
        <v>0</v>
      </c>
      <c r="L752" s="87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9">
        <f>IFERROR(SUMIFS(Tabela10[Fod Worth],Tabela10[Drop],DropAnalityka[[#This Row],[Drop]],Tabela10[Grade],DropAnalityka[[#This Row],[Grade]])*DropAnalityka[[#This Row],[Quality/Quantity]],0)</f>
        <v>0</v>
      </c>
      <c r="L753" s="49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9">
        <f>IFERROR(SUMIFS(Tabela10[Fod Worth],Tabela10[Drop],DropAnalityka[[#This Row],[Drop]],Tabela10[Grade],DropAnalityka[[#This Row],[Grade]])*DropAnalityka[[#This Row],[Quality/Quantity]],0)</f>
        <v>0</v>
      </c>
      <c r="L754" s="49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179</v>
      </c>
      <c r="B755" t="s">
        <v>9</v>
      </c>
      <c r="C755">
        <v>8</v>
      </c>
      <c r="D755">
        <v>3665</v>
      </c>
      <c r="E755">
        <v>1</v>
      </c>
      <c r="F755" t="s">
        <v>280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9">
        <f>IFERROR(SUMIFS(Tabela10[Fod Worth],Tabela10[Drop],DropAnalityka[[#This Row],[Drop]],Tabela10[Grade],DropAnalityka[[#This Row],[Grade]])*DropAnalityka[[#This Row],[Quality/Quantity]],0)</f>
        <v>0</v>
      </c>
      <c r="L755" s="49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274</v>
      </c>
      <c r="G756">
        <v>1</v>
      </c>
      <c r="H756" t="s">
        <v>314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9">
        <f>IFERROR(SUMIFS(Tabela10[Fod Worth],Tabela10[Drop],DropAnalityka[[#This Row],[Drop]],Tabela10[Grade],DropAnalityka[[#This Row],[Grade]])*DropAnalityka[[#This Row],[Quality/Quantity]],0)</f>
        <v>0</v>
      </c>
      <c r="L756" s="49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274</v>
      </c>
      <c r="G757">
        <v>2</v>
      </c>
      <c r="H757" t="s">
        <v>314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9">
        <f>IFERROR(SUMIFS(Tabela10[Fod Worth],Tabela10[Drop],DropAnalityka[[#This Row],[Drop]],Tabela10[Grade],DropAnalityka[[#This Row],[Grade]])*DropAnalityka[[#This Row],[Quality/Quantity]],0)</f>
        <v>0</v>
      </c>
      <c r="L757" s="49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274</v>
      </c>
      <c r="G758">
        <v>4</v>
      </c>
      <c r="H758" t="s">
        <v>292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9">
        <f>IFERROR(SUMIFS(Tabela10[Fod Worth],Tabela10[Drop],DropAnalityka[[#This Row],[Drop]],Tabela10[Grade],DropAnalityka[[#This Row],[Grade]])*DropAnalityka[[#This Row],[Quality/Quantity]],0)</f>
        <v>0</v>
      </c>
      <c r="L758" s="49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274</v>
      </c>
      <c r="G759">
        <v>1</v>
      </c>
      <c r="H759" t="s">
        <v>293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9">
        <f>IFERROR(SUMIFS(Tabela10[Fod Worth],Tabela10[Drop],DropAnalityka[[#This Row],[Drop]],Tabela10[Grade],DropAnalityka[[#This Row],[Grade]])*DropAnalityka[[#This Row],[Quality/Quantity]],0)</f>
        <v>0</v>
      </c>
      <c r="L759" s="49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9">
        <f>IFERROR(SUMIFS(Tabela10[Fod Worth],Tabela10[Drop],DropAnalityka[[#This Row],[Drop]],Tabela10[Grade],DropAnalityka[[#This Row],[Grade]])*DropAnalityka[[#This Row],[Quality/Quantity]],0)</f>
        <v>0</v>
      </c>
      <c r="L760" s="49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284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9">
        <f>IFERROR(SUMIFS(Tabela10[Fod Worth],Tabela10[Drop],DropAnalityka[[#This Row],[Drop]],Tabela10[Grade],DropAnalityka[[#This Row],[Grade]])*DropAnalityka[[#This Row],[Quality/Quantity]],0)</f>
        <v>0</v>
      </c>
      <c r="L761" s="49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284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9">
        <f>IFERROR(SUMIFS(Tabela10[Fod Worth],Tabela10[Drop],DropAnalityka[[#This Row],[Drop]],Tabela10[Grade],DropAnalityka[[#This Row],[Grade]])*DropAnalityka[[#This Row],[Quality/Quantity]],0)</f>
        <v>0</v>
      </c>
      <c r="L762" s="49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284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314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9">
        <f>IFERROR(SUMIFS(Tabela10[Fod Worth],Tabela10[Drop],DropAnalityka[[#This Row],[Drop]],Tabela10[Grade],DropAnalityka[[#This Row],[Grade]])*DropAnalityka[[#This Row],[Quality/Quantity]],0)</f>
        <v>0</v>
      </c>
      <c r="L763" s="49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284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9">
        <f>IFERROR(SUMIFS(Tabela10[Fod Worth],Tabela10[Drop],DropAnalityka[[#This Row],[Drop]],Tabela10[Grade],DropAnalityka[[#This Row],[Grade]])*DropAnalityka[[#This Row],[Quality/Quantity]],0)</f>
        <v>0</v>
      </c>
      <c r="L764" s="49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284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9">
        <f>IFERROR(SUMIFS(Tabela10[Fod Worth],Tabela10[Drop],DropAnalityka[[#This Row],[Drop]],Tabela10[Grade],DropAnalityka[[#This Row],[Grade]])*DropAnalityka[[#This Row],[Quality/Quantity]],0)</f>
        <v>11500</v>
      </c>
      <c r="L765" s="49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284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314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9">
        <f>IFERROR(SUMIFS(Tabela10[Fod Worth],Tabela10[Drop],DropAnalityka[[#This Row],[Drop]],Tabela10[Grade],DropAnalityka[[#This Row],[Grade]])*DropAnalityka[[#This Row],[Quality/Quantity]],0)</f>
        <v>0</v>
      </c>
      <c r="L766" s="49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284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9">
        <f>IFERROR(SUMIFS(Tabela10[Fod Worth],Tabela10[Drop],DropAnalityka[[#This Row],[Drop]],Tabela10[Grade],DropAnalityka[[#This Row],[Grade]])*DropAnalityka[[#This Row],[Quality/Quantity]],0)</f>
        <v>0</v>
      </c>
      <c r="L767" s="49">
        <f>IFERROR(SUMIFS(Tabela10[Exp Gain only 2*+],Tabela10[Drop],DropAnalityka[[#This Row],[Drop]],Tabela10[Grade],DropAnalityka[[#This Row],[Grade]])*DropAnalityka[[#This Row],[Quality/Quantity]],0)</f>
        <v>0</v>
      </c>
      <c r="M767" t="s">
        <v>214</v>
      </c>
    </row>
    <row r="768" spans="1:13">
      <c r="A768" t="s">
        <v>284</v>
      </c>
      <c r="B768" t="s">
        <v>9</v>
      </c>
      <c r="C768">
        <v>9</v>
      </c>
      <c r="D768">
        <v>2875</v>
      </c>
      <c r="E768">
        <v>0</v>
      </c>
      <c r="F768" t="s">
        <v>216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9">
        <f>IFERROR(SUMIFS(Tabela10[Fod Worth],Tabela10[Drop],DropAnalityka[[#This Row],[Drop]],Tabela10[Grade],DropAnalityka[[#This Row],[Grade]])*DropAnalityka[[#This Row],[Quality/Quantity]],0)</f>
        <v>0</v>
      </c>
      <c r="L768" s="49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284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293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9">
        <f>IFERROR(SUMIFS(Tabela10[Fod Worth],Tabela10[Drop],DropAnalityka[[#This Row],[Drop]],Tabela10[Grade],DropAnalityka[[#This Row],[Grade]])*DropAnalityka[[#This Row],[Quality/Quantity]],0)</f>
        <v>0</v>
      </c>
      <c r="L769" s="49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284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314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9">
        <f>IFERROR(SUMIFS(Tabela10[Fod Worth],Tabela10[Drop],DropAnalityka[[#This Row],[Drop]],Tabela10[Grade],DropAnalityka[[#This Row],[Grade]])*DropAnalityka[[#This Row],[Quality/Quantity]],0)</f>
        <v>0</v>
      </c>
      <c r="L770" s="49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284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314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9">
        <f>IFERROR(SUMIFS(Tabela10[Fod Worth],Tabela10[Drop],DropAnalityka[[#This Row],[Drop]],Tabela10[Grade],DropAnalityka[[#This Row],[Grade]])*DropAnalityka[[#This Row],[Quality/Quantity]],0)</f>
        <v>0</v>
      </c>
      <c r="L771" s="49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284</v>
      </c>
      <c r="B772" t="s">
        <v>9</v>
      </c>
      <c r="C772">
        <v>9</v>
      </c>
      <c r="D772">
        <v>2758</v>
      </c>
      <c r="E772">
        <v>0</v>
      </c>
      <c r="F772" t="s">
        <v>286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9">
        <f>IFERROR(SUMIFS(Tabela10[Fod Worth],Tabela10[Drop],DropAnalityka[[#This Row],[Drop]],Tabela10[Grade],DropAnalityka[[#This Row],[Grade]])*DropAnalityka[[#This Row],[Quality/Quantity]],0)</f>
        <v>0</v>
      </c>
      <c r="L772" s="49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284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314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9">
        <f>IFERROR(SUMIFS(Tabela10[Fod Worth],Tabela10[Drop],DropAnalityka[[#This Row],[Drop]],Tabela10[Grade],DropAnalityka[[#This Row],[Grade]])*DropAnalityka[[#This Row],[Quality/Quantity]],0)</f>
        <v>0</v>
      </c>
      <c r="L773" s="49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284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314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9">
        <f>IFERROR(SUMIFS(Tabela10[Fod Worth],Tabela10[Drop],DropAnalityka[[#This Row],[Drop]],Tabela10[Grade],DropAnalityka[[#This Row],[Grade]])*DropAnalityka[[#This Row],[Quality/Quantity]],0)</f>
        <v>0</v>
      </c>
      <c r="L774" s="49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284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293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9">
        <f>IFERROR(SUMIFS(Tabela10[Fod Worth],Tabela10[Drop],DropAnalityka[[#This Row],[Drop]],Tabela10[Grade],DropAnalityka[[#This Row],[Grade]])*DropAnalityka[[#This Row],[Quality/Quantity]],0)</f>
        <v>0</v>
      </c>
      <c r="L775" s="49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284</v>
      </c>
      <c r="B776" t="s">
        <v>9</v>
      </c>
      <c r="C776">
        <v>9</v>
      </c>
      <c r="D776">
        <v>2516</v>
      </c>
      <c r="E776">
        <v>1</v>
      </c>
      <c r="F776" t="s">
        <v>286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9">
        <f>IFERROR(SUMIFS(Tabela10[Fod Worth],Tabela10[Drop],DropAnalityka[[#This Row],[Drop]],Tabela10[Grade],DropAnalityka[[#This Row],[Grade]])*DropAnalityka[[#This Row],[Quality/Quantity]],0)</f>
        <v>0</v>
      </c>
      <c r="L776" s="49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284</v>
      </c>
      <c r="B777" t="s">
        <v>9</v>
      </c>
      <c r="C777">
        <v>9</v>
      </c>
      <c r="D777">
        <v>2850</v>
      </c>
      <c r="E777">
        <v>2</v>
      </c>
      <c r="F777" t="s">
        <v>285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9">
        <f>IFERROR(SUMIFS(Tabela10[Fod Worth],Tabela10[Drop],DropAnalityka[[#This Row],[Drop]],Tabela10[Grade],DropAnalityka[[#This Row],[Grade]])*DropAnalityka[[#This Row],[Quality/Quantity]],0)</f>
        <v>0</v>
      </c>
      <c r="L777" s="49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274</v>
      </c>
      <c r="G778">
        <v>3</v>
      </c>
      <c r="H778" t="s">
        <v>314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9">
        <f>IFERROR(SUMIFS(Tabela10[Fod Worth],Tabela10[Drop],DropAnalityka[[#This Row],[Drop]],Tabela10[Grade],DropAnalityka[[#This Row],[Grade]])*DropAnalityka[[#This Row],[Quality/Quantity]],0)</f>
        <v>0</v>
      </c>
      <c r="L778" s="49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179</v>
      </c>
      <c r="B779" t="s">
        <v>9</v>
      </c>
      <c r="C779">
        <v>8</v>
      </c>
      <c r="D779">
        <v>3425</v>
      </c>
      <c r="E779">
        <v>0</v>
      </c>
      <c r="F779" t="s">
        <v>287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9">
        <f>IFERROR(SUMIFS(Tabela10[Fod Worth],Tabela10[Drop],DropAnalityka[[#This Row],[Drop]],Tabela10[Grade],DropAnalityka[[#This Row],[Grade]])*DropAnalityka[[#This Row],[Quality/Quantity]],0)</f>
        <v>0</v>
      </c>
      <c r="L779" s="49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284</v>
      </c>
      <c r="B780" t="s">
        <v>9</v>
      </c>
      <c r="C780">
        <v>9</v>
      </c>
      <c r="D780">
        <v>2517</v>
      </c>
      <c r="E780">
        <v>0</v>
      </c>
      <c r="F780" t="s">
        <v>286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9">
        <f>IFERROR(SUMIFS(Tabela10[Fod Worth],Tabela10[Drop],DropAnalityka[[#This Row],[Drop]],Tabela10[Grade],DropAnalityka[[#This Row],[Grade]])*DropAnalityka[[#This Row],[Quality/Quantity]],0)</f>
        <v>0</v>
      </c>
      <c r="L780" s="49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284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293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9">
        <f>IFERROR(SUMIFS(Tabela10[Fod Worth],Tabela10[Drop],DropAnalityka[[#This Row],[Drop]],Tabela10[Grade],DropAnalityka[[#This Row],[Grade]])*DropAnalityka[[#This Row],[Quality/Quantity]],0)</f>
        <v>0</v>
      </c>
      <c r="L781" s="49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284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9">
        <f>IFERROR(SUMIFS(Tabela10[Fod Worth],Tabela10[Drop],DropAnalityka[[#This Row],[Drop]],Tabela10[Grade],DropAnalityka[[#This Row],[Grade]])*DropAnalityka[[#This Row],[Quality/Quantity]],0)</f>
        <v>11500</v>
      </c>
      <c r="L782" s="49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284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314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9">
        <f>IFERROR(SUMIFS(Tabela10[Fod Worth],Tabela10[Drop],DropAnalityka[[#This Row],[Drop]],Tabela10[Grade],DropAnalityka[[#This Row],[Grade]])*DropAnalityka[[#This Row],[Quality/Quantity]],0)</f>
        <v>0</v>
      </c>
      <c r="L783" s="49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284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314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9">
        <f>IFERROR(SUMIFS(Tabela10[Fod Worth],Tabela10[Drop],DropAnalityka[[#This Row],[Drop]],Tabela10[Grade],DropAnalityka[[#This Row],[Grade]])*DropAnalityka[[#This Row],[Quality/Quantity]],0)</f>
        <v>0</v>
      </c>
      <c r="L784" s="49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284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9">
        <f>IFERROR(SUMIFS(Tabela10[Fod Worth],Tabela10[Drop],DropAnalityka[[#This Row],[Drop]],Tabela10[Grade],DropAnalityka[[#This Row],[Grade]])*DropAnalityka[[#This Row],[Quality/Quantity]],0)</f>
        <v>0</v>
      </c>
      <c r="L785" s="49">
        <f>IFERROR(SUMIFS(Tabela10[Exp Gain only 2*+],Tabela10[Drop],DropAnalityka[[#This Row],[Drop]],Tabela10[Grade],DropAnalityka[[#This Row],[Grade]])*DropAnalityka[[#This Row],[Quality/Quantity]],0)</f>
        <v>0</v>
      </c>
      <c r="M785" t="s">
        <v>214</v>
      </c>
    </row>
    <row r="786" spans="1:13">
      <c r="A786" t="s">
        <v>284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314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9">
        <f>IFERROR(SUMIFS(Tabela10[Fod Worth],Tabela10[Drop],DropAnalityka[[#This Row],[Drop]],Tabela10[Grade],DropAnalityka[[#This Row],[Grade]])*DropAnalityka[[#This Row],[Quality/Quantity]],0)</f>
        <v>0</v>
      </c>
      <c r="L786" s="49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284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314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9">
        <f>IFERROR(SUMIFS(Tabela10[Fod Worth],Tabela10[Drop],DropAnalityka[[#This Row],[Drop]],Tabela10[Grade],DropAnalityka[[#This Row],[Grade]])*DropAnalityka[[#This Row],[Quality/Quantity]],0)</f>
        <v>0</v>
      </c>
      <c r="L787" s="49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284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292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9">
        <f>IFERROR(SUMIFS(Tabela10[Fod Worth],Tabela10[Drop],DropAnalityka[[#This Row],[Drop]],Tabela10[Grade],DropAnalityka[[#This Row],[Grade]])*DropAnalityka[[#This Row],[Quality/Quantity]],0)</f>
        <v>0</v>
      </c>
      <c r="L788" s="49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284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292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9">
        <f>IFERROR(SUMIFS(Tabela10[Fod Worth],Tabela10[Drop],DropAnalityka[[#This Row],[Drop]],Tabela10[Grade],DropAnalityka[[#This Row],[Grade]])*DropAnalityka[[#This Row],[Quality/Quantity]],0)</f>
        <v>0</v>
      </c>
      <c r="L789" s="49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284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292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9">
        <f>IFERROR(SUMIFS(Tabela10[Fod Worth],Tabela10[Drop],DropAnalityka[[#This Row],[Drop]],Tabela10[Grade],DropAnalityka[[#This Row],[Grade]])*DropAnalityka[[#This Row],[Quality/Quantity]],0)</f>
        <v>0</v>
      </c>
      <c r="L790" s="49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9">
        <f>IFERROR(SUMIFS(Tabela10[Fod Worth],Tabela10[Drop],DropAnalityka[[#This Row],[Drop]],Tabela10[Grade],DropAnalityka[[#This Row],[Grade]])*DropAnalityka[[#This Row],[Quality/Quantity]],0)</f>
        <v>0</v>
      </c>
      <c r="L791" s="49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9">
        <f>IFERROR(SUMIFS(Tabela10[Fod Worth],Tabela10[Drop],DropAnalityka[[#This Row],[Drop]],Tabela10[Grade],DropAnalityka[[#This Row],[Grade]])*DropAnalityka[[#This Row],[Quality/Quantity]],0)</f>
        <v>0</v>
      </c>
      <c r="L792" s="49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9">
        <f>IFERROR(SUMIFS(Tabela10[Fod Worth],Tabela10[Drop],DropAnalityka[[#This Row],[Drop]],Tabela10[Grade],DropAnalityka[[#This Row],[Grade]])*DropAnalityka[[#This Row],[Quality/Quantity]],0)</f>
        <v>0</v>
      </c>
      <c r="L793" s="49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9">
        <f>IFERROR(SUMIFS(Tabela10[Fod Worth],Tabela10[Drop],DropAnalityka[[#This Row],[Drop]],Tabela10[Grade],DropAnalityka[[#This Row],[Grade]])*DropAnalityka[[#This Row],[Quality/Quantity]],0)</f>
        <v>0</v>
      </c>
      <c r="L794" s="49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9">
        <f>IFERROR(SUMIFS(Tabela10[Fod Worth],Tabela10[Drop],DropAnalityka[[#This Row],[Drop]],Tabela10[Grade],DropAnalityka[[#This Row],[Grade]])*DropAnalityka[[#This Row],[Quality/Quantity]],0)</f>
        <v>0</v>
      </c>
      <c r="L795" s="49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9">
        <f>IFERROR(SUMIFS(Tabela10[Fod Worth],Tabela10[Drop],DropAnalityka[[#This Row],[Drop]],Tabela10[Grade],DropAnalityka[[#This Row],[Grade]])*DropAnalityka[[#This Row],[Quality/Quantity]],0)</f>
        <v>0</v>
      </c>
      <c r="L796" s="49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9">
        <f>IFERROR(SUMIFS(Tabela10[Fod Worth],Tabela10[Drop],DropAnalityka[[#This Row],[Drop]],Tabela10[Grade],DropAnalityka[[#This Row],[Grade]])*DropAnalityka[[#This Row],[Quality/Quantity]],0)</f>
        <v>0</v>
      </c>
      <c r="L797" s="49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286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9">
        <f>IFERROR(SUMIFS(Tabela10[Fod Worth],Tabela10[Drop],DropAnalityka[[#This Row],[Drop]],Tabela10[Grade],DropAnalityka[[#This Row],[Grade]])*DropAnalityka[[#This Row],[Quality/Quantity]],0)</f>
        <v>0</v>
      </c>
      <c r="L798" s="49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9">
        <f>IFERROR(SUMIFS(Tabela10[Fod Worth],Tabela10[Drop],DropAnalityka[[#This Row],[Drop]],Tabela10[Grade],DropAnalityka[[#This Row],[Grade]])*DropAnalityka[[#This Row],[Quality/Quantity]],0)</f>
        <v>0</v>
      </c>
      <c r="L799" s="49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9">
        <f>IFERROR(SUMIFS(Tabela10[Fod Worth],Tabela10[Drop],DropAnalityka[[#This Row],[Drop]],Tabela10[Grade],DropAnalityka[[#This Row],[Grade]])*DropAnalityka[[#This Row],[Quality/Quantity]],0)</f>
        <v>0</v>
      </c>
      <c r="L800" s="49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9">
        <f>IFERROR(SUMIFS(Tabela10[Fod Worth],Tabela10[Drop],DropAnalityka[[#This Row],[Drop]],Tabela10[Grade],DropAnalityka[[#This Row],[Grade]])*DropAnalityka[[#This Row],[Quality/Quantity]],0)</f>
        <v>0</v>
      </c>
      <c r="L801" s="49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7">
        <f>IFERROR(SUMIFS(Tabela10[Fod Worth],Tabela10[Drop],DropAnalityka[[#This Row],[Drop]],Tabela10[Grade],DropAnalityka[[#This Row],[Grade]])*DropAnalityka[[#This Row],[Quality/Quantity]],0)</f>
        <v>0</v>
      </c>
      <c r="L802" s="87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9">
        <f>IFERROR(SUMIFS(Tabela10[Fod Worth],Tabela10[Drop],DropAnalityka[[#This Row],[Drop]],Tabela10[Grade],DropAnalityka[[#This Row],[Grade]])*DropAnalityka[[#This Row],[Quality/Quantity]],0)</f>
        <v>0</v>
      </c>
      <c r="L803" s="49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9">
        <f>IFERROR(SUMIFS(Tabela10[Fod Worth],Tabela10[Drop],DropAnalityka[[#This Row],[Drop]],Tabela10[Grade],DropAnalityka[[#This Row],[Grade]])*DropAnalityka[[#This Row],[Quality/Quantity]],0)</f>
        <v>0</v>
      </c>
      <c r="L804" s="49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9">
        <f>IFERROR(SUMIFS(Tabela10[Fod Worth],Tabela10[Drop],DropAnalityka[[#This Row],[Drop]],Tabela10[Grade],DropAnalityka[[#This Row],[Grade]])*DropAnalityka[[#This Row],[Quality/Quantity]],0)</f>
        <v>0</v>
      </c>
      <c r="L805" s="49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9">
        <f>IFERROR(SUMIFS(Tabela10[Fod Worth],Tabela10[Drop],DropAnalityka[[#This Row],[Drop]],Tabela10[Grade],DropAnalityka[[#This Row],[Grade]])*DropAnalityka[[#This Row],[Quality/Quantity]],0)</f>
        <v>0</v>
      </c>
      <c r="L806" s="49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9">
        <f>IFERROR(SUMIFS(Tabela10[Fod Worth],Tabela10[Drop],DropAnalityka[[#This Row],[Drop]],Tabela10[Grade],DropAnalityka[[#This Row],[Grade]])*DropAnalityka[[#This Row],[Quality/Quantity]],0)</f>
        <v>0</v>
      </c>
      <c r="L807" s="49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9">
        <f>IFERROR(SUMIFS(Tabela10[Fod Worth],Tabela10[Drop],DropAnalityka[[#This Row],[Drop]],Tabela10[Grade],DropAnalityka[[#This Row],[Grade]])*DropAnalityka[[#This Row],[Quality/Quantity]],0)</f>
        <v>0</v>
      </c>
      <c r="L808" s="49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9">
        <f>IFERROR(SUMIFS(Tabela10[Fod Worth],Tabela10[Drop],DropAnalityka[[#This Row],[Drop]],Tabela10[Grade],DropAnalityka[[#This Row],[Grade]])*DropAnalityka[[#This Row],[Quality/Quantity]],0)</f>
        <v>0</v>
      </c>
      <c r="L809" s="49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9">
        <f>IFERROR(SUMIFS(Tabela10[Fod Worth],Tabela10[Drop],DropAnalityka[[#This Row],[Drop]],Tabela10[Grade],DropAnalityka[[#This Row],[Grade]])*DropAnalityka[[#This Row],[Quality/Quantity]],0)</f>
        <v>0</v>
      </c>
      <c r="L810" s="49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9">
        <f>IFERROR(SUMIFS(Tabela10[Fod Worth],Tabela10[Drop],DropAnalityka[[#This Row],[Drop]],Tabela10[Grade],DropAnalityka[[#This Row],[Grade]])*DropAnalityka[[#This Row],[Quality/Quantity]],0)</f>
        <v>0</v>
      </c>
      <c r="L811" s="49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284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9">
        <f>IFERROR(SUMIFS(Tabela10[Fod Worth],Tabela10[Drop],DropAnalityka[[#This Row],[Drop]],Tabela10[Grade],DropAnalityka[[#This Row],[Grade]])*DropAnalityka[[#This Row],[Quality/Quantity]],0)</f>
        <v>0</v>
      </c>
      <c r="L812" s="49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179</v>
      </c>
      <c r="B813" t="s">
        <v>9</v>
      </c>
      <c r="C813">
        <v>8</v>
      </c>
      <c r="D813">
        <v>3118</v>
      </c>
      <c r="E813">
        <v>0</v>
      </c>
      <c r="F813" t="s">
        <v>280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9">
        <f>IFERROR(SUMIFS(Tabela10[Fod Worth],Tabela10[Drop],DropAnalityka[[#This Row],[Drop]],Tabela10[Grade],DropAnalityka[[#This Row],[Grade]])*DropAnalityka[[#This Row],[Quality/Quantity]],0)</f>
        <v>0</v>
      </c>
      <c r="L813" s="49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179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9">
        <f>IFERROR(SUMIFS(Tabela10[Fod Worth],Tabela10[Drop],DropAnalityka[[#This Row],[Drop]],Tabela10[Grade],DropAnalityka[[#This Row],[Grade]])*DropAnalityka[[#This Row],[Quality/Quantity]],0)</f>
        <v>0</v>
      </c>
      <c r="L814" s="49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179</v>
      </c>
      <c r="B815" t="s">
        <v>9</v>
      </c>
      <c r="C815">
        <v>8</v>
      </c>
      <c r="D815">
        <v>3825</v>
      </c>
      <c r="E815">
        <v>1</v>
      </c>
      <c r="F815" t="s">
        <v>286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9">
        <f>IFERROR(SUMIFS(Tabela10[Fod Worth],Tabela10[Drop],DropAnalityka[[#This Row],[Drop]],Tabela10[Grade],DropAnalityka[[#This Row],[Grade]])*DropAnalityka[[#This Row],[Quality/Quantity]],0)</f>
        <v>0</v>
      </c>
      <c r="L815" s="49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179</v>
      </c>
      <c r="B816" t="s">
        <v>9</v>
      </c>
      <c r="C816">
        <v>8</v>
      </c>
      <c r="D816">
        <v>3553</v>
      </c>
      <c r="E816">
        <v>0</v>
      </c>
      <c r="F816" t="s">
        <v>280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9">
        <f>IFERROR(SUMIFS(Tabela10[Fod Worth],Tabela10[Drop],DropAnalityka[[#This Row],[Drop]],Tabela10[Grade],DropAnalityka[[#This Row],[Grade]])*DropAnalityka[[#This Row],[Quality/Quantity]],0)</f>
        <v>0</v>
      </c>
      <c r="L816" s="49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179</v>
      </c>
      <c r="B817" t="s">
        <v>9</v>
      </c>
      <c r="C817">
        <v>8</v>
      </c>
      <c r="D817">
        <v>3574</v>
      </c>
      <c r="E817">
        <v>1</v>
      </c>
      <c r="F817" t="s">
        <v>288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9">
        <f>IFERROR(SUMIFS(Tabela10[Fod Worth],Tabela10[Drop],DropAnalityka[[#This Row],[Drop]],Tabela10[Grade],DropAnalityka[[#This Row],[Grade]])*DropAnalityka[[#This Row],[Quality/Quantity]],0)</f>
        <v>0</v>
      </c>
      <c r="L817" s="49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179</v>
      </c>
      <c r="B818" t="s">
        <v>9</v>
      </c>
      <c r="C818">
        <v>8</v>
      </c>
      <c r="D818">
        <v>3456</v>
      </c>
      <c r="E818">
        <v>3</v>
      </c>
      <c r="F818" t="s">
        <v>280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9">
        <f>IFERROR(SUMIFS(Tabela10[Fod Worth],Tabela10[Drop],DropAnalityka[[#This Row],[Drop]],Tabela10[Grade],DropAnalityka[[#This Row],[Grade]])*DropAnalityka[[#This Row],[Quality/Quantity]],0)</f>
        <v>0</v>
      </c>
      <c r="L818" s="49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179</v>
      </c>
      <c r="B819" t="s">
        <v>9</v>
      </c>
      <c r="C819">
        <v>8</v>
      </c>
      <c r="D819">
        <v>3185</v>
      </c>
      <c r="E819">
        <v>0</v>
      </c>
      <c r="F819" t="s">
        <v>280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9">
        <f>IFERROR(SUMIFS(Tabela10[Fod Worth],Tabela10[Drop],DropAnalityka[[#This Row],[Drop]],Tabela10[Grade],DropAnalityka[[#This Row],[Grade]])*DropAnalityka[[#This Row],[Quality/Quantity]],0)</f>
        <v>0</v>
      </c>
      <c r="L819" s="49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179</v>
      </c>
      <c r="B820" t="s">
        <v>9</v>
      </c>
      <c r="C820">
        <v>8</v>
      </c>
      <c r="D820">
        <v>3742</v>
      </c>
      <c r="E820">
        <v>4</v>
      </c>
      <c r="F820" t="s">
        <v>280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9">
        <f>IFERROR(SUMIFS(Tabela10[Fod Worth],Tabela10[Drop],DropAnalityka[[#This Row],[Drop]],Tabela10[Grade],DropAnalityka[[#This Row],[Grade]])*DropAnalityka[[#This Row],[Quality/Quantity]],0)</f>
        <v>0</v>
      </c>
      <c r="L820" s="49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217</v>
      </c>
      <c r="B821" t="s">
        <v>9</v>
      </c>
      <c r="C821">
        <v>9</v>
      </c>
      <c r="D821">
        <v>2924</v>
      </c>
      <c r="E821">
        <v>1</v>
      </c>
      <c r="F821" t="s">
        <v>271</v>
      </c>
      <c r="G821">
        <v>1</v>
      </c>
      <c r="H821" t="s">
        <v>314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9">
        <f>IFERROR(SUMIFS(Tabela10[Fod Worth],Tabela10[Drop],DropAnalityka[[#This Row],[Drop]],Tabela10[Grade],DropAnalityka[[#This Row],[Grade]])*DropAnalityka[[#This Row],[Quality/Quantity]],0)</f>
        <v>0</v>
      </c>
      <c r="L821" s="49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217</v>
      </c>
      <c r="B822" t="s">
        <v>9</v>
      </c>
      <c r="C822">
        <v>9</v>
      </c>
      <c r="D822">
        <v>3192</v>
      </c>
      <c r="E822">
        <v>2</v>
      </c>
      <c r="F822" t="s">
        <v>271</v>
      </c>
      <c r="G822">
        <v>2</v>
      </c>
      <c r="H822" t="s">
        <v>314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9">
        <f>IFERROR(SUMIFS(Tabela10[Fod Worth],Tabela10[Drop],DropAnalityka[[#This Row],[Drop]],Tabela10[Grade],DropAnalityka[[#This Row],[Grade]])*DropAnalityka[[#This Row],[Quality/Quantity]],0)</f>
        <v>0</v>
      </c>
      <c r="L822" s="49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217</v>
      </c>
      <c r="B823" t="s">
        <v>9</v>
      </c>
      <c r="C823">
        <v>9</v>
      </c>
      <c r="D823">
        <v>2967</v>
      </c>
      <c r="E823">
        <v>1</v>
      </c>
      <c r="F823" t="s">
        <v>271</v>
      </c>
      <c r="G823">
        <v>2</v>
      </c>
      <c r="H823" t="s">
        <v>314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9">
        <f>IFERROR(SUMIFS(Tabela10[Fod Worth],Tabela10[Drop],DropAnalityka[[#This Row],[Drop]],Tabela10[Grade],DropAnalityka[[#This Row],[Grade]])*DropAnalityka[[#This Row],[Quality/Quantity]],0)</f>
        <v>0</v>
      </c>
      <c r="L823" s="49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217</v>
      </c>
      <c r="B824" t="s">
        <v>9</v>
      </c>
      <c r="C824">
        <v>9</v>
      </c>
      <c r="D824">
        <v>2926</v>
      </c>
      <c r="E824">
        <v>0</v>
      </c>
      <c r="F824" t="s">
        <v>271</v>
      </c>
      <c r="G824">
        <v>3</v>
      </c>
      <c r="H824" t="s">
        <v>292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9">
        <f>IFERROR(SUMIFS(Tabela10[Fod Worth],Tabela10[Drop],DropAnalityka[[#This Row],[Drop]],Tabela10[Grade],DropAnalityka[[#This Row],[Grade]])*DropAnalityka[[#This Row],[Quality/Quantity]],0)</f>
        <v>0</v>
      </c>
      <c r="L824" s="49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217</v>
      </c>
      <c r="B825" t="s">
        <v>9</v>
      </c>
      <c r="C825">
        <v>9</v>
      </c>
      <c r="D825">
        <v>2801</v>
      </c>
      <c r="E825">
        <v>1</v>
      </c>
      <c r="F825" t="s">
        <v>271</v>
      </c>
      <c r="G825">
        <v>3</v>
      </c>
      <c r="H825" t="s">
        <v>292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9">
        <f>IFERROR(SUMIFS(Tabela10[Fod Worth],Tabela10[Drop],DropAnalityka[[#This Row],[Drop]],Tabela10[Grade],DropAnalityka[[#This Row],[Grade]])*DropAnalityka[[#This Row],[Quality/Quantity]],0)</f>
        <v>0</v>
      </c>
      <c r="L825" s="49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217</v>
      </c>
      <c r="B826" t="s">
        <v>9</v>
      </c>
      <c r="C826">
        <v>9</v>
      </c>
      <c r="D826">
        <v>2800</v>
      </c>
      <c r="E826">
        <v>0</v>
      </c>
      <c r="F826" t="s">
        <v>237</v>
      </c>
      <c r="G826" t="s">
        <v>289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9">
        <f>IFERROR(SUMIFS(Tabela10[Fod Worth],Tabela10[Drop],DropAnalityka[[#This Row],[Drop]],Tabela10[Grade],DropAnalityka[[#This Row],[Grade]])*DropAnalityka[[#This Row],[Quality/Quantity]],0)</f>
        <v>0</v>
      </c>
      <c r="L826" s="49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217</v>
      </c>
      <c r="B827" t="s">
        <v>9</v>
      </c>
      <c r="C827">
        <v>9</v>
      </c>
      <c r="D827">
        <v>2913</v>
      </c>
      <c r="E827">
        <v>0</v>
      </c>
      <c r="F827" t="s">
        <v>271</v>
      </c>
      <c r="G827">
        <v>1</v>
      </c>
      <c r="H827" t="s">
        <v>293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9">
        <f>IFERROR(SUMIFS(Tabela10[Fod Worth],Tabela10[Drop],DropAnalityka[[#This Row],[Drop]],Tabela10[Grade],DropAnalityka[[#This Row],[Grade]])*DropAnalityka[[#This Row],[Quality/Quantity]],0)</f>
        <v>0</v>
      </c>
      <c r="L827" s="49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217</v>
      </c>
      <c r="B828" t="s">
        <v>9</v>
      </c>
      <c r="C828">
        <v>9</v>
      </c>
      <c r="D828">
        <v>2812</v>
      </c>
      <c r="E828">
        <v>1</v>
      </c>
      <c r="F828" t="s">
        <v>271</v>
      </c>
      <c r="G828">
        <v>1</v>
      </c>
      <c r="H828" t="s">
        <v>314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9">
        <f>IFERROR(SUMIFS(Tabela10[Fod Worth],Tabela10[Drop],DropAnalityka[[#This Row],[Drop]],Tabela10[Grade],DropAnalityka[[#This Row],[Grade]])*DropAnalityka[[#This Row],[Quality/Quantity]],0)</f>
        <v>0</v>
      </c>
      <c r="L828" s="49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217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9">
        <f>IFERROR(SUMIFS(Tabela10[Fod Worth],Tabela10[Drop],DropAnalityka[[#This Row],[Drop]],Tabela10[Grade],DropAnalityka[[#This Row],[Grade]])*DropAnalityka[[#This Row],[Quality/Quantity]],0)</f>
        <v>11500</v>
      </c>
      <c r="L829" s="49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217</v>
      </c>
      <c r="B830" t="s">
        <v>9</v>
      </c>
      <c r="C830">
        <v>9</v>
      </c>
      <c r="D830">
        <v>2754</v>
      </c>
      <c r="E830">
        <v>1</v>
      </c>
      <c r="F830" t="s">
        <v>310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9">
        <f>IFERROR(SUMIFS(Tabela10[Fod Worth],Tabela10[Drop],DropAnalityka[[#This Row],[Drop]],Tabela10[Grade],DropAnalityka[[#This Row],[Grade]])*DropAnalityka[[#This Row],[Quality/Quantity]],0)</f>
        <v>0</v>
      </c>
      <c r="L830" s="49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217</v>
      </c>
      <c r="B831" t="s">
        <v>9</v>
      </c>
      <c r="C831">
        <v>9</v>
      </c>
      <c r="D831">
        <v>2824</v>
      </c>
      <c r="E831">
        <v>1</v>
      </c>
      <c r="F831" t="s">
        <v>237</v>
      </c>
      <c r="G831" t="s">
        <v>290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9">
        <f>IFERROR(SUMIFS(Tabela10[Fod Worth],Tabela10[Drop],DropAnalityka[[#This Row],[Drop]],Tabela10[Grade],DropAnalityka[[#This Row],[Grade]])*DropAnalityka[[#This Row],[Quality/Quantity]],0)</f>
        <v>0</v>
      </c>
      <c r="L831" s="49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217</v>
      </c>
      <c r="B832" t="s">
        <v>9</v>
      </c>
      <c r="C832">
        <v>9</v>
      </c>
      <c r="D832">
        <v>2980</v>
      </c>
      <c r="E832">
        <v>0</v>
      </c>
      <c r="F832" t="s">
        <v>271</v>
      </c>
      <c r="G832">
        <v>1</v>
      </c>
      <c r="H832" t="s">
        <v>314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9">
        <f>IFERROR(SUMIFS(Tabela10[Fod Worth],Tabela10[Drop],DropAnalityka[[#This Row],[Drop]],Tabela10[Grade],DropAnalityka[[#This Row],[Grade]])*DropAnalityka[[#This Row],[Quality/Quantity]],0)</f>
        <v>0</v>
      </c>
      <c r="L832" s="49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217</v>
      </c>
      <c r="B833" t="s">
        <v>9</v>
      </c>
      <c r="C833">
        <v>9</v>
      </c>
      <c r="D833">
        <v>2957</v>
      </c>
      <c r="E833">
        <v>0</v>
      </c>
      <c r="F833" t="s">
        <v>216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9">
        <f>IFERROR(SUMIFS(Tabela10[Fod Worth],Tabela10[Drop],DropAnalityka[[#This Row],[Drop]],Tabela10[Grade],DropAnalityka[[#This Row],[Grade]])*DropAnalityka[[#This Row],[Quality/Quantity]],0)</f>
        <v>0</v>
      </c>
      <c r="L833" s="49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217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9">
        <f>IFERROR(SUMIFS(Tabela10[Fod Worth],Tabela10[Drop],DropAnalityka[[#This Row],[Drop]],Tabela10[Grade],DropAnalityka[[#This Row],[Grade]])*DropAnalityka[[#This Row],[Quality/Quantity]],0)</f>
        <v>0</v>
      </c>
      <c r="L834" s="49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217</v>
      </c>
      <c r="B835" t="s">
        <v>9</v>
      </c>
      <c r="C835">
        <v>9</v>
      </c>
      <c r="D835">
        <v>2671</v>
      </c>
      <c r="E835">
        <v>0</v>
      </c>
      <c r="F835" t="s">
        <v>271</v>
      </c>
      <c r="G835">
        <v>5</v>
      </c>
      <c r="H835" t="s">
        <v>292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9">
        <f>IFERROR(SUMIFS(Tabela10[Fod Worth],Tabela10[Drop],DropAnalityka[[#This Row],[Drop]],Tabela10[Grade],DropAnalityka[[#This Row],[Grade]])*DropAnalityka[[#This Row],[Quality/Quantity]],0)</f>
        <v>0</v>
      </c>
      <c r="L835" s="49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217</v>
      </c>
      <c r="B836" t="s">
        <v>9</v>
      </c>
      <c r="C836">
        <v>9</v>
      </c>
      <c r="D836">
        <v>2947</v>
      </c>
      <c r="E836">
        <v>1</v>
      </c>
      <c r="F836" t="s">
        <v>271</v>
      </c>
      <c r="G836">
        <v>1</v>
      </c>
      <c r="H836" t="s">
        <v>293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9">
        <f>IFERROR(SUMIFS(Tabela10[Fod Worth],Tabela10[Drop],DropAnalityka[[#This Row],[Drop]],Tabela10[Grade],DropAnalityka[[#This Row],[Grade]])*DropAnalityka[[#This Row],[Quality/Quantity]],0)</f>
        <v>0</v>
      </c>
      <c r="L836" s="49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217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9">
        <f>IFERROR(SUMIFS(Tabela10[Fod Worth],Tabela10[Drop],DropAnalityka[[#This Row],[Drop]],Tabela10[Grade],DropAnalityka[[#This Row],[Grade]])*DropAnalityka[[#This Row],[Quality/Quantity]],0)</f>
        <v>0</v>
      </c>
      <c r="L837" s="49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217</v>
      </c>
      <c r="B838" t="s">
        <v>9</v>
      </c>
      <c r="C838">
        <v>9</v>
      </c>
      <c r="D838">
        <v>2184</v>
      </c>
      <c r="E838">
        <v>0</v>
      </c>
      <c r="F838" t="s">
        <v>271</v>
      </c>
      <c r="G838">
        <v>4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9">
        <f>IFERROR(SUMIFS(Tabela10[Fod Worth],Tabela10[Drop],DropAnalityka[[#This Row],[Drop]],Tabela10[Grade],DropAnalityka[[#This Row],[Grade]])*DropAnalityka[[#This Row],[Quality/Quantity]],0)</f>
        <v>0</v>
      </c>
      <c r="L838" s="49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217</v>
      </c>
      <c r="B839" t="s">
        <v>9</v>
      </c>
      <c r="C839">
        <v>9</v>
      </c>
      <c r="D839">
        <v>2654</v>
      </c>
      <c r="E839">
        <v>3</v>
      </c>
      <c r="F839" t="s">
        <v>271</v>
      </c>
      <c r="G839">
        <v>1</v>
      </c>
      <c r="H839" t="s">
        <v>314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9">
        <f>IFERROR(SUMIFS(Tabela10[Fod Worth],Tabela10[Drop],DropAnalityka[[#This Row],[Drop]],Tabela10[Grade],DropAnalityka[[#This Row],[Grade]])*DropAnalityka[[#This Row],[Quality/Quantity]],0)</f>
        <v>0</v>
      </c>
      <c r="L839" s="49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217</v>
      </c>
      <c r="B840" t="s">
        <v>9</v>
      </c>
      <c r="C840">
        <v>9</v>
      </c>
      <c r="D840">
        <v>2592</v>
      </c>
      <c r="E840">
        <v>1</v>
      </c>
      <c r="F840" t="s">
        <v>271</v>
      </c>
      <c r="G840">
        <v>1</v>
      </c>
      <c r="H840" t="s">
        <v>314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9">
        <f>IFERROR(SUMIFS(Tabela10[Fod Worth],Tabela10[Drop],DropAnalityka[[#This Row],[Drop]],Tabela10[Grade],DropAnalityka[[#This Row],[Grade]])*DropAnalityka[[#This Row],[Quality/Quantity]],0)</f>
        <v>0</v>
      </c>
      <c r="L840" s="49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217</v>
      </c>
      <c r="B841" t="s">
        <v>9</v>
      </c>
      <c r="C841">
        <v>9</v>
      </c>
      <c r="D841">
        <v>2625</v>
      </c>
      <c r="E841">
        <v>0</v>
      </c>
      <c r="F841" t="s">
        <v>271</v>
      </c>
      <c r="G841">
        <v>1</v>
      </c>
      <c r="H841" t="s">
        <v>293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9">
        <f>IFERROR(SUMIFS(Tabela10[Fod Worth],Tabela10[Drop],DropAnalityka[[#This Row],[Drop]],Tabela10[Grade],DropAnalityka[[#This Row],[Grade]])*DropAnalityka[[#This Row],[Quality/Quantity]],0)</f>
        <v>0</v>
      </c>
      <c r="L841" s="49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217</v>
      </c>
      <c r="B842" t="s">
        <v>9</v>
      </c>
      <c r="C842">
        <v>9</v>
      </c>
      <c r="D842">
        <v>3029</v>
      </c>
      <c r="E842">
        <v>0</v>
      </c>
      <c r="F842" t="s">
        <v>271</v>
      </c>
      <c r="G842">
        <v>1</v>
      </c>
      <c r="H842" t="s">
        <v>314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9">
        <f>IFERROR(SUMIFS(Tabela10[Fod Worth],Tabela10[Drop],DropAnalityka[[#This Row],[Drop]],Tabela10[Grade],DropAnalityka[[#This Row],[Grade]])*DropAnalityka[[#This Row],[Quality/Quantity]],0)</f>
        <v>0</v>
      </c>
      <c r="L842" s="49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217</v>
      </c>
      <c r="B843" t="s">
        <v>9</v>
      </c>
      <c r="C843">
        <v>9</v>
      </c>
      <c r="D843">
        <v>2865</v>
      </c>
      <c r="E843">
        <v>1</v>
      </c>
      <c r="F843" t="s">
        <v>271</v>
      </c>
      <c r="G843">
        <v>1</v>
      </c>
      <c r="H843" t="s">
        <v>314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9">
        <f>IFERROR(SUMIFS(Tabela10[Fod Worth],Tabela10[Drop],DropAnalityka[[#This Row],[Drop]],Tabela10[Grade],DropAnalityka[[#This Row],[Grade]])*DropAnalityka[[#This Row],[Quality/Quantity]],0)</f>
        <v>0</v>
      </c>
      <c r="L843" s="49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217</v>
      </c>
      <c r="B844" t="s">
        <v>9</v>
      </c>
      <c r="C844">
        <v>9</v>
      </c>
      <c r="D844">
        <v>3075</v>
      </c>
      <c r="E844">
        <v>3</v>
      </c>
      <c r="F844" t="s">
        <v>271</v>
      </c>
      <c r="G844">
        <v>5</v>
      </c>
      <c r="H844" t="s">
        <v>292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9">
        <f>IFERROR(SUMIFS(Tabela10[Fod Worth],Tabela10[Drop],DropAnalityka[[#This Row],[Drop]],Tabela10[Grade],DropAnalityka[[#This Row],[Grade]])*DropAnalityka[[#This Row],[Quality/Quantity]],0)</f>
        <v>0</v>
      </c>
      <c r="L844" s="49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217</v>
      </c>
      <c r="B845" t="s">
        <v>9</v>
      </c>
      <c r="C845">
        <v>9</v>
      </c>
      <c r="D845">
        <v>3767</v>
      </c>
      <c r="E845">
        <v>2</v>
      </c>
      <c r="F845" t="s">
        <v>271</v>
      </c>
      <c r="G845">
        <v>4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9">
        <f>IFERROR(SUMIFS(Tabela10[Fod Worth],Tabela10[Drop],DropAnalityka[[#This Row],[Drop]],Tabela10[Grade],DropAnalityka[[#This Row],[Grade]])*DropAnalityka[[#This Row],[Quality/Quantity]],0)</f>
        <v>0</v>
      </c>
      <c r="L845" s="49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217</v>
      </c>
      <c r="B846" t="s">
        <v>9</v>
      </c>
      <c r="C846">
        <v>9</v>
      </c>
      <c r="D846">
        <v>3007</v>
      </c>
      <c r="E846">
        <v>2</v>
      </c>
      <c r="F846" t="s">
        <v>271</v>
      </c>
      <c r="G846">
        <v>3</v>
      </c>
      <c r="H846" t="s">
        <v>314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9">
        <f>IFERROR(SUMIFS(Tabela10[Fod Worth],Tabela10[Drop],DropAnalityka[[#This Row],[Drop]],Tabela10[Grade],DropAnalityka[[#This Row],[Grade]])*DropAnalityka[[#This Row],[Quality/Quantity]],0)</f>
        <v>0</v>
      </c>
      <c r="L846" s="49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217</v>
      </c>
      <c r="B847" t="s">
        <v>9</v>
      </c>
      <c r="C847">
        <v>9</v>
      </c>
      <c r="D847">
        <v>2942</v>
      </c>
      <c r="E847">
        <v>0</v>
      </c>
      <c r="F847" t="s">
        <v>271</v>
      </c>
      <c r="G847">
        <v>1</v>
      </c>
      <c r="H847" t="s">
        <v>314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9">
        <f>IFERROR(SUMIFS(Tabela10[Fod Worth],Tabela10[Drop],DropAnalityka[[#This Row],[Drop]],Tabela10[Grade],DropAnalityka[[#This Row],[Grade]])*DropAnalityka[[#This Row],[Quality/Quantity]],0)</f>
        <v>0</v>
      </c>
      <c r="L847" s="49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217</v>
      </c>
      <c r="B848" t="s">
        <v>9</v>
      </c>
      <c r="C848">
        <v>9</v>
      </c>
      <c r="D848">
        <v>2701</v>
      </c>
      <c r="E848">
        <v>0</v>
      </c>
      <c r="F848" t="s">
        <v>271</v>
      </c>
      <c r="G848">
        <v>5</v>
      </c>
      <c r="H848" t="s">
        <v>292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9">
        <f>IFERROR(SUMIFS(Tabela10[Fod Worth],Tabela10[Drop],DropAnalityka[[#This Row],[Drop]],Tabela10[Grade],DropAnalityka[[#This Row],[Grade]])*DropAnalityka[[#This Row],[Quality/Quantity]],0)</f>
        <v>0</v>
      </c>
      <c r="L848" s="49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217</v>
      </c>
      <c r="B849" t="s">
        <v>9</v>
      </c>
      <c r="C849">
        <v>9</v>
      </c>
      <c r="D849">
        <v>3320</v>
      </c>
      <c r="E849">
        <v>0</v>
      </c>
      <c r="F849" t="s">
        <v>271</v>
      </c>
      <c r="G849">
        <v>3</v>
      </c>
      <c r="H849" t="s">
        <v>293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9">
        <f>IFERROR(SUMIFS(Tabela10[Fod Worth],Tabela10[Drop],DropAnalityka[[#This Row],[Drop]],Tabela10[Grade],DropAnalityka[[#This Row],[Grade]])*DropAnalityka[[#This Row],[Quality/Quantity]],0)</f>
        <v>0</v>
      </c>
      <c r="L849" s="49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217</v>
      </c>
      <c r="B850" t="s">
        <v>9</v>
      </c>
      <c r="C850">
        <v>9</v>
      </c>
      <c r="D850">
        <v>2890</v>
      </c>
      <c r="E850">
        <v>2</v>
      </c>
      <c r="F850" t="s">
        <v>271</v>
      </c>
      <c r="G850">
        <v>3</v>
      </c>
      <c r="H850" t="s">
        <v>292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9">
        <f>IFERROR(SUMIFS(Tabela10[Fod Worth],Tabela10[Drop],DropAnalityka[[#This Row],[Drop]],Tabela10[Grade],DropAnalityka[[#This Row],[Grade]])*DropAnalityka[[#This Row],[Quality/Quantity]],0)</f>
        <v>0</v>
      </c>
      <c r="L850" s="49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217</v>
      </c>
      <c r="B851" t="s">
        <v>9</v>
      </c>
      <c r="C851">
        <v>9</v>
      </c>
      <c r="D851">
        <v>3274</v>
      </c>
      <c r="E851">
        <v>1</v>
      </c>
      <c r="F851" t="s">
        <v>271</v>
      </c>
      <c r="G851">
        <v>2</v>
      </c>
      <c r="H851" t="s">
        <v>293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9">
        <f>IFERROR(SUMIFS(Tabela10[Fod Worth],Tabela10[Drop],DropAnalityka[[#This Row],[Drop]],Tabela10[Grade],DropAnalityka[[#This Row],[Grade]])*DropAnalityka[[#This Row],[Quality/Quantity]],0)</f>
        <v>0</v>
      </c>
      <c r="L851" s="49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217</v>
      </c>
      <c r="B852" t="s">
        <v>9</v>
      </c>
      <c r="C852">
        <v>9</v>
      </c>
      <c r="D852">
        <v>2847</v>
      </c>
      <c r="E852">
        <v>1</v>
      </c>
      <c r="F852" t="s">
        <v>271</v>
      </c>
      <c r="G852">
        <v>1</v>
      </c>
      <c r="H852" t="s">
        <v>293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9">
        <f>IFERROR(SUMIFS(Tabela10[Fod Worth],Tabela10[Drop],DropAnalityka[[#This Row],[Drop]],Tabela10[Grade],DropAnalityka[[#This Row],[Grade]])*DropAnalityka[[#This Row],[Quality/Quantity]],0)</f>
        <v>0</v>
      </c>
      <c r="L852" s="49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217</v>
      </c>
      <c r="B853" t="s">
        <v>9</v>
      </c>
      <c r="C853">
        <v>9</v>
      </c>
      <c r="D853">
        <v>2602</v>
      </c>
      <c r="E853">
        <v>0</v>
      </c>
      <c r="F853" t="s">
        <v>271</v>
      </c>
      <c r="G853">
        <v>4</v>
      </c>
      <c r="H853" t="s">
        <v>292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9">
        <f>IFERROR(SUMIFS(Tabela10[Fod Worth],Tabela10[Drop],DropAnalityka[[#This Row],[Drop]],Tabela10[Grade],DropAnalityka[[#This Row],[Grade]])*DropAnalityka[[#This Row],[Quality/Quantity]],0)</f>
        <v>0</v>
      </c>
      <c r="L853" s="49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217</v>
      </c>
      <c r="B854" t="s">
        <v>9</v>
      </c>
      <c r="C854">
        <v>9</v>
      </c>
      <c r="D854">
        <v>2901</v>
      </c>
      <c r="E854">
        <v>1</v>
      </c>
      <c r="F854" t="s">
        <v>237</v>
      </c>
      <c r="G854" t="s">
        <v>305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9">
        <f>IFERROR(SUMIFS(Tabela10[Fod Worth],Tabela10[Drop],DropAnalityka[[#This Row],[Drop]],Tabela10[Grade],DropAnalityka[[#This Row],[Grade]])*DropAnalityka[[#This Row],[Quality/Quantity]],0)</f>
        <v>0</v>
      </c>
      <c r="L854" s="49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217</v>
      </c>
      <c r="B855" t="s">
        <v>9</v>
      </c>
      <c r="C855">
        <v>9</v>
      </c>
      <c r="D855">
        <v>2768</v>
      </c>
      <c r="E855">
        <v>0</v>
      </c>
      <c r="F855" t="s">
        <v>271</v>
      </c>
      <c r="G855">
        <v>5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9">
        <f>IFERROR(SUMIFS(Tabela10[Fod Worth],Tabela10[Drop],DropAnalityka[[#This Row],[Drop]],Tabela10[Grade],DropAnalityka[[#This Row],[Grade]])*DropAnalityka[[#This Row],[Quality/Quantity]],0)</f>
        <v>0</v>
      </c>
      <c r="L855" s="49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217</v>
      </c>
      <c r="B856" t="s">
        <v>9</v>
      </c>
      <c r="C856">
        <v>9</v>
      </c>
      <c r="D856">
        <v>2401</v>
      </c>
      <c r="E856">
        <v>1</v>
      </c>
      <c r="F856" t="s">
        <v>271</v>
      </c>
      <c r="G856">
        <v>1</v>
      </c>
      <c r="H856" t="s">
        <v>314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9">
        <f>IFERROR(SUMIFS(Tabela10[Fod Worth],Tabela10[Drop],DropAnalityka[[#This Row],[Drop]],Tabela10[Grade],DropAnalityka[[#This Row],[Grade]])*DropAnalityka[[#This Row],[Quality/Quantity]],0)</f>
        <v>0</v>
      </c>
      <c r="L856" s="49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217</v>
      </c>
      <c r="B857" t="s">
        <v>9</v>
      </c>
      <c r="C857">
        <v>9</v>
      </c>
      <c r="D857">
        <v>2915</v>
      </c>
      <c r="E857">
        <v>0</v>
      </c>
      <c r="F857" t="s">
        <v>215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9">
        <f>IFERROR(SUMIFS(Tabela10[Fod Worth],Tabela10[Drop],DropAnalityka[[#This Row],[Drop]],Tabela10[Grade],DropAnalityka[[#This Row],[Grade]])*DropAnalityka[[#This Row],[Quality/Quantity]],0)</f>
        <v>2587.5</v>
      </c>
      <c r="L857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217</v>
      </c>
      <c r="B858" t="s">
        <v>9</v>
      </c>
      <c r="C858">
        <v>9</v>
      </c>
      <c r="D858">
        <v>2978</v>
      </c>
      <c r="E858">
        <v>0</v>
      </c>
      <c r="F858" t="s">
        <v>271</v>
      </c>
      <c r="G858">
        <v>4</v>
      </c>
      <c r="H858" t="s">
        <v>292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9">
        <f>IFERROR(SUMIFS(Tabela10[Fod Worth],Tabela10[Drop],DropAnalityka[[#This Row],[Drop]],Tabela10[Grade],DropAnalityka[[#This Row],[Grade]])*DropAnalityka[[#This Row],[Quality/Quantity]],0)</f>
        <v>0</v>
      </c>
      <c r="L858" s="49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217</v>
      </c>
      <c r="B859" t="s">
        <v>9</v>
      </c>
      <c r="C859">
        <v>9</v>
      </c>
      <c r="D859">
        <v>2956</v>
      </c>
      <c r="E859">
        <v>0</v>
      </c>
      <c r="F859" t="s">
        <v>271</v>
      </c>
      <c r="G859">
        <v>5</v>
      </c>
      <c r="H859" t="s">
        <v>292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9">
        <f>IFERROR(SUMIFS(Tabela10[Fod Worth],Tabela10[Drop],DropAnalityka[[#This Row],[Drop]],Tabela10[Grade],DropAnalityka[[#This Row],[Grade]])*DropAnalityka[[#This Row],[Quality/Quantity]],0)</f>
        <v>0</v>
      </c>
      <c r="L859" s="49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217</v>
      </c>
      <c r="B860" t="s">
        <v>9</v>
      </c>
      <c r="C860">
        <v>9</v>
      </c>
      <c r="D860">
        <v>2657</v>
      </c>
      <c r="E860">
        <v>1</v>
      </c>
      <c r="F860" t="s">
        <v>271</v>
      </c>
      <c r="G860">
        <v>5</v>
      </c>
      <c r="H860" t="s">
        <v>292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9">
        <f>IFERROR(SUMIFS(Tabela10[Fod Worth],Tabela10[Drop],DropAnalityka[[#This Row],[Drop]],Tabela10[Grade],DropAnalityka[[#This Row],[Grade]])*DropAnalityka[[#This Row],[Quality/Quantity]],0)</f>
        <v>0</v>
      </c>
      <c r="L860" s="49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217</v>
      </c>
      <c r="B861" t="s">
        <v>9</v>
      </c>
      <c r="C861">
        <v>9</v>
      </c>
      <c r="D861">
        <v>2789</v>
      </c>
      <c r="E861">
        <v>0</v>
      </c>
      <c r="F861" t="s">
        <v>216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9">
        <f>IFERROR(SUMIFS(Tabela10[Fod Worth],Tabela10[Drop],DropAnalityka[[#This Row],[Drop]],Tabela10[Grade],DropAnalityka[[#This Row],[Grade]])*DropAnalityka[[#This Row],[Quality/Quantity]],0)</f>
        <v>0</v>
      </c>
      <c r="L861" s="49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217</v>
      </c>
      <c r="B862" t="s">
        <v>9</v>
      </c>
      <c r="C862">
        <v>9</v>
      </c>
      <c r="D862">
        <v>2793</v>
      </c>
      <c r="E862">
        <v>1</v>
      </c>
      <c r="F862" t="s">
        <v>271</v>
      </c>
      <c r="G862">
        <v>5</v>
      </c>
      <c r="H862" t="s">
        <v>292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9">
        <f>IFERROR(SUMIFS(Tabela10[Fod Worth],Tabela10[Drop],DropAnalityka[[#This Row],[Drop]],Tabela10[Grade],DropAnalityka[[#This Row],[Grade]])*DropAnalityka[[#This Row],[Quality/Quantity]],0)</f>
        <v>0</v>
      </c>
      <c r="L862" s="49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217</v>
      </c>
      <c r="B863" t="s">
        <v>9</v>
      </c>
      <c r="C863">
        <v>9</v>
      </c>
      <c r="D863">
        <v>2869</v>
      </c>
      <c r="E863">
        <v>2</v>
      </c>
      <c r="F863" t="s">
        <v>271</v>
      </c>
      <c r="G863">
        <v>4</v>
      </c>
      <c r="H863" t="s">
        <v>292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9">
        <f>IFERROR(SUMIFS(Tabela10[Fod Worth],Tabela10[Drop],DropAnalityka[[#This Row],[Drop]],Tabela10[Grade],DropAnalityka[[#This Row],[Grade]])*DropAnalityka[[#This Row],[Quality/Quantity]],0)</f>
        <v>0</v>
      </c>
      <c r="L863" s="49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217</v>
      </c>
      <c r="B864" t="s">
        <v>9</v>
      </c>
      <c r="C864">
        <v>9</v>
      </c>
      <c r="D864">
        <v>2638</v>
      </c>
      <c r="E864">
        <v>1</v>
      </c>
      <c r="F864" t="s">
        <v>216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9">
        <f>IFERROR(SUMIFS(Tabela10[Fod Worth],Tabela10[Drop],DropAnalityka[[#This Row],[Drop]],Tabela10[Grade],DropAnalityka[[#This Row],[Grade]])*DropAnalityka[[#This Row],[Quality/Quantity]],0)</f>
        <v>0</v>
      </c>
      <c r="L864" s="49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217</v>
      </c>
      <c r="B865" t="s">
        <v>9</v>
      </c>
      <c r="C865">
        <v>9</v>
      </c>
      <c r="D865">
        <v>2929</v>
      </c>
      <c r="E865">
        <v>1</v>
      </c>
      <c r="F865" t="s">
        <v>271</v>
      </c>
      <c r="G865">
        <v>1</v>
      </c>
      <c r="H865" t="s">
        <v>314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9">
        <f>IFERROR(SUMIFS(Tabela10[Fod Worth],Tabela10[Drop],DropAnalityka[[#This Row],[Drop]],Tabela10[Grade],DropAnalityka[[#This Row],[Grade]])*DropAnalityka[[#This Row],[Quality/Quantity]],0)</f>
        <v>0</v>
      </c>
      <c r="L865" s="49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217</v>
      </c>
      <c r="B866" t="s">
        <v>9</v>
      </c>
      <c r="C866">
        <v>9</v>
      </c>
      <c r="D866">
        <v>2423</v>
      </c>
      <c r="E866">
        <v>1</v>
      </c>
      <c r="F866" t="s">
        <v>271</v>
      </c>
      <c r="G866">
        <v>3</v>
      </c>
      <c r="H866" t="s">
        <v>292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9">
        <f>IFERROR(SUMIFS(Tabela10[Fod Worth],Tabela10[Drop],DropAnalityka[[#This Row],[Drop]],Tabela10[Grade],DropAnalityka[[#This Row],[Grade]])*DropAnalityka[[#This Row],[Quality/Quantity]],0)</f>
        <v>0</v>
      </c>
      <c r="L866" s="49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217</v>
      </c>
      <c r="B867" t="s">
        <v>9</v>
      </c>
      <c r="C867">
        <v>9</v>
      </c>
      <c r="D867">
        <v>2881</v>
      </c>
      <c r="E867">
        <v>0</v>
      </c>
      <c r="F867" t="s">
        <v>271</v>
      </c>
      <c r="G867">
        <v>5</v>
      </c>
      <c r="H867" t="s">
        <v>292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9">
        <f>IFERROR(SUMIFS(Tabela10[Fod Worth],Tabela10[Drop],DropAnalityka[[#This Row],[Drop]],Tabela10[Grade],DropAnalityka[[#This Row],[Grade]])*DropAnalityka[[#This Row],[Quality/Quantity]],0)</f>
        <v>0</v>
      </c>
      <c r="L867" s="49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217</v>
      </c>
      <c r="B868" t="s">
        <v>9</v>
      </c>
      <c r="C868">
        <v>9</v>
      </c>
      <c r="D868">
        <v>3128</v>
      </c>
      <c r="E868">
        <v>1</v>
      </c>
      <c r="F868" t="s">
        <v>271</v>
      </c>
      <c r="G868">
        <v>4</v>
      </c>
      <c r="H868" t="s">
        <v>292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9">
        <f>IFERROR(SUMIFS(Tabela10[Fod Worth],Tabela10[Drop],DropAnalityka[[#This Row],[Drop]],Tabela10[Grade],DropAnalityka[[#This Row],[Grade]])*DropAnalityka[[#This Row],[Quality/Quantity]],0)</f>
        <v>0</v>
      </c>
      <c r="L868" s="49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217</v>
      </c>
      <c r="B869" t="s">
        <v>9</v>
      </c>
      <c r="C869">
        <v>9</v>
      </c>
      <c r="D869">
        <v>3042</v>
      </c>
      <c r="E869">
        <v>0</v>
      </c>
      <c r="F869" t="s">
        <v>271</v>
      </c>
      <c r="G869">
        <v>3</v>
      </c>
      <c r="H869" t="s">
        <v>293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9">
        <f>IFERROR(SUMIFS(Tabela10[Fod Worth],Tabela10[Drop],DropAnalityka[[#This Row],[Drop]],Tabela10[Grade],DropAnalityka[[#This Row],[Grade]])*DropAnalityka[[#This Row],[Quality/Quantity]],0)</f>
        <v>0</v>
      </c>
      <c r="L869" s="49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217</v>
      </c>
      <c r="B870" t="s">
        <v>9</v>
      </c>
      <c r="C870">
        <v>9</v>
      </c>
      <c r="D870">
        <v>2846</v>
      </c>
      <c r="E870">
        <v>1</v>
      </c>
      <c r="F870" t="s">
        <v>271</v>
      </c>
      <c r="G870">
        <v>1</v>
      </c>
      <c r="H870" t="s">
        <v>293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9">
        <f>IFERROR(SUMIFS(Tabela10[Fod Worth],Tabela10[Drop],DropAnalityka[[#This Row],[Drop]],Tabela10[Grade],DropAnalityka[[#This Row],[Grade]])*DropAnalityka[[#This Row],[Quality/Quantity]],0)</f>
        <v>0</v>
      </c>
      <c r="L870" s="49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217</v>
      </c>
      <c r="B871" t="s">
        <v>9</v>
      </c>
      <c r="C871">
        <v>9</v>
      </c>
      <c r="D871">
        <v>3112</v>
      </c>
      <c r="E871">
        <v>1</v>
      </c>
      <c r="F871" t="s">
        <v>271</v>
      </c>
      <c r="G871">
        <v>1</v>
      </c>
      <c r="H871" t="s">
        <v>293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9">
        <f>IFERROR(SUMIFS(Tabela10[Fod Worth],Tabela10[Drop],DropAnalityka[[#This Row],[Drop]],Tabela10[Grade],DropAnalityka[[#This Row],[Grade]])*DropAnalityka[[#This Row],[Quality/Quantity]],0)</f>
        <v>0</v>
      </c>
      <c r="L871" s="49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217</v>
      </c>
      <c r="B872" t="s">
        <v>9</v>
      </c>
      <c r="C872">
        <v>9</v>
      </c>
      <c r="D872">
        <v>2928</v>
      </c>
      <c r="E872">
        <v>1</v>
      </c>
      <c r="F872" t="s">
        <v>271</v>
      </c>
      <c r="G872">
        <v>4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9">
        <f>IFERROR(SUMIFS(Tabela10[Fod Worth],Tabela10[Drop],DropAnalityka[[#This Row],[Drop]],Tabela10[Grade],DropAnalityka[[#This Row],[Grade]])*DropAnalityka[[#This Row],[Quality/Quantity]],0)</f>
        <v>0</v>
      </c>
      <c r="L872" s="49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217</v>
      </c>
      <c r="B873" t="s">
        <v>9</v>
      </c>
      <c r="C873">
        <v>9</v>
      </c>
      <c r="D873">
        <v>2702</v>
      </c>
      <c r="E873">
        <v>1</v>
      </c>
      <c r="F873" t="s">
        <v>271</v>
      </c>
      <c r="G873">
        <v>2</v>
      </c>
      <c r="H873" t="s">
        <v>314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9">
        <f>IFERROR(SUMIFS(Tabela10[Fod Worth],Tabela10[Drop],DropAnalityka[[#This Row],[Drop]],Tabela10[Grade],DropAnalityka[[#This Row],[Grade]])*DropAnalityka[[#This Row],[Quality/Quantity]],0)</f>
        <v>0</v>
      </c>
      <c r="L873" s="49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237</v>
      </c>
      <c r="B874" t="s">
        <v>9</v>
      </c>
      <c r="C874" t="s">
        <v>26</v>
      </c>
      <c r="D874">
        <v>6071</v>
      </c>
      <c r="E874">
        <v>0</v>
      </c>
      <c r="F874" t="s">
        <v>215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9">
        <f>IFERROR(SUMIFS(Tabela10[Fod Worth],Tabela10[Drop],DropAnalityka[[#This Row],[Drop]],Tabela10[Grade],DropAnalityka[[#This Row],[Grade]])*DropAnalityka[[#This Row],[Quality/Quantity]],0)</f>
        <v>3450</v>
      </c>
      <c r="L874" s="49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237</v>
      </c>
      <c r="B875" t="s">
        <v>9</v>
      </c>
      <c r="C875" t="s">
        <v>26</v>
      </c>
      <c r="D875">
        <v>5719</v>
      </c>
      <c r="E875">
        <v>0</v>
      </c>
      <c r="F875" t="s">
        <v>215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9">
        <f>IFERROR(SUMIFS(Tabela10[Fod Worth],Tabela10[Drop],DropAnalityka[[#This Row],[Drop]],Tabela10[Grade],DropAnalityka[[#This Row],[Grade]])*DropAnalityka[[#This Row],[Quality/Quantity]],0)</f>
        <v>3450</v>
      </c>
      <c r="L875" s="49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237</v>
      </c>
      <c r="B876" t="s">
        <v>9</v>
      </c>
      <c r="C876" t="s">
        <v>26</v>
      </c>
      <c r="D876">
        <v>5444</v>
      </c>
      <c r="E876">
        <v>0</v>
      </c>
      <c r="F876" t="s">
        <v>215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9">
        <f>IFERROR(SUMIFS(Tabela10[Fod Worth],Tabela10[Drop],DropAnalityka[[#This Row],[Drop]],Tabela10[Grade],DropAnalityka[[#This Row],[Grade]])*DropAnalityka[[#This Row],[Quality/Quantity]],0)</f>
        <v>3450</v>
      </c>
      <c r="L876" s="49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237</v>
      </c>
      <c r="B877" t="s">
        <v>9</v>
      </c>
      <c r="C877" t="s">
        <v>26</v>
      </c>
      <c r="D877">
        <v>5741</v>
      </c>
      <c r="E877">
        <v>0</v>
      </c>
      <c r="F877" t="s">
        <v>215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9">
        <f>IFERROR(SUMIFS(Tabela10[Fod Worth],Tabela10[Drop],DropAnalityka[[#This Row],[Drop]],Tabela10[Grade],DropAnalityka[[#This Row],[Grade]])*DropAnalityka[[#This Row],[Quality/Quantity]],0)</f>
        <v>3450</v>
      </c>
      <c r="L877" s="49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237</v>
      </c>
      <c r="B878" t="s">
        <v>9</v>
      </c>
      <c r="C878" t="s">
        <v>26</v>
      </c>
      <c r="D878">
        <v>6031</v>
      </c>
      <c r="E878">
        <v>0</v>
      </c>
      <c r="F878" t="s">
        <v>215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9">
        <f>IFERROR(SUMIFS(Tabela10[Fod Worth],Tabela10[Drop],DropAnalityka[[#This Row],[Drop]],Tabela10[Grade],DropAnalityka[[#This Row],[Grade]])*DropAnalityka[[#This Row],[Quality/Quantity]],0)</f>
        <v>3450</v>
      </c>
      <c r="L878" s="49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237</v>
      </c>
      <c r="B879" t="s">
        <v>9</v>
      </c>
      <c r="C879" t="s">
        <v>26</v>
      </c>
      <c r="D879">
        <v>5574</v>
      </c>
      <c r="E879">
        <v>0</v>
      </c>
      <c r="F879" t="s">
        <v>215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9">
        <f>IFERROR(SUMIFS(Tabela10[Fod Worth],Tabela10[Drop],DropAnalityka[[#This Row],[Drop]],Tabela10[Grade],DropAnalityka[[#This Row],[Grade]])*DropAnalityka[[#This Row],[Quality/Quantity]],0)</f>
        <v>3450</v>
      </c>
      <c r="L879" s="49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237</v>
      </c>
      <c r="B880" t="s">
        <v>9</v>
      </c>
      <c r="C880" t="s">
        <v>26</v>
      </c>
      <c r="D880">
        <v>6065</v>
      </c>
      <c r="E880">
        <v>0</v>
      </c>
      <c r="F880" t="s">
        <v>215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9">
        <f>IFERROR(SUMIFS(Tabela10[Fod Worth],Tabela10[Drop],DropAnalityka[[#This Row],[Drop]],Tabela10[Grade],DropAnalityka[[#This Row],[Grade]])*DropAnalityka[[#This Row],[Quality/Quantity]],0)</f>
        <v>3450</v>
      </c>
      <c r="L880" s="49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237</v>
      </c>
      <c r="B881" t="s">
        <v>9</v>
      </c>
      <c r="C881" t="s">
        <v>26</v>
      </c>
      <c r="D881">
        <v>5631</v>
      </c>
      <c r="E881">
        <v>0</v>
      </c>
      <c r="F881" t="s">
        <v>215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9">
        <f>IFERROR(SUMIFS(Tabela10[Fod Worth],Tabela10[Drop],DropAnalityka[[#This Row],[Drop]],Tabela10[Grade],DropAnalityka[[#This Row],[Grade]])*DropAnalityka[[#This Row],[Quality/Quantity]],0)</f>
        <v>3450</v>
      </c>
      <c r="L881" s="49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217</v>
      </c>
      <c r="B882" t="s">
        <v>9</v>
      </c>
      <c r="C882">
        <v>9</v>
      </c>
      <c r="D882">
        <v>2671</v>
      </c>
      <c r="E882">
        <v>0</v>
      </c>
      <c r="F882" t="s">
        <v>271</v>
      </c>
      <c r="G882">
        <v>1</v>
      </c>
      <c r="H882" t="s">
        <v>314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9">
        <f>IFERROR(SUMIFS(Tabela10[Fod Worth],Tabela10[Drop],DropAnalityka[[#This Row],[Drop]],Tabela10[Grade],DropAnalityka[[#This Row],[Grade]])*DropAnalityka[[#This Row],[Quality/Quantity]],0)</f>
        <v>0</v>
      </c>
      <c r="L882" s="49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217</v>
      </c>
      <c r="B883" t="s">
        <v>9</v>
      </c>
      <c r="C883">
        <v>9</v>
      </c>
      <c r="D883">
        <v>2940</v>
      </c>
      <c r="E883">
        <v>0</v>
      </c>
      <c r="F883" t="s">
        <v>271</v>
      </c>
      <c r="G883">
        <v>1</v>
      </c>
      <c r="H883" t="s">
        <v>293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9">
        <f>IFERROR(SUMIFS(Tabela10[Fod Worth],Tabela10[Drop],DropAnalityka[[#This Row],[Drop]],Tabela10[Grade],DropAnalityka[[#This Row],[Grade]])*DropAnalityka[[#This Row],[Quality/Quantity]],0)</f>
        <v>0</v>
      </c>
      <c r="L883" s="49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217</v>
      </c>
      <c r="B884" t="s">
        <v>9</v>
      </c>
      <c r="C884">
        <v>9</v>
      </c>
      <c r="D884">
        <v>2643</v>
      </c>
      <c r="E884">
        <v>2</v>
      </c>
      <c r="F884" t="s">
        <v>271</v>
      </c>
      <c r="G884">
        <v>1</v>
      </c>
      <c r="H884" t="s">
        <v>293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9">
        <f>IFERROR(SUMIFS(Tabela10[Fod Worth],Tabela10[Drop],DropAnalityka[[#This Row],[Drop]],Tabela10[Grade],DropAnalityka[[#This Row],[Grade]])*DropAnalityka[[#This Row],[Quality/Quantity]],0)</f>
        <v>0</v>
      </c>
      <c r="L884" s="49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217</v>
      </c>
      <c r="B885" t="s">
        <v>9</v>
      </c>
      <c r="C885">
        <v>9</v>
      </c>
      <c r="D885">
        <v>2968</v>
      </c>
      <c r="E885">
        <v>0</v>
      </c>
      <c r="F885" t="s">
        <v>271</v>
      </c>
      <c r="G885">
        <v>3</v>
      </c>
      <c r="H885" t="s">
        <v>314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9">
        <f>IFERROR(SUMIFS(Tabela10[Fod Worth],Tabela10[Drop],DropAnalityka[[#This Row],[Drop]],Tabela10[Grade],DropAnalityka[[#This Row],[Grade]])*DropAnalityka[[#This Row],[Quality/Quantity]],0)</f>
        <v>0</v>
      </c>
      <c r="L885" s="49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217</v>
      </c>
      <c r="B886" t="s">
        <v>9</v>
      </c>
      <c r="C886">
        <v>9</v>
      </c>
      <c r="D886">
        <v>2502</v>
      </c>
      <c r="E886">
        <v>2</v>
      </c>
      <c r="F886" t="s">
        <v>271</v>
      </c>
      <c r="G886">
        <v>2</v>
      </c>
      <c r="H886" t="s">
        <v>314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9">
        <f>IFERROR(SUMIFS(Tabela10[Fod Worth],Tabela10[Drop],DropAnalityka[[#This Row],[Drop]],Tabela10[Grade],DropAnalityka[[#This Row],[Grade]])*DropAnalityka[[#This Row],[Quality/Quantity]],0)</f>
        <v>0</v>
      </c>
      <c r="L886" s="49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217</v>
      </c>
      <c r="B887" t="s">
        <v>9</v>
      </c>
      <c r="C887">
        <v>9</v>
      </c>
      <c r="D887">
        <v>2719</v>
      </c>
      <c r="E887">
        <v>3</v>
      </c>
      <c r="F887" t="s">
        <v>237</v>
      </c>
      <c r="G887" t="s">
        <v>306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9">
        <f>IFERROR(SUMIFS(Tabela10[Fod Worth],Tabela10[Drop],DropAnalityka[[#This Row],[Drop]],Tabela10[Grade],DropAnalityka[[#This Row],[Grade]])*DropAnalityka[[#This Row],[Quality/Quantity]],0)</f>
        <v>0</v>
      </c>
      <c r="L887" s="49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217</v>
      </c>
      <c r="B888" t="s">
        <v>9</v>
      </c>
      <c r="C888">
        <v>9</v>
      </c>
      <c r="D888">
        <v>2733</v>
      </c>
      <c r="E888">
        <v>1</v>
      </c>
      <c r="F888" t="s">
        <v>271</v>
      </c>
      <c r="G888">
        <v>1</v>
      </c>
      <c r="H888" t="s">
        <v>314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9">
        <f>IFERROR(SUMIFS(Tabela10[Fod Worth],Tabela10[Drop],DropAnalityka[[#This Row],[Drop]],Tabela10[Grade],DropAnalityka[[#This Row],[Grade]])*DropAnalityka[[#This Row],[Quality/Quantity]],0)</f>
        <v>0</v>
      </c>
      <c r="L888" s="49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217</v>
      </c>
      <c r="B889" t="s">
        <v>9</v>
      </c>
      <c r="C889">
        <v>9</v>
      </c>
      <c r="D889">
        <v>2917</v>
      </c>
      <c r="E889">
        <v>1</v>
      </c>
      <c r="F889" t="s">
        <v>271</v>
      </c>
      <c r="G889">
        <v>1</v>
      </c>
      <c r="H889" t="s">
        <v>314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9">
        <f>IFERROR(SUMIFS(Tabela10[Fod Worth],Tabela10[Drop],DropAnalityka[[#This Row],[Drop]],Tabela10[Grade],DropAnalityka[[#This Row],[Grade]])*DropAnalityka[[#This Row],[Quality/Quantity]],0)</f>
        <v>0</v>
      </c>
      <c r="L889" s="49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217</v>
      </c>
      <c r="B890" t="s">
        <v>9</v>
      </c>
      <c r="C890">
        <v>9</v>
      </c>
      <c r="D890">
        <v>2662</v>
      </c>
      <c r="E890">
        <v>0</v>
      </c>
      <c r="F890" t="s">
        <v>271</v>
      </c>
      <c r="G890">
        <v>3</v>
      </c>
      <c r="H890" t="s">
        <v>293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9">
        <f>IFERROR(SUMIFS(Tabela10[Fod Worth],Tabela10[Drop],DropAnalityka[[#This Row],[Drop]],Tabela10[Grade],DropAnalityka[[#This Row],[Grade]])*DropAnalityka[[#This Row],[Quality/Quantity]],0)</f>
        <v>0</v>
      </c>
      <c r="L890" s="49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217</v>
      </c>
      <c r="B891" t="s">
        <v>9</v>
      </c>
      <c r="C891">
        <v>9</v>
      </c>
      <c r="D891">
        <v>2980</v>
      </c>
      <c r="E891">
        <v>1</v>
      </c>
      <c r="F891" t="s">
        <v>271</v>
      </c>
      <c r="G891">
        <v>2</v>
      </c>
      <c r="H891" t="s">
        <v>314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9">
        <f>IFERROR(SUMIFS(Tabela10[Fod Worth],Tabela10[Drop],DropAnalityka[[#This Row],[Drop]],Tabela10[Grade],DropAnalityka[[#This Row],[Grade]])*DropAnalityka[[#This Row],[Quality/Quantity]],0)</f>
        <v>0</v>
      </c>
      <c r="L891" s="49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217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9">
        <f>IFERROR(SUMIFS(Tabela10[Fod Worth],Tabela10[Drop],DropAnalityka[[#This Row],[Drop]],Tabela10[Grade],DropAnalityka[[#This Row],[Grade]])*DropAnalityka[[#This Row],[Quality/Quantity]],0)</f>
        <v>34500</v>
      </c>
      <c r="L892" s="49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217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9">
        <f>IFERROR(SUMIFS(Tabela10[Fod Worth],Tabela10[Drop],DropAnalityka[[#This Row],[Drop]],Tabela10[Grade],DropAnalityka[[#This Row],[Grade]])*DropAnalityka[[#This Row],[Quality/Quantity]],0)</f>
        <v>0</v>
      </c>
      <c r="L893" s="49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217</v>
      </c>
      <c r="B894" t="s">
        <v>9</v>
      </c>
      <c r="C894">
        <v>9</v>
      </c>
      <c r="D894">
        <v>2705</v>
      </c>
      <c r="E894">
        <v>1</v>
      </c>
      <c r="F894" t="s">
        <v>271</v>
      </c>
      <c r="G894">
        <v>1</v>
      </c>
      <c r="H894" t="s">
        <v>293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9">
        <f>IFERROR(SUMIFS(Tabela10[Fod Worth],Tabela10[Drop],DropAnalityka[[#This Row],[Drop]],Tabela10[Grade],DropAnalityka[[#This Row],[Grade]])*DropAnalityka[[#This Row],[Quality/Quantity]],0)</f>
        <v>0</v>
      </c>
      <c r="L894" s="49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217</v>
      </c>
      <c r="B895" t="s">
        <v>9</v>
      </c>
      <c r="C895">
        <v>9</v>
      </c>
      <c r="D895">
        <v>2769</v>
      </c>
      <c r="E895">
        <v>1</v>
      </c>
      <c r="F895" t="s">
        <v>271</v>
      </c>
      <c r="G895">
        <v>1</v>
      </c>
      <c r="H895" t="s">
        <v>293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9">
        <f>IFERROR(SUMIFS(Tabela10[Fod Worth],Tabela10[Drop],DropAnalityka[[#This Row],[Drop]],Tabela10[Grade],DropAnalityka[[#This Row],[Grade]])*DropAnalityka[[#This Row],[Quality/Quantity]],0)</f>
        <v>0</v>
      </c>
      <c r="L895" s="49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274</v>
      </c>
      <c r="G896">
        <v>5</v>
      </c>
      <c r="H896" t="s">
        <v>292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9">
        <f>IFERROR(SUMIFS(Tabela10[Fod Worth],Tabela10[Drop],DropAnalityka[[#This Row],[Drop]],Tabela10[Grade],DropAnalityka[[#This Row],[Grade]])*DropAnalityka[[#This Row],[Quality/Quantity]],0)</f>
        <v>0</v>
      </c>
      <c r="L896" s="49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307</v>
      </c>
      <c r="B897" t="s">
        <v>9</v>
      </c>
      <c r="C897">
        <v>9</v>
      </c>
      <c r="D897">
        <v>2838</v>
      </c>
      <c r="E897">
        <v>0</v>
      </c>
      <c r="F897" t="s">
        <v>272</v>
      </c>
      <c r="G897">
        <v>4</v>
      </c>
      <c r="H897" t="s">
        <v>292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9">
        <f>IFERROR(SUMIFS(Tabela10[Fod Worth],Tabela10[Drop],DropAnalityka[[#This Row],[Drop]],Tabela10[Grade],DropAnalityka[[#This Row],[Grade]])*DropAnalityka[[#This Row],[Quality/Quantity]],0)</f>
        <v>0</v>
      </c>
      <c r="L897" s="49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307</v>
      </c>
      <c r="B898" t="s">
        <v>9</v>
      </c>
      <c r="C898">
        <v>9</v>
      </c>
      <c r="D898">
        <v>2427</v>
      </c>
      <c r="E898">
        <v>1</v>
      </c>
      <c r="F898" t="s">
        <v>286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9">
        <f>IFERROR(SUMIFS(Tabela10[Fod Worth],Tabela10[Drop],DropAnalityka[[#This Row],[Drop]],Tabela10[Grade],DropAnalityka[[#This Row],[Grade]])*DropAnalityka[[#This Row],[Quality/Quantity]],0)</f>
        <v>0</v>
      </c>
      <c r="L898" s="49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307</v>
      </c>
      <c r="B899" t="s">
        <v>9</v>
      </c>
      <c r="C899">
        <v>9</v>
      </c>
      <c r="D899">
        <v>3047</v>
      </c>
      <c r="E899">
        <v>2</v>
      </c>
      <c r="F899" t="s">
        <v>272</v>
      </c>
      <c r="G899">
        <v>1</v>
      </c>
      <c r="H899" t="s">
        <v>314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9">
        <f>IFERROR(SUMIFS(Tabela10[Fod Worth],Tabela10[Drop],DropAnalityka[[#This Row],[Drop]],Tabela10[Grade],DropAnalityka[[#This Row],[Grade]])*DropAnalityka[[#This Row],[Quality/Quantity]],0)</f>
        <v>0</v>
      </c>
      <c r="L899" s="49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307</v>
      </c>
      <c r="B900" t="s">
        <v>9</v>
      </c>
      <c r="C900">
        <v>9</v>
      </c>
      <c r="D900">
        <v>2866</v>
      </c>
      <c r="E900">
        <v>1</v>
      </c>
      <c r="F900" t="s">
        <v>216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9">
        <f>IFERROR(SUMIFS(Tabela10[Fod Worth],Tabela10[Drop],DropAnalityka[[#This Row],[Drop]],Tabela10[Grade],DropAnalityka[[#This Row],[Grade]])*DropAnalityka[[#This Row],[Quality/Quantity]],0)</f>
        <v>0</v>
      </c>
      <c r="L900" s="49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307</v>
      </c>
      <c r="B901" t="s">
        <v>9</v>
      </c>
      <c r="C901">
        <v>9</v>
      </c>
      <c r="D901">
        <v>2763</v>
      </c>
      <c r="E901">
        <v>0</v>
      </c>
      <c r="F901" t="s">
        <v>286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9">
        <f>IFERROR(SUMIFS(Tabela10[Fod Worth],Tabela10[Drop],DropAnalityka[[#This Row],[Drop]],Tabela10[Grade],DropAnalityka[[#This Row],[Grade]])*DropAnalityka[[#This Row],[Quality/Quantity]],0)</f>
        <v>0</v>
      </c>
      <c r="L901" s="49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307</v>
      </c>
      <c r="B902" t="s">
        <v>9</v>
      </c>
      <c r="C902">
        <v>9</v>
      </c>
      <c r="D902">
        <v>3056</v>
      </c>
      <c r="E902">
        <v>1</v>
      </c>
      <c r="F902" t="s">
        <v>286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9">
        <f>IFERROR(SUMIFS(Tabela10[Fod Worth],Tabela10[Drop],DropAnalityka[[#This Row],[Drop]],Tabela10[Grade],DropAnalityka[[#This Row],[Grade]])*DropAnalityka[[#This Row],[Quality/Quantity]],0)</f>
        <v>0</v>
      </c>
      <c r="L902" s="49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307</v>
      </c>
      <c r="B903" t="s">
        <v>9</v>
      </c>
      <c r="C903">
        <v>9</v>
      </c>
      <c r="D903">
        <v>2719</v>
      </c>
      <c r="E903">
        <v>0</v>
      </c>
      <c r="F903" t="s">
        <v>272</v>
      </c>
      <c r="G903">
        <v>5</v>
      </c>
      <c r="H903" t="s">
        <v>292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9">
        <f>IFERROR(SUMIFS(Tabela10[Fod Worth],Tabela10[Drop],DropAnalityka[[#This Row],[Drop]],Tabela10[Grade],DropAnalityka[[#This Row],[Grade]])*DropAnalityka[[#This Row],[Quality/Quantity]],0)</f>
        <v>0</v>
      </c>
      <c r="L903" s="49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307</v>
      </c>
      <c r="B904" t="s">
        <v>9</v>
      </c>
      <c r="C904">
        <v>9</v>
      </c>
      <c r="D904">
        <v>2911</v>
      </c>
      <c r="E904">
        <v>1</v>
      </c>
      <c r="F904" t="s">
        <v>272</v>
      </c>
      <c r="G904">
        <v>5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9">
        <f>IFERROR(SUMIFS(Tabela10[Fod Worth],Tabela10[Drop],DropAnalityka[[#This Row],[Drop]],Tabela10[Grade],DropAnalityka[[#This Row],[Grade]])*DropAnalityka[[#This Row],[Quality/Quantity]],0)</f>
        <v>0</v>
      </c>
      <c r="L904" s="49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307</v>
      </c>
      <c r="B905" t="s">
        <v>9</v>
      </c>
      <c r="C905">
        <v>9</v>
      </c>
      <c r="D905">
        <v>2858</v>
      </c>
      <c r="E905">
        <v>0</v>
      </c>
      <c r="F905" t="s">
        <v>272</v>
      </c>
      <c r="G905">
        <v>1</v>
      </c>
      <c r="H905" t="s">
        <v>314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9">
        <f>IFERROR(SUMIFS(Tabela10[Fod Worth],Tabela10[Drop],DropAnalityka[[#This Row],[Drop]],Tabela10[Grade],DropAnalityka[[#This Row],[Grade]])*DropAnalityka[[#This Row],[Quality/Quantity]],0)</f>
        <v>0</v>
      </c>
      <c r="L905" s="49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307</v>
      </c>
      <c r="B906" t="s">
        <v>9</v>
      </c>
      <c r="C906">
        <v>9</v>
      </c>
      <c r="D906">
        <v>2965</v>
      </c>
      <c r="E906">
        <v>1</v>
      </c>
      <c r="F906" t="s">
        <v>272</v>
      </c>
      <c r="G906">
        <v>3</v>
      </c>
      <c r="H906" t="s">
        <v>314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9">
        <f>IFERROR(SUMIFS(Tabela10[Fod Worth],Tabela10[Drop],DropAnalityka[[#This Row],[Drop]],Tabela10[Grade],DropAnalityka[[#This Row],[Grade]])*DropAnalityka[[#This Row],[Quality/Quantity]],0)</f>
        <v>0</v>
      </c>
      <c r="L906" s="49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307</v>
      </c>
      <c r="B907" t="s">
        <v>9</v>
      </c>
      <c r="C907">
        <v>9</v>
      </c>
      <c r="D907">
        <v>3486</v>
      </c>
      <c r="E907">
        <v>1</v>
      </c>
      <c r="F907" t="s">
        <v>216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9">
        <f>IFERROR(SUMIFS(Tabela10[Fod Worth],Tabela10[Drop],DropAnalityka[[#This Row],[Drop]],Tabela10[Grade],DropAnalityka[[#This Row],[Grade]])*DropAnalityka[[#This Row],[Quality/Quantity]],0)</f>
        <v>0</v>
      </c>
      <c r="L907" s="49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307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9">
        <f>IFERROR(SUMIFS(Tabela10[Fod Worth],Tabela10[Drop],DropAnalityka[[#This Row],[Drop]],Tabela10[Grade],DropAnalityka[[#This Row],[Grade]])*DropAnalityka[[#This Row],[Quality/Quantity]],0)</f>
        <v>34500</v>
      </c>
      <c r="L908" s="49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307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9">
        <f>IFERROR(SUMIFS(Tabela10[Fod Worth],Tabela10[Drop],DropAnalityka[[#This Row],[Drop]],Tabela10[Grade],DropAnalityka[[#This Row],[Grade]])*DropAnalityka[[#This Row],[Quality/Quantity]],0)</f>
        <v>0</v>
      </c>
      <c r="L909" s="49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307</v>
      </c>
      <c r="B910" t="s">
        <v>9</v>
      </c>
      <c r="C910">
        <v>9</v>
      </c>
      <c r="D910">
        <v>2744</v>
      </c>
      <c r="E910">
        <v>1</v>
      </c>
      <c r="F910" t="s">
        <v>272</v>
      </c>
      <c r="G910">
        <v>1</v>
      </c>
      <c r="H910" t="s">
        <v>293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9">
        <f>IFERROR(SUMIFS(Tabela10[Fod Worth],Tabela10[Drop],DropAnalityka[[#This Row],[Drop]],Tabela10[Grade],DropAnalityka[[#This Row],[Grade]])*DropAnalityka[[#This Row],[Quality/Quantity]],0)</f>
        <v>0</v>
      </c>
      <c r="L910" s="49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307</v>
      </c>
      <c r="B911" t="s">
        <v>9</v>
      </c>
      <c r="C911">
        <v>9</v>
      </c>
      <c r="D911">
        <v>2564</v>
      </c>
      <c r="E911">
        <v>0</v>
      </c>
      <c r="F911" t="s">
        <v>272</v>
      </c>
      <c r="G911">
        <v>5</v>
      </c>
      <c r="H911" t="s">
        <v>292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9">
        <f>IFERROR(SUMIFS(Tabela10[Fod Worth],Tabela10[Drop],DropAnalityka[[#This Row],[Drop]],Tabela10[Grade],DropAnalityka[[#This Row],[Grade]])*DropAnalityka[[#This Row],[Quality/Quantity]],0)</f>
        <v>0</v>
      </c>
      <c r="L911" s="49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307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9">
        <f>IFERROR(SUMIFS(Tabela10[Fod Worth],Tabela10[Drop],DropAnalityka[[#This Row],[Drop]],Tabela10[Grade],DropAnalityka[[#This Row],[Grade]])*DropAnalityka[[#This Row],[Quality/Quantity]],0)</f>
        <v>34500</v>
      </c>
      <c r="L912" s="49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307</v>
      </c>
      <c r="B913" t="s">
        <v>9</v>
      </c>
      <c r="C913">
        <v>9</v>
      </c>
      <c r="D913">
        <v>2779</v>
      </c>
      <c r="E913">
        <v>0</v>
      </c>
      <c r="F913" t="s">
        <v>286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9">
        <f>IFERROR(SUMIFS(Tabela10[Fod Worth],Tabela10[Drop],DropAnalityka[[#This Row],[Drop]],Tabela10[Grade],DropAnalityka[[#This Row],[Grade]])*DropAnalityka[[#This Row],[Quality/Quantity]],0)</f>
        <v>0</v>
      </c>
      <c r="L913" s="49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274</v>
      </c>
      <c r="G914">
        <v>3</v>
      </c>
      <c r="H914" t="s">
        <v>314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9">
        <f>IFERROR(SUMIFS(Tabela10[Fod Worth],Tabela10[Drop],DropAnalityka[[#This Row],[Drop]],Tabela10[Grade],DropAnalityka[[#This Row],[Grade]])*DropAnalityka[[#This Row],[Quality/Quantity]],0)</f>
        <v>0</v>
      </c>
      <c r="L914" s="49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307</v>
      </c>
      <c r="B915" t="s">
        <v>9</v>
      </c>
      <c r="C915">
        <v>9</v>
      </c>
      <c r="D915">
        <v>3032</v>
      </c>
      <c r="E915">
        <v>0</v>
      </c>
      <c r="F915" t="s">
        <v>272</v>
      </c>
      <c r="G915">
        <v>5</v>
      </c>
      <c r="H915" t="s">
        <v>292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9">
        <f>IFERROR(SUMIFS(Tabela10[Fod Worth],Tabela10[Drop],DropAnalityka[[#This Row],[Drop]],Tabela10[Grade],DropAnalityka[[#This Row],[Grade]])*DropAnalityka[[#This Row],[Quality/Quantity]],0)</f>
        <v>0</v>
      </c>
      <c r="L915" s="49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307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9">
        <f>IFERROR(SUMIFS(Tabela10[Fod Worth],Tabela10[Drop],DropAnalityka[[#This Row],[Drop]],Tabela10[Grade],DropAnalityka[[#This Row],[Grade]])*DropAnalityka[[#This Row],[Quality/Quantity]],0)</f>
        <v>34500</v>
      </c>
      <c r="L916" s="49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307</v>
      </c>
      <c r="B917" t="s">
        <v>9</v>
      </c>
      <c r="C917">
        <v>9</v>
      </c>
      <c r="D917">
        <v>2891</v>
      </c>
      <c r="E917">
        <v>2</v>
      </c>
      <c r="F917" t="s">
        <v>272</v>
      </c>
      <c r="G917">
        <v>1</v>
      </c>
      <c r="H917" t="s">
        <v>314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9">
        <f>IFERROR(SUMIFS(Tabela10[Fod Worth],Tabela10[Drop],DropAnalityka[[#This Row],[Drop]],Tabela10[Grade],DropAnalityka[[#This Row],[Grade]])*DropAnalityka[[#This Row],[Quality/Quantity]],0)</f>
        <v>0</v>
      </c>
      <c r="L917" s="49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307</v>
      </c>
      <c r="B918" t="s">
        <v>9</v>
      </c>
      <c r="C918">
        <v>9</v>
      </c>
      <c r="D918">
        <v>2799</v>
      </c>
      <c r="E918">
        <v>0</v>
      </c>
      <c r="F918" t="s">
        <v>272</v>
      </c>
      <c r="G918">
        <v>2</v>
      </c>
      <c r="H918" t="s">
        <v>314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9">
        <f>IFERROR(SUMIFS(Tabela10[Fod Worth],Tabela10[Drop],DropAnalityka[[#This Row],[Drop]],Tabela10[Grade],DropAnalityka[[#This Row],[Grade]])*DropAnalityka[[#This Row],[Quality/Quantity]],0)</f>
        <v>0</v>
      </c>
      <c r="L918" s="49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307</v>
      </c>
      <c r="B919" t="s">
        <v>9</v>
      </c>
      <c r="C919">
        <v>9</v>
      </c>
      <c r="D919">
        <v>3197</v>
      </c>
      <c r="E919">
        <v>1</v>
      </c>
      <c r="F919" t="s">
        <v>272</v>
      </c>
      <c r="G919">
        <v>2</v>
      </c>
      <c r="H919" t="s">
        <v>314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9">
        <f>IFERROR(SUMIFS(Tabela10[Fod Worth],Tabela10[Drop],DropAnalityka[[#This Row],[Drop]],Tabela10[Grade],DropAnalityka[[#This Row],[Grade]])*DropAnalityka[[#This Row],[Quality/Quantity]],0)</f>
        <v>0</v>
      </c>
      <c r="L919" s="49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307</v>
      </c>
      <c r="B920" t="s">
        <v>9</v>
      </c>
      <c r="C920">
        <v>9</v>
      </c>
      <c r="D920">
        <v>3013</v>
      </c>
      <c r="E920">
        <v>0</v>
      </c>
      <c r="F920" t="s">
        <v>272</v>
      </c>
      <c r="G920">
        <v>4</v>
      </c>
      <c r="H920" t="s">
        <v>292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9">
        <f>IFERROR(SUMIFS(Tabela10[Fod Worth],Tabela10[Drop],DropAnalityka[[#This Row],[Drop]],Tabela10[Grade],DropAnalityka[[#This Row],[Grade]])*DropAnalityka[[#This Row],[Quality/Quantity]],0)</f>
        <v>0</v>
      </c>
      <c r="L920" s="49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307</v>
      </c>
      <c r="B921" t="s">
        <v>9</v>
      </c>
      <c r="C921">
        <v>9</v>
      </c>
      <c r="D921">
        <v>3393</v>
      </c>
      <c r="E921">
        <v>1</v>
      </c>
      <c r="F921" t="s">
        <v>272</v>
      </c>
      <c r="G921">
        <v>4</v>
      </c>
      <c r="H921" t="s">
        <v>292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9">
        <f>IFERROR(SUMIFS(Tabela10[Fod Worth],Tabela10[Drop],DropAnalityka[[#This Row],[Drop]],Tabela10[Grade],DropAnalityka[[#This Row],[Grade]])*DropAnalityka[[#This Row],[Quality/Quantity]],0)</f>
        <v>0</v>
      </c>
      <c r="L921" s="49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307</v>
      </c>
      <c r="B922" t="s">
        <v>9</v>
      </c>
      <c r="C922">
        <v>9</v>
      </c>
      <c r="D922">
        <v>3290</v>
      </c>
      <c r="E922">
        <v>0</v>
      </c>
      <c r="F922" t="s">
        <v>310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9">
        <f>IFERROR(SUMIFS(Tabela10[Fod Worth],Tabela10[Drop],DropAnalityka[[#This Row],[Drop]],Tabela10[Grade],DropAnalityka[[#This Row],[Grade]])*DropAnalityka[[#This Row],[Quality/Quantity]],0)</f>
        <v>0</v>
      </c>
      <c r="L922" s="49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308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9">
        <f>IFERROR(SUMIFS(Tabela10[Fod Worth],Tabela10[Drop],DropAnalityka[[#This Row],[Drop]],Tabela10[Grade],DropAnalityka[[#This Row],[Grade]])*DropAnalityka[[#This Row],[Quality/Quantity]],0)</f>
        <v>0</v>
      </c>
      <c r="L923" s="49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307</v>
      </c>
      <c r="B924" t="s">
        <v>9</v>
      </c>
      <c r="C924">
        <v>9</v>
      </c>
      <c r="D924">
        <v>2551</v>
      </c>
      <c r="E924">
        <v>1</v>
      </c>
      <c r="F924" t="s">
        <v>237</v>
      </c>
      <c r="G924" t="s">
        <v>309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9">
        <f>IFERROR(SUMIFS(Tabela10[Fod Worth],Tabela10[Drop],DropAnalityka[[#This Row],[Drop]],Tabela10[Grade],DropAnalityka[[#This Row],[Grade]])*DropAnalityka[[#This Row],[Quality/Quantity]],0)</f>
        <v>0</v>
      </c>
      <c r="L924" s="49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307</v>
      </c>
      <c r="B925" t="s">
        <v>9</v>
      </c>
      <c r="C925">
        <v>9</v>
      </c>
      <c r="D925">
        <v>2856</v>
      </c>
      <c r="E925">
        <v>0</v>
      </c>
      <c r="F925" t="s">
        <v>272</v>
      </c>
      <c r="G925">
        <v>1</v>
      </c>
      <c r="H925" t="s">
        <v>293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9">
        <f>IFERROR(SUMIFS(Tabela10[Fod Worth],Tabela10[Drop],DropAnalityka[[#This Row],[Drop]],Tabela10[Grade],DropAnalityka[[#This Row],[Grade]])*DropAnalityka[[#This Row],[Quality/Quantity]],0)</f>
        <v>0</v>
      </c>
      <c r="L925" s="49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307</v>
      </c>
      <c r="B926" t="s">
        <v>9</v>
      </c>
      <c r="C926">
        <v>9</v>
      </c>
      <c r="D926">
        <v>2488</v>
      </c>
      <c r="E926">
        <v>1</v>
      </c>
      <c r="F926" t="s">
        <v>272</v>
      </c>
      <c r="G926">
        <v>3</v>
      </c>
      <c r="H926" t="s">
        <v>314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9">
        <f>IFERROR(SUMIFS(Tabela10[Fod Worth],Tabela10[Drop],DropAnalityka[[#This Row],[Drop]],Tabela10[Grade],DropAnalityka[[#This Row],[Grade]])*DropAnalityka[[#This Row],[Quality/Quantity]],0)</f>
        <v>0</v>
      </c>
      <c r="L926" s="49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307</v>
      </c>
      <c r="B927" t="s">
        <v>9</v>
      </c>
      <c r="C927">
        <v>9</v>
      </c>
      <c r="D927">
        <v>2583</v>
      </c>
      <c r="E927">
        <v>0</v>
      </c>
      <c r="F927" t="s">
        <v>272</v>
      </c>
      <c r="G927">
        <v>5</v>
      </c>
      <c r="H927" t="s">
        <v>292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9">
        <f>IFERROR(SUMIFS(Tabela10[Fod Worth],Tabela10[Drop],DropAnalityka[[#This Row],[Drop]],Tabela10[Grade],DropAnalityka[[#This Row],[Grade]])*DropAnalityka[[#This Row],[Quality/Quantity]],0)</f>
        <v>0</v>
      </c>
      <c r="L927" s="49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307</v>
      </c>
      <c r="B928" t="s">
        <v>9</v>
      </c>
      <c r="C928">
        <v>9</v>
      </c>
      <c r="D928">
        <v>2394</v>
      </c>
      <c r="E928">
        <v>0</v>
      </c>
      <c r="F928" t="s">
        <v>272</v>
      </c>
      <c r="G928">
        <v>4</v>
      </c>
      <c r="H928" t="s">
        <v>292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9">
        <f>IFERROR(SUMIFS(Tabela10[Fod Worth],Tabela10[Drop],DropAnalityka[[#This Row],[Drop]],Tabela10[Grade],DropAnalityka[[#This Row],[Grade]])*DropAnalityka[[#This Row],[Quality/Quantity]],0)</f>
        <v>0</v>
      </c>
      <c r="L928" s="49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307</v>
      </c>
      <c r="B929" t="s">
        <v>9</v>
      </c>
      <c r="C929">
        <v>9</v>
      </c>
      <c r="D929">
        <v>2703</v>
      </c>
      <c r="E929">
        <v>0</v>
      </c>
      <c r="F929" t="s">
        <v>272</v>
      </c>
      <c r="G929">
        <v>1</v>
      </c>
      <c r="H929" t="s">
        <v>293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9">
        <f>IFERROR(SUMIFS(Tabela10[Fod Worth],Tabela10[Drop],DropAnalityka[[#This Row],[Drop]],Tabela10[Grade],DropAnalityka[[#This Row],[Grade]])*DropAnalityka[[#This Row],[Quality/Quantity]],0)</f>
        <v>0</v>
      </c>
      <c r="L929" s="49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307</v>
      </c>
      <c r="B930" t="s">
        <v>9</v>
      </c>
      <c r="C930">
        <v>9</v>
      </c>
      <c r="D930">
        <v>2880</v>
      </c>
      <c r="E930">
        <v>1</v>
      </c>
      <c r="F930" t="s">
        <v>272</v>
      </c>
      <c r="G930">
        <v>4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9">
        <f>IFERROR(SUMIFS(Tabela10[Fod Worth],Tabela10[Drop],DropAnalityka[[#This Row],[Drop]],Tabela10[Grade],DropAnalityka[[#This Row],[Grade]])*DropAnalityka[[#This Row],[Quality/Quantity]],0)</f>
        <v>0</v>
      </c>
      <c r="L930" s="49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307</v>
      </c>
      <c r="B931" t="s">
        <v>9</v>
      </c>
      <c r="C931">
        <v>9</v>
      </c>
      <c r="D931">
        <v>2802</v>
      </c>
      <c r="E931">
        <v>0</v>
      </c>
      <c r="F931" t="s">
        <v>272</v>
      </c>
      <c r="G931">
        <v>3</v>
      </c>
      <c r="H931" t="s">
        <v>314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9">
        <f>IFERROR(SUMIFS(Tabela10[Fod Worth],Tabela10[Drop],DropAnalityka[[#This Row],[Drop]],Tabela10[Grade],DropAnalityka[[#This Row],[Grade]])*DropAnalityka[[#This Row],[Quality/Quantity]],0)</f>
        <v>0</v>
      </c>
      <c r="L931" s="49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307</v>
      </c>
      <c r="B932" t="s">
        <v>9</v>
      </c>
      <c r="C932">
        <v>9</v>
      </c>
      <c r="D932">
        <v>2784</v>
      </c>
      <c r="E932">
        <v>2</v>
      </c>
      <c r="F932" t="s">
        <v>286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9">
        <f>IFERROR(SUMIFS(Tabela10[Fod Worth],Tabela10[Drop],DropAnalityka[[#This Row],[Drop]],Tabela10[Grade],DropAnalityka[[#This Row],[Grade]])*DropAnalityka[[#This Row],[Quality/Quantity]],0)</f>
        <v>0</v>
      </c>
      <c r="L932" s="49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307</v>
      </c>
      <c r="B933" t="s">
        <v>9</v>
      </c>
      <c r="C933">
        <v>9</v>
      </c>
      <c r="D933">
        <v>2856</v>
      </c>
      <c r="E933">
        <v>0</v>
      </c>
      <c r="F933" t="s">
        <v>272</v>
      </c>
      <c r="G933">
        <v>3</v>
      </c>
      <c r="H933" t="s">
        <v>314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9">
        <f>IFERROR(SUMIFS(Tabela10[Fod Worth],Tabela10[Drop],DropAnalityka[[#This Row],[Drop]],Tabela10[Grade],DropAnalityka[[#This Row],[Grade]])*DropAnalityka[[#This Row],[Quality/Quantity]],0)</f>
        <v>0</v>
      </c>
      <c r="L933" s="49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307</v>
      </c>
      <c r="B934" t="s">
        <v>9</v>
      </c>
      <c r="C934">
        <v>9</v>
      </c>
      <c r="D934">
        <v>3481</v>
      </c>
      <c r="E934">
        <v>0</v>
      </c>
      <c r="F934" t="s">
        <v>272</v>
      </c>
      <c r="G934">
        <v>4</v>
      </c>
      <c r="H934" t="s">
        <v>292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9">
        <f>IFERROR(SUMIFS(Tabela10[Fod Worth],Tabela10[Drop],DropAnalityka[[#This Row],[Drop]],Tabela10[Grade],DropAnalityka[[#This Row],[Grade]])*DropAnalityka[[#This Row],[Quality/Quantity]],0)</f>
        <v>0</v>
      </c>
      <c r="L934" s="49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307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9">
        <f>IFERROR(SUMIFS(Tabela10[Fod Worth],Tabela10[Drop],DropAnalityka[[#This Row],[Drop]],Tabela10[Grade],DropAnalityka[[#This Row],[Grade]])*DropAnalityka[[#This Row],[Quality/Quantity]],0)</f>
        <v>0</v>
      </c>
      <c r="L935" s="49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307</v>
      </c>
      <c r="B936" t="s">
        <v>9</v>
      </c>
      <c r="C936">
        <v>9</v>
      </c>
      <c r="D936">
        <v>2809</v>
      </c>
      <c r="E936">
        <v>1</v>
      </c>
      <c r="F936" t="s">
        <v>216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9">
        <f>IFERROR(SUMIFS(Tabela10[Fod Worth],Tabela10[Drop],DropAnalityka[[#This Row],[Drop]],Tabela10[Grade],DropAnalityka[[#This Row],[Grade]])*DropAnalityka[[#This Row],[Quality/Quantity]],0)</f>
        <v>0</v>
      </c>
      <c r="L936" s="49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307</v>
      </c>
      <c r="B937" t="s">
        <v>9</v>
      </c>
      <c r="C937">
        <v>9</v>
      </c>
      <c r="D937">
        <v>2999</v>
      </c>
      <c r="E937">
        <v>0</v>
      </c>
      <c r="F937" t="s">
        <v>272</v>
      </c>
      <c r="G937">
        <v>5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9">
        <f>IFERROR(SUMIFS(Tabela10[Fod Worth],Tabela10[Drop],DropAnalityka[[#This Row],[Drop]],Tabela10[Grade],DropAnalityka[[#This Row],[Grade]])*DropAnalityka[[#This Row],[Quality/Quantity]],0)</f>
        <v>0</v>
      </c>
      <c r="L937" s="49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307</v>
      </c>
      <c r="B938" t="s">
        <v>9</v>
      </c>
      <c r="C938">
        <v>9</v>
      </c>
      <c r="D938">
        <v>2639</v>
      </c>
      <c r="E938">
        <v>1</v>
      </c>
      <c r="F938" t="s">
        <v>272</v>
      </c>
      <c r="G938">
        <v>2</v>
      </c>
      <c r="H938" t="s">
        <v>314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9">
        <f>IFERROR(SUMIFS(Tabela10[Fod Worth],Tabela10[Drop],DropAnalityka[[#This Row],[Drop]],Tabela10[Grade],DropAnalityka[[#This Row],[Grade]])*DropAnalityka[[#This Row],[Quality/Quantity]],0)</f>
        <v>0</v>
      </c>
      <c r="L938" s="49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307</v>
      </c>
      <c r="B939" t="s">
        <v>9</v>
      </c>
      <c r="C939">
        <v>9</v>
      </c>
      <c r="D939">
        <v>2853</v>
      </c>
      <c r="E939">
        <v>0</v>
      </c>
      <c r="F939" t="s">
        <v>272</v>
      </c>
      <c r="G939">
        <v>2</v>
      </c>
      <c r="H939" t="s">
        <v>293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9">
        <f>IFERROR(SUMIFS(Tabela10[Fod Worth],Tabela10[Drop],DropAnalityka[[#This Row],[Drop]],Tabela10[Grade],DropAnalityka[[#This Row],[Grade]])*DropAnalityka[[#This Row],[Quality/Quantity]],0)</f>
        <v>0</v>
      </c>
      <c r="L939" s="49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307</v>
      </c>
      <c r="B940" t="s">
        <v>9</v>
      </c>
      <c r="C940">
        <v>9</v>
      </c>
      <c r="D940">
        <v>3206</v>
      </c>
      <c r="E940">
        <v>1</v>
      </c>
      <c r="F940" t="s">
        <v>272</v>
      </c>
      <c r="G940">
        <v>4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9">
        <f>IFERROR(SUMIFS(Tabela10[Fod Worth],Tabela10[Drop],DropAnalityka[[#This Row],[Drop]],Tabela10[Grade],DropAnalityka[[#This Row],[Grade]])*DropAnalityka[[#This Row],[Quality/Quantity]],0)</f>
        <v>0</v>
      </c>
      <c r="L940" s="49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307</v>
      </c>
      <c r="B941" t="s">
        <v>9</v>
      </c>
      <c r="C941">
        <v>9</v>
      </c>
      <c r="D941">
        <v>3218</v>
      </c>
      <c r="E941">
        <v>0</v>
      </c>
      <c r="F941" t="s">
        <v>272</v>
      </c>
      <c r="G941">
        <v>3</v>
      </c>
      <c r="H941" t="s">
        <v>314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9">
        <f>IFERROR(SUMIFS(Tabela10[Fod Worth],Tabela10[Drop],DropAnalityka[[#This Row],[Drop]],Tabela10[Grade],DropAnalityka[[#This Row],[Grade]])*DropAnalityka[[#This Row],[Quality/Quantity]],0)</f>
        <v>0</v>
      </c>
      <c r="L941" s="49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307</v>
      </c>
      <c r="B942" t="s">
        <v>9</v>
      </c>
      <c r="C942">
        <v>9</v>
      </c>
      <c r="D942">
        <v>2853</v>
      </c>
      <c r="E942">
        <v>2</v>
      </c>
      <c r="F942" t="s">
        <v>272</v>
      </c>
      <c r="G942">
        <v>3</v>
      </c>
      <c r="H942" t="s">
        <v>293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9">
        <f>IFERROR(SUMIFS(Tabela10[Fod Worth],Tabela10[Drop],DropAnalityka[[#This Row],[Drop]],Tabela10[Grade],DropAnalityka[[#This Row],[Grade]])*DropAnalityka[[#This Row],[Quality/Quantity]],0)</f>
        <v>0</v>
      </c>
      <c r="L942" s="49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307</v>
      </c>
      <c r="B943" t="s">
        <v>9</v>
      </c>
      <c r="C943">
        <v>9</v>
      </c>
      <c r="D943">
        <v>2921</v>
      </c>
      <c r="E943">
        <v>0</v>
      </c>
      <c r="F943" t="s">
        <v>272</v>
      </c>
      <c r="G943">
        <v>1</v>
      </c>
      <c r="H943" t="s">
        <v>293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9">
        <f>IFERROR(SUMIFS(Tabela10[Fod Worth],Tabela10[Drop],DropAnalityka[[#This Row],[Drop]],Tabela10[Grade],DropAnalityka[[#This Row],[Grade]])*DropAnalityka[[#This Row],[Quality/Quantity]],0)</f>
        <v>0</v>
      </c>
      <c r="L943" s="49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307</v>
      </c>
      <c r="B944" t="s">
        <v>9</v>
      </c>
      <c r="C944">
        <v>9</v>
      </c>
      <c r="D944">
        <v>2840</v>
      </c>
      <c r="E944">
        <v>0</v>
      </c>
      <c r="F944" t="s">
        <v>216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9">
        <f>IFERROR(SUMIFS(Tabela10[Fod Worth],Tabela10[Drop],DropAnalityka[[#This Row],[Drop]],Tabela10[Grade],DropAnalityka[[#This Row],[Grade]])*DropAnalityka[[#This Row],[Quality/Quantity]],0)</f>
        <v>0</v>
      </c>
      <c r="L944" s="49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307</v>
      </c>
      <c r="B945" t="s">
        <v>9</v>
      </c>
      <c r="C945">
        <v>9</v>
      </c>
      <c r="D945">
        <v>3444</v>
      </c>
      <c r="E945">
        <v>0</v>
      </c>
      <c r="F945" t="s">
        <v>286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9">
        <f>IFERROR(SUMIFS(Tabela10[Fod Worth],Tabela10[Drop],DropAnalityka[[#This Row],[Drop]],Tabela10[Grade],DropAnalityka[[#This Row],[Grade]])*DropAnalityka[[#This Row],[Quality/Quantity]],0)</f>
        <v>0</v>
      </c>
      <c r="L945" s="49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307</v>
      </c>
      <c r="B946" t="s">
        <v>9</v>
      </c>
      <c r="C946">
        <v>9</v>
      </c>
      <c r="D946">
        <v>2844</v>
      </c>
      <c r="E946">
        <v>0</v>
      </c>
      <c r="F946" t="s">
        <v>272</v>
      </c>
      <c r="G946">
        <v>2</v>
      </c>
      <c r="H946" t="s">
        <v>314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9">
        <f>IFERROR(SUMIFS(Tabela10[Fod Worth],Tabela10[Drop],DropAnalityka[[#This Row],[Drop]],Tabela10[Grade],DropAnalityka[[#This Row],[Grade]])*DropAnalityka[[#This Row],[Quality/Quantity]],0)</f>
        <v>0</v>
      </c>
      <c r="L946" s="49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307</v>
      </c>
      <c r="B947" t="s">
        <v>9</v>
      </c>
      <c r="C947">
        <v>9</v>
      </c>
      <c r="D947">
        <v>2720</v>
      </c>
      <c r="E947">
        <v>0</v>
      </c>
      <c r="F947" t="s">
        <v>272</v>
      </c>
      <c r="G947">
        <v>4</v>
      </c>
      <c r="H947" t="s">
        <v>292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9">
        <f>IFERROR(SUMIFS(Tabela10[Fod Worth],Tabela10[Drop],DropAnalityka[[#This Row],[Drop]],Tabela10[Grade],DropAnalityka[[#This Row],[Grade]])*DropAnalityka[[#This Row],[Quality/Quantity]],0)</f>
        <v>0</v>
      </c>
      <c r="L947" s="49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307</v>
      </c>
      <c r="B948" t="s">
        <v>9</v>
      </c>
      <c r="C948">
        <v>9</v>
      </c>
      <c r="D948">
        <v>2990</v>
      </c>
      <c r="E948">
        <v>1</v>
      </c>
      <c r="F948" t="s">
        <v>272</v>
      </c>
      <c r="G948">
        <v>4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9">
        <f>IFERROR(SUMIFS(Tabela10[Fod Worth],Tabela10[Drop],DropAnalityka[[#This Row],[Drop]],Tabela10[Grade],DropAnalityka[[#This Row],[Grade]])*DropAnalityka[[#This Row],[Quality/Quantity]],0)</f>
        <v>0</v>
      </c>
      <c r="L948" s="49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307</v>
      </c>
      <c r="B949" t="s">
        <v>9</v>
      </c>
      <c r="C949">
        <v>9</v>
      </c>
      <c r="D949">
        <v>2846</v>
      </c>
      <c r="E949">
        <v>4</v>
      </c>
      <c r="F949" t="s">
        <v>272</v>
      </c>
      <c r="G949">
        <v>1</v>
      </c>
      <c r="H949" t="s">
        <v>314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9">
        <f>IFERROR(SUMIFS(Tabela10[Fod Worth],Tabela10[Drop],DropAnalityka[[#This Row],[Drop]],Tabela10[Grade],DropAnalityka[[#This Row],[Grade]])*DropAnalityka[[#This Row],[Quality/Quantity]],0)</f>
        <v>0</v>
      </c>
      <c r="L949" s="49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307</v>
      </c>
      <c r="B950" t="s">
        <v>9</v>
      </c>
      <c r="C950">
        <v>9</v>
      </c>
      <c r="D950">
        <v>2740</v>
      </c>
      <c r="E950">
        <v>1</v>
      </c>
      <c r="F950" t="s">
        <v>286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9">
        <f>IFERROR(SUMIFS(Tabela10[Fod Worth],Tabela10[Drop],DropAnalityka[[#This Row],[Drop]],Tabela10[Grade],DropAnalityka[[#This Row],[Grade]])*DropAnalityka[[#This Row],[Quality/Quantity]],0)</f>
        <v>0</v>
      </c>
      <c r="L950" s="49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307</v>
      </c>
      <c r="B951" t="s">
        <v>9</v>
      </c>
      <c r="C951">
        <v>9</v>
      </c>
      <c r="D951">
        <v>2619</v>
      </c>
      <c r="E951">
        <v>2</v>
      </c>
      <c r="F951" t="s">
        <v>272</v>
      </c>
      <c r="G951">
        <v>1</v>
      </c>
      <c r="H951" t="s">
        <v>314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9">
        <f>IFERROR(SUMIFS(Tabela10[Fod Worth],Tabela10[Drop],DropAnalityka[[#This Row],[Drop]],Tabela10[Grade],DropAnalityka[[#This Row],[Grade]])*DropAnalityka[[#This Row],[Quality/Quantity]],0)</f>
        <v>0</v>
      </c>
      <c r="L951" s="49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307</v>
      </c>
      <c r="B952" t="s">
        <v>9</v>
      </c>
      <c r="C952">
        <v>9</v>
      </c>
      <c r="D952">
        <v>3000</v>
      </c>
      <c r="E952">
        <v>1</v>
      </c>
      <c r="F952" t="s">
        <v>272</v>
      </c>
      <c r="G952">
        <v>2</v>
      </c>
      <c r="H952" t="s">
        <v>314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9">
        <f>IFERROR(SUMIFS(Tabela10[Fod Worth],Tabela10[Drop],DropAnalityka[[#This Row],[Drop]],Tabela10[Grade],DropAnalityka[[#This Row],[Grade]])*DropAnalityka[[#This Row],[Quality/Quantity]],0)</f>
        <v>0</v>
      </c>
      <c r="L952" s="49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307</v>
      </c>
      <c r="B953" t="s">
        <v>9</v>
      </c>
      <c r="C953">
        <v>9</v>
      </c>
      <c r="D953">
        <v>2846</v>
      </c>
      <c r="E953">
        <v>3</v>
      </c>
      <c r="F953" t="s">
        <v>272</v>
      </c>
      <c r="G953">
        <v>4</v>
      </c>
      <c r="H953" t="s">
        <v>292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9">
        <f>IFERROR(SUMIFS(Tabela10[Fod Worth],Tabela10[Drop],DropAnalityka[[#This Row],[Drop]],Tabela10[Grade],DropAnalityka[[#This Row],[Grade]])*DropAnalityka[[#This Row],[Quality/Quantity]],0)</f>
        <v>0</v>
      </c>
      <c r="L953" s="49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307</v>
      </c>
      <c r="B954" t="s">
        <v>9</v>
      </c>
      <c r="C954">
        <v>9</v>
      </c>
      <c r="D954">
        <v>2824</v>
      </c>
      <c r="E954">
        <v>2</v>
      </c>
      <c r="F954" t="s">
        <v>286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9">
        <f>IFERROR(SUMIFS(Tabela10[Fod Worth],Tabela10[Drop],DropAnalityka[[#This Row],[Drop]],Tabela10[Grade],DropAnalityka[[#This Row],[Grade]])*DropAnalityka[[#This Row],[Quality/Quantity]],0)</f>
        <v>0</v>
      </c>
      <c r="L954" s="49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307</v>
      </c>
      <c r="B955" t="s">
        <v>9</v>
      </c>
      <c r="C955">
        <v>9</v>
      </c>
      <c r="D955">
        <v>3201</v>
      </c>
      <c r="E955">
        <v>0</v>
      </c>
      <c r="F955" t="s">
        <v>272</v>
      </c>
      <c r="G955">
        <v>5</v>
      </c>
      <c r="H955" t="s">
        <v>292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9">
        <f>IFERROR(SUMIFS(Tabela10[Fod Worth],Tabela10[Drop],DropAnalityka[[#This Row],[Drop]],Tabela10[Grade],DropAnalityka[[#This Row],[Grade]])*DropAnalityka[[#This Row],[Quality/Quantity]],0)</f>
        <v>0</v>
      </c>
      <c r="L955" s="49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307</v>
      </c>
      <c r="B956" t="s">
        <v>9</v>
      </c>
      <c r="C956">
        <v>9</v>
      </c>
      <c r="D956">
        <v>2638</v>
      </c>
      <c r="E956">
        <v>0</v>
      </c>
      <c r="F956" t="s">
        <v>272</v>
      </c>
      <c r="G956">
        <v>3</v>
      </c>
      <c r="H956" t="s">
        <v>292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9">
        <f>IFERROR(SUMIFS(Tabela10[Fod Worth],Tabela10[Drop],DropAnalityka[[#This Row],[Drop]],Tabela10[Grade],DropAnalityka[[#This Row],[Grade]])*DropAnalityka[[#This Row],[Quality/Quantity]],0)</f>
        <v>0</v>
      </c>
      <c r="L956" s="49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307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9">
        <f>IFERROR(SUMIFS(Tabela10[Fod Worth],Tabela10[Drop],DropAnalityka[[#This Row],[Drop]],Tabela10[Grade],DropAnalityka[[#This Row],[Grade]])*DropAnalityka[[#This Row],[Quality/Quantity]],0)</f>
        <v>0</v>
      </c>
      <c r="L957" s="49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307</v>
      </c>
      <c r="B958" t="s">
        <v>9</v>
      </c>
      <c r="C958">
        <v>9</v>
      </c>
      <c r="D958">
        <v>2399</v>
      </c>
      <c r="E958">
        <v>0</v>
      </c>
      <c r="F958" t="s">
        <v>272</v>
      </c>
      <c r="G958">
        <v>3</v>
      </c>
      <c r="H958" t="s">
        <v>293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9">
        <f>IFERROR(SUMIFS(Tabela10[Fod Worth],Tabela10[Drop],DropAnalityka[[#This Row],[Drop]],Tabela10[Grade],DropAnalityka[[#This Row],[Grade]])*DropAnalityka[[#This Row],[Quality/Quantity]],0)</f>
        <v>0</v>
      </c>
      <c r="L958" s="49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307</v>
      </c>
      <c r="B959" t="s">
        <v>9</v>
      </c>
      <c r="C959">
        <v>9</v>
      </c>
      <c r="D959">
        <v>3055</v>
      </c>
      <c r="E959">
        <v>1</v>
      </c>
      <c r="F959" t="s">
        <v>272</v>
      </c>
      <c r="G959">
        <v>1</v>
      </c>
      <c r="H959" t="s">
        <v>314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9">
        <f>IFERROR(SUMIFS(Tabela10[Fod Worth],Tabela10[Drop],DropAnalityka[[#This Row],[Drop]],Tabela10[Grade],DropAnalityka[[#This Row],[Grade]])*DropAnalityka[[#This Row],[Quality/Quantity]],0)</f>
        <v>0</v>
      </c>
      <c r="L959" s="49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307</v>
      </c>
      <c r="B960" t="s">
        <v>9</v>
      </c>
      <c r="C960">
        <v>9</v>
      </c>
      <c r="D960">
        <v>2841</v>
      </c>
      <c r="E960">
        <v>0</v>
      </c>
      <c r="F960" t="s">
        <v>272</v>
      </c>
      <c r="G960">
        <v>5</v>
      </c>
      <c r="H960" t="s">
        <v>292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9">
        <f>IFERROR(SUMIFS(Tabela10[Fod Worth],Tabela10[Drop],DropAnalityka[[#This Row],[Drop]],Tabela10[Grade],DropAnalityka[[#This Row],[Grade]])*DropAnalityka[[#This Row],[Quality/Quantity]],0)</f>
        <v>0</v>
      </c>
      <c r="L960" s="49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307</v>
      </c>
      <c r="B961" t="s">
        <v>9</v>
      </c>
      <c r="C961">
        <v>9</v>
      </c>
      <c r="D961">
        <v>2937</v>
      </c>
      <c r="E961">
        <v>0</v>
      </c>
      <c r="F961" t="s">
        <v>237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9">
        <f>IFERROR(SUMIFS(Tabela10[Fod Worth],Tabela10[Drop],DropAnalityka[[#This Row],[Drop]],Tabela10[Grade],DropAnalityka[[#This Row],[Grade]])*DropAnalityka[[#This Row],[Quality/Quantity]],0)</f>
        <v>0</v>
      </c>
      <c r="L961" s="49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307</v>
      </c>
      <c r="B962" t="s">
        <v>9</v>
      </c>
      <c r="C962">
        <v>9</v>
      </c>
      <c r="D962">
        <v>2426</v>
      </c>
      <c r="E962">
        <v>0</v>
      </c>
      <c r="F962" t="s">
        <v>272</v>
      </c>
      <c r="G962">
        <v>1</v>
      </c>
      <c r="H962" t="s">
        <v>293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9">
        <f>IFERROR(SUMIFS(Tabela10[Fod Worth],Tabela10[Drop],DropAnalityka[[#This Row],[Drop]],Tabela10[Grade],DropAnalityka[[#This Row],[Grade]])*DropAnalityka[[#This Row],[Quality/Quantity]],0)</f>
        <v>0</v>
      </c>
      <c r="L962" s="49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307</v>
      </c>
      <c r="B963" t="s">
        <v>9</v>
      </c>
      <c r="C963">
        <v>9</v>
      </c>
      <c r="D963">
        <v>2552</v>
      </c>
      <c r="E963">
        <v>1</v>
      </c>
      <c r="F963" t="s">
        <v>272</v>
      </c>
      <c r="G963">
        <v>3</v>
      </c>
      <c r="H963" t="s">
        <v>314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9">
        <f>IFERROR(SUMIFS(Tabela10[Fod Worth],Tabela10[Drop],DropAnalityka[[#This Row],[Drop]],Tabela10[Grade],DropAnalityka[[#This Row],[Grade]])*DropAnalityka[[#This Row],[Quality/Quantity]],0)</f>
        <v>0</v>
      </c>
      <c r="L963" s="49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307</v>
      </c>
      <c r="B964" t="s">
        <v>9</v>
      </c>
      <c r="C964">
        <v>9</v>
      </c>
      <c r="D964">
        <v>2771</v>
      </c>
      <c r="E964">
        <v>2</v>
      </c>
      <c r="F964" t="s">
        <v>272</v>
      </c>
      <c r="G964">
        <v>1</v>
      </c>
      <c r="H964" t="s">
        <v>314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9">
        <f>IFERROR(SUMIFS(Tabela10[Fod Worth],Tabela10[Drop],DropAnalityka[[#This Row],[Drop]],Tabela10[Grade],DropAnalityka[[#This Row],[Grade]])*DropAnalityka[[#This Row],[Quality/Quantity]],0)</f>
        <v>0</v>
      </c>
      <c r="L964" s="49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307</v>
      </c>
      <c r="B965" t="s">
        <v>9</v>
      </c>
      <c r="C965">
        <v>9</v>
      </c>
      <c r="D965">
        <v>2652</v>
      </c>
      <c r="E965">
        <v>2</v>
      </c>
      <c r="F965" t="s">
        <v>272</v>
      </c>
      <c r="G965">
        <v>4</v>
      </c>
      <c r="H965" t="s">
        <v>292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9">
        <f>IFERROR(SUMIFS(Tabela10[Fod Worth],Tabela10[Drop],DropAnalityka[[#This Row],[Drop]],Tabela10[Grade],DropAnalityka[[#This Row],[Grade]])*DropAnalityka[[#This Row],[Quality/Quantity]],0)</f>
        <v>0</v>
      </c>
      <c r="L965" s="49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307</v>
      </c>
      <c r="B966" t="s">
        <v>9</v>
      </c>
      <c r="C966">
        <v>9</v>
      </c>
      <c r="D966">
        <v>2708</v>
      </c>
      <c r="E966">
        <v>0</v>
      </c>
      <c r="F966" t="s">
        <v>272</v>
      </c>
      <c r="G966">
        <v>1</v>
      </c>
      <c r="H966" t="s">
        <v>293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9">
        <f>IFERROR(SUMIFS(Tabela10[Fod Worth],Tabela10[Drop],DropAnalityka[[#This Row],[Drop]],Tabela10[Grade],DropAnalityka[[#This Row],[Grade]])*DropAnalityka[[#This Row],[Quality/Quantity]],0)</f>
        <v>0</v>
      </c>
      <c r="L966" s="49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307</v>
      </c>
      <c r="B967" t="s">
        <v>9</v>
      </c>
      <c r="C967">
        <v>9</v>
      </c>
      <c r="D967">
        <v>2684</v>
      </c>
      <c r="E967">
        <v>1</v>
      </c>
      <c r="F967" t="s">
        <v>272</v>
      </c>
      <c r="G967">
        <v>1</v>
      </c>
      <c r="H967" t="s">
        <v>293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9">
        <f>IFERROR(SUMIFS(Tabela10[Fod Worth],Tabela10[Drop],DropAnalityka[[#This Row],[Drop]],Tabela10[Grade],DropAnalityka[[#This Row],[Grade]])*DropAnalityka[[#This Row],[Quality/Quantity]],0)</f>
        <v>0</v>
      </c>
      <c r="L967" s="49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307</v>
      </c>
      <c r="B968" t="s">
        <v>9</v>
      </c>
      <c r="C968">
        <v>9</v>
      </c>
      <c r="D968">
        <v>3108</v>
      </c>
      <c r="E968">
        <v>3</v>
      </c>
      <c r="F968" t="s">
        <v>272</v>
      </c>
      <c r="G968">
        <v>4</v>
      </c>
      <c r="H968" t="s">
        <v>292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9">
        <f>IFERROR(SUMIFS(Tabela10[Fod Worth],Tabela10[Drop],DropAnalityka[[#This Row],[Drop]],Tabela10[Grade],DropAnalityka[[#This Row],[Grade]])*DropAnalityka[[#This Row],[Quality/Quantity]],0)</f>
        <v>0</v>
      </c>
      <c r="L968" s="49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307</v>
      </c>
      <c r="B969" t="s">
        <v>9</v>
      </c>
      <c r="C969">
        <v>9</v>
      </c>
      <c r="D969">
        <v>2839</v>
      </c>
      <c r="E969">
        <v>1</v>
      </c>
      <c r="F969" t="s">
        <v>272</v>
      </c>
      <c r="G969">
        <v>1</v>
      </c>
      <c r="H969" t="s">
        <v>293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9">
        <f>IFERROR(SUMIFS(Tabela10[Fod Worth],Tabela10[Drop],DropAnalityka[[#This Row],[Drop]],Tabela10[Grade],DropAnalityka[[#This Row],[Grade]])*DropAnalityka[[#This Row],[Quality/Quantity]],0)</f>
        <v>0</v>
      </c>
      <c r="L969" s="49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9">
        <f>IFERROR(SUMIFS(Tabela10[Fod Worth],Tabela10[Drop],DropAnalityka[[#This Row],[Drop]],Tabela10[Grade],DropAnalityka[[#This Row],[Grade]])*DropAnalityka[[#This Row],[Quality/Quantity]],0)</f>
        <v>0</v>
      </c>
      <c r="L970" s="49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9">
        <f>IFERROR(SUMIFS(Tabela10[Fod Worth],Tabela10[Drop],DropAnalityka[[#This Row],[Drop]],Tabela10[Grade],DropAnalityka[[#This Row],[Grade]])*DropAnalityka[[#This Row],[Quality/Quantity]],0)</f>
        <v>0</v>
      </c>
      <c r="L971" s="49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9">
        <f>IFERROR(SUMIFS(Tabela10[Fod Worth],Tabela10[Drop],DropAnalityka[[#This Row],[Drop]],Tabela10[Grade],DropAnalityka[[#This Row],[Grade]])*DropAnalityka[[#This Row],[Quality/Quantity]],0)</f>
        <v>0</v>
      </c>
      <c r="L972" s="49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9">
        <f>IFERROR(SUMIFS(Tabela10[Fod Worth],Tabela10[Drop],DropAnalityka[[#This Row],[Drop]],Tabela10[Grade],DropAnalityka[[#This Row],[Grade]])*DropAnalityka[[#This Row],[Quality/Quantity]],0)</f>
        <v>0</v>
      </c>
      <c r="L973" s="49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9">
        <f>IFERROR(SUMIFS(Tabela10[Fod Worth],Tabela10[Drop],DropAnalityka[[#This Row],[Drop]],Tabela10[Grade],DropAnalityka[[#This Row],[Grade]])*DropAnalityka[[#This Row],[Quality/Quantity]],0)</f>
        <v>0</v>
      </c>
      <c r="L974" s="49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9">
        <f>IFERROR(SUMIFS(Tabela10[Fod Worth],Tabela10[Drop],DropAnalityka[[#This Row],[Drop]],Tabela10[Grade],DropAnalityka[[#This Row],[Grade]])*DropAnalityka[[#This Row],[Quality/Quantity]],0)</f>
        <v>0</v>
      </c>
      <c r="L975" s="49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9">
        <f>IFERROR(SUMIFS(Tabela10[Fod Worth],Tabela10[Drop],DropAnalityka[[#This Row],[Drop]],Tabela10[Grade],DropAnalityka[[#This Row],[Grade]])*DropAnalityka[[#This Row],[Quality/Quantity]],0)</f>
        <v>0</v>
      </c>
      <c r="L976" s="49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9">
        <f>IFERROR(SUMIFS(Tabela10[Fod Worth],Tabela10[Drop],DropAnalityka[[#This Row],[Drop]],Tabela10[Grade],DropAnalityka[[#This Row],[Grade]])*DropAnalityka[[#This Row],[Quality/Quantity]],0)</f>
        <v>0</v>
      </c>
      <c r="L977" s="49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9">
        <f>IFERROR(SUMIFS(Tabela10[Fod Worth],Tabela10[Drop],DropAnalityka[[#This Row],[Drop]],Tabela10[Grade],DropAnalityka[[#This Row],[Grade]])*DropAnalityka[[#This Row],[Quality/Quantity]],0)</f>
        <v>0</v>
      </c>
      <c r="L978" s="49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9">
        <f>IFERROR(SUMIFS(Tabela10[Fod Worth],Tabela10[Drop],DropAnalityka[[#This Row],[Drop]],Tabela10[Grade],DropAnalityka[[#This Row],[Grade]])*DropAnalityka[[#This Row],[Quality/Quantity]],0)</f>
        <v>0</v>
      </c>
      <c r="L979" s="49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9">
        <f>IFERROR(SUMIFS(Tabela10[Fod Worth],Tabela10[Drop],DropAnalityka[[#This Row],[Drop]],Tabela10[Grade],DropAnalityka[[#This Row],[Grade]])*DropAnalityka[[#This Row],[Quality/Quantity]],0)</f>
        <v>0</v>
      </c>
      <c r="L980" s="49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9">
        <f>IFERROR(SUMIFS(Tabela10[Fod Worth],Tabela10[Drop],DropAnalityka[[#This Row],[Drop]],Tabela10[Grade],DropAnalityka[[#This Row],[Grade]])*DropAnalityka[[#This Row],[Quality/Quantity]],0)</f>
        <v>0</v>
      </c>
      <c r="L981" s="49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9">
        <f>IFERROR(SUMIFS(Tabela10[Fod Worth],Tabela10[Drop],DropAnalityka[[#This Row],[Drop]],Tabela10[Grade],DropAnalityka[[#This Row],[Grade]])*DropAnalityka[[#This Row],[Quality/Quantity]],0)</f>
        <v>0</v>
      </c>
      <c r="L982" s="49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9">
        <f>IFERROR(SUMIFS(Tabela10[Fod Worth],Tabela10[Drop],DropAnalityka[[#This Row],[Drop]],Tabela10[Grade],DropAnalityka[[#This Row],[Grade]])*DropAnalityka[[#This Row],[Quality/Quantity]],0)</f>
        <v>0</v>
      </c>
      <c r="L983" s="49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9">
        <f>IFERROR(SUMIFS(Tabela10[Fod Worth],Tabela10[Drop],DropAnalityka[[#This Row],[Drop]],Tabela10[Grade],DropAnalityka[[#This Row],[Grade]])*DropAnalityka[[#This Row],[Quality/Quantity]],0)</f>
        <v>0</v>
      </c>
      <c r="L984" s="49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9">
        <f>IFERROR(SUMIFS(Tabela10[Fod Worth],Tabela10[Drop],DropAnalityka[[#This Row],[Drop]],Tabela10[Grade],DropAnalityka[[#This Row],[Grade]])*DropAnalityka[[#This Row],[Quality/Quantity]],0)</f>
        <v>0</v>
      </c>
      <c r="L985" s="49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9">
        <f>IFERROR(SUMIFS(Tabela10[Fod Worth],Tabela10[Drop],DropAnalityka[[#This Row],[Drop]],Tabela10[Grade],DropAnalityka[[#This Row],[Grade]])*DropAnalityka[[#This Row],[Quality/Quantity]],0)</f>
        <v>0</v>
      </c>
      <c r="L986" s="49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9">
        <f>IFERROR(SUMIFS(Tabela10[Fod Worth],Tabela10[Drop],DropAnalityka[[#This Row],[Drop]],Tabela10[Grade],DropAnalityka[[#This Row],[Grade]])*DropAnalityka[[#This Row],[Quality/Quantity]],0)</f>
        <v>0</v>
      </c>
      <c r="L987" s="49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9">
        <f>IFERROR(SUMIFS(Tabela10[Fod Worth],Tabela10[Drop],DropAnalityka[[#This Row],[Drop]],Tabela10[Grade],DropAnalityka[[#This Row],[Grade]])*DropAnalityka[[#This Row],[Quality/Quantity]],0)</f>
        <v>0</v>
      </c>
      <c r="L988" s="49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274</v>
      </c>
      <c r="G989">
        <v>5</v>
      </c>
      <c r="H989" t="s">
        <v>292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9">
        <f>IFERROR(SUMIFS(Tabela10[Fod Worth],Tabela10[Drop],DropAnalityka[[#This Row],[Drop]],Tabela10[Grade],DropAnalityka[[#This Row],[Grade]])*DropAnalityka[[#This Row],[Quality/Quantity]],0)</f>
        <v>0</v>
      </c>
      <c r="L989" s="49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179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9">
        <f>IFERROR(SUMIFS(Tabela10[Fod Worth],Tabela10[Drop],DropAnalityka[[#This Row],[Drop]],Tabela10[Grade],DropAnalityka[[#This Row],[Grade]])*DropAnalityka[[#This Row],[Quality/Quantity]],0)</f>
        <v>0</v>
      </c>
      <c r="L990" s="49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179</v>
      </c>
      <c r="B991" t="s">
        <v>9</v>
      </c>
      <c r="C991">
        <v>7</v>
      </c>
      <c r="D991">
        <v>3403</v>
      </c>
      <c r="E991">
        <v>3</v>
      </c>
      <c r="F991" t="s">
        <v>280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9">
        <f>IFERROR(SUMIFS(Tabela10[Fod Worth],Tabela10[Drop],DropAnalityka[[#This Row],[Drop]],Tabela10[Grade],DropAnalityka[[#This Row],[Grade]])*DropAnalityka[[#This Row],[Quality/Quantity]],0)</f>
        <v>0</v>
      </c>
      <c r="L991" s="49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179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9">
        <f>IFERROR(SUMIFS(Tabela10[Fod Worth],Tabela10[Drop],DropAnalityka[[#This Row],[Drop]],Tabela10[Grade],DropAnalityka[[#This Row],[Grade]])*DropAnalityka[[#This Row],[Quality/Quantity]],0)</f>
        <v>0</v>
      </c>
      <c r="L992" s="49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179</v>
      </c>
      <c r="B993" t="s">
        <v>9</v>
      </c>
      <c r="C993">
        <v>7</v>
      </c>
      <c r="D993">
        <v>2787</v>
      </c>
      <c r="E993">
        <v>1</v>
      </c>
      <c r="F993" t="s">
        <v>280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9">
        <f>IFERROR(SUMIFS(Tabela10[Fod Worth],Tabela10[Drop],DropAnalityka[[#This Row],[Drop]],Tabela10[Grade],DropAnalityka[[#This Row],[Grade]])*DropAnalityka[[#This Row],[Quality/Quantity]],0)</f>
        <v>0</v>
      </c>
      <c r="L993" s="49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179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9">
        <f>IFERROR(SUMIFS(Tabela10[Fod Worth],Tabela10[Drop],DropAnalityka[[#This Row],[Drop]],Tabela10[Grade],DropAnalityka[[#This Row],[Grade]])*DropAnalityka[[#This Row],[Quality/Quantity]],0)</f>
        <v>0</v>
      </c>
      <c r="L994" s="49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179</v>
      </c>
      <c r="B995" t="s">
        <v>9</v>
      </c>
      <c r="C995">
        <v>7</v>
      </c>
      <c r="D995">
        <v>3276</v>
      </c>
      <c r="E995">
        <v>4</v>
      </c>
      <c r="F995" t="s">
        <v>280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9">
        <f>IFERROR(SUMIFS(Tabela10[Fod Worth],Tabela10[Drop],DropAnalityka[[#This Row],[Drop]],Tabela10[Grade],DropAnalityka[[#This Row],[Grade]])*DropAnalityka[[#This Row],[Quality/Quantity]],0)</f>
        <v>0</v>
      </c>
      <c r="L995" s="49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179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9">
        <f>IFERROR(SUMIFS(Tabela10[Fod Worth],Tabela10[Drop],DropAnalityka[[#This Row],[Drop]],Tabela10[Grade],DropAnalityka[[#This Row],[Grade]])*DropAnalityka[[#This Row],[Quality/Quantity]],0)</f>
        <v>0</v>
      </c>
      <c r="L996" s="49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179</v>
      </c>
      <c r="B997" t="s">
        <v>9</v>
      </c>
      <c r="C997">
        <v>7</v>
      </c>
      <c r="D997">
        <v>3049</v>
      </c>
      <c r="E997">
        <v>1</v>
      </c>
      <c r="F997" t="s">
        <v>280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9">
        <f>IFERROR(SUMIFS(Tabela10[Fod Worth],Tabela10[Drop],DropAnalityka[[#This Row],[Drop]],Tabela10[Grade],DropAnalityka[[#This Row],[Grade]])*DropAnalityka[[#This Row],[Quality/Quantity]],0)</f>
        <v>0</v>
      </c>
      <c r="L997" s="49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179</v>
      </c>
      <c r="B998" t="s">
        <v>9</v>
      </c>
      <c r="C998">
        <v>7</v>
      </c>
      <c r="D998">
        <v>2793</v>
      </c>
      <c r="E998">
        <v>0</v>
      </c>
      <c r="F998" t="s">
        <v>313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9">
        <f>IFERROR(SUMIFS(Tabela10[Fod Worth],Tabela10[Drop],DropAnalityka[[#This Row],[Drop]],Tabela10[Grade],DropAnalityka[[#This Row],[Grade]])*DropAnalityka[[#This Row],[Quality/Quantity]],0)</f>
        <v>0</v>
      </c>
      <c r="L998" s="49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179</v>
      </c>
      <c r="B999" t="s">
        <v>9</v>
      </c>
      <c r="C999">
        <v>7</v>
      </c>
      <c r="D999">
        <v>3111</v>
      </c>
      <c r="E999">
        <v>1</v>
      </c>
      <c r="F999" t="s">
        <v>313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9">
        <f>IFERROR(SUMIFS(Tabela10[Fod Worth],Tabela10[Drop],DropAnalityka[[#This Row],[Drop]],Tabela10[Grade],DropAnalityka[[#This Row],[Grade]])*DropAnalityka[[#This Row],[Quality/Quantity]],0)</f>
        <v>0</v>
      </c>
      <c r="L999" s="49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179</v>
      </c>
      <c r="B1000" t="s">
        <v>9</v>
      </c>
      <c r="C1000">
        <v>7</v>
      </c>
      <c r="D1000">
        <v>2990</v>
      </c>
      <c r="E1000">
        <v>0</v>
      </c>
      <c r="F1000" t="s">
        <v>280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9">
        <f>IFERROR(SUMIFS(Tabela10[Fod Worth],Tabela10[Drop],DropAnalityka[[#This Row],[Drop]],Tabela10[Grade],DropAnalityka[[#This Row],[Grade]])*DropAnalityka[[#This Row],[Quality/Quantity]],0)</f>
        <v>0</v>
      </c>
      <c r="L1000" s="49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179</v>
      </c>
      <c r="B1001" t="s">
        <v>9</v>
      </c>
      <c r="C1001">
        <v>7</v>
      </c>
      <c r="D1001">
        <v>3378</v>
      </c>
      <c r="E1001">
        <v>1</v>
      </c>
      <c r="F1001" t="s">
        <v>280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9">
        <f>IFERROR(SUMIFS(Tabela10[Fod Worth],Tabela10[Drop],DropAnalityka[[#This Row],[Drop]],Tabela10[Grade],DropAnalityka[[#This Row],[Grade]])*DropAnalityka[[#This Row],[Quality/Quantity]],0)</f>
        <v>0</v>
      </c>
      <c r="L1001" s="49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179</v>
      </c>
      <c r="B1002" t="s">
        <v>9</v>
      </c>
      <c r="C1002">
        <v>7</v>
      </c>
      <c r="D1002">
        <v>2940</v>
      </c>
      <c r="E1002">
        <v>3</v>
      </c>
      <c r="F1002" t="s">
        <v>313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9">
        <f>IFERROR(SUMIFS(Tabela10[Fod Worth],Tabela10[Drop],DropAnalityka[[#This Row],[Drop]],Tabela10[Grade],DropAnalityka[[#This Row],[Grade]])*DropAnalityka[[#This Row],[Quality/Quantity]],0)</f>
        <v>0</v>
      </c>
      <c r="L1002" s="49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179</v>
      </c>
      <c r="B1003" t="s">
        <v>9</v>
      </c>
      <c r="C1003">
        <v>7</v>
      </c>
      <c r="D1003">
        <v>3698</v>
      </c>
      <c r="E1003">
        <v>3</v>
      </c>
      <c r="F1003" t="s">
        <v>280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9">
        <f>IFERROR(SUMIFS(Tabela10[Fod Worth],Tabela10[Drop],DropAnalityka[[#This Row],[Drop]],Tabela10[Grade],DropAnalityka[[#This Row],[Grade]])*DropAnalityka[[#This Row],[Quality/Quantity]],0)</f>
        <v>0</v>
      </c>
      <c r="L1003" s="49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179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9">
        <f>IFERROR(SUMIFS(Tabela10[Fod Worth],Tabela10[Drop],DropAnalityka[[#This Row],[Drop]],Tabela10[Grade],DropAnalityka[[#This Row],[Grade]])*DropAnalityka[[#This Row],[Quality/Quantity]],0)</f>
        <v>0</v>
      </c>
      <c r="L1004" s="49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179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9">
        <f>IFERROR(SUMIFS(Tabela10[Fod Worth],Tabela10[Drop],DropAnalityka[[#This Row],[Drop]],Tabela10[Grade],DropAnalityka[[#This Row],[Grade]])*DropAnalityka[[#This Row],[Quality/Quantity]],0)</f>
        <v>0</v>
      </c>
      <c r="L1005" s="49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179</v>
      </c>
      <c r="B1006" t="s">
        <v>9</v>
      </c>
      <c r="C1006">
        <v>7</v>
      </c>
      <c r="D1006">
        <v>3535</v>
      </c>
      <c r="E1006">
        <v>2</v>
      </c>
      <c r="F1006" t="s">
        <v>280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9">
        <f>IFERROR(SUMIFS(Tabela10[Fod Worth],Tabela10[Drop],DropAnalityka[[#This Row],[Drop]],Tabela10[Grade],DropAnalityka[[#This Row],[Grade]])*DropAnalityka[[#This Row],[Quality/Quantity]],0)</f>
        <v>0</v>
      </c>
      <c r="L1006" s="49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179</v>
      </c>
      <c r="B1007" t="s">
        <v>9</v>
      </c>
      <c r="C1007">
        <v>7</v>
      </c>
      <c r="D1007">
        <v>3010</v>
      </c>
      <c r="E1007">
        <v>1</v>
      </c>
      <c r="F1007" t="s">
        <v>280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9">
        <f>IFERROR(SUMIFS(Tabela10[Fod Worth],Tabela10[Drop],DropAnalityka[[#This Row],[Drop]],Tabela10[Grade],DropAnalityka[[#This Row],[Grade]])*DropAnalityka[[#This Row],[Quality/Quantity]],0)</f>
        <v>0</v>
      </c>
      <c r="L1007" s="49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179</v>
      </c>
      <c r="B1008" t="s">
        <v>9</v>
      </c>
      <c r="C1008">
        <v>7</v>
      </c>
      <c r="D1008">
        <v>3005</v>
      </c>
      <c r="E1008">
        <v>2</v>
      </c>
      <c r="F1008" t="s">
        <v>280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9">
        <f>IFERROR(SUMIFS(Tabela10[Fod Worth],Tabela10[Drop],DropAnalityka[[#This Row],[Drop]],Tabela10[Grade],DropAnalityka[[#This Row],[Grade]])*DropAnalityka[[#This Row],[Quality/Quantity]],0)</f>
        <v>0</v>
      </c>
      <c r="L1008" s="49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179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9">
        <f>IFERROR(SUMIFS(Tabela10[Fod Worth],Tabela10[Drop],DropAnalityka[[#This Row],[Drop]],Tabela10[Grade],DropAnalityka[[#This Row],[Grade]])*DropAnalityka[[#This Row],[Quality/Quantity]],0)</f>
        <v>0</v>
      </c>
      <c r="L1009" s="49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179</v>
      </c>
      <c r="B1010" t="s">
        <v>9</v>
      </c>
      <c r="C1010">
        <v>7</v>
      </c>
      <c r="D1010">
        <v>3225</v>
      </c>
      <c r="E1010">
        <v>0</v>
      </c>
      <c r="F1010" t="s">
        <v>313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9">
        <f>IFERROR(SUMIFS(Tabela10[Fod Worth],Tabela10[Drop],DropAnalityka[[#This Row],[Drop]],Tabela10[Grade],DropAnalityka[[#This Row],[Grade]])*DropAnalityka[[#This Row],[Quality/Quantity]],0)</f>
        <v>0</v>
      </c>
      <c r="L1010" s="49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179</v>
      </c>
      <c r="B1011" t="s">
        <v>9</v>
      </c>
      <c r="C1011">
        <v>7</v>
      </c>
      <c r="D1011">
        <v>3020</v>
      </c>
      <c r="E1011">
        <v>1</v>
      </c>
      <c r="F1011" t="s">
        <v>280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9">
        <f>IFERROR(SUMIFS(Tabela10[Fod Worth],Tabela10[Drop],DropAnalityka[[#This Row],[Drop]],Tabela10[Grade],DropAnalityka[[#This Row],[Grade]])*DropAnalityka[[#This Row],[Quality/Quantity]],0)</f>
        <v>0</v>
      </c>
      <c r="L1011" s="49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179</v>
      </c>
      <c r="B1012" t="s">
        <v>9</v>
      </c>
      <c r="C1012">
        <v>7</v>
      </c>
      <c r="D1012">
        <v>2530</v>
      </c>
      <c r="E1012">
        <v>1</v>
      </c>
      <c r="F1012" t="s">
        <v>280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9">
        <f>IFERROR(SUMIFS(Tabela10[Fod Worth],Tabela10[Drop],DropAnalityka[[#This Row],[Drop]],Tabela10[Grade],DropAnalityka[[#This Row],[Grade]])*DropAnalityka[[#This Row],[Quality/Quantity]],0)</f>
        <v>0</v>
      </c>
      <c r="L1012" s="49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179</v>
      </c>
      <c r="B1013" t="s">
        <v>9</v>
      </c>
      <c r="C1013">
        <v>7</v>
      </c>
      <c r="D1013">
        <v>3259</v>
      </c>
      <c r="E1013">
        <v>1</v>
      </c>
      <c r="F1013" t="s">
        <v>313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9">
        <f>IFERROR(SUMIFS(Tabela10[Fod Worth],Tabela10[Drop],DropAnalityka[[#This Row],[Drop]],Tabela10[Grade],DropAnalityka[[#This Row],[Grade]])*DropAnalityka[[#This Row],[Quality/Quantity]],0)</f>
        <v>0</v>
      </c>
      <c r="L1013" s="49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179</v>
      </c>
      <c r="B1014" t="s">
        <v>9</v>
      </c>
      <c r="C1014">
        <v>7</v>
      </c>
      <c r="D1014">
        <v>2913</v>
      </c>
      <c r="E1014">
        <v>1</v>
      </c>
      <c r="F1014" t="s">
        <v>313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9">
        <f>IFERROR(SUMIFS(Tabela10[Fod Worth],Tabela10[Drop],DropAnalityka[[#This Row],[Drop]],Tabela10[Grade],DropAnalityka[[#This Row],[Grade]])*DropAnalityka[[#This Row],[Quality/Quantity]],0)</f>
        <v>0</v>
      </c>
      <c r="L1014" s="49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179</v>
      </c>
      <c r="B1015" t="s">
        <v>9</v>
      </c>
      <c r="C1015">
        <v>7</v>
      </c>
      <c r="D1015">
        <v>2901</v>
      </c>
      <c r="E1015">
        <v>0</v>
      </c>
      <c r="F1015" t="s">
        <v>313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9">
        <f>IFERROR(SUMIFS(Tabela10[Fod Worth],Tabela10[Drop],DropAnalityka[[#This Row],[Drop]],Tabela10[Grade],DropAnalityka[[#This Row],[Grade]])*DropAnalityka[[#This Row],[Quality/Quantity]],0)</f>
        <v>0</v>
      </c>
      <c r="L1015" s="49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179</v>
      </c>
      <c r="B1016" t="s">
        <v>9</v>
      </c>
      <c r="C1016">
        <v>7</v>
      </c>
      <c r="D1016">
        <v>3437</v>
      </c>
      <c r="E1016">
        <v>2</v>
      </c>
      <c r="F1016" t="s">
        <v>280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9">
        <f>IFERROR(SUMIFS(Tabela10[Fod Worth],Tabela10[Drop],DropAnalityka[[#This Row],[Drop]],Tabela10[Grade],DropAnalityka[[#This Row],[Grade]])*DropAnalityka[[#This Row],[Quality/Quantity]],0)</f>
        <v>0</v>
      </c>
      <c r="L1016" s="49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179</v>
      </c>
      <c r="B1017" t="s">
        <v>9</v>
      </c>
      <c r="C1017">
        <v>7</v>
      </c>
      <c r="D1017">
        <v>2966</v>
      </c>
      <c r="E1017">
        <v>2</v>
      </c>
      <c r="F1017" t="s">
        <v>215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9">
        <f>IFERROR(SUMIFS(Tabela10[Fod Worth],Tabela10[Drop],DropAnalityka[[#This Row],[Drop]],Tabela10[Grade],DropAnalityka[[#This Row],[Grade]])*DropAnalityka[[#This Row],[Quality/Quantity]],0)</f>
        <v>1725</v>
      </c>
      <c r="L1017" s="49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179</v>
      </c>
      <c r="B1018" t="s">
        <v>9</v>
      </c>
      <c r="C1018">
        <v>7</v>
      </c>
      <c r="D1018">
        <v>3352</v>
      </c>
      <c r="E1018">
        <v>1</v>
      </c>
      <c r="F1018" t="s">
        <v>313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9">
        <f>IFERROR(SUMIFS(Tabela10[Fod Worth],Tabela10[Drop],DropAnalityka[[#This Row],[Drop]],Tabela10[Grade],DropAnalityka[[#This Row],[Grade]])*DropAnalityka[[#This Row],[Quality/Quantity]],0)</f>
        <v>0</v>
      </c>
      <c r="L1018" s="49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179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9">
        <f>IFERROR(SUMIFS(Tabela10[Fod Worth],Tabela10[Drop],DropAnalityka[[#This Row],[Drop]],Tabela10[Grade],DropAnalityka[[#This Row],[Grade]])*DropAnalityka[[#This Row],[Quality/Quantity]],0)</f>
        <v>0</v>
      </c>
      <c r="L1019" s="49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179</v>
      </c>
      <c r="B1020" t="s">
        <v>9</v>
      </c>
      <c r="C1020">
        <v>7</v>
      </c>
      <c r="D1020">
        <v>2535</v>
      </c>
      <c r="E1020">
        <v>1</v>
      </c>
      <c r="F1020" t="s">
        <v>280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9">
        <f>IFERROR(SUMIFS(Tabela10[Fod Worth],Tabela10[Drop],DropAnalityka[[#This Row],[Drop]],Tabela10[Grade],DropAnalityka[[#This Row],[Grade]])*DropAnalityka[[#This Row],[Quality/Quantity]],0)</f>
        <v>0</v>
      </c>
      <c r="L1020" s="49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179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9">
        <f>IFERROR(SUMIFS(Tabela10[Fod Worth],Tabela10[Drop],DropAnalityka[[#This Row],[Drop]],Tabela10[Grade],DropAnalityka[[#This Row],[Grade]])*DropAnalityka[[#This Row],[Quality/Quantity]],0)</f>
        <v>11500</v>
      </c>
      <c r="L1021" s="49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179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9">
        <f>IFERROR(SUMIFS(Tabela10[Fod Worth],Tabela10[Drop],DropAnalityka[[#This Row],[Drop]],Tabela10[Grade],DropAnalityka[[#This Row],[Grade]])*DropAnalityka[[#This Row],[Quality/Quantity]],0)</f>
        <v>0</v>
      </c>
      <c r="L1022" s="49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179</v>
      </c>
      <c r="B1023" t="s">
        <v>9</v>
      </c>
      <c r="C1023">
        <v>7</v>
      </c>
      <c r="D1023">
        <v>3364</v>
      </c>
      <c r="E1023">
        <v>1</v>
      </c>
      <c r="F1023" t="s">
        <v>280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9">
        <f>IFERROR(SUMIFS(Tabela10[Fod Worth],Tabela10[Drop],DropAnalityka[[#This Row],[Drop]],Tabela10[Grade],DropAnalityka[[#This Row],[Grade]])*DropAnalityka[[#This Row],[Quality/Quantity]],0)</f>
        <v>0</v>
      </c>
      <c r="L1023" s="49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179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9">
        <f>IFERROR(SUMIFS(Tabela10[Fod Worth],Tabela10[Drop],DropAnalityka[[#This Row],[Drop]],Tabela10[Grade],DropAnalityka[[#This Row],[Grade]])*DropAnalityka[[#This Row],[Quality/Quantity]],0)</f>
        <v>0</v>
      </c>
      <c r="L1024" s="49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179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9">
        <f>IFERROR(SUMIFS(Tabela10[Fod Worth],Tabela10[Drop],DropAnalityka[[#This Row],[Drop]],Tabela10[Grade],DropAnalityka[[#This Row],[Grade]])*DropAnalityka[[#This Row],[Quality/Quantity]],0)</f>
        <v>0</v>
      </c>
      <c r="L1025" s="49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179</v>
      </c>
      <c r="B1026" t="s">
        <v>9</v>
      </c>
      <c r="C1026">
        <v>7</v>
      </c>
      <c r="D1026">
        <v>3416</v>
      </c>
      <c r="E1026">
        <v>0</v>
      </c>
      <c r="F1026" t="s">
        <v>280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9">
        <f>IFERROR(SUMIFS(Tabela10[Fod Worth],Tabela10[Drop],DropAnalityka[[#This Row],[Drop]],Tabela10[Grade],DropAnalityka[[#This Row],[Grade]])*DropAnalityka[[#This Row],[Quality/Quantity]],0)</f>
        <v>0</v>
      </c>
      <c r="L1026" s="49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179</v>
      </c>
      <c r="B1027" t="s">
        <v>9</v>
      </c>
      <c r="C1027">
        <v>7</v>
      </c>
      <c r="D1027">
        <v>2949</v>
      </c>
      <c r="E1027">
        <v>2</v>
      </c>
      <c r="F1027" t="s">
        <v>280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9">
        <f>IFERROR(SUMIFS(Tabela10[Fod Worth],Tabela10[Drop],DropAnalityka[[#This Row],[Drop]],Tabela10[Grade],DropAnalityka[[#This Row],[Grade]])*DropAnalityka[[#This Row],[Quality/Quantity]],0)</f>
        <v>0</v>
      </c>
      <c r="L1027" s="49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179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9">
        <f>IFERROR(SUMIFS(Tabela10[Fod Worth],Tabela10[Drop],DropAnalityka[[#This Row],[Drop]],Tabela10[Grade],DropAnalityka[[#This Row],[Grade]])*DropAnalityka[[#This Row],[Quality/Quantity]],0)</f>
        <v>0</v>
      </c>
      <c r="L1028" s="49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179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9">
        <f>IFERROR(SUMIFS(Tabela10[Fod Worth],Tabela10[Drop],DropAnalityka[[#This Row],[Drop]],Tabela10[Grade],DropAnalityka[[#This Row],[Grade]])*DropAnalityka[[#This Row],[Quality/Quantity]],0)</f>
        <v>0</v>
      </c>
      <c r="L1029" s="49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179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9">
        <f>IFERROR(SUMIFS(Tabela10[Fod Worth],Tabela10[Drop],DropAnalityka[[#This Row],[Drop]],Tabela10[Grade],DropAnalityka[[#This Row],[Grade]])*DropAnalityka[[#This Row],[Quality/Quantity]],0)</f>
        <v>0</v>
      </c>
      <c r="L1030" s="49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179</v>
      </c>
      <c r="B1031" t="s">
        <v>9</v>
      </c>
      <c r="C1031">
        <v>7</v>
      </c>
      <c r="D1031">
        <v>3045</v>
      </c>
      <c r="E1031">
        <v>0</v>
      </c>
      <c r="F1031" t="s">
        <v>280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9">
        <f>IFERROR(SUMIFS(Tabela10[Fod Worth],Tabela10[Drop],DropAnalityka[[#This Row],[Drop]],Tabela10[Grade],DropAnalityka[[#This Row],[Grade]])*DropAnalityka[[#This Row],[Quality/Quantity]],0)</f>
        <v>0</v>
      </c>
      <c r="L1031" s="49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179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9">
        <f>IFERROR(SUMIFS(Tabela10[Fod Worth],Tabela10[Drop],DropAnalityka[[#This Row],[Drop]],Tabela10[Grade],DropAnalityka[[#This Row],[Grade]])*DropAnalityka[[#This Row],[Quality/Quantity]],0)</f>
        <v>0</v>
      </c>
      <c r="L1032" s="49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179</v>
      </c>
      <c r="B1033" t="s">
        <v>9</v>
      </c>
      <c r="C1033">
        <v>7</v>
      </c>
      <c r="D1033">
        <v>2795</v>
      </c>
      <c r="E1033">
        <v>1</v>
      </c>
      <c r="F1033" t="s">
        <v>280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9">
        <f>IFERROR(SUMIFS(Tabela10[Fod Worth],Tabela10[Drop],DropAnalityka[[#This Row],[Drop]],Tabela10[Grade],DropAnalityka[[#This Row],[Grade]])*DropAnalityka[[#This Row],[Quality/Quantity]],0)</f>
        <v>0</v>
      </c>
      <c r="L1033" s="49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179</v>
      </c>
      <c r="B1034" t="s">
        <v>9</v>
      </c>
      <c r="C1034">
        <v>7</v>
      </c>
      <c r="D1034">
        <v>3324</v>
      </c>
      <c r="E1034">
        <v>0</v>
      </c>
      <c r="F1034" t="s">
        <v>280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9">
        <f>IFERROR(SUMIFS(Tabela10[Fod Worth],Tabela10[Drop],DropAnalityka[[#This Row],[Drop]],Tabela10[Grade],DropAnalityka[[#This Row],[Grade]])*DropAnalityka[[#This Row],[Quality/Quantity]],0)</f>
        <v>0</v>
      </c>
      <c r="L1034" s="49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179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9">
        <f>IFERROR(SUMIFS(Tabela10[Fod Worth],Tabela10[Drop],DropAnalityka[[#This Row],[Drop]],Tabela10[Grade],DropAnalityka[[#This Row],[Grade]])*DropAnalityka[[#This Row],[Quality/Quantity]],0)</f>
        <v>0</v>
      </c>
      <c r="L1035" s="49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179</v>
      </c>
      <c r="B1036" t="s">
        <v>9</v>
      </c>
      <c r="C1036">
        <v>7</v>
      </c>
      <c r="D1036">
        <v>2789</v>
      </c>
      <c r="E1036">
        <v>1</v>
      </c>
      <c r="F1036" t="s">
        <v>313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9">
        <f>IFERROR(SUMIFS(Tabela10[Fod Worth],Tabela10[Drop],DropAnalityka[[#This Row],[Drop]],Tabela10[Grade],DropAnalityka[[#This Row],[Grade]])*DropAnalityka[[#This Row],[Quality/Quantity]],0)</f>
        <v>0</v>
      </c>
      <c r="L1036" s="49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179</v>
      </c>
      <c r="B1037" t="s">
        <v>9</v>
      </c>
      <c r="C1037">
        <v>7</v>
      </c>
      <c r="D1037">
        <v>3263</v>
      </c>
      <c r="E1037">
        <v>1</v>
      </c>
      <c r="F1037" t="s">
        <v>313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9">
        <f>IFERROR(SUMIFS(Tabela10[Fod Worth],Tabela10[Drop],DropAnalityka[[#This Row],[Drop]],Tabela10[Grade],DropAnalityka[[#This Row],[Grade]])*DropAnalityka[[#This Row],[Quality/Quantity]],0)</f>
        <v>0</v>
      </c>
      <c r="L1037" s="49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179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9">
        <f>IFERROR(SUMIFS(Tabela10[Fod Worth],Tabela10[Drop],DropAnalityka[[#This Row],[Drop]],Tabela10[Grade],DropAnalityka[[#This Row],[Grade]])*DropAnalityka[[#This Row],[Quality/Quantity]],0)</f>
        <v>0</v>
      </c>
      <c r="L1038" s="49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179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9">
        <f>IFERROR(SUMIFS(Tabela10[Fod Worth],Tabela10[Drop],DropAnalityka[[#This Row],[Drop]],Tabela10[Grade],DropAnalityka[[#This Row],[Grade]])*DropAnalityka[[#This Row],[Quality/Quantity]],0)</f>
        <v>0</v>
      </c>
      <c r="L1039" s="49">
        <f>IFERROR(SUMIFS(Tabela10[Exp Gain only 2*+],Tabela10[Drop],DropAnalityka[[#This Row],[Drop]],Tabela10[Grade],DropAnalityka[[#This Row],[Grade]])*DropAnalityka[[#This Row],[Quality/Quantity]],0)</f>
        <v>0</v>
      </c>
      <c r="M1039" t="s">
        <v>214</v>
      </c>
    </row>
    <row r="1040" spans="1:13">
      <c r="A1040" t="s">
        <v>179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9">
        <f>IFERROR(SUMIFS(Tabela10[Fod Worth],Tabela10[Drop],DropAnalityka[[#This Row],[Drop]],Tabela10[Grade],DropAnalityka[[#This Row],[Grade]])*DropAnalityka[[#This Row],[Quality/Quantity]],0)</f>
        <v>0</v>
      </c>
      <c r="L1040" s="49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179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9">
        <f>IFERROR(SUMIFS(Tabela10[Fod Worth],Tabela10[Drop],DropAnalityka[[#This Row],[Drop]],Tabela10[Grade],DropAnalityka[[#This Row],[Grade]])*DropAnalityka[[#This Row],[Quality/Quantity]],0)</f>
        <v>0</v>
      </c>
      <c r="L1041" s="49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179</v>
      </c>
      <c r="B1042" t="s">
        <v>9</v>
      </c>
      <c r="C1042">
        <v>8</v>
      </c>
      <c r="D1042">
        <v>3251</v>
      </c>
      <c r="E1042">
        <v>1</v>
      </c>
      <c r="F1042" t="s">
        <v>313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9">
        <f>IFERROR(SUMIFS(Tabela10[Fod Worth],Tabela10[Drop],DropAnalityka[[#This Row],[Drop]],Tabela10[Grade],DropAnalityka[[#This Row],[Grade]])*DropAnalityka[[#This Row],[Quality/Quantity]],0)</f>
        <v>0</v>
      </c>
      <c r="L1042" s="49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179</v>
      </c>
      <c r="B1043" t="s">
        <v>9</v>
      </c>
      <c r="C1043">
        <v>8</v>
      </c>
      <c r="D1043">
        <v>3614</v>
      </c>
      <c r="E1043">
        <v>1</v>
      </c>
      <c r="F1043" t="s">
        <v>313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9">
        <f>IFERROR(SUMIFS(Tabela10[Fod Worth],Tabela10[Drop],DropAnalityka[[#This Row],[Drop]],Tabela10[Grade],DropAnalityka[[#This Row],[Grade]])*DropAnalityka[[#This Row],[Quality/Quantity]],0)</f>
        <v>0</v>
      </c>
      <c r="L1043" s="49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179</v>
      </c>
      <c r="B1044" t="s">
        <v>9</v>
      </c>
      <c r="C1044">
        <v>8</v>
      </c>
      <c r="D1044">
        <v>3238</v>
      </c>
      <c r="E1044">
        <v>1</v>
      </c>
      <c r="F1044" t="s">
        <v>280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9">
        <f>IFERROR(SUMIFS(Tabela10[Fod Worth],Tabela10[Drop],DropAnalityka[[#This Row],[Drop]],Tabela10[Grade],DropAnalityka[[#This Row],[Grade]])*DropAnalityka[[#This Row],[Quality/Quantity]],0)</f>
        <v>0</v>
      </c>
      <c r="L1044" s="49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179</v>
      </c>
      <c r="B1045" t="s">
        <v>9</v>
      </c>
      <c r="C1045">
        <v>8</v>
      </c>
      <c r="D1045">
        <v>3097</v>
      </c>
      <c r="E1045">
        <v>0</v>
      </c>
      <c r="F1045" t="s">
        <v>280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9">
        <f>IFERROR(SUMIFS(Tabela10[Fod Worth],Tabela10[Drop],DropAnalityka[[#This Row],[Drop]],Tabela10[Grade],DropAnalityka[[#This Row],[Grade]])*DropAnalityka[[#This Row],[Quality/Quantity]],0)</f>
        <v>0</v>
      </c>
      <c r="L1045" s="49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179</v>
      </c>
      <c r="B1046" t="s">
        <v>9</v>
      </c>
      <c r="C1046">
        <v>8</v>
      </c>
      <c r="D1046">
        <v>2801</v>
      </c>
      <c r="E1046">
        <v>0</v>
      </c>
      <c r="F1046" t="s">
        <v>280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9">
        <f>IFERROR(SUMIFS(Tabela10[Fod Worth],Tabela10[Drop],DropAnalityka[[#This Row],[Drop]],Tabela10[Grade],DropAnalityka[[#This Row],[Grade]])*DropAnalityka[[#This Row],[Quality/Quantity]],0)</f>
        <v>0</v>
      </c>
      <c r="L1046" s="49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179</v>
      </c>
      <c r="B1047" t="s">
        <v>9</v>
      </c>
      <c r="C1047">
        <v>8</v>
      </c>
      <c r="D1047">
        <v>3150</v>
      </c>
      <c r="E1047">
        <v>0</v>
      </c>
      <c r="F1047" t="s">
        <v>280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9">
        <f>IFERROR(SUMIFS(Tabela10[Fod Worth],Tabela10[Drop],DropAnalityka[[#This Row],[Drop]],Tabela10[Grade],DropAnalityka[[#This Row],[Grade]])*DropAnalityka[[#This Row],[Quality/Quantity]],0)</f>
        <v>0</v>
      </c>
      <c r="L1047" s="49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179</v>
      </c>
      <c r="B1048" t="s">
        <v>9</v>
      </c>
      <c r="C1048">
        <v>8</v>
      </c>
      <c r="D1048">
        <v>3588</v>
      </c>
      <c r="E1048">
        <v>1</v>
      </c>
      <c r="F1048" t="s">
        <v>280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9">
        <f>IFERROR(SUMIFS(Tabela10[Fod Worth],Tabela10[Drop],DropAnalityka[[#This Row],[Drop]],Tabela10[Grade],DropAnalityka[[#This Row],[Grade]])*DropAnalityka[[#This Row],[Quality/Quantity]],0)</f>
        <v>0</v>
      </c>
      <c r="L1048" s="49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179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9">
        <f>IFERROR(SUMIFS(Tabela10[Fod Worth],Tabela10[Drop],DropAnalityka[[#This Row],[Drop]],Tabela10[Grade],DropAnalityka[[#This Row],[Grade]])*DropAnalityka[[#This Row],[Quality/Quantity]],0)</f>
        <v>0</v>
      </c>
      <c r="L1049" s="49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179</v>
      </c>
      <c r="B1050" t="s">
        <v>9</v>
      </c>
      <c r="C1050">
        <v>8</v>
      </c>
      <c r="D1050">
        <v>3137</v>
      </c>
      <c r="E1050">
        <v>0</v>
      </c>
      <c r="F1050" t="s">
        <v>313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9">
        <f>IFERROR(SUMIFS(Tabela10[Fod Worth],Tabela10[Drop],DropAnalityka[[#This Row],[Drop]],Tabela10[Grade],DropAnalityka[[#This Row],[Grade]])*DropAnalityka[[#This Row],[Quality/Quantity]],0)</f>
        <v>0</v>
      </c>
      <c r="L1050" s="49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179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9">
        <f>IFERROR(SUMIFS(Tabela10[Fod Worth],Tabela10[Drop],DropAnalityka[[#This Row],[Drop]],Tabela10[Grade],DropAnalityka[[#This Row],[Grade]])*DropAnalityka[[#This Row],[Quality/Quantity]],0)</f>
        <v>0</v>
      </c>
      <c r="L1051" s="49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179</v>
      </c>
      <c r="B1052" t="s">
        <v>9</v>
      </c>
      <c r="C1052">
        <v>8</v>
      </c>
      <c r="D1052">
        <v>3479</v>
      </c>
      <c r="E1052">
        <v>1</v>
      </c>
      <c r="F1052" t="s">
        <v>280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9">
        <f>IFERROR(SUMIFS(Tabela10[Fod Worth],Tabela10[Drop],DropAnalityka[[#This Row],[Drop]],Tabela10[Grade],DropAnalityka[[#This Row],[Grade]])*DropAnalityka[[#This Row],[Quality/Quantity]],0)</f>
        <v>0</v>
      </c>
      <c r="L1052" s="49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179</v>
      </c>
      <c r="B1053" t="s">
        <v>9</v>
      </c>
      <c r="C1053">
        <v>8</v>
      </c>
      <c r="D1053">
        <v>3505</v>
      </c>
      <c r="E1053">
        <v>2</v>
      </c>
      <c r="F1053" t="s">
        <v>313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9">
        <f>IFERROR(SUMIFS(Tabela10[Fod Worth],Tabela10[Drop],DropAnalityka[[#This Row],[Drop]],Tabela10[Grade],DropAnalityka[[#This Row],[Grade]])*DropAnalityka[[#This Row],[Quality/Quantity]],0)</f>
        <v>0</v>
      </c>
      <c r="L1053" s="49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179</v>
      </c>
      <c r="B1054" t="s">
        <v>9</v>
      </c>
      <c r="C1054">
        <v>8</v>
      </c>
      <c r="D1054">
        <v>3378</v>
      </c>
      <c r="E1054">
        <v>1</v>
      </c>
      <c r="F1054" t="s">
        <v>280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9">
        <f>IFERROR(SUMIFS(Tabela10[Fod Worth],Tabela10[Drop],DropAnalityka[[#This Row],[Drop]],Tabela10[Grade],DropAnalityka[[#This Row],[Grade]])*DropAnalityka[[#This Row],[Quality/Quantity]],0)</f>
        <v>0</v>
      </c>
      <c r="L1054" s="49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179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9">
        <f>IFERROR(SUMIFS(Tabela10[Fod Worth],Tabela10[Drop],DropAnalityka[[#This Row],[Drop]],Tabela10[Grade],DropAnalityka[[#This Row],[Grade]])*DropAnalityka[[#This Row],[Quality/Quantity]],0)</f>
        <v>0</v>
      </c>
      <c r="L1055" s="49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179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9">
        <f>IFERROR(SUMIFS(Tabela10[Fod Worth],Tabela10[Drop],DropAnalityka[[#This Row],[Drop]],Tabela10[Grade],DropAnalityka[[#This Row],[Grade]])*DropAnalityka[[#This Row],[Quality/Quantity]],0)</f>
        <v>0</v>
      </c>
      <c r="L1056" s="49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179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9">
        <f>IFERROR(SUMIFS(Tabela10[Fod Worth],Tabela10[Drop],DropAnalityka[[#This Row],[Drop]],Tabela10[Grade],DropAnalityka[[#This Row],[Grade]])*DropAnalityka[[#This Row],[Quality/Quantity]],0)</f>
        <v>0</v>
      </c>
      <c r="L1057" s="49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179</v>
      </c>
      <c r="B1058" t="s">
        <v>9</v>
      </c>
      <c r="C1058">
        <v>8</v>
      </c>
      <c r="D1058">
        <v>3217</v>
      </c>
      <c r="E1058">
        <v>0</v>
      </c>
      <c r="F1058" t="s">
        <v>280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9">
        <f>IFERROR(SUMIFS(Tabela10[Fod Worth],Tabela10[Drop],DropAnalityka[[#This Row],[Drop]],Tabela10[Grade],DropAnalityka[[#This Row],[Grade]])*DropAnalityka[[#This Row],[Quality/Quantity]],0)</f>
        <v>0</v>
      </c>
      <c r="L1058" s="49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179</v>
      </c>
      <c r="B1059" t="s">
        <v>9</v>
      </c>
      <c r="C1059">
        <v>8</v>
      </c>
      <c r="D1059">
        <v>3453</v>
      </c>
      <c r="E1059">
        <v>0</v>
      </c>
      <c r="F1059" t="s">
        <v>280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9">
        <f>IFERROR(SUMIFS(Tabela10[Fod Worth],Tabela10[Drop],DropAnalityka[[#This Row],[Drop]],Tabela10[Grade],DropAnalityka[[#This Row],[Grade]])*DropAnalityka[[#This Row],[Quality/Quantity]],0)</f>
        <v>0</v>
      </c>
      <c r="L1059" s="49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179</v>
      </c>
      <c r="B1060" t="s">
        <v>9</v>
      </c>
      <c r="C1060">
        <v>8</v>
      </c>
      <c r="D1060">
        <v>3773</v>
      </c>
      <c r="E1060">
        <v>1</v>
      </c>
      <c r="F1060" t="s">
        <v>313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9">
        <f>IFERROR(SUMIFS(Tabela10[Fod Worth],Tabela10[Drop],DropAnalityka[[#This Row],[Drop]],Tabela10[Grade],DropAnalityka[[#This Row],[Grade]])*DropAnalityka[[#This Row],[Quality/Quantity]],0)</f>
        <v>0</v>
      </c>
      <c r="L1060" s="49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179</v>
      </c>
      <c r="B1061" t="s">
        <v>9</v>
      </c>
      <c r="C1061">
        <v>8</v>
      </c>
      <c r="D1061">
        <v>3152</v>
      </c>
      <c r="E1061">
        <v>2</v>
      </c>
      <c r="F1061" t="s">
        <v>280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9">
        <f>IFERROR(SUMIFS(Tabela10[Fod Worth],Tabela10[Drop],DropAnalityka[[#This Row],[Drop]],Tabela10[Grade],DropAnalityka[[#This Row],[Grade]])*DropAnalityka[[#This Row],[Quality/Quantity]],0)</f>
        <v>0</v>
      </c>
      <c r="L1061" s="49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179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9">
        <f>IFERROR(SUMIFS(Tabela10[Fod Worth],Tabela10[Drop],DropAnalityka[[#This Row],[Drop]],Tabela10[Grade],DropAnalityka[[#This Row],[Grade]])*DropAnalityka[[#This Row],[Quality/Quantity]],0)</f>
        <v>0</v>
      </c>
      <c r="L1062" s="49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179</v>
      </c>
      <c r="B1063" t="s">
        <v>9</v>
      </c>
      <c r="C1063">
        <v>8</v>
      </c>
      <c r="D1063">
        <v>3391</v>
      </c>
      <c r="E1063">
        <v>1</v>
      </c>
      <c r="F1063" t="s">
        <v>340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9">
        <f>IFERROR(SUMIFS(Tabela10[Fod Worth],Tabela10[Drop],DropAnalityka[[#This Row],[Drop]],Tabela10[Grade],DropAnalityka[[#This Row],[Grade]])*DropAnalityka[[#This Row],[Quality/Quantity]],0)</f>
        <v>0</v>
      </c>
      <c r="L1063" s="49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179</v>
      </c>
      <c r="B1064" t="s">
        <v>9</v>
      </c>
      <c r="C1064">
        <v>8</v>
      </c>
      <c r="D1064">
        <v>3826</v>
      </c>
      <c r="E1064">
        <v>0</v>
      </c>
      <c r="F1064" t="s">
        <v>280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9">
        <f>IFERROR(SUMIFS(Tabela10[Fod Worth],Tabela10[Drop],DropAnalityka[[#This Row],[Drop]],Tabela10[Grade],DropAnalityka[[#This Row],[Grade]])*DropAnalityka[[#This Row],[Quality/Quantity]],0)</f>
        <v>0</v>
      </c>
      <c r="L1064" s="49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308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9">
        <f>IFERROR(SUMIFS(Tabela10[Fod Worth],Tabela10[Drop],DropAnalityka[[#This Row],[Drop]],Tabela10[Grade],DropAnalityka[[#This Row],[Grade]])*DropAnalityka[[#This Row],[Quality/Quantity]],0)</f>
        <v>0</v>
      </c>
      <c r="L1065" s="49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308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9">
        <f>IFERROR(SUMIFS(Tabela10[Fod Worth],Tabela10[Drop],DropAnalityka[[#This Row],[Drop]],Tabela10[Grade],DropAnalityka[[#This Row],[Grade]])*DropAnalityka[[#This Row],[Quality/Quantity]],0)</f>
        <v>0</v>
      </c>
      <c r="L1066" s="49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308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9">
        <f>IFERROR(SUMIFS(Tabela10[Fod Worth],Tabela10[Drop],DropAnalityka[[#This Row],[Drop]],Tabela10[Grade],DropAnalityka[[#This Row],[Grade]])*DropAnalityka[[#This Row],[Quality/Quantity]],0)</f>
        <v>0</v>
      </c>
      <c r="L1067" s="49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308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9">
        <f>IFERROR(SUMIFS(Tabela10[Fod Worth],Tabela10[Drop],DropAnalityka[[#This Row],[Drop]],Tabela10[Grade],DropAnalityka[[#This Row],[Grade]])*DropAnalityka[[#This Row],[Quality/Quantity]],0)</f>
        <v>0</v>
      </c>
      <c r="L1068" s="49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308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9">
        <f>IFERROR(SUMIFS(Tabela10[Fod Worth],Tabela10[Drop],DropAnalityka[[#This Row],[Drop]],Tabela10[Grade],DropAnalityka[[#This Row],[Grade]])*DropAnalityka[[#This Row],[Quality/Quantity]],0)</f>
        <v>0</v>
      </c>
      <c r="L1069" s="49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308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9">
        <f>IFERROR(SUMIFS(Tabela10[Fod Worth],Tabela10[Drop],DropAnalityka[[#This Row],[Drop]],Tabela10[Grade],DropAnalityka[[#This Row],[Grade]])*DropAnalityka[[#This Row],[Quality/Quantity]],0)</f>
        <v>0</v>
      </c>
      <c r="L1070" s="49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308</v>
      </c>
      <c r="B1071" t="s">
        <v>32</v>
      </c>
      <c r="C1071">
        <v>5</v>
      </c>
      <c r="D1071">
        <v>1020</v>
      </c>
      <c r="E1071">
        <v>1</v>
      </c>
      <c r="F1071" t="s">
        <v>286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9">
        <f>IFERROR(SUMIFS(Tabela10[Fod Worth],Tabela10[Drop],DropAnalityka[[#This Row],[Drop]],Tabela10[Grade],DropAnalityka[[#This Row],[Grade]])*DropAnalityka[[#This Row],[Quality/Quantity]],0)</f>
        <v>0</v>
      </c>
      <c r="L1071" s="49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308</v>
      </c>
      <c r="B1072" t="s">
        <v>32</v>
      </c>
      <c r="C1072">
        <v>5</v>
      </c>
      <c r="D1072">
        <v>1937</v>
      </c>
      <c r="E1072">
        <v>1</v>
      </c>
      <c r="F1072" t="s">
        <v>286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9">
        <f>IFERROR(SUMIFS(Tabela10[Fod Worth],Tabela10[Drop],DropAnalityka[[#This Row],[Drop]],Tabela10[Grade],DropAnalityka[[#This Row],[Grade]])*DropAnalityka[[#This Row],[Quality/Quantity]],0)</f>
        <v>0</v>
      </c>
      <c r="L1072" s="49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308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9">
        <f>IFERROR(SUMIFS(Tabela10[Fod Worth],Tabela10[Drop],DropAnalityka[[#This Row],[Drop]],Tabela10[Grade],DropAnalityka[[#This Row],[Grade]])*DropAnalityka[[#This Row],[Quality/Quantity]],0)</f>
        <v>0</v>
      </c>
      <c r="L1073" s="49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308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9">
        <f>IFERROR(SUMIFS(Tabela10[Fod Worth],Tabela10[Drop],DropAnalityka[[#This Row],[Drop]],Tabela10[Grade],DropAnalityka[[#This Row],[Grade]])*DropAnalityka[[#This Row],[Quality/Quantity]],0)</f>
        <v>0</v>
      </c>
      <c r="L1074" s="49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308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9">
        <f>IFERROR(SUMIFS(Tabela10[Fod Worth],Tabela10[Drop],DropAnalityka[[#This Row],[Drop]],Tabela10[Grade],DropAnalityka[[#This Row],[Grade]])*DropAnalityka[[#This Row],[Quality/Quantity]],0)</f>
        <v>0</v>
      </c>
      <c r="L1075" s="49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308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9">
        <f>IFERROR(SUMIFS(Tabela10[Fod Worth],Tabela10[Drop],DropAnalityka[[#This Row],[Drop]],Tabela10[Grade],DropAnalityka[[#This Row],[Grade]])*DropAnalityka[[#This Row],[Quality/Quantity]],0)</f>
        <v>0</v>
      </c>
      <c r="L1076" s="49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9">
        <f>IFERROR(SUMIFS(Tabela10[Fod Worth],Tabela10[Drop],DropAnalityka[[#This Row],[Drop]],Tabela10[Grade],DropAnalityka[[#This Row],[Grade]])*DropAnalityka[[#This Row],[Quality/Quantity]],0)</f>
        <v>0</v>
      </c>
      <c r="L1077" s="49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9">
        <f>IFERROR(SUMIFS(Tabela10[Fod Worth],Tabela10[Drop],DropAnalityka[[#This Row],[Drop]],Tabela10[Grade],DropAnalityka[[#This Row],[Grade]])*DropAnalityka[[#This Row],[Quality/Quantity]],0)</f>
        <v>0</v>
      </c>
      <c r="L1078" s="49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9">
        <f>IFERROR(SUMIFS(Tabela10[Fod Worth],Tabela10[Drop],DropAnalityka[[#This Row],[Drop]],Tabela10[Grade],DropAnalityka[[#This Row],[Grade]])*DropAnalityka[[#This Row],[Quality/Quantity]],0)</f>
        <v>0</v>
      </c>
      <c r="L1079" s="49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9">
        <f>IFERROR(SUMIFS(Tabela10[Fod Worth],Tabela10[Drop],DropAnalityka[[#This Row],[Drop]],Tabela10[Grade],DropAnalityka[[#This Row],[Grade]])*DropAnalityka[[#This Row],[Quality/Quantity]],0)</f>
        <v>0</v>
      </c>
      <c r="L1080" s="49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9">
        <f>IFERROR(SUMIFS(Tabela10[Fod Worth],Tabela10[Drop],DropAnalityka[[#This Row],[Drop]],Tabela10[Grade],DropAnalityka[[#This Row],[Grade]])*DropAnalityka[[#This Row],[Quality/Quantity]],0)</f>
        <v>11500</v>
      </c>
      <c r="L1081" s="49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9">
        <f>IFERROR(SUMIFS(Tabela10[Fod Worth],Tabela10[Drop],DropAnalityka[[#This Row],[Drop]],Tabela10[Grade],DropAnalityka[[#This Row],[Grade]])*DropAnalityka[[#This Row],[Quality/Quantity]],0)</f>
        <v>0</v>
      </c>
      <c r="L1082" s="49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341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9">
        <f>IFERROR(SUMIFS(Tabela10[Fod Worth],Tabela10[Drop],DropAnalityka[[#This Row],[Drop]],Tabela10[Grade],DropAnalityka[[#This Row],[Grade]])*DropAnalityka[[#This Row],[Quality/Quantity]],0)</f>
        <v>0</v>
      </c>
      <c r="L1083" s="49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341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9">
        <f>IFERROR(SUMIFS(Tabela10[Fod Worth],Tabela10[Drop],DropAnalityka[[#This Row],[Drop]],Tabela10[Grade],DropAnalityka[[#This Row],[Grade]])*DropAnalityka[[#This Row],[Quality/Quantity]],0)</f>
        <v>0</v>
      </c>
      <c r="L1084" s="49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341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9">
        <f>IFERROR(SUMIFS(Tabela10[Fod Worth],Tabela10[Drop],DropAnalityka[[#This Row],[Drop]],Tabela10[Grade],DropAnalityka[[#This Row],[Grade]])*DropAnalityka[[#This Row],[Quality/Quantity]],0)</f>
        <v>0</v>
      </c>
      <c r="L1085" s="49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341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9">
        <f>IFERROR(SUMIFS(Tabela10[Fod Worth],Tabela10[Drop],DropAnalityka[[#This Row],[Drop]],Tabela10[Grade],DropAnalityka[[#This Row],[Grade]])*DropAnalityka[[#This Row],[Quality/Quantity]],0)</f>
        <v>0</v>
      </c>
      <c r="L1086" s="49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341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9">
        <f>IFERROR(SUMIFS(Tabela10[Fod Worth],Tabela10[Drop],DropAnalityka[[#This Row],[Drop]],Tabela10[Grade],DropAnalityka[[#This Row],[Grade]])*DropAnalityka[[#This Row],[Quality/Quantity]],0)</f>
        <v>0</v>
      </c>
      <c r="L1087" s="49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341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9">
        <f>IFERROR(SUMIFS(Tabela10[Fod Worth],Tabela10[Drop],DropAnalityka[[#This Row],[Drop]],Tabela10[Grade],DropAnalityka[[#This Row],[Grade]])*DropAnalityka[[#This Row],[Quality/Quantity]],0)</f>
        <v>0</v>
      </c>
      <c r="L1088" s="49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341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9">
        <f>IFERROR(SUMIFS(Tabela10[Fod Worth],Tabela10[Drop],DropAnalityka[[#This Row],[Drop]],Tabela10[Grade],DropAnalityka[[#This Row],[Grade]])*DropAnalityka[[#This Row],[Quality/Quantity]],0)</f>
        <v>0</v>
      </c>
      <c r="L1089" s="49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341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9">
        <f>IFERROR(SUMIFS(Tabela10[Fod Worth],Tabela10[Drop],DropAnalityka[[#This Row],[Drop]],Tabela10[Grade],DropAnalityka[[#This Row],[Grade]])*DropAnalityka[[#This Row],[Quality/Quantity]],0)</f>
        <v>0</v>
      </c>
      <c r="L1090" s="49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308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9">
        <f>IFERROR(SUMIFS(Tabela10[Fod Worth],Tabela10[Drop],DropAnalityka[[#This Row],[Drop]],Tabela10[Grade],DropAnalityka[[#This Row],[Grade]])*DropAnalityka[[#This Row],[Quality/Quantity]],0)</f>
        <v>0</v>
      </c>
      <c r="L1091" s="49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308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9">
        <f>IFERROR(SUMIFS(Tabela10[Fod Worth],Tabela10[Drop],DropAnalityka[[#This Row],[Drop]],Tabela10[Grade],DropAnalityka[[#This Row],[Grade]])*DropAnalityka[[#This Row],[Quality/Quantity]],0)</f>
        <v>0</v>
      </c>
      <c r="L1092" s="49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308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9">
        <f>IFERROR(SUMIFS(Tabela10[Fod Worth],Tabela10[Drop],DropAnalityka[[#This Row],[Drop]],Tabela10[Grade],DropAnalityka[[#This Row],[Grade]])*DropAnalityka[[#This Row],[Quality/Quantity]],0)</f>
        <v>0</v>
      </c>
      <c r="L1093" s="49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308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9">
        <f>IFERROR(SUMIFS(Tabela10[Fod Worth],Tabela10[Drop],DropAnalityka[[#This Row],[Drop]],Tabela10[Grade],DropAnalityka[[#This Row],[Grade]])*DropAnalityka[[#This Row],[Quality/Quantity]],0)</f>
        <v>0</v>
      </c>
      <c r="L1094" s="49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308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9">
        <f>IFERROR(SUMIFS(Tabela10[Fod Worth],Tabela10[Drop],DropAnalityka[[#This Row],[Drop]],Tabela10[Grade],DropAnalityka[[#This Row],[Grade]])*DropAnalityka[[#This Row],[Quality/Quantity]],0)</f>
        <v>0</v>
      </c>
      <c r="L1095" s="49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308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9">
        <f>IFERROR(SUMIFS(Tabela10[Fod Worth],Tabela10[Drop],DropAnalityka[[#This Row],[Drop]],Tabela10[Grade],DropAnalityka[[#This Row],[Grade]])*DropAnalityka[[#This Row],[Quality/Quantity]],0)</f>
        <v>0</v>
      </c>
      <c r="L1096" s="49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308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9">
        <f>IFERROR(SUMIFS(Tabela10[Fod Worth],Tabela10[Drop],DropAnalityka[[#This Row],[Drop]],Tabela10[Grade],DropAnalityka[[#This Row],[Grade]])*DropAnalityka[[#This Row],[Quality/Quantity]],0)</f>
        <v>0</v>
      </c>
      <c r="L1097" s="49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308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9">
        <f>IFERROR(SUMIFS(Tabela10[Fod Worth],Tabela10[Drop],DropAnalityka[[#This Row],[Drop]],Tabela10[Grade],DropAnalityka[[#This Row],[Grade]])*DropAnalityka[[#This Row],[Quality/Quantity]],0)</f>
        <v>0</v>
      </c>
      <c r="L1098" s="49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308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9">
        <f>IFERROR(SUMIFS(Tabela10[Fod Worth],Tabela10[Drop],DropAnalityka[[#This Row],[Drop]],Tabela10[Grade],DropAnalityka[[#This Row],[Grade]])*DropAnalityka[[#This Row],[Quality/Quantity]],0)</f>
        <v>0</v>
      </c>
      <c r="L1099" s="49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308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9">
        <f>IFERROR(SUMIFS(Tabela10[Fod Worth],Tabela10[Drop],DropAnalityka[[#This Row],[Drop]],Tabela10[Grade],DropAnalityka[[#This Row],[Grade]])*DropAnalityka[[#This Row],[Quality/Quantity]],0)</f>
        <v>0</v>
      </c>
      <c r="L1100" s="49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308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9">
        <f>IFERROR(SUMIFS(Tabela10[Fod Worth],Tabela10[Drop],DropAnalityka[[#This Row],[Drop]],Tabela10[Grade],DropAnalityka[[#This Row],[Grade]])*DropAnalityka[[#This Row],[Quality/Quantity]],0)</f>
        <v>0</v>
      </c>
      <c r="L1101" s="49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308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9">
        <f>IFERROR(SUMIFS(Tabela10[Fod Worth],Tabela10[Drop],DropAnalityka[[#This Row],[Drop]],Tabela10[Grade],DropAnalityka[[#This Row],[Grade]])*DropAnalityka[[#This Row],[Quality/Quantity]],0)</f>
        <v>0</v>
      </c>
      <c r="L1102" s="49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308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9">
        <f>IFERROR(SUMIFS(Tabela10[Fod Worth],Tabela10[Drop],DropAnalityka[[#This Row],[Drop]],Tabela10[Grade],DropAnalityka[[#This Row],[Grade]])*DropAnalityka[[#This Row],[Quality/Quantity]],0)</f>
        <v>0</v>
      </c>
      <c r="L1103" s="49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9">
        <f>IFERROR(SUMIFS(Tabela10[Fod Worth],Tabela10[Drop],DropAnalityka[[#This Row],[Drop]],Tabela10[Grade],DropAnalityka[[#This Row],[Grade]])*DropAnalityka[[#This Row],[Quality/Quantity]],0)</f>
        <v>0</v>
      </c>
      <c r="L1104" s="49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9">
        <f>IFERROR(SUMIFS(Tabela10[Fod Worth],Tabela10[Drop],DropAnalityka[[#This Row],[Drop]],Tabela10[Grade],DropAnalityka[[#This Row],[Grade]])*DropAnalityka[[#This Row],[Quality/Quantity]],0)</f>
        <v>0</v>
      </c>
      <c r="L1105" s="49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9">
        <f>IFERROR(SUMIFS(Tabela10[Fod Worth],Tabela10[Drop],DropAnalityka[[#This Row],[Drop]],Tabela10[Grade],DropAnalityka[[#This Row],[Grade]])*DropAnalityka[[#This Row],[Quality/Quantity]],0)</f>
        <v>0</v>
      </c>
      <c r="L1106" s="49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9">
        <f>IFERROR(SUMIFS(Tabela10[Fod Worth],Tabela10[Drop],DropAnalityka[[#This Row],[Drop]],Tabela10[Grade],DropAnalityka[[#This Row],[Grade]])*DropAnalityka[[#This Row],[Quality/Quantity]],0)</f>
        <v>0</v>
      </c>
      <c r="L1107" s="49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9">
        <f>IFERROR(SUMIFS(Tabela10[Fod Worth],Tabela10[Drop],DropAnalityka[[#This Row],[Drop]],Tabela10[Grade],DropAnalityka[[#This Row],[Grade]])*DropAnalityka[[#This Row],[Quality/Quantity]],0)</f>
        <v>0</v>
      </c>
      <c r="L1108" s="49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9">
        <f>IFERROR(SUMIFS(Tabela10[Fod Worth],Tabela10[Drop],DropAnalityka[[#This Row],[Drop]],Tabela10[Grade],DropAnalityka[[#This Row],[Grade]])*DropAnalityka[[#This Row],[Quality/Quantity]],0)</f>
        <v>0</v>
      </c>
      <c r="L1109" s="49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9">
        <f>IFERROR(SUMIFS(Tabela10[Fod Worth],Tabela10[Drop],DropAnalityka[[#This Row],[Drop]],Tabela10[Grade],DropAnalityka[[#This Row],[Grade]])*DropAnalityka[[#This Row],[Quality/Quantity]],0)</f>
        <v>0</v>
      </c>
      <c r="L1110" s="49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9">
        <f>IFERROR(SUMIFS(Tabela10[Fod Worth],Tabela10[Drop],DropAnalityka[[#This Row],[Drop]],Tabela10[Grade],DropAnalityka[[#This Row],[Grade]])*DropAnalityka[[#This Row],[Quality/Quantity]],0)</f>
        <v>0</v>
      </c>
      <c r="L1111" s="49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9">
        <f>IFERROR(SUMIFS(Tabela10[Fod Worth],Tabela10[Drop],DropAnalityka[[#This Row],[Drop]],Tabela10[Grade],DropAnalityka[[#This Row],[Grade]])*DropAnalityka[[#This Row],[Quality/Quantity]],0)</f>
        <v>0</v>
      </c>
      <c r="L1112" s="49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9">
        <f>IFERROR(SUMIFS(Tabela10[Fod Worth],Tabela10[Drop],DropAnalityka[[#This Row],[Drop]],Tabela10[Grade],DropAnalityka[[#This Row],[Grade]])*DropAnalityka[[#This Row],[Quality/Quantity]],0)</f>
        <v>0</v>
      </c>
      <c r="L1113" s="49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9">
        <f>IFERROR(SUMIFS(Tabela10[Fod Worth],Tabela10[Drop],DropAnalityka[[#This Row],[Drop]],Tabela10[Grade],DropAnalityka[[#This Row],[Grade]])*DropAnalityka[[#This Row],[Quality/Quantity]],0)</f>
        <v>0</v>
      </c>
      <c r="L1114" s="49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9">
        <f>IFERROR(SUMIFS(Tabela10[Fod Worth],Tabela10[Drop],DropAnalityka[[#This Row],[Drop]],Tabela10[Grade],DropAnalityka[[#This Row],[Grade]])*DropAnalityka[[#This Row],[Quality/Quantity]],0)</f>
        <v>0</v>
      </c>
      <c r="L1115" s="49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9">
        <f>IFERROR(SUMIFS(Tabela10[Fod Worth],Tabela10[Drop],DropAnalityka[[#This Row],[Drop]],Tabela10[Grade],DropAnalityka[[#This Row],[Grade]])*DropAnalityka[[#This Row],[Quality/Quantity]],0)</f>
        <v>0</v>
      </c>
      <c r="L1116" s="49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9">
        <f>IFERROR(SUMIFS(Tabela10[Fod Worth],Tabela10[Drop],DropAnalityka[[#This Row],[Drop]],Tabela10[Grade],DropAnalityka[[#This Row],[Grade]])*DropAnalityka[[#This Row],[Quality/Quantity]],0)</f>
        <v>0</v>
      </c>
      <c r="L1117" s="49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9">
        <f>IFERROR(SUMIFS(Tabela10[Fod Worth],Tabela10[Drop],DropAnalityka[[#This Row],[Drop]],Tabela10[Grade],DropAnalityka[[#This Row],[Grade]])*DropAnalityka[[#This Row],[Quality/Quantity]],0)</f>
        <v>0</v>
      </c>
      <c r="L1118" s="49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9">
        <f>IFERROR(SUMIFS(Tabela10[Fod Worth],Tabela10[Drop],DropAnalityka[[#This Row],[Drop]],Tabela10[Grade],DropAnalityka[[#This Row],[Grade]])*DropAnalityka[[#This Row],[Quality/Quantity]],0)</f>
        <v>0</v>
      </c>
      <c r="L1119" s="49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9">
        <f>IFERROR(SUMIFS(Tabela10[Fod Worth],Tabela10[Drop],DropAnalityka[[#This Row],[Drop]],Tabela10[Grade],DropAnalityka[[#This Row],[Grade]])*DropAnalityka[[#This Row],[Quality/Quantity]],0)</f>
        <v>0</v>
      </c>
      <c r="L1120" s="49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9">
        <f>IFERROR(SUMIFS(Tabela10[Fod Worth],Tabela10[Drop],DropAnalityka[[#This Row],[Drop]],Tabela10[Grade],DropAnalityka[[#This Row],[Grade]])*DropAnalityka[[#This Row],[Quality/Quantity]],0)</f>
        <v>0</v>
      </c>
      <c r="L1121" s="49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9">
        <f>IFERROR(SUMIFS(Tabela10[Fod Worth],Tabela10[Drop],DropAnalityka[[#This Row],[Drop]],Tabela10[Grade],DropAnalityka[[#This Row],[Grade]])*DropAnalityka[[#This Row],[Quality/Quantity]],0)</f>
        <v>0</v>
      </c>
      <c r="L1122" s="49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9">
        <f>IFERROR(SUMIFS(Tabela10[Fod Worth],Tabela10[Drop],DropAnalityka[[#This Row],[Drop]],Tabela10[Grade],DropAnalityka[[#This Row],[Grade]])*DropAnalityka[[#This Row],[Quality/Quantity]],0)</f>
        <v>0</v>
      </c>
      <c r="L1123" s="49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9">
        <f>IFERROR(SUMIFS(Tabela10[Fod Worth],Tabela10[Drop],DropAnalityka[[#This Row],[Drop]],Tabela10[Grade],DropAnalityka[[#This Row],[Grade]])*DropAnalityka[[#This Row],[Quality/Quantity]],0)</f>
        <v>0</v>
      </c>
      <c r="L1124" s="49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9">
        <f>IFERROR(SUMIFS(Tabela10[Fod Worth],Tabela10[Drop],DropAnalityka[[#This Row],[Drop]],Tabela10[Grade],DropAnalityka[[#This Row],[Grade]])*DropAnalityka[[#This Row],[Quality/Quantity]],0)</f>
        <v>0</v>
      </c>
      <c r="L1125" s="49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9">
        <f>IFERROR(SUMIFS(Tabela10[Fod Worth],Tabela10[Drop],DropAnalityka[[#This Row],[Drop]],Tabela10[Grade],DropAnalityka[[#This Row],[Grade]])*DropAnalityka[[#This Row],[Quality/Quantity]],0)</f>
        <v>0</v>
      </c>
      <c r="L1126" s="49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9">
        <f>IFERROR(SUMIFS(Tabela10[Fod Worth],Tabela10[Drop],DropAnalityka[[#This Row],[Drop]],Tabela10[Grade],DropAnalityka[[#This Row],[Grade]])*DropAnalityka[[#This Row],[Quality/Quantity]],0)</f>
        <v>0</v>
      </c>
      <c r="L1127" s="49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9">
        <f>IFERROR(SUMIFS(Tabela10[Fod Worth],Tabela10[Drop],DropAnalityka[[#This Row],[Drop]],Tabela10[Grade],DropAnalityka[[#This Row],[Grade]])*DropAnalityka[[#This Row],[Quality/Quantity]],0)</f>
        <v>0</v>
      </c>
      <c r="L1128" s="49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9">
        <f>IFERROR(SUMIFS(Tabela10[Fod Worth],Tabela10[Drop],DropAnalityka[[#This Row],[Drop]],Tabela10[Grade],DropAnalityka[[#This Row],[Grade]])*DropAnalityka[[#This Row],[Quality/Quantity]],0)</f>
        <v>0</v>
      </c>
      <c r="L1129" s="49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9">
        <f>IFERROR(SUMIFS(Tabela10[Fod Worth],Tabela10[Drop],DropAnalityka[[#This Row],[Drop]],Tabela10[Grade],DropAnalityka[[#This Row],[Grade]])*DropAnalityka[[#This Row],[Quality/Quantity]],0)</f>
        <v>0</v>
      </c>
      <c r="L1130" s="49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9">
        <f>IFERROR(SUMIFS(Tabela10[Fod Worth],Tabela10[Drop],DropAnalityka[[#This Row],[Drop]],Tabela10[Grade],DropAnalityka[[#This Row],[Grade]])*DropAnalityka[[#This Row],[Quality/Quantity]],0)</f>
        <v>0</v>
      </c>
      <c r="L1131" s="49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9">
        <f>IFERROR(SUMIFS(Tabela10[Fod Worth],Tabela10[Drop],DropAnalityka[[#This Row],[Drop]],Tabela10[Grade],DropAnalityka[[#This Row],[Grade]])*DropAnalityka[[#This Row],[Quality/Quantity]],0)</f>
        <v>0</v>
      </c>
      <c r="L1132" s="49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9">
        <f>IFERROR(SUMIFS(Tabela10[Fod Worth],Tabela10[Drop],DropAnalityka[[#This Row],[Drop]],Tabela10[Grade],DropAnalityka[[#This Row],[Grade]])*DropAnalityka[[#This Row],[Quality/Quantity]],0)</f>
        <v>0</v>
      </c>
      <c r="L1133" s="49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9">
        <f>IFERROR(SUMIFS(Tabela10[Fod Worth],Tabela10[Drop],DropAnalityka[[#This Row],[Drop]],Tabela10[Grade],DropAnalityka[[#This Row],[Grade]])*DropAnalityka[[#This Row],[Quality/Quantity]],0)</f>
        <v>0</v>
      </c>
      <c r="L1134" s="49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9">
        <f>IFERROR(SUMIFS(Tabela10[Fod Worth],Tabela10[Drop],DropAnalityka[[#This Row],[Drop]],Tabela10[Grade],DropAnalityka[[#This Row],[Grade]])*DropAnalityka[[#This Row],[Quality/Quantity]],0)</f>
        <v>0</v>
      </c>
      <c r="L1135" s="49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9">
        <f>IFERROR(SUMIFS(Tabela10[Fod Worth],Tabela10[Drop],DropAnalityka[[#This Row],[Drop]],Tabela10[Grade],DropAnalityka[[#This Row],[Grade]])*DropAnalityka[[#This Row],[Quality/Quantity]],0)</f>
        <v>0</v>
      </c>
      <c r="L1136" s="49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9">
        <f>IFERROR(SUMIFS(Tabela10[Fod Worth],Tabela10[Drop],DropAnalityka[[#This Row],[Drop]],Tabela10[Grade],DropAnalityka[[#This Row],[Grade]])*DropAnalityka[[#This Row],[Quality/Quantity]],0)</f>
        <v>0</v>
      </c>
      <c r="L1137" s="49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9">
        <f>IFERROR(SUMIFS(Tabela10[Fod Worth],Tabela10[Drop],DropAnalityka[[#This Row],[Drop]],Tabela10[Grade],DropAnalityka[[#This Row],[Grade]])*DropAnalityka[[#This Row],[Quality/Quantity]],0)</f>
        <v>0</v>
      </c>
      <c r="L1138" s="49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9">
        <f>IFERROR(SUMIFS(Tabela10[Fod Worth],Tabela10[Drop],DropAnalityka[[#This Row],[Drop]],Tabela10[Grade],DropAnalityka[[#This Row],[Grade]])*DropAnalityka[[#This Row],[Quality/Quantity]],0)</f>
        <v>0</v>
      </c>
      <c r="L1139" s="49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9">
        <f>IFERROR(SUMIFS(Tabela10[Fod Worth],Tabela10[Drop],DropAnalityka[[#This Row],[Drop]],Tabela10[Grade],DropAnalityka[[#This Row],[Grade]])*DropAnalityka[[#This Row],[Quality/Quantity]],0)</f>
        <v>0</v>
      </c>
      <c r="L1140" s="49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9">
        <f>IFERROR(SUMIFS(Tabela10[Fod Worth],Tabela10[Drop],DropAnalityka[[#This Row],[Drop]],Tabela10[Grade],DropAnalityka[[#This Row],[Grade]])*DropAnalityka[[#This Row],[Quality/Quantity]],0)</f>
        <v>0</v>
      </c>
      <c r="L1141" s="49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9">
        <f>IFERROR(SUMIFS(Tabela10[Fod Worth],Tabela10[Drop],DropAnalityka[[#This Row],[Drop]],Tabela10[Grade],DropAnalityka[[#This Row],[Grade]])*DropAnalityka[[#This Row],[Quality/Quantity]],0)</f>
        <v>0</v>
      </c>
      <c r="L1142" s="49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9">
        <f>IFERROR(SUMIFS(Tabela10[Fod Worth],Tabela10[Drop],DropAnalityka[[#This Row],[Drop]],Tabela10[Grade],DropAnalityka[[#This Row],[Grade]])*DropAnalityka[[#This Row],[Quality/Quantity]],0)</f>
        <v>0</v>
      </c>
      <c r="L1143" s="49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9">
        <f>IFERROR(SUMIFS(Tabela10[Fod Worth],Tabela10[Drop],DropAnalityka[[#This Row],[Drop]],Tabela10[Grade],DropAnalityka[[#This Row],[Grade]])*DropAnalityka[[#This Row],[Quality/Quantity]],0)</f>
        <v>0</v>
      </c>
      <c r="L1144" s="49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9">
        <f>IFERROR(SUMIFS(Tabela10[Fod Worth],Tabela10[Drop],DropAnalityka[[#This Row],[Drop]],Tabela10[Grade],DropAnalityka[[#This Row],[Grade]])*DropAnalityka[[#This Row],[Quality/Quantity]],0)</f>
        <v>0</v>
      </c>
      <c r="L1145" s="49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9">
        <f>IFERROR(SUMIFS(Tabela10[Fod Worth],Tabela10[Drop],DropAnalityka[[#This Row],[Drop]],Tabela10[Grade],DropAnalityka[[#This Row],[Grade]])*DropAnalityka[[#This Row],[Quality/Quantity]],0)</f>
        <v>0</v>
      </c>
      <c r="L1146" s="49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9">
        <f>IFERROR(SUMIFS(Tabela10[Fod Worth],Tabela10[Drop],DropAnalityka[[#This Row],[Drop]],Tabela10[Grade],DropAnalityka[[#This Row],[Grade]])*DropAnalityka[[#This Row],[Quality/Quantity]],0)</f>
        <v>0</v>
      </c>
      <c r="L1147" s="49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9">
        <f>IFERROR(SUMIFS(Tabela10[Fod Worth],Tabela10[Drop],DropAnalityka[[#This Row],[Drop]],Tabela10[Grade],DropAnalityka[[#This Row],[Grade]])*DropAnalityka[[#This Row],[Quality/Quantity]],0)</f>
        <v>0</v>
      </c>
      <c r="L1148" s="49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9">
        <f>IFERROR(SUMIFS(Tabela10[Fod Worth],Tabela10[Drop],DropAnalityka[[#This Row],[Drop]],Tabela10[Grade],DropAnalityka[[#This Row],[Grade]])*DropAnalityka[[#This Row],[Quality/Quantity]],0)</f>
        <v>0</v>
      </c>
      <c r="L1149" s="49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9">
        <f>IFERROR(SUMIFS(Tabela10[Fod Worth],Tabela10[Drop],DropAnalityka[[#This Row],[Drop]],Tabela10[Grade],DropAnalityka[[#This Row],[Grade]])*DropAnalityka[[#This Row],[Quality/Quantity]],0)</f>
        <v>0</v>
      </c>
      <c r="L1150" s="49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9">
        <f>IFERROR(SUMIFS(Tabela10[Fod Worth],Tabela10[Drop],DropAnalityka[[#This Row],[Drop]],Tabela10[Grade],DropAnalityka[[#This Row],[Grade]])*DropAnalityka[[#This Row],[Quality/Quantity]],0)</f>
        <v>0</v>
      </c>
      <c r="L1151" s="49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9">
        <f>IFERROR(SUMIFS(Tabela10[Fod Worth],Tabela10[Drop],DropAnalityka[[#This Row],[Drop]],Tabela10[Grade],DropAnalityka[[#This Row],[Grade]])*DropAnalityka[[#This Row],[Quality/Quantity]],0)</f>
        <v>0</v>
      </c>
      <c r="L1152" s="49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9">
        <f>IFERROR(SUMIFS(Tabela10[Fod Worth],Tabela10[Drop],DropAnalityka[[#This Row],[Drop]],Tabela10[Grade],DropAnalityka[[#This Row],[Grade]])*DropAnalityka[[#This Row],[Quality/Quantity]],0)</f>
        <v>0</v>
      </c>
      <c r="L1153" s="49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9">
        <f>IFERROR(SUMIFS(Tabela10[Fod Worth],Tabela10[Drop],DropAnalityka[[#This Row],[Drop]],Tabela10[Grade],DropAnalityka[[#This Row],[Grade]])*DropAnalityka[[#This Row],[Quality/Quantity]],0)</f>
        <v>0</v>
      </c>
      <c r="L1154" s="49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9">
        <f>IFERROR(SUMIFS(Tabela10[Fod Worth],Tabela10[Drop],DropAnalityka[[#This Row],[Drop]],Tabela10[Grade],DropAnalityka[[#This Row],[Grade]])*DropAnalityka[[#This Row],[Quality/Quantity]],0)</f>
        <v>0</v>
      </c>
      <c r="L1155" s="49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9">
        <f>IFERROR(SUMIFS(Tabela10[Fod Worth],Tabela10[Drop],DropAnalityka[[#This Row],[Drop]],Tabela10[Grade],DropAnalityka[[#This Row],[Grade]])*DropAnalityka[[#This Row],[Quality/Quantity]],0)</f>
        <v>0</v>
      </c>
      <c r="L1156" s="49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9">
        <f>IFERROR(SUMIFS(Tabela10[Fod Worth],Tabela10[Drop],DropAnalityka[[#This Row],[Drop]],Tabela10[Grade],DropAnalityka[[#This Row],[Grade]])*DropAnalityka[[#This Row],[Quality/Quantity]],0)</f>
        <v>0</v>
      </c>
      <c r="L1157" s="49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9">
        <f>IFERROR(SUMIFS(Tabela10[Fod Worth],Tabela10[Drop],DropAnalityka[[#This Row],[Drop]],Tabela10[Grade],DropAnalityka[[#This Row],[Grade]])*DropAnalityka[[#This Row],[Quality/Quantity]],0)</f>
        <v>0</v>
      </c>
      <c r="L1158" s="49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9">
        <f>IFERROR(SUMIFS(Tabela10[Fod Worth],Tabela10[Drop],DropAnalityka[[#This Row],[Drop]],Tabela10[Grade],DropAnalityka[[#This Row],[Grade]])*DropAnalityka[[#This Row],[Quality/Quantity]],0)</f>
        <v>0</v>
      </c>
      <c r="L1159" s="49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9">
        <f>IFERROR(SUMIFS(Tabela10[Fod Worth],Tabela10[Drop],DropAnalityka[[#This Row],[Drop]],Tabela10[Grade],DropAnalityka[[#This Row],[Grade]])*DropAnalityka[[#This Row],[Quality/Quantity]],0)</f>
        <v>0</v>
      </c>
      <c r="L1160" s="49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9">
        <f>IFERROR(SUMIFS(Tabela10[Fod Worth],Tabela10[Drop],DropAnalityka[[#This Row],[Drop]],Tabela10[Grade],DropAnalityka[[#This Row],[Grade]])*DropAnalityka[[#This Row],[Quality/Quantity]],0)</f>
        <v>0</v>
      </c>
      <c r="L1161" s="49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9">
        <f>IFERROR(SUMIFS(Tabela10[Fod Worth],Tabela10[Drop],DropAnalityka[[#This Row],[Drop]],Tabela10[Grade],DropAnalityka[[#This Row],[Grade]])*DropAnalityka[[#This Row],[Quality/Quantity]],0)</f>
        <v>0</v>
      </c>
      <c r="L1162" s="49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9">
        <f>IFERROR(SUMIFS(Tabela10[Fod Worth],Tabela10[Drop],DropAnalityka[[#This Row],[Drop]],Tabela10[Grade],DropAnalityka[[#This Row],[Grade]])*DropAnalityka[[#This Row],[Quality/Quantity]],0)</f>
        <v>0</v>
      </c>
      <c r="L1163" s="49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9">
        <f>IFERROR(SUMIFS(Tabela10[Fod Worth],Tabela10[Drop],DropAnalityka[[#This Row],[Drop]],Tabela10[Grade],DropAnalityka[[#This Row],[Grade]])*DropAnalityka[[#This Row],[Quality/Quantity]],0)</f>
        <v>0</v>
      </c>
      <c r="L1164" s="49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9">
        <f>IFERROR(SUMIFS(Tabela10[Fod Worth],Tabela10[Drop],DropAnalityka[[#This Row],[Drop]],Tabela10[Grade],DropAnalityka[[#This Row],[Grade]])*DropAnalityka[[#This Row],[Quality/Quantity]],0)</f>
        <v>0</v>
      </c>
      <c r="L1165" s="49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9">
        <f>IFERROR(SUMIFS(Tabela10[Fod Worth],Tabela10[Drop],DropAnalityka[[#This Row],[Drop]],Tabela10[Grade],DropAnalityka[[#This Row],[Grade]])*DropAnalityka[[#This Row],[Quality/Quantity]],0)</f>
        <v>0</v>
      </c>
      <c r="L1166" s="49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9">
        <f>IFERROR(SUMIFS(Tabela10[Fod Worth],Tabela10[Drop],DropAnalityka[[#This Row],[Drop]],Tabela10[Grade],DropAnalityka[[#This Row],[Grade]])*DropAnalityka[[#This Row],[Quality/Quantity]],0)</f>
        <v>0</v>
      </c>
      <c r="L1167" s="49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9">
        <f>IFERROR(SUMIFS(Tabela10[Fod Worth],Tabela10[Drop],DropAnalityka[[#This Row],[Drop]],Tabela10[Grade],DropAnalityka[[#This Row],[Grade]])*DropAnalityka[[#This Row],[Quality/Quantity]],0)</f>
        <v>0</v>
      </c>
      <c r="L1168" s="49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9">
        <f>IFERROR(SUMIFS(Tabela10[Fod Worth],Tabela10[Drop],DropAnalityka[[#This Row],[Drop]],Tabela10[Grade],DropAnalityka[[#This Row],[Grade]])*DropAnalityka[[#This Row],[Quality/Quantity]],0)</f>
        <v>0</v>
      </c>
      <c r="L1169" s="49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9">
        <f>IFERROR(SUMIFS(Tabela10[Fod Worth],Tabela10[Drop],DropAnalityka[[#This Row],[Drop]],Tabela10[Grade],DropAnalityka[[#This Row],[Grade]])*DropAnalityka[[#This Row],[Quality/Quantity]],0)</f>
        <v>0</v>
      </c>
      <c r="L1170" s="49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9">
        <f>IFERROR(SUMIFS(Tabela10[Fod Worth],Tabela10[Drop],DropAnalityka[[#This Row],[Drop]],Tabela10[Grade],DropAnalityka[[#This Row],[Grade]])*DropAnalityka[[#This Row],[Quality/Quantity]],0)</f>
        <v>0</v>
      </c>
      <c r="L1171" s="49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9">
        <f>IFERROR(SUMIFS(Tabela10[Fod Worth],Tabela10[Drop],DropAnalityka[[#This Row],[Drop]],Tabela10[Grade],DropAnalityka[[#This Row],[Grade]])*DropAnalityka[[#This Row],[Quality/Quantity]],0)</f>
        <v>0</v>
      </c>
      <c r="L1172" s="49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9">
        <f>IFERROR(SUMIFS(Tabela10[Fod Worth],Tabela10[Drop],DropAnalityka[[#This Row],[Drop]],Tabela10[Grade],DropAnalityka[[#This Row],[Grade]])*DropAnalityka[[#This Row],[Quality/Quantity]],0)</f>
        <v>0</v>
      </c>
      <c r="L1173" s="49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9">
        <f>IFERROR(SUMIFS(Tabela10[Fod Worth],Tabela10[Drop],DropAnalityka[[#This Row],[Drop]],Tabela10[Grade],DropAnalityka[[#This Row],[Grade]])*DropAnalityka[[#This Row],[Quality/Quantity]],0)</f>
        <v>0</v>
      </c>
      <c r="L1174" s="49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9">
        <f>IFERROR(SUMIFS(Tabela10[Fod Worth],Tabela10[Drop],DropAnalityka[[#This Row],[Drop]],Tabela10[Grade],DropAnalityka[[#This Row],[Grade]])*DropAnalityka[[#This Row],[Quality/Quantity]],0)</f>
        <v>0</v>
      </c>
      <c r="L1175" s="49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9">
        <f>IFERROR(SUMIFS(Tabela10[Fod Worth],Tabela10[Drop],DropAnalityka[[#This Row],[Drop]],Tabela10[Grade],DropAnalityka[[#This Row],[Grade]])*DropAnalityka[[#This Row],[Quality/Quantity]],0)</f>
        <v>0</v>
      </c>
      <c r="L1176" s="49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9">
        <f>IFERROR(SUMIFS(Tabela10[Fod Worth],Tabela10[Drop],DropAnalityka[[#This Row],[Drop]],Tabela10[Grade],DropAnalityka[[#This Row],[Grade]])*DropAnalityka[[#This Row],[Quality/Quantity]],0)</f>
        <v>0</v>
      </c>
      <c r="L1177" s="49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9">
        <f>IFERROR(SUMIFS(Tabela10[Fod Worth],Tabela10[Drop],DropAnalityka[[#This Row],[Drop]],Tabela10[Grade],DropAnalityka[[#This Row],[Grade]])*DropAnalityka[[#This Row],[Quality/Quantity]],0)</f>
        <v>0</v>
      </c>
      <c r="L1178" s="49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9">
        <f>IFERROR(SUMIFS(Tabela10[Fod Worth],Tabela10[Drop],DropAnalityka[[#This Row],[Drop]],Tabela10[Grade],DropAnalityka[[#This Row],[Grade]])*DropAnalityka[[#This Row],[Quality/Quantity]],0)</f>
        <v>0</v>
      </c>
      <c r="L1179" s="49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9">
        <f>IFERROR(SUMIFS(Tabela10[Fod Worth],Tabela10[Drop],DropAnalityka[[#This Row],[Drop]],Tabela10[Grade],DropAnalityka[[#This Row],[Grade]])*DropAnalityka[[#This Row],[Quality/Quantity]],0)</f>
        <v>0</v>
      </c>
      <c r="L1180" s="49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9">
        <f>IFERROR(SUMIFS(Tabela10[Fod Worth],Tabela10[Drop],DropAnalityka[[#This Row],[Drop]],Tabela10[Grade],DropAnalityka[[#This Row],[Grade]])*DropAnalityka[[#This Row],[Quality/Quantity]],0)</f>
        <v>0</v>
      </c>
      <c r="L1181" s="49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9">
        <f>IFERROR(SUMIFS(Tabela10[Fod Worth],Tabela10[Drop],DropAnalityka[[#This Row],[Drop]],Tabela10[Grade],DropAnalityka[[#This Row],[Grade]])*DropAnalityka[[#This Row],[Quality/Quantity]],0)</f>
        <v>0</v>
      </c>
      <c r="L1182" s="49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9">
        <f>IFERROR(SUMIFS(Tabela10[Fod Worth],Tabela10[Drop],DropAnalityka[[#This Row],[Drop]],Tabela10[Grade],DropAnalityka[[#This Row],[Grade]])*DropAnalityka[[#This Row],[Quality/Quantity]],0)</f>
        <v>0</v>
      </c>
      <c r="L1183" s="49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9">
        <f>IFERROR(SUMIFS(Tabela10[Fod Worth],Tabela10[Drop],DropAnalityka[[#This Row],[Drop]],Tabela10[Grade],DropAnalityka[[#This Row],[Grade]])*DropAnalityka[[#This Row],[Quality/Quantity]],0)</f>
        <v>0</v>
      </c>
      <c r="L1184" s="49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9">
        <f>IFERROR(SUMIFS(Tabela10[Fod Worth],Tabela10[Drop],DropAnalityka[[#This Row],[Drop]],Tabela10[Grade],DropAnalityka[[#This Row],[Grade]])*DropAnalityka[[#This Row],[Quality/Quantity]],0)</f>
        <v>0</v>
      </c>
      <c r="L1185" s="49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9">
        <f>IFERROR(SUMIFS(Tabela10[Fod Worth],Tabela10[Drop],DropAnalityka[[#This Row],[Drop]],Tabela10[Grade],DropAnalityka[[#This Row],[Grade]])*DropAnalityka[[#This Row],[Quality/Quantity]],0)</f>
        <v>0</v>
      </c>
      <c r="L1186" s="49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9">
        <f>IFERROR(SUMIFS(Tabela10[Fod Worth],Tabela10[Drop],DropAnalityka[[#This Row],[Drop]],Tabela10[Grade],DropAnalityka[[#This Row],[Grade]])*DropAnalityka[[#This Row],[Quality/Quantity]],0)</f>
        <v>0</v>
      </c>
      <c r="L1187" s="49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9">
        <f>IFERROR(SUMIFS(Tabela10[Fod Worth],Tabela10[Drop],DropAnalityka[[#This Row],[Drop]],Tabela10[Grade],DropAnalityka[[#This Row],[Grade]])*DropAnalityka[[#This Row],[Quality/Quantity]],0)</f>
        <v>0</v>
      </c>
      <c r="L1188" s="49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9">
        <f>IFERROR(SUMIFS(Tabela10[Fod Worth],Tabela10[Drop],DropAnalityka[[#This Row],[Drop]],Tabela10[Grade],DropAnalityka[[#This Row],[Grade]])*DropAnalityka[[#This Row],[Quality/Quantity]],0)</f>
        <v>0</v>
      </c>
      <c r="L1189" s="49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9">
        <f>IFERROR(SUMIFS(Tabela10[Fod Worth],Tabela10[Drop],DropAnalityka[[#This Row],[Drop]],Tabela10[Grade],DropAnalityka[[#This Row],[Grade]])*DropAnalityka[[#This Row],[Quality/Quantity]],0)</f>
        <v>0</v>
      </c>
      <c r="L1190" s="49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9">
        <f>IFERROR(SUMIFS(Tabela10[Fod Worth],Tabela10[Drop],DropAnalityka[[#This Row],[Drop]],Tabela10[Grade],DropAnalityka[[#This Row],[Grade]])*DropAnalityka[[#This Row],[Quality/Quantity]],0)</f>
        <v>0</v>
      </c>
      <c r="L1191" s="49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9">
        <f>IFERROR(SUMIFS(Tabela10[Fod Worth],Tabela10[Drop],DropAnalityka[[#This Row],[Drop]],Tabela10[Grade],DropAnalityka[[#This Row],[Grade]])*DropAnalityka[[#This Row],[Quality/Quantity]],0)</f>
        <v>0</v>
      </c>
      <c r="L1192" s="49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9">
        <f>IFERROR(SUMIFS(Tabela10[Fod Worth],Tabela10[Drop],DropAnalityka[[#This Row],[Drop]],Tabela10[Grade],DropAnalityka[[#This Row],[Grade]])*DropAnalityka[[#This Row],[Quality/Quantity]],0)</f>
        <v>0</v>
      </c>
      <c r="L1193" s="49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9">
        <f>IFERROR(SUMIFS(Tabela10[Fod Worth],Tabela10[Drop],DropAnalityka[[#This Row],[Drop]],Tabela10[Grade],DropAnalityka[[#This Row],[Grade]])*DropAnalityka[[#This Row],[Quality/Quantity]],0)</f>
        <v>0</v>
      </c>
      <c r="L1194" s="49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9">
        <f>IFERROR(SUMIFS(Tabela10[Fod Worth],Tabela10[Drop],DropAnalityka[[#This Row],[Drop]],Tabela10[Grade],DropAnalityka[[#This Row],[Grade]])*DropAnalityka[[#This Row],[Quality/Quantity]],0)</f>
        <v>0</v>
      </c>
      <c r="L1195" s="49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9">
        <f>IFERROR(SUMIFS(Tabela10[Fod Worth],Tabela10[Drop],DropAnalityka[[#This Row],[Drop]],Tabela10[Grade],DropAnalityka[[#This Row],[Grade]])*DropAnalityka[[#This Row],[Quality/Quantity]],0)</f>
        <v>0</v>
      </c>
      <c r="L1196" s="49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9">
        <f>IFERROR(SUMIFS(Tabela10[Fod Worth],Tabela10[Drop],DropAnalityka[[#This Row],[Drop]],Tabela10[Grade],DropAnalityka[[#This Row],[Grade]])*DropAnalityka[[#This Row],[Quality/Quantity]],0)</f>
        <v>0</v>
      </c>
      <c r="L1197" s="49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9">
        <f>IFERROR(SUMIFS(Tabela10[Fod Worth],Tabela10[Drop],DropAnalityka[[#This Row],[Drop]],Tabela10[Grade],DropAnalityka[[#This Row],[Grade]])*DropAnalityka[[#This Row],[Quality/Quantity]],0)</f>
        <v>0</v>
      </c>
      <c r="L1198" s="49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9">
        <f>IFERROR(SUMIFS(Tabela10[Fod Worth],Tabela10[Drop],DropAnalityka[[#This Row],[Drop]],Tabela10[Grade],DropAnalityka[[#This Row],[Grade]])*DropAnalityka[[#This Row],[Quality/Quantity]],0)</f>
        <v>0</v>
      </c>
      <c r="L1199" s="49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9">
        <f>IFERROR(SUMIFS(Tabela10[Fod Worth],Tabela10[Drop],DropAnalityka[[#This Row],[Drop]],Tabela10[Grade],DropAnalityka[[#This Row],[Grade]])*DropAnalityka[[#This Row],[Quality/Quantity]],0)</f>
        <v>0</v>
      </c>
      <c r="L1200" s="49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9">
        <f>IFERROR(SUMIFS(Tabela10[Fod Worth],Tabela10[Drop],DropAnalityka[[#This Row],[Drop]],Tabela10[Grade],DropAnalityka[[#This Row],[Grade]])*DropAnalityka[[#This Row],[Quality/Quantity]],0)</f>
        <v>0</v>
      </c>
      <c r="L1201" s="49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9">
        <f>IFERROR(SUMIFS(Tabela10[Fod Worth],Tabela10[Drop],DropAnalityka[[#This Row],[Drop]],Tabela10[Grade],DropAnalityka[[#This Row],[Grade]])*DropAnalityka[[#This Row],[Quality/Quantity]],0)</f>
        <v>0</v>
      </c>
      <c r="L1202" s="49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9">
        <f>IFERROR(SUMIFS(Tabela10[Fod Worth],Tabela10[Drop],DropAnalityka[[#This Row],[Drop]],Tabela10[Grade],DropAnalityka[[#This Row],[Grade]])*DropAnalityka[[#This Row],[Quality/Quantity]],0)</f>
        <v>0</v>
      </c>
      <c r="L1203" s="49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9">
        <f>IFERROR(SUMIFS(Tabela10[Fod Worth],Tabela10[Drop],DropAnalityka[[#This Row],[Drop]],Tabela10[Grade],DropAnalityka[[#This Row],[Grade]])*DropAnalityka[[#This Row],[Quality/Quantity]],0)</f>
        <v>0</v>
      </c>
      <c r="L1204" s="49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9">
        <f>IFERROR(SUMIFS(Tabela10[Fod Worth],Tabela10[Drop],DropAnalityka[[#This Row],[Drop]],Tabela10[Grade],DropAnalityka[[#This Row],[Grade]])*DropAnalityka[[#This Row],[Quality/Quantity]],0)</f>
        <v>0</v>
      </c>
      <c r="L1205" s="49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9">
        <f>IFERROR(SUMIFS(Tabela10[Fod Worth],Tabela10[Drop],DropAnalityka[[#This Row],[Drop]],Tabela10[Grade],DropAnalityka[[#This Row],[Grade]])*DropAnalityka[[#This Row],[Quality/Quantity]],0)</f>
        <v>0</v>
      </c>
      <c r="L1206" s="49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9">
        <f>IFERROR(SUMIFS(Tabela10[Fod Worth],Tabela10[Drop],DropAnalityka[[#This Row],[Drop]],Tabela10[Grade],DropAnalityka[[#This Row],[Grade]])*DropAnalityka[[#This Row],[Quality/Quantity]],0)</f>
        <v>0</v>
      </c>
      <c r="L1207" s="49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9">
        <f>IFERROR(SUMIFS(Tabela10[Fod Worth],Tabela10[Drop],DropAnalityka[[#This Row],[Drop]],Tabela10[Grade],DropAnalityka[[#This Row],[Grade]])*DropAnalityka[[#This Row],[Quality/Quantity]],0)</f>
        <v>0</v>
      </c>
      <c r="L1208" s="49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9">
        <f>IFERROR(SUMIFS(Tabela10[Fod Worth],Tabela10[Drop],DropAnalityka[[#This Row],[Drop]],Tabela10[Grade],DropAnalityka[[#This Row],[Grade]])*DropAnalityka[[#This Row],[Quality/Quantity]],0)</f>
        <v>0</v>
      </c>
      <c r="L1209" s="49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9">
        <f>IFERROR(SUMIFS(Tabela10[Fod Worth],Tabela10[Drop],DropAnalityka[[#This Row],[Drop]],Tabela10[Grade],DropAnalityka[[#This Row],[Grade]])*DropAnalityka[[#This Row],[Quality/Quantity]],0)</f>
        <v>0</v>
      </c>
      <c r="L1210" s="49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9">
        <f>IFERROR(SUMIFS(Tabela10[Fod Worth],Tabela10[Drop],DropAnalityka[[#This Row],[Drop]],Tabela10[Grade],DropAnalityka[[#This Row],[Grade]])*DropAnalityka[[#This Row],[Quality/Quantity]],0)</f>
        <v>0</v>
      </c>
      <c r="L1211" s="49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9">
        <f>IFERROR(SUMIFS(Tabela10[Fod Worth],Tabela10[Drop],DropAnalityka[[#This Row],[Drop]],Tabela10[Grade],DropAnalityka[[#This Row],[Grade]])*DropAnalityka[[#This Row],[Quality/Quantity]],0)</f>
        <v>0</v>
      </c>
      <c r="L1212" s="49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9">
        <f>IFERROR(SUMIFS(Tabela10[Fod Worth],Tabela10[Drop],DropAnalityka[[#This Row],[Drop]],Tabela10[Grade],DropAnalityka[[#This Row],[Grade]])*DropAnalityka[[#This Row],[Quality/Quantity]],0)</f>
        <v>0</v>
      </c>
      <c r="L1213" s="49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9">
        <f>IFERROR(SUMIFS(Tabela10[Fod Worth],Tabela10[Drop],DropAnalityka[[#This Row],[Drop]],Tabela10[Grade],DropAnalityka[[#This Row],[Grade]])*DropAnalityka[[#This Row],[Quality/Quantity]],0)</f>
        <v>0</v>
      </c>
      <c r="L1214" s="49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9">
        <f>IFERROR(SUMIFS(Tabela10[Fod Worth],Tabela10[Drop],DropAnalityka[[#This Row],[Drop]],Tabela10[Grade],DropAnalityka[[#This Row],[Grade]])*DropAnalityka[[#This Row],[Quality/Quantity]],0)</f>
        <v>0</v>
      </c>
      <c r="L1215" s="49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9">
        <f>IFERROR(SUMIFS(Tabela10[Fod Worth],Tabela10[Drop],DropAnalityka[[#This Row],[Drop]],Tabela10[Grade],DropAnalityka[[#This Row],[Grade]])*DropAnalityka[[#This Row],[Quality/Quantity]],0)</f>
        <v>0</v>
      </c>
      <c r="L1216" s="49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9">
        <f>IFERROR(SUMIFS(Tabela10[Fod Worth],Tabela10[Drop],DropAnalityka[[#This Row],[Drop]],Tabela10[Grade],DropAnalityka[[#This Row],[Grade]])*DropAnalityka[[#This Row],[Quality/Quantity]],0)</f>
        <v>0</v>
      </c>
      <c r="L1217" s="49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9">
        <f>IFERROR(SUMIFS(Tabela10[Fod Worth],Tabela10[Drop],DropAnalityka[[#This Row],[Drop]],Tabela10[Grade],DropAnalityka[[#This Row],[Grade]])*DropAnalityka[[#This Row],[Quality/Quantity]],0)</f>
        <v>0</v>
      </c>
      <c r="L1218" s="49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9">
        <f>IFERROR(SUMIFS(Tabela10[Fod Worth],Tabela10[Drop],DropAnalityka[[#This Row],[Drop]],Tabela10[Grade],DropAnalityka[[#This Row],[Grade]])*DropAnalityka[[#This Row],[Quality/Quantity]],0)</f>
        <v>0</v>
      </c>
      <c r="L1219" s="49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9">
        <f>IFERROR(SUMIFS(Tabela10[Fod Worth],Tabela10[Drop],DropAnalityka[[#This Row],[Drop]],Tabela10[Grade],DropAnalityka[[#This Row],[Grade]])*DropAnalityka[[#This Row],[Quality/Quantity]],0)</f>
        <v>0</v>
      </c>
      <c r="L1220" s="49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9">
        <f>IFERROR(SUMIFS(Tabela10[Fod Worth],Tabela10[Drop],DropAnalityka[[#This Row],[Drop]],Tabela10[Grade],DropAnalityka[[#This Row],[Grade]])*DropAnalityka[[#This Row],[Quality/Quantity]],0)</f>
        <v>0</v>
      </c>
      <c r="L1221" s="49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9">
        <f>IFERROR(SUMIFS(Tabela10[Fod Worth],Tabela10[Drop],DropAnalityka[[#This Row],[Drop]],Tabela10[Grade],DropAnalityka[[#This Row],[Grade]])*DropAnalityka[[#This Row],[Quality/Quantity]],0)</f>
        <v>0</v>
      </c>
      <c r="L1222" s="49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9">
        <f>IFERROR(SUMIFS(Tabela10[Fod Worth],Tabela10[Drop],DropAnalityka[[#This Row],[Drop]],Tabela10[Grade],DropAnalityka[[#This Row],[Grade]])*DropAnalityka[[#This Row],[Quality/Quantity]],0)</f>
        <v>0</v>
      </c>
      <c r="L1223" s="49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9">
        <f>IFERROR(SUMIFS(Tabela10[Fod Worth],Tabela10[Drop],DropAnalityka[[#This Row],[Drop]],Tabela10[Grade],DropAnalityka[[#This Row],[Grade]])*DropAnalityka[[#This Row],[Quality/Quantity]],0)</f>
        <v>0</v>
      </c>
      <c r="L1224" s="49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9">
        <f>IFERROR(SUMIFS(Tabela10[Fod Worth],Tabela10[Drop],DropAnalityka[[#This Row],[Drop]],Tabela10[Grade],DropAnalityka[[#This Row],[Grade]])*DropAnalityka[[#This Row],[Quality/Quantity]],0)</f>
        <v>0</v>
      </c>
      <c r="L1225" s="49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9">
        <f>IFERROR(SUMIFS(Tabela10[Fod Worth],Tabela10[Drop],DropAnalityka[[#This Row],[Drop]],Tabela10[Grade],DropAnalityka[[#This Row],[Grade]])*DropAnalityka[[#This Row],[Quality/Quantity]],0)</f>
        <v>0</v>
      </c>
      <c r="L1226" s="49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9">
        <f>IFERROR(SUMIFS(Tabela10[Fod Worth],Tabela10[Drop],DropAnalityka[[#This Row],[Drop]],Tabela10[Grade],DropAnalityka[[#This Row],[Grade]])*DropAnalityka[[#This Row],[Quality/Quantity]],0)</f>
        <v>0</v>
      </c>
      <c r="L1227" s="49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9">
        <f>IFERROR(SUMIFS(Tabela10[Fod Worth],Tabela10[Drop],DropAnalityka[[#This Row],[Drop]],Tabela10[Grade],DropAnalityka[[#This Row],[Grade]])*DropAnalityka[[#This Row],[Quality/Quantity]],0)</f>
        <v>0</v>
      </c>
      <c r="L1228" s="49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9">
        <f>IFERROR(SUMIFS(Tabela10[Fod Worth],Tabela10[Drop],DropAnalityka[[#This Row],[Drop]],Tabela10[Grade],DropAnalityka[[#This Row],[Grade]])*DropAnalityka[[#This Row],[Quality/Quantity]],0)</f>
        <v>0</v>
      </c>
      <c r="L1229" s="49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9">
        <f>IFERROR(SUMIFS(Tabela10[Fod Worth],Tabela10[Drop],DropAnalityka[[#This Row],[Drop]],Tabela10[Grade],DropAnalityka[[#This Row],[Grade]])*DropAnalityka[[#This Row],[Quality/Quantity]],0)</f>
        <v>0</v>
      </c>
      <c r="L1230" s="49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9">
        <f>IFERROR(SUMIFS(Tabela10[Fod Worth],Tabela10[Drop],DropAnalityka[[#This Row],[Drop]],Tabela10[Grade],DropAnalityka[[#This Row],[Grade]])*DropAnalityka[[#This Row],[Quality/Quantity]],0)</f>
        <v>0</v>
      </c>
      <c r="L1231" s="49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9">
        <f>IFERROR(SUMIFS(Tabela10[Fod Worth],Tabela10[Drop],DropAnalityka[[#This Row],[Drop]],Tabela10[Grade],DropAnalityka[[#This Row],[Grade]])*DropAnalityka[[#This Row],[Quality/Quantity]],0)</f>
        <v>0</v>
      </c>
      <c r="L1232" s="49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9">
        <f>IFERROR(SUMIFS(Tabela10[Fod Worth],Tabela10[Drop],DropAnalityka[[#This Row],[Drop]],Tabela10[Grade],DropAnalityka[[#This Row],[Grade]])*DropAnalityka[[#This Row],[Quality/Quantity]],0)</f>
        <v>0</v>
      </c>
      <c r="L1233" s="49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9">
        <f>IFERROR(SUMIFS(Tabela10[Fod Worth],Tabela10[Drop],DropAnalityka[[#This Row],[Drop]],Tabela10[Grade],DropAnalityka[[#This Row],[Grade]])*DropAnalityka[[#This Row],[Quality/Quantity]],0)</f>
        <v>0</v>
      </c>
      <c r="L1234" s="49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9">
        <f>IFERROR(SUMIFS(Tabela10[Fod Worth],Tabela10[Drop],DropAnalityka[[#This Row],[Drop]],Tabela10[Grade],DropAnalityka[[#This Row],[Grade]])*DropAnalityka[[#This Row],[Quality/Quantity]],0)</f>
        <v>0</v>
      </c>
      <c r="L1235" s="49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9">
        <f>IFERROR(SUMIFS(Tabela10[Fod Worth],Tabela10[Drop],DropAnalityka[[#This Row],[Drop]],Tabela10[Grade],DropAnalityka[[#This Row],[Grade]])*DropAnalityka[[#This Row],[Quality/Quantity]],0)</f>
        <v>0</v>
      </c>
      <c r="L1236" s="49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9">
        <f>IFERROR(SUMIFS(Tabela10[Fod Worth],Tabela10[Drop],DropAnalityka[[#This Row],[Drop]],Tabela10[Grade],DropAnalityka[[#This Row],[Grade]])*DropAnalityka[[#This Row],[Quality/Quantity]],0)</f>
        <v>0</v>
      </c>
      <c r="L1237" s="49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9">
        <f>IFERROR(SUMIFS(Tabela10[Fod Worth],Tabela10[Drop],DropAnalityka[[#This Row],[Drop]],Tabela10[Grade],DropAnalityka[[#This Row],[Grade]])*DropAnalityka[[#This Row],[Quality/Quantity]],0)</f>
        <v>0</v>
      </c>
      <c r="L1238" s="49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9">
        <f>IFERROR(SUMIFS(Tabela10[Fod Worth],Tabela10[Drop],DropAnalityka[[#This Row],[Drop]],Tabela10[Grade],DropAnalityka[[#This Row],[Grade]])*DropAnalityka[[#This Row],[Quality/Quantity]],0)</f>
        <v>0</v>
      </c>
      <c r="L1239" s="49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9">
        <f>IFERROR(SUMIFS(Tabela10[Fod Worth],Tabela10[Drop],DropAnalityka[[#This Row],[Drop]],Tabela10[Grade],DropAnalityka[[#This Row],[Grade]])*DropAnalityka[[#This Row],[Quality/Quantity]],0)</f>
        <v>0</v>
      </c>
      <c r="L1240" s="49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9">
        <f>IFERROR(SUMIFS(Tabela10[Fod Worth],Tabela10[Drop],DropAnalityka[[#This Row],[Drop]],Tabela10[Grade],DropAnalityka[[#This Row],[Grade]])*DropAnalityka[[#This Row],[Quality/Quantity]],0)</f>
        <v>0</v>
      </c>
      <c r="L1241" s="49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9">
        <f>IFERROR(SUMIFS(Tabela10[Fod Worth],Tabela10[Drop],DropAnalityka[[#This Row],[Drop]],Tabela10[Grade],DropAnalityka[[#This Row],[Grade]])*DropAnalityka[[#This Row],[Quality/Quantity]],0)</f>
        <v>0</v>
      </c>
      <c r="L1242" s="49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9">
        <f>IFERROR(SUMIFS(Tabela10[Fod Worth],Tabela10[Drop],DropAnalityka[[#This Row],[Drop]],Tabela10[Grade],DropAnalityka[[#This Row],[Grade]])*DropAnalityka[[#This Row],[Quality/Quantity]],0)</f>
        <v>0</v>
      </c>
      <c r="L1243" s="49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9">
        <f>IFERROR(SUMIFS(Tabela10[Fod Worth],Tabela10[Drop],DropAnalityka[[#This Row],[Drop]],Tabela10[Grade],DropAnalityka[[#This Row],[Grade]])*DropAnalityka[[#This Row],[Quality/Quantity]],0)</f>
        <v>0</v>
      </c>
      <c r="L1244" s="49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9">
        <f>IFERROR(SUMIFS(Tabela10[Fod Worth],Tabela10[Drop],DropAnalityka[[#This Row],[Drop]],Tabela10[Grade],DropAnalityka[[#This Row],[Grade]])*DropAnalityka[[#This Row],[Quality/Quantity]],0)</f>
        <v>0</v>
      </c>
      <c r="L1245" s="49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9">
        <f>IFERROR(SUMIFS(Tabela10[Fod Worth],Tabela10[Drop],DropAnalityka[[#This Row],[Drop]],Tabela10[Grade],DropAnalityka[[#This Row],[Grade]])*DropAnalityka[[#This Row],[Quality/Quantity]],0)</f>
        <v>0</v>
      </c>
      <c r="L1246" s="49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9">
        <f>IFERROR(SUMIFS(Tabela10[Fod Worth],Tabela10[Drop],DropAnalityka[[#This Row],[Drop]],Tabela10[Grade],DropAnalityka[[#This Row],[Grade]])*DropAnalityka[[#This Row],[Quality/Quantity]],0)</f>
        <v>0</v>
      </c>
      <c r="L1247" s="49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9">
        <f>IFERROR(SUMIFS(Tabela10[Fod Worth],Tabela10[Drop],DropAnalityka[[#This Row],[Drop]],Tabela10[Grade],DropAnalityka[[#This Row],[Grade]])*DropAnalityka[[#This Row],[Quality/Quantity]],0)</f>
        <v>0</v>
      </c>
      <c r="L1248" s="49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9">
        <f>IFERROR(SUMIFS(Tabela10[Fod Worth],Tabela10[Drop],DropAnalityka[[#This Row],[Drop]],Tabela10[Grade],DropAnalityka[[#This Row],[Grade]])*DropAnalityka[[#This Row],[Quality/Quantity]],0)</f>
        <v>0</v>
      </c>
      <c r="L1249" s="49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9">
        <f>IFERROR(SUMIFS(Tabela10[Fod Worth],Tabela10[Drop],DropAnalityka[[#This Row],[Drop]],Tabela10[Grade],DropAnalityka[[#This Row],[Grade]])*DropAnalityka[[#This Row],[Quality/Quantity]],0)</f>
        <v>0</v>
      </c>
      <c r="L1250" s="49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9">
        <f>IFERROR(SUMIFS(Tabela10[Fod Worth],Tabela10[Drop],DropAnalityka[[#This Row],[Drop]],Tabela10[Grade],DropAnalityka[[#This Row],[Grade]])*DropAnalityka[[#This Row],[Quality/Quantity]],0)</f>
        <v>0</v>
      </c>
      <c r="L1251" s="49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9">
        <f>IFERROR(SUMIFS(Tabela10[Fod Worth],Tabela10[Drop],DropAnalityka[[#This Row],[Drop]],Tabela10[Grade],DropAnalityka[[#This Row],[Grade]])*DropAnalityka[[#This Row],[Quality/Quantity]],0)</f>
        <v>0</v>
      </c>
      <c r="L1252" s="49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9">
        <f>IFERROR(SUMIFS(Tabela10[Fod Worth],Tabela10[Drop],DropAnalityka[[#This Row],[Drop]],Tabela10[Grade],DropAnalityka[[#This Row],[Grade]])*DropAnalityka[[#This Row],[Quality/Quantity]],0)</f>
        <v>0</v>
      </c>
      <c r="L1253" s="49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9">
        <f>IFERROR(SUMIFS(Tabela10[Fod Worth],Tabela10[Drop],DropAnalityka[[#This Row],[Drop]],Tabela10[Grade],DropAnalityka[[#This Row],[Grade]])*DropAnalityka[[#This Row],[Quality/Quantity]],0)</f>
        <v>0</v>
      </c>
      <c r="L1254" s="49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9">
        <f>IFERROR(SUMIFS(Tabela10[Fod Worth],Tabela10[Drop],DropAnalityka[[#This Row],[Drop]],Tabela10[Grade],DropAnalityka[[#This Row],[Grade]])*DropAnalityka[[#This Row],[Quality/Quantity]],0)</f>
        <v>0</v>
      </c>
      <c r="L1255" s="49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9">
        <f>IFERROR(SUMIFS(Tabela10[Fod Worth],Tabela10[Drop],DropAnalityka[[#This Row],[Drop]],Tabela10[Grade],DropAnalityka[[#This Row],[Grade]])*DropAnalityka[[#This Row],[Quality/Quantity]],0)</f>
        <v>0</v>
      </c>
      <c r="L1256" s="49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9">
        <f>IFERROR(SUMIFS(Tabela10[Fod Worth],Tabela10[Drop],DropAnalityka[[#This Row],[Drop]],Tabela10[Grade],DropAnalityka[[#This Row],[Grade]])*DropAnalityka[[#This Row],[Quality/Quantity]],0)</f>
        <v>0</v>
      </c>
      <c r="L1257" s="49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9">
        <f>IFERROR(SUMIFS(Tabela10[Fod Worth],Tabela10[Drop],DropAnalityka[[#This Row],[Drop]],Tabela10[Grade],DropAnalityka[[#This Row],[Grade]])*DropAnalityka[[#This Row],[Quality/Quantity]],0)</f>
        <v>0</v>
      </c>
      <c r="L1258" s="49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9">
        <f>IFERROR(SUMIFS(Tabela10[Fod Worth],Tabela10[Drop],DropAnalityka[[#This Row],[Drop]],Tabela10[Grade],DropAnalityka[[#This Row],[Grade]])*DropAnalityka[[#This Row],[Quality/Quantity]],0)</f>
        <v>0</v>
      </c>
      <c r="L1259" s="49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9">
        <f>IFERROR(SUMIFS(Tabela10[Fod Worth],Tabela10[Drop],DropAnalityka[[#This Row],[Drop]],Tabela10[Grade],DropAnalityka[[#This Row],[Grade]])*DropAnalityka[[#This Row],[Quality/Quantity]],0)</f>
        <v>0</v>
      </c>
      <c r="L1260" s="49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9">
        <f>IFERROR(SUMIFS(Tabela10[Fod Worth],Tabela10[Drop],DropAnalityka[[#This Row],[Drop]],Tabela10[Grade],DropAnalityka[[#This Row],[Grade]])*DropAnalityka[[#This Row],[Quality/Quantity]],0)</f>
        <v>0</v>
      </c>
      <c r="L1261" s="49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9">
        <f>IFERROR(SUMIFS(Tabela10[Fod Worth],Tabela10[Drop],DropAnalityka[[#This Row],[Drop]],Tabela10[Grade],DropAnalityka[[#This Row],[Grade]])*DropAnalityka[[#This Row],[Quality/Quantity]],0)</f>
        <v>0</v>
      </c>
      <c r="L1262" s="49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9">
        <f>IFERROR(SUMIFS(Tabela10[Fod Worth],Tabela10[Drop],DropAnalityka[[#This Row],[Drop]],Tabela10[Grade],DropAnalityka[[#This Row],[Grade]])*DropAnalityka[[#This Row],[Quality/Quantity]],0)</f>
        <v>0</v>
      </c>
      <c r="L1263" s="49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9">
        <f>IFERROR(SUMIFS(Tabela10[Fod Worth],Tabela10[Drop],DropAnalityka[[#This Row],[Drop]],Tabela10[Grade],DropAnalityka[[#This Row],[Grade]])*DropAnalityka[[#This Row],[Quality/Quantity]],0)</f>
        <v>0</v>
      </c>
      <c r="L1264" s="49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9">
        <f>IFERROR(SUMIFS(Tabela10[Fod Worth],Tabela10[Drop],DropAnalityka[[#This Row],[Drop]],Tabela10[Grade],DropAnalityka[[#This Row],[Grade]])*DropAnalityka[[#This Row],[Quality/Quantity]],0)</f>
        <v>0</v>
      </c>
      <c r="L1265" s="49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9">
        <f>IFERROR(SUMIFS(Tabela10[Fod Worth],Tabela10[Drop],DropAnalityka[[#This Row],[Drop]],Tabela10[Grade],DropAnalityka[[#This Row],[Grade]])*DropAnalityka[[#This Row],[Quality/Quantity]],0)</f>
        <v>0</v>
      </c>
      <c r="L1266" s="49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9">
        <f>IFERROR(SUMIFS(Tabela10[Fod Worth],Tabela10[Drop],DropAnalityka[[#This Row],[Drop]],Tabela10[Grade],DropAnalityka[[#This Row],[Grade]])*DropAnalityka[[#This Row],[Quality/Quantity]],0)</f>
        <v>0</v>
      </c>
      <c r="L1267" s="49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9">
        <f>IFERROR(SUMIFS(Tabela10[Fod Worth],Tabela10[Drop],DropAnalityka[[#This Row],[Drop]],Tabela10[Grade],DropAnalityka[[#This Row],[Grade]])*DropAnalityka[[#This Row],[Quality/Quantity]],0)</f>
        <v>0</v>
      </c>
      <c r="L1268" s="49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9">
        <f>IFERROR(SUMIFS(Tabela10[Fod Worth],Tabela10[Drop],DropAnalityka[[#This Row],[Drop]],Tabela10[Grade],DropAnalityka[[#This Row],[Grade]])*DropAnalityka[[#This Row],[Quality/Quantity]],0)</f>
        <v>0</v>
      </c>
      <c r="L1269" s="49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9">
        <f>IFERROR(SUMIFS(Tabela10[Fod Worth],Tabela10[Drop],DropAnalityka[[#This Row],[Drop]],Tabela10[Grade],DropAnalityka[[#This Row],[Grade]])*DropAnalityka[[#This Row],[Quality/Quantity]],0)</f>
        <v>0</v>
      </c>
      <c r="L1270" s="49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9">
        <f>IFERROR(SUMIFS(Tabela10[Fod Worth],Tabela10[Drop],DropAnalityka[[#This Row],[Drop]],Tabela10[Grade],DropAnalityka[[#This Row],[Grade]])*DropAnalityka[[#This Row],[Quality/Quantity]],0)</f>
        <v>0</v>
      </c>
      <c r="L1271" s="49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9">
        <f>IFERROR(SUMIFS(Tabela10[Fod Worth],Tabela10[Drop],DropAnalityka[[#This Row],[Drop]],Tabela10[Grade],DropAnalityka[[#This Row],[Grade]])*DropAnalityka[[#This Row],[Quality/Quantity]],0)</f>
        <v>0</v>
      </c>
      <c r="L1272" s="49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9">
        <f>IFERROR(SUMIFS(Tabela10[Fod Worth],Tabela10[Drop],DropAnalityka[[#This Row],[Drop]],Tabela10[Grade],DropAnalityka[[#This Row],[Grade]])*DropAnalityka[[#This Row],[Quality/Quantity]],0)</f>
        <v>0</v>
      </c>
      <c r="L1273" s="49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9">
        <f>IFERROR(SUMIFS(Tabela10[Fod Worth],Tabela10[Drop],DropAnalityka[[#This Row],[Drop]],Tabela10[Grade],DropAnalityka[[#This Row],[Grade]])*DropAnalityka[[#This Row],[Quality/Quantity]],0)</f>
        <v>0</v>
      </c>
      <c r="L1274" s="49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9">
        <f>IFERROR(SUMIFS(Tabela10[Fod Worth],Tabela10[Drop],DropAnalityka[[#This Row],[Drop]],Tabela10[Grade],DropAnalityka[[#This Row],[Grade]])*DropAnalityka[[#This Row],[Quality/Quantity]],0)</f>
        <v>0</v>
      </c>
      <c r="L1275" s="49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9">
        <f>IFERROR(SUMIFS(Tabela10[Fod Worth],Tabela10[Drop],DropAnalityka[[#This Row],[Drop]],Tabela10[Grade],DropAnalityka[[#This Row],[Grade]])*DropAnalityka[[#This Row],[Quality/Quantity]],0)</f>
        <v>0</v>
      </c>
      <c r="L1276" s="49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9">
        <f>IFERROR(SUMIFS(Tabela10[Fod Worth],Tabela10[Drop],DropAnalityka[[#This Row],[Drop]],Tabela10[Grade],DropAnalityka[[#This Row],[Grade]])*DropAnalityka[[#This Row],[Quality/Quantity]],0)</f>
        <v>0</v>
      </c>
      <c r="L1277" s="49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9">
        <f>IFERROR(SUMIFS(Tabela10[Fod Worth],Tabela10[Drop],DropAnalityka[[#This Row],[Drop]],Tabela10[Grade],DropAnalityka[[#This Row],[Grade]])*DropAnalityka[[#This Row],[Quality/Quantity]],0)</f>
        <v>0</v>
      </c>
      <c r="L1278" s="49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9">
        <f>IFERROR(SUMIFS(Tabela10[Fod Worth],Tabela10[Drop],DropAnalityka[[#This Row],[Drop]],Tabela10[Grade],DropAnalityka[[#This Row],[Grade]])*DropAnalityka[[#This Row],[Quality/Quantity]],0)</f>
        <v>0</v>
      </c>
      <c r="L1279" s="49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9">
        <f>IFERROR(SUMIFS(Tabela10[Fod Worth],Tabela10[Drop],DropAnalityka[[#This Row],[Drop]],Tabela10[Grade],DropAnalityka[[#This Row],[Grade]])*DropAnalityka[[#This Row],[Quality/Quantity]],0)</f>
        <v>0</v>
      </c>
      <c r="L1280" s="49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9">
        <f>IFERROR(SUMIFS(Tabela10[Fod Worth],Tabela10[Drop],DropAnalityka[[#This Row],[Drop]],Tabela10[Grade],DropAnalityka[[#This Row],[Grade]])*DropAnalityka[[#This Row],[Quality/Quantity]],0)</f>
        <v>0</v>
      </c>
      <c r="L1281" s="49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9">
        <f>IFERROR(SUMIFS(Tabela10[Fod Worth],Tabela10[Drop],DropAnalityka[[#This Row],[Drop]],Tabela10[Grade],DropAnalityka[[#This Row],[Grade]])*DropAnalityka[[#This Row],[Quality/Quantity]],0)</f>
        <v>0</v>
      </c>
      <c r="L1282" s="49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9">
        <f>IFERROR(SUMIFS(Tabela10[Fod Worth],Tabela10[Drop],DropAnalityka[[#This Row],[Drop]],Tabela10[Grade],DropAnalityka[[#This Row],[Grade]])*DropAnalityka[[#This Row],[Quality/Quantity]],0)</f>
        <v>0</v>
      </c>
      <c r="L1283" s="49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9">
        <f>IFERROR(SUMIFS(Tabela10[Fod Worth],Tabela10[Drop],DropAnalityka[[#This Row],[Drop]],Tabela10[Grade],DropAnalityka[[#This Row],[Grade]])*DropAnalityka[[#This Row],[Quality/Quantity]],0)</f>
        <v>0</v>
      </c>
      <c r="L1284" s="49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9">
        <f>IFERROR(SUMIFS(Tabela10[Fod Worth],Tabela10[Drop],DropAnalityka[[#This Row],[Drop]],Tabela10[Grade],DropAnalityka[[#This Row],[Grade]])*DropAnalityka[[#This Row],[Quality/Quantity]],0)</f>
        <v>0</v>
      </c>
      <c r="L1285" s="49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9">
        <f>IFERROR(SUMIFS(Tabela10[Fod Worth],Tabela10[Drop],DropAnalityka[[#This Row],[Drop]],Tabela10[Grade],DropAnalityka[[#This Row],[Grade]])*DropAnalityka[[#This Row],[Quality/Quantity]],0)</f>
        <v>0</v>
      </c>
      <c r="L1286" s="49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9">
        <f>IFERROR(SUMIFS(Tabela10[Fod Worth],Tabela10[Drop],DropAnalityka[[#This Row],[Drop]],Tabela10[Grade],DropAnalityka[[#This Row],[Grade]])*DropAnalityka[[#This Row],[Quality/Quantity]],0)</f>
        <v>0</v>
      </c>
      <c r="L1287" s="49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9">
        <f>IFERROR(SUMIFS(Tabela10[Fod Worth],Tabela10[Drop],DropAnalityka[[#This Row],[Drop]],Tabela10[Grade],DropAnalityka[[#This Row],[Grade]])*DropAnalityka[[#This Row],[Quality/Quantity]],0)</f>
        <v>0</v>
      </c>
      <c r="L1288" s="49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9">
        <f>IFERROR(SUMIFS(Tabela10[Fod Worth],Tabela10[Drop],DropAnalityka[[#This Row],[Drop]],Tabela10[Grade],DropAnalityka[[#This Row],[Grade]])*DropAnalityka[[#This Row],[Quality/Quantity]],0)</f>
        <v>0</v>
      </c>
      <c r="L1289" s="49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9">
        <f>IFERROR(SUMIFS(Tabela10[Fod Worth],Tabela10[Drop],DropAnalityka[[#This Row],[Drop]],Tabela10[Grade],DropAnalityka[[#This Row],[Grade]])*DropAnalityka[[#This Row],[Quality/Quantity]],0)</f>
        <v>0</v>
      </c>
      <c r="L1290" s="49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9">
        <f>IFERROR(SUMIFS(Tabela10[Fod Worth],Tabela10[Drop],DropAnalityka[[#This Row],[Drop]],Tabela10[Grade],DropAnalityka[[#This Row],[Grade]])*DropAnalityka[[#This Row],[Quality/Quantity]],0)</f>
        <v>0</v>
      </c>
      <c r="L1291" s="49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9">
        <f>IFERROR(SUMIFS(Tabela10[Fod Worth],Tabela10[Drop],DropAnalityka[[#This Row],[Drop]],Tabela10[Grade],DropAnalityka[[#This Row],[Grade]])*DropAnalityka[[#This Row],[Quality/Quantity]],0)</f>
        <v>0</v>
      </c>
      <c r="L1292" s="49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9">
        <f>IFERROR(SUMIFS(Tabela10[Fod Worth],Tabela10[Drop],DropAnalityka[[#This Row],[Drop]],Tabela10[Grade],DropAnalityka[[#This Row],[Grade]])*DropAnalityka[[#This Row],[Quality/Quantity]],0)</f>
        <v>0</v>
      </c>
      <c r="L1293" s="49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9">
        <f>IFERROR(SUMIFS(Tabela10[Fod Worth],Tabela10[Drop],DropAnalityka[[#This Row],[Drop]],Tabela10[Grade],DropAnalityka[[#This Row],[Grade]])*DropAnalityka[[#This Row],[Quality/Quantity]],0)</f>
        <v>0</v>
      </c>
      <c r="L1294" s="49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9">
        <f>IFERROR(SUMIFS(Tabela10[Fod Worth],Tabela10[Drop],DropAnalityka[[#This Row],[Drop]],Tabela10[Grade],DropAnalityka[[#This Row],[Grade]])*DropAnalityka[[#This Row],[Quality/Quantity]],0)</f>
        <v>0</v>
      </c>
      <c r="L1295" s="49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9">
        <f>IFERROR(SUMIFS(Tabela10[Fod Worth],Tabela10[Drop],DropAnalityka[[#This Row],[Drop]],Tabela10[Grade],DropAnalityka[[#This Row],[Grade]])*DropAnalityka[[#This Row],[Quality/Quantity]],0)</f>
        <v>0</v>
      </c>
      <c r="L1296" s="49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9">
        <f>IFERROR(SUMIFS(Tabela10[Fod Worth],Tabela10[Drop],DropAnalityka[[#This Row],[Drop]],Tabela10[Grade],DropAnalityka[[#This Row],[Grade]])*DropAnalityka[[#This Row],[Quality/Quantity]],0)</f>
        <v>0</v>
      </c>
      <c r="L1297" s="49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9">
        <f>IFERROR(SUMIFS(Tabela10[Fod Worth],Tabela10[Drop],DropAnalityka[[#This Row],[Drop]],Tabela10[Grade],DropAnalityka[[#This Row],[Grade]])*DropAnalityka[[#This Row],[Quality/Quantity]],0)</f>
        <v>0</v>
      </c>
      <c r="L1298" s="49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9">
        <f>IFERROR(SUMIFS(Tabela10[Fod Worth],Tabela10[Drop],DropAnalityka[[#This Row],[Drop]],Tabela10[Grade],DropAnalityka[[#This Row],[Grade]])*DropAnalityka[[#This Row],[Quality/Quantity]],0)</f>
        <v>0</v>
      </c>
      <c r="L1299" s="49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9">
        <f>IFERROR(SUMIFS(Tabela10[Fod Worth],Tabela10[Drop],DropAnalityka[[#This Row],[Drop]],Tabela10[Grade],DropAnalityka[[#This Row],[Grade]])*DropAnalityka[[#This Row],[Quality/Quantity]],0)</f>
        <v>0</v>
      </c>
      <c r="L1300" s="49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9">
        <f>IFERROR(SUMIFS(Tabela10[Fod Worth],Tabela10[Drop],DropAnalityka[[#This Row],[Drop]],Tabela10[Grade],DropAnalityka[[#This Row],[Grade]])*DropAnalityka[[#This Row],[Quality/Quantity]],0)</f>
        <v>0</v>
      </c>
      <c r="L1301" s="49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9">
        <f>IFERROR(SUMIFS(Tabela10[Fod Worth],Tabela10[Drop],DropAnalityka[[#This Row],[Drop]],Tabela10[Grade],DropAnalityka[[#This Row],[Grade]])*DropAnalityka[[#This Row],[Quality/Quantity]],0)</f>
        <v>0</v>
      </c>
      <c r="L1302" s="49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9">
        <f>IFERROR(SUMIFS(Tabela10[Fod Worth],Tabela10[Drop],DropAnalityka[[#This Row],[Drop]],Tabela10[Grade],DropAnalityka[[#This Row],[Grade]])*DropAnalityka[[#This Row],[Quality/Quantity]],0)</f>
        <v>0</v>
      </c>
      <c r="L1303" s="49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9">
        <f>IFERROR(SUMIFS(Tabela10[Fod Worth],Tabela10[Drop],DropAnalityka[[#This Row],[Drop]],Tabela10[Grade],DropAnalityka[[#This Row],[Grade]])*DropAnalityka[[#This Row],[Quality/Quantity]],0)</f>
        <v>0</v>
      </c>
      <c r="L1304" s="49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9">
        <f>IFERROR(SUMIFS(Tabela10[Fod Worth],Tabela10[Drop],DropAnalityka[[#This Row],[Drop]],Tabela10[Grade],DropAnalityka[[#This Row],[Grade]])*DropAnalityka[[#This Row],[Quality/Quantity]],0)</f>
        <v>0</v>
      </c>
      <c r="L1305" s="49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9">
        <f>IFERROR(SUMIFS(Tabela10[Fod Worth],Tabela10[Drop],DropAnalityka[[#This Row],[Drop]],Tabela10[Grade],DropAnalityka[[#This Row],[Grade]])*DropAnalityka[[#This Row],[Quality/Quantity]],0)</f>
        <v>0</v>
      </c>
      <c r="L1306" s="49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9">
        <f>IFERROR(SUMIFS(Tabela10[Fod Worth],Tabela10[Drop],DropAnalityka[[#This Row],[Drop]],Tabela10[Grade],DropAnalityka[[#This Row],[Grade]])*DropAnalityka[[#This Row],[Quality/Quantity]],0)</f>
        <v>0</v>
      </c>
      <c r="L1307" s="49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9">
        <f>IFERROR(SUMIFS(Tabela10[Fod Worth],Tabela10[Drop],DropAnalityka[[#This Row],[Drop]],Tabela10[Grade],DropAnalityka[[#This Row],[Grade]])*DropAnalityka[[#This Row],[Quality/Quantity]],0)</f>
        <v>0</v>
      </c>
      <c r="L1308" s="49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9">
        <f>IFERROR(SUMIFS(Tabela10[Fod Worth],Tabela10[Drop],DropAnalityka[[#This Row],[Drop]],Tabela10[Grade],DropAnalityka[[#This Row],[Grade]])*DropAnalityka[[#This Row],[Quality/Quantity]],0)</f>
        <v>0</v>
      </c>
      <c r="L1309" s="49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9">
        <f>IFERROR(SUMIFS(Tabela10[Fod Worth],Tabela10[Drop],DropAnalityka[[#This Row],[Drop]],Tabela10[Grade],DropAnalityka[[#This Row],[Grade]])*DropAnalityka[[#This Row],[Quality/Quantity]],0)</f>
        <v>0</v>
      </c>
      <c r="L1310" s="49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9">
        <f>IFERROR(SUMIFS(Tabela10[Fod Worth],Tabela10[Drop],DropAnalityka[[#This Row],[Drop]],Tabela10[Grade],DropAnalityka[[#This Row],[Grade]])*DropAnalityka[[#This Row],[Quality/Quantity]],0)</f>
        <v>0</v>
      </c>
      <c r="L1311" s="49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9">
        <f>IFERROR(SUMIFS(Tabela10[Fod Worth],Tabela10[Drop],DropAnalityka[[#This Row],[Drop]],Tabela10[Grade],DropAnalityka[[#This Row],[Grade]])*DropAnalityka[[#This Row],[Quality/Quantity]],0)</f>
        <v>0</v>
      </c>
      <c r="L1312" s="49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9">
        <f>IFERROR(SUMIFS(Tabela10[Fod Worth],Tabela10[Drop],DropAnalityka[[#This Row],[Drop]],Tabela10[Grade],DropAnalityka[[#This Row],[Grade]])*DropAnalityka[[#This Row],[Quality/Quantity]],0)</f>
        <v>0</v>
      </c>
      <c r="L1313" s="49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9">
        <f>IFERROR(SUMIFS(Tabela10[Fod Worth],Tabela10[Drop],DropAnalityka[[#This Row],[Drop]],Tabela10[Grade],DropAnalityka[[#This Row],[Grade]])*DropAnalityka[[#This Row],[Quality/Quantity]],0)</f>
        <v>0</v>
      </c>
      <c r="L1314" s="49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9">
        <f>IFERROR(SUMIFS(Tabela10[Fod Worth],Tabela10[Drop],DropAnalityka[[#This Row],[Drop]],Tabela10[Grade],DropAnalityka[[#This Row],[Grade]])*DropAnalityka[[#This Row],[Quality/Quantity]],0)</f>
        <v>0</v>
      </c>
      <c r="L1315" s="49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9">
        <f>IFERROR(SUMIFS(Tabela10[Fod Worth],Tabela10[Drop],DropAnalityka[[#This Row],[Drop]],Tabela10[Grade],DropAnalityka[[#This Row],[Grade]])*DropAnalityka[[#This Row],[Quality/Quantity]],0)</f>
        <v>0</v>
      </c>
      <c r="L1316" s="49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9">
        <f>IFERROR(SUMIFS(Tabela10[Fod Worth],Tabela10[Drop],DropAnalityka[[#This Row],[Drop]],Tabela10[Grade],DropAnalityka[[#This Row],[Grade]])*DropAnalityka[[#This Row],[Quality/Quantity]],0)</f>
        <v>0</v>
      </c>
      <c r="L1317" s="49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9">
        <f>IFERROR(SUMIFS(Tabela10[Fod Worth],Tabela10[Drop],DropAnalityka[[#This Row],[Drop]],Tabela10[Grade],DropAnalityka[[#This Row],[Grade]])*DropAnalityka[[#This Row],[Quality/Quantity]],0)</f>
        <v>0</v>
      </c>
      <c r="L1318" s="49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9">
        <f>IFERROR(SUMIFS(Tabela10[Fod Worth],Tabela10[Drop],DropAnalityka[[#This Row],[Drop]],Tabela10[Grade],DropAnalityka[[#This Row],[Grade]])*DropAnalityka[[#This Row],[Quality/Quantity]],0)</f>
        <v>0</v>
      </c>
      <c r="L1319" s="49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9">
        <f>IFERROR(SUMIFS(Tabela10[Fod Worth],Tabela10[Drop],DropAnalityka[[#This Row],[Drop]],Tabela10[Grade],DropAnalityka[[#This Row],[Grade]])*DropAnalityka[[#This Row],[Quality/Quantity]],0)</f>
        <v>0</v>
      </c>
      <c r="L1320" s="49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9">
        <f>IFERROR(SUMIFS(Tabela10[Fod Worth],Tabela10[Drop],DropAnalityka[[#This Row],[Drop]],Tabela10[Grade],DropAnalityka[[#This Row],[Grade]])*DropAnalityka[[#This Row],[Quality/Quantity]],0)</f>
        <v>0</v>
      </c>
      <c r="L1321" s="49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9">
        <f>IFERROR(SUMIFS(Tabela10[Fod Worth],Tabela10[Drop],DropAnalityka[[#This Row],[Drop]],Tabela10[Grade],DropAnalityka[[#This Row],[Grade]])*DropAnalityka[[#This Row],[Quality/Quantity]],0)</f>
        <v>0</v>
      </c>
      <c r="L1322" s="49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9">
        <f>IFERROR(SUMIFS(Tabela10[Fod Worth],Tabela10[Drop],DropAnalityka[[#This Row],[Drop]],Tabela10[Grade],DropAnalityka[[#This Row],[Grade]])*DropAnalityka[[#This Row],[Quality/Quantity]],0)</f>
        <v>0</v>
      </c>
      <c r="L1323" s="49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9">
        <f>IFERROR(SUMIFS(Tabela10[Fod Worth],Tabela10[Drop],DropAnalityka[[#This Row],[Drop]],Tabela10[Grade],DropAnalityka[[#This Row],[Grade]])*DropAnalityka[[#This Row],[Quality/Quantity]],0)</f>
        <v>0</v>
      </c>
      <c r="L1324" s="49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9">
        <f>IFERROR(SUMIFS(Tabela10[Fod Worth],Tabela10[Drop],DropAnalityka[[#This Row],[Drop]],Tabela10[Grade],DropAnalityka[[#This Row],[Grade]])*DropAnalityka[[#This Row],[Quality/Quantity]],0)</f>
        <v>0</v>
      </c>
      <c r="L1325" s="49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9">
        <f>IFERROR(SUMIFS(Tabela10[Fod Worth],Tabela10[Drop],DropAnalityka[[#This Row],[Drop]],Tabela10[Grade],DropAnalityka[[#This Row],[Grade]])*DropAnalityka[[#This Row],[Quality/Quantity]],0)</f>
        <v>0</v>
      </c>
      <c r="L1326" s="49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9">
        <f>IFERROR(SUMIFS(Tabela10[Fod Worth],Tabela10[Drop],DropAnalityka[[#This Row],[Drop]],Tabela10[Grade],DropAnalityka[[#This Row],[Grade]])*DropAnalityka[[#This Row],[Quality/Quantity]],0)</f>
        <v>0</v>
      </c>
      <c r="L1327" s="49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9">
        <f>IFERROR(SUMIFS(Tabela10[Fod Worth],Tabela10[Drop],DropAnalityka[[#This Row],[Drop]],Tabela10[Grade],DropAnalityka[[#This Row],[Grade]])*DropAnalityka[[#This Row],[Quality/Quantity]],0)</f>
        <v>0</v>
      </c>
      <c r="L1328" s="49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9">
        <f>IFERROR(SUMIFS(Tabela10[Fod Worth],Tabela10[Drop],DropAnalityka[[#This Row],[Drop]],Tabela10[Grade],DropAnalityka[[#This Row],[Grade]])*DropAnalityka[[#This Row],[Quality/Quantity]],0)</f>
        <v>0</v>
      </c>
      <c r="L1329" s="49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9">
        <f>IFERROR(SUMIFS(Tabela10[Fod Worth],Tabela10[Drop],DropAnalityka[[#This Row],[Drop]],Tabela10[Grade],DropAnalityka[[#This Row],[Grade]])*DropAnalityka[[#This Row],[Quality/Quantity]],0)</f>
        <v>0</v>
      </c>
      <c r="L1330" s="49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9">
        <f>IFERROR(SUMIFS(Tabela10[Fod Worth],Tabela10[Drop],DropAnalityka[[#This Row],[Drop]],Tabela10[Grade],DropAnalityka[[#This Row],[Grade]])*DropAnalityka[[#This Row],[Quality/Quantity]],0)</f>
        <v>0</v>
      </c>
      <c r="L1331" s="49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9">
        <f>IFERROR(SUMIFS(Tabela10[Fod Worth],Tabela10[Drop],DropAnalityka[[#This Row],[Drop]],Tabela10[Grade],DropAnalityka[[#This Row],[Grade]])*DropAnalityka[[#This Row],[Quality/Quantity]],0)</f>
        <v>0</v>
      </c>
      <c r="L1332" s="49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9">
        <f>IFERROR(SUMIFS(Tabela10[Fod Worth],Tabela10[Drop],DropAnalityka[[#This Row],[Drop]],Tabela10[Grade],DropAnalityka[[#This Row],[Grade]])*DropAnalityka[[#This Row],[Quality/Quantity]],0)</f>
        <v>0</v>
      </c>
      <c r="L1333" s="49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9">
        <f>IFERROR(SUMIFS(Tabela10[Fod Worth],Tabela10[Drop],DropAnalityka[[#This Row],[Drop]],Tabela10[Grade],DropAnalityka[[#This Row],[Grade]])*DropAnalityka[[#This Row],[Quality/Quantity]],0)</f>
        <v>0</v>
      </c>
      <c r="L1334" s="49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9">
        <f>IFERROR(SUMIFS(Tabela10[Fod Worth],Tabela10[Drop],DropAnalityka[[#This Row],[Drop]],Tabela10[Grade],DropAnalityka[[#This Row],[Grade]])*DropAnalityka[[#This Row],[Quality/Quantity]],0)</f>
        <v>0</v>
      </c>
      <c r="L1335" s="49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9">
        <f>IFERROR(SUMIFS(Tabela10[Fod Worth],Tabela10[Drop],DropAnalityka[[#This Row],[Drop]],Tabela10[Grade],DropAnalityka[[#This Row],[Grade]])*DropAnalityka[[#This Row],[Quality/Quantity]],0)</f>
        <v>0</v>
      </c>
      <c r="L1336" s="49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9">
        <f>IFERROR(SUMIFS(Tabela10[Fod Worth],Tabela10[Drop],DropAnalityka[[#This Row],[Drop]],Tabela10[Grade],DropAnalityka[[#This Row],[Grade]])*DropAnalityka[[#This Row],[Quality/Quantity]],0)</f>
        <v>0</v>
      </c>
      <c r="L1337" s="49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9">
        <f>IFERROR(SUMIFS(Tabela10[Fod Worth],Tabela10[Drop],DropAnalityka[[#This Row],[Drop]],Tabela10[Grade],DropAnalityka[[#This Row],[Grade]])*DropAnalityka[[#This Row],[Quality/Quantity]],0)</f>
        <v>0</v>
      </c>
      <c r="L1338" s="49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9">
        <f>IFERROR(SUMIFS(Tabela10[Fod Worth],Tabela10[Drop],DropAnalityka[[#This Row],[Drop]],Tabela10[Grade],DropAnalityka[[#This Row],[Grade]])*DropAnalityka[[#This Row],[Quality/Quantity]],0)</f>
        <v>0</v>
      </c>
      <c r="L1339" s="49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9">
        <f>IFERROR(SUMIFS(Tabela10[Fod Worth],Tabela10[Drop],DropAnalityka[[#This Row],[Drop]],Tabela10[Grade],DropAnalityka[[#This Row],[Grade]])*DropAnalityka[[#This Row],[Quality/Quantity]],0)</f>
        <v>0</v>
      </c>
      <c r="L1340" s="49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9">
        <f>IFERROR(SUMIFS(Tabela10[Fod Worth],Tabela10[Drop],DropAnalityka[[#This Row],[Drop]],Tabela10[Grade],DropAnalityka[[#This Row],[Grade]])*DropAnalityka[[#This Row],[Quality/Quantity]],0)</f>
        <v>0</v>
      </c>
      <c r="L1341" s="49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9">
        <f>IFERROR(SUMIFS(Tabela10[Fod Worth],Tabela10[Drop],DropAnalityka[[#This Row],[Drop]],Tabela10[Grade],DropAnalityka[[#This Row],[Grade]])*DropAnalityka[[#This Row],[Quality/Quantity]],0)</f>
        <v>0</v>
      </c>
      <c r="L1342" s="49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9">
        <f>IFERROR(SUMIFS(Tabela10[Fod Worth],Tabela10[Drop],DropAnalityka[[#This Row],[Drop]],Tabela10[Grade],DropAnalityka[[#This Row],[Grade]])*DropAnalityka[[#This Row],[Quality/Quantity]],0)</f>
        <v>0</v>
      </c>
      <c r="L1343" s="49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9">
        <f>IFERROR(SUMIFS(Tabela10[Fod Worth],Tabela10[Drop],DropAnalityka[[#This Row],[Drop]],Tabela10[Grade],DropAnalityka[[#This Row],[Grade]])*DropAnalityka[[#This Row],[Quality/Quantity]],0)</f>
        <v>0</v>
      </c>
      <c r="L1344" s="49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9">
        <f>IFERROR(SUMIFS(Tabela10[Fod Worth],Tabela10[Drop],DropAnalityka[[#This Row],[Drop]],Tabela10[Grade],DropAnalityka[[#This Row],[Grade]])*DropAnalityka[[#This Row],[Quality/Quantity]],0)</f>
        <v>0</v>
      </c>
      <c r="L1345" s="49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9">
        <f>IFERROR(SUMIFS(Tabela10[Fod Worth],Tabela10[Drop],DropAnalityka[[#This Row],[Drop]],Tabela10[Grade],DropAnalityka[[#This Row],[Grade]])*DropAnalityka[[#This Row],[Quality/Quantity]],0)</f>
        <v>0</v>
      </c>
      <c r="L1346" s="49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9">
        <f>IFERROR(SUMIFS(Tabela10[Fod Worth],Tabela10[Drop],DropAnalityka[[#This Row],[Drop]],Tabela10[Grade],DropAnalityka[[#This Row],[Grade]])*DropAnalityka[[#This Row],[Quality/Quantity]],0)</f>
        <v>0</v>
      </c>
      <c r="L1347" s="49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9">
        <f>IFERROR(SUMIFS(Tabela10[Fod Worth],Tabela10[Drop],DropAnalityka[[#This Row],[Drop]],Tabela10[Grade],DropAnalityka[[#This Row],[Grade]])*DropAnalityka[[#This Row],[Quality/Quantity]],0)</f>
        <v>0</v>
      </c>
      <c r="L1348" s="49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9">
        <f>IFERROR(SUMIFS(Tabela10[Fod Worth],Tabela10[Drop],DropAnalityka[[#This Row],[Drop]],Tabela10[Grade],DropAnalityka[[#This Row],[Grade]])*DropAnalityka[[#This Row],[Quality/Quantity]],0)</f>
        <v>0</v>
      </c>
      <c r="L1349" s="49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9">
        <f>IFERROR(SUMIFS(Tabela10[Fod Worth],Tabela10[Drop],DropAnalityka[[#This Row],[Drop]],Tabela10[Grade],DropAnalityka[[#This Row],[Grade]])*DropAnalityka[[#This Row],[Quality/Quantity]],0)</f>
        <v>0</v>
      </c>
      <c r="L1350" s="49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9">
        <f>IFERROR(SUMIFS(Tabela10[Fod Worth],Tabela10[Drop],DropAnalityka[[#This Row],[Drop]],Tabela10[Grade],DropAnalityka[[#This Row],[Grade]])*DropAnalityka[[#This Row],[Quality/Quantity]],0)</f>
        <v>0</v>
      </c>
      <c r="L1351" s="49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9">
        <f>IFERROR(SUMIFS(Tabela10[Fod Worth],Tabela10[Drop],DropAnalityka[[#This Row],[Drop]],Tabela10[Grade],DropAnalityka[[#This Row],[Grade]])*DropAnalityka[[#This Row],[Quality/Quantity]],0)</f>
        <v>0</v>
      </c>
      <c r="L1352" s="49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9">
        <f>IFERROR(SUMIFS(Tabela10[Fod Worth],Tabela10[Drop],DropAnalityka[[#This Row],[Drop]],Tabela10[Grade],DropAnalityka[[#This Row],[Grade]])*DropAnalityka[[#This Row],[Quality/Quantity]],0)</f>
        <v>0</v>
      </c>
      <c r="L1353" s="49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9">
        <f>IFERROR(SUMIFS(Tabela10[Fod Worth],Tabela10[Drop],DropAnalityka[[#This Row],[Drop]],Tabela10[Grade],DropAnalityka[[#This Row],[Grade]])*DropAnalityka[[#This Row],[Quality/Quantity]],0)</f>
        <v>0</v>
      </c>
      <c r="L1354" s="49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9">
        <f>IFERROR(SUMIFS(Tabela10[Fod Worth],Tabela10[Drop],DropAnalityka[[#This Row],[Drop]],Tabela10[Grade],DropAnalityka[[#This Row],[Grade]])*DropAnalityka[[#This Row],[Quality/Quantity]],0)</f>
        <v>0</v>
      </c>
      <c r="L1355" s="49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9">
        <f>IFERROR(SUMIFS(Tabela10[Fod Worth],Tabela10[Drop],DropAnalityka[[#This Row],[Drop]],Tabela10[Grade],DropAnalityka[[#This Row],[Grade]])*DropAnalityka[[#This Row],[Quality/Quantity]],0)</f>
        <v>0</v>
      </c>
      <c r="L1356" s="49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9">
        <f>IFERROR(SUMIFS(Tabela10[Fod Worth],Tabela10[Drop],DropAnalityka[[#This Row],[Drop]],Tabela10[Grade],DropAnalityka[[#This Row],[Grade]])*DropAnalityka[[#This Row],[Quality/Quantity]],0)</f>
        <v>0</v>
      </c>
      <c r="L1357" s="49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9">
        <f>IFERROR(SUMIFS(Tabela10[Fod Worth],Tabela10[Drop],DropAnalityka[[#This Row],[Drop]],Tabela10[Grade],DropAnalityka[[#This Row],[Grade]])*DropAnalityka[[#This Row],[Quality/Quantity]],0)</f>
        <v>0</v>
      </c>
      <c r="L1358" s="49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9">
        <f>IFERROR(SUMIFS(Tabela10[Fod Worth],Tabela10[Drop],DropAnalityka[[#This Row],[Drop]],Tabela10[Grade],DropAnalityka[[#This Row],[Grade]])*DropAnalityka[[#This Row],[Quality/Quantity]],0)</f>
        <v>0</v>
      </c>
      <c r="L1359" s="49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9">
        <f>IFERROR(SUMIFS(Tabela10[Fod Worth],Tabela10[Drop],DropAnalityka[[#This Row],[Drop]],Tabela10[Grade],DropAnalityka[[#This Row],[Grade]])*DropAnalityka[[#This Row],[Quality/Quantity]],0)</f>
        <v>0</v>
      </c>
      <c r="L1360" s="49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9">
        <f>IFERROR(SUMIFS(Tabela10[Fod Worth],Tabela10[Drop],DropAnalityka[[#This Row],[Drop]],Tabela10[Grade],DropAnalityka[[#This Row],[Grade]])*DropAnalityka[[#This Row],[Quality/Quantity]],0)</f>
        <v>0</v>
      </c>
      <c r="L1361" s="49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9">
        <f>IFERROR(SUMIFS(Tabela10[Fod Worth],Tabela10[Drop],DropAnalityka[[#This Row],[Drop]],Tabela10[Grade],DropAnalityka[[#This Row],[Grade]])*DropAnalityka[[#This Row],[Quality/Quantity]],0)</f>
        <v>0</v>
      </c>
      <c r="L1362" s="49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9">
        <f>IFERROR(SUMIFS(Tabela10[Fod Worth],Tabela10[Drop],DropAnalityka[[#This Row],[Drop]],Tabela10[Grade],DropAnalityka[[#This Row],[Grade]])*DropAnalityka[[#This Row],[Quality/Quantity]],0)</f>
        <v>0</v>
      </c>
      <c r="L1363" s="49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9">
        <f>IFERROR(SUMIFS(Tabela10[Fod Worth],Tabela10[Drop],DropAnalityka[[#This Row],[Drop]],Tabela10[Grade],DropAnalityka[[#This Row],[Grade]])*DropAnalityka[[#This Row],[Quality/Quantity]],0)</f>
        <v>0</v>
      </c>
      <c r="L1364" s="49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9">
        <f>IFERROR(SUMIFS(Tabela10[Fod Worth],Tabela10[Drop],DropAnalityka[[#This Row],[Drop]],Tabela10[Grade],DropAnalityka[[#This Row],[Grade]])*DropAnalityka[[#This Row],[Quality/Quantity]],0)</f>
        <v>0</v>
      </c>
      <c r="L1365" s="49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9">
        <f>IFERROR(SUMIFS(Tabela10[Fod Worth],Tabela10[Drop],DropAnalityka[[#This Row],[Drop]],Tabela10[Grade],DropAnalityka[[#This Row],[Grade]])*DropAnalityka[[#This Row],[Quality/Quantity]],0)</f>
        <v>0</v>
      </c>
      <c r="L1366" s="49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9">
        <f>IFERROR(SUMIFS(Tabela10[Fod Worth],Tabela10[Drop],DropAnalityka[[#This Row],[Drop]],Tabela10[Grade],DropAnalityka[[#This Row],[Grade]])*DropAnalityka[[#This Row],[Quality/Quantity]],0)</f>
        <v>0</v>
      </c>
      <c r="L1367" s="49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9">
        <f>IFERROR(SUMIFS(Tabela10[Fod Worth],Tabela10[Drop],DropAnalityka[[#This Row],[Drop]],Tabela10[Grade],DropAnalityka[[#This Row],[Grade]])*DropAnalityka[[#This Row],[Quality/Quantity]],0)</f>
        <v>0</v>
      </c>
      <c r="L1368" s="49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9">
        <f>IFERROR(SUMIFS(Tabela10[Fod Worth],Tabela10[Drop],DropAnalityka[[#This Row],[Drop]],Tabela10[Grade],DropAnalityka[[#This Row],[Grade]])*DropAnalityka[[#This Row],[Quality/Quantity]],0)</f>
        <v>0</v>
      </c>
      <c r="L1369" s="49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9">
        <f>IFERROR(SUMIFS(Tabela10[Fod Worth],Tabela10[Drop],DropAnalityka[[#This Row],[Drop]],Tabela10[Grade],DropAnalityka[[#This Row],[Grade]])*DropAnalityka[[#This Row],[Quality/Quantity]],0)</f>
        <v>0</v>
      </c>
      <c r="L1370" s="49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9">
        <f>IFERROR(SUMIFS(Tabela10[Fod Worth],Tabela10[Drop],DropAnalityka[[#This Row],[Drop]],Tabela10[Grade],DropAnalityka[[#This Row],[Grade]])*DropAnalityka[[#This Row],[Quality/Quantity]],0)</f>
        <v>0</v>
      </c>
      <c r="L1371" s="49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9">
        <f>IFERROR(SUMIFS(Tabela10[Fod Worth],Tabela10[Drop],DropAnalityka[[#This Row],[Drop]],Tabela10[Grade],DropAnalityka[[#This Row],[Grade]])*DropAnalityka[[#This Row],[Quality/Quantity]],0)</f>
        <v>0</v>
      </c>
      <c r="L1372" s="49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9">
        <f>IFERROR(SUMIFS(Tabela10[Fod Worth],Tabela10[Drop],DropAnalityka[[#This Row],[Drop]],Tabela10[Grade],DropAnalityka[[#This Row],[Grade]])*DropAnalityka[[#This Row],[Quality/Quantity]],0)</f>
        <v>0</v>
      </c>
      <c r="L1373" s="49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9">
        <f>IFERROR(SUMIFS(Tabela10[Fod Worth],Tabela10[Drop],DropAnalityka[[#This Row],[Drop]],Tabela10[Grade],DropAnalityka[[#This Row],[Grade]])*DropAnalityka[[#This Row],[Quality/Quantity]],0)</f>
        <v>0</v>
      </c>
      <c r="L1374" s="49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9">
        <f>IFERROR(SUMIFS(Tabela10[Fod Worth],Tabela10[Drop],DropAnalityka[[#This Row],[Drop]],Tabela10[Grade],DropAnalityka[[#This Row],[Grade]])*DropAnalityka[[#This Row],[Quality/Quantity]],0)</f>
        <v>0</v>
      </c>
      <c r="L1375" s="49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9">
        <f>IFERROR(SUMIFS(Tabela10[Fod Worth],Tabela10[Drop],DropAnalityka[[#This Row],[Drop]],Tabela10[Grade],DropAnalityka[[#This Row],[Grade]])*DropAnalityka[[#This Row],[Quality/Quantity]],0)</f>
        <v>0</v>
      </c>
      <c r="L1376" s="49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9">
        <f>IFERROR(SUMIFS(Tabela10[Fod Worth],Tabela10[Drop],DropAnalityka[[#This Row],[Drop]],Tabela10[Grade],DropAnalityka[[#This Row],[Grade]])*DropAnalityka[[#This Row],[Quality/Quantity]],0)</f>
        <v>0</v>
      </c>
      <c r="L1377" s="49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9">
        <f>IFERROR(SUMIFS(Tabela10[Fod Worth],Tabela10[Drop],DropAnalityka[[#This Row],[Drop]],Tabela10[Grade],DropAnalityka[[#This Row],[Grade]])*DropAnalityka[[#This Row],[Quality/Quantity]],0)</f>
        <v>0</v>
      </c>
      <c r="L1378" s="49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9">
        <f>IFERROR(SUMIFS(Tabela10[Fod Worth],Tabela10[Drop],DropAnalityka[[#This Row],[Drop]],Tabela10[Grade],DropAnalityka[[#This Row],[Grade]])*DropAnalityka[[#This Row],[Quality/Quantity]],0)</f>
        <v>0</v>
      </c>
      <c r="L1379" s="49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9">
        <f>IFERROR(SUMIFS(Tabela10[Fod Worth],Tabela10[Drop],DropAnalityka[[#This Row],[Drop]],Tabela10[Grade],DropAnalityka[[#This Row],[Grade]])*DropAnalityka[[#This Row],[Quality/Quantity]],0)</f>
        <v>0</v>
      </c>
      <c r="L1380" s="49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9">
        <f>IFERROR(SUMIFS(Tabela10[Fod Worth],Tabela10[Drop],DropAnalityka[[#This Row],[Drop]],Tabela10[Grade],DropAnalityka[[#This Row],[Grade]])*DropAnalityka[[#This Row],[Quality/Quantity]],0)</f>
        <v>0</v>
      </c>
      <c r="L1381" s="49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9">
        <f>IFERROR(SUMIFS(Tabela10[Fod Worth],Tabela10[Drop],DropAnalityka[[#This Row],[Drop]],Tabela10[Grade],DropAnalityka[[#This Row],[Grade]])*DropAnalityka[[#This Row],[Quality/Quantity]],0)</f>
        <v>0</v>
      </c>
      <c r="L1382" s="49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9">
        <f>IFERROR(SUMIFS(Tabela10[Fod Worth],Tabela10[Drop],DropAnalityka[[#This Row],[Drop]],Tabela10[Grade],DropAnalityka[[#This Row],[Grade]])*DropAnalityka[[#This Row],[Quality/Quantity]],0)</f>
        <v>0</v>
      </c>
      <c r="L1383" s="49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9">
        <f>IFERROR(SUMIFS(Tabela10[Fod Worth],Tabela10[Drop],DropAnalityka[[#This Row],[Drop]],Tabela10[Grade],DropAnalityka[[#This Row],[Grade]])*DropAnalityka[[#This Row],[Quality/Quantity]],0)</f>
        <v>0</v>
      </c>
      <c r="L1384" s="49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9">
        <f>IFERROR(SUMIFS(Tabela10[Fod Worth],Tabela10[Drop],DropAnalityka[[#This Row],[Drop]],Tabela10[Grade],DropAnalityka[[#This Row],[Grade]])*DropAnalityka[[#This Row],[Quality/Quantity]],0)</f>
        <v>0</v>
      </c>
      <c r="L1385" s="49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9">
        <f>IFERROR(SUMIFS(Tabela10[Fod Worth],Tabela10[Drop],DropAnalityka[[#This Row],[Drop]],Tabela10[Grade],DropAnalityka[[#This Row],[Grade]])*DropAnalityka[[#This Row],[Quality/Quantity]],0)</f>
        <v>0</v>
      </c>
      <c r="L1386" s="49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9">
        <f>IFERROR(SUMIFS(Tabela10[Fod Worth],Tabela10[Drop],DropAnalityka[[#This Row],[Drop]],Tabela10[Grade],DropAnalityka[[#This Row],[Grade]])*DropAnalityka[[#This Row],[Quality/Quantity]],0)</f>
        <v>0</v>
      </c>
      <c r="L1387" s="49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9">
        <f>IFERROR(SUMIFS(Tabela10[Fod Worth],Tabela10[Drop],DropAnalityka[[#This Row],[Drop]],Tabela10[Grade],DropAnalityka[[#This Row],[Grade]])*DropAnalityka[[#This Row],[Quality/Quantity]],0)</f>
        <v>0</v>
      </c>
      <c r="L1388" s="49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9">
        <f>IFERROR(SUMIFS(Tabela10[Fod Worth],Tabela10[Drop],DropAnalityka[[#This Row],[Drop]],Tabela10[Grade],DropAnalityka[[#This Row],[Grade]])*DropAnalityka[[#This Row],[Quality/Quantity]],0)</f>
        <v>0</v>
      </c>
      <c r="L1389" s="49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9">
        <f>IFERROR(SUMIFS(Tabela10[Fod Worth],Tabela10[Drop],DropAnalityka[[#This Row],[Drop]],Tabela10[Grade],DropAnalityka[[#This Row],[Grade]])*DropAnalityka[[#This Row],[Quality/Quantity]],0)</f>
        <v>0</v>
      </c>
      <c r="L1390" s="49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9">
        <f>IFERROR(SUMIFS(Tabela10[Fod Worth],Tabela10[Drop],DropAnalityka[[#This Row],[Drop]],Tabela10[Grade],DropAnalityka[[#This Row],[Grade]])*DropAnalityka[[#This Row],[Quality/Quantity]],0)</f>
        <v>0</v>
      </c>
      <c r="L1391" s="49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9">
        <f>IFERROR(SUMIFS(Tabela10[Fod Worth],Tabela10[Drop],DropAnalityka[[#This Row],[Drop]],Tabela10[Grade],DropAnalityka[[#This Row],[Grade]])*DropAnalityka[[#This Row],[Quality/Quantity]],0)</f>
        <v>0</v>
      </c>
      <c r="L1392" s="49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9">
        <f>IFERROR(SUMIFS(Tabela10[Fod Worth],Tabela10[Drop],DropAnalityka[[#This Row],[Drop]],Tabela10[Grade],DropAnalityka[[#This Row],[Grade]])*DropAnalityka[[#This Row],[Quality/Quantity]],0)</f>
        <v>0</v>
      </c>
      <c r="L1393" s="49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9">
        <f>IFERROR(SUMIFS(Tabela10[Fod Worth],Tabela10[Drop],DropAnalityka[[#This Row],[Drop]],Tabela10[Grade],DropAnalityka[[#This Row],[Grade]])*DropAnalityka[[#This Row],[Quality/Quantity]],0)</f>
        <v>0</v>
      </c>
      <c r="L1394" s="49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9">
        <f>IFERROR(SUMIFS(Tabela10[Fod Worth],Tabela10[Drop],DropAnalityka[[#This Row],[Drop]],Tabela10[Grade],DropAnalityka[[#This Row],[Grade]])*DropAnalityka[[#This Row],[Quality/Quantity]],0)</f>
        <v>0</v>
      </c>
      <c r="L1395" s="49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9">
        <f>IFERROR(SUMIFS(Tabela10[Fod Worth],Tabela10[Drop],DropAnalityka[[#This Row],[Drop]],Tabela10[Grade],DropAnalityka[[#This Row],[Grade]])*DropAnalityka[[#This Row],[Quality/Quantity]],0)</f>
        <v>0</v>
      </c>
      <c r="L1396" s="49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9">
        <f>IFERROR(SUMIFS(Tabela10[Fod Worth],Tabela10[Drop],DropAnalityka[[#This Row],[Drop]],Tabela10[Grade],DropAnalityka[[#This Row],[Grade]])*DropAnalityka[[#This Row],[Quality/Quantity]],0)</f>
        <v>0</v>
      </c>
      <c r="L1397" s="49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9">
        <f>IFERROR(SUMIFS(Tabela10[Fod Worth],Tabela10[Drop],DropAnalityka[[#This Row],[Drop]],Tabela10[Grade],DropAnalityka[[#This Row],[Grade]])*DropAnalityka[[#This Row],[Quality/Quantity]],0)</f>
        <v>0</v>
      </c>
      <c r="L1398" s="49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9">
        <f>IFERROR(SUMIFS(Tabela10[Fod Worth],Tabela10[Drop],DropAnalityka[[#This Row],[Drop]],Tabela10[Grade],DropAnalityka[[#This Row],[Grade]])*DropAnalityka[[#This Row],[Quality/Quantity]],0)</f>
        <v>0</v>
      </c>
      <c r="L1399" s="49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9">
        <f>IFERROR(SUMIFS(Tabela10[Fod Worth],Tabela10[Drop],DropAnalityka[[#This Row],[Drop]],Tabela10[Grade],DropAnalityka[[#This Row],[Grade]])*DropAnalityka[[#This Row],[Quality/Quantity]],0)</f>
        <v>0</v>
      </c>
      <c r="L1400" s="49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9">
        <f>IFERROR(SUMIFS(Tabela10[Fod Worth],Tabela10[Drop],DropAnalityka[[#This Row],[Drop]],Tabela10[Grade],DropAnalityka[[#This Row],[Grade]])*DropAnalityka[[#This Row],[Quality/Quantity]],0)</f>
        <v>0</v>
      </c>
      <c r="L1401" s="49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9">
        <f>IFERROR(SUMIFS(Tabela10[Fod Worth],Tabela10[Drop],DropAnalityka[[#This Row],[Drop]],Tabela10[Grade],DropAnalityka[[#This Row],[Grade]])*DropAnalityka[[#This Row],[Quality/Quantity]],0)</f>
        <v>0</v>
      </c>
      <c r="L1402" s="49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9">
        <f>IFERROR(SUMIFS(Tabela10[Fod Worth],Tabela10[Drop],DropAnalityka[[#This Row],[Drop]],Tabela10[Grade],DropAnalityka[[#This Row],[Grade]])*DropAnalityka[[#This Row],[Quality/Quantity]],0)</f>
        <v>0</v>
      </c>
      <c r="L1403" s="49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9">
        <f>IFERROR(SUMIFS(Tabela10[Fod Worth],Tabela10[Drop],DropAnalityka[[#This Row],[Drop]],Tabela10[Grade],DropAnalityka[[#This Row],[Grade]])*DropAnalityka[[#This Row],[Quality/Quantity]],0)</f>
        <v>0</v>
      </c>
      <c r="L1404" s="49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9">
        <f>IFERROR(SUMIFS(Tabela10[Fod Worth],Tabela10[Drop],DropAnalityka[[#This Row],[Drop]],Tabela10[Grade],DropAnalityka[[#This Row],[Grade]])*DropAnalityka[[#This Row],[Quality/Quantity]],0)</f>
        <v>0</v>
      </c>
      <c r="L1405" s="49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9">
        <f>IFERROR(SUMIFS(Tabela10[Fod Worth],Tabela10[Drop],DropAnalityka[[#This Row],[Drop]],Tabela10[Grade],DropAnalityka[[#This Row],[Grade]])*DropAnalityka[[#This Row],[Quality/Quantity]],0)</f>
        <v>0</v>
      </c>
      <c r="L1406" s="49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9">
        <f>IFERROR(SUMIFS(Tabela10[Fod Worth],Tabela10[Drop],DropAnalityka[[#This Row],[Drop]],Tabela10[Grade],DropAnalityka[[#This Row],[Grade]])*DropAnalityka[[#This Row],[Quality/Quantity]],0)</f>
        <v>0</v>
      </c>
      <c r="L1407" s="49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9">
        <f>IFERROR(SUMIFS(Tabela10[Fod Worth],Tabela10[Drop],DropAnalityka[[#This Row],[Drop]],Tabela10[Grade],DropAnalityka[[#This Row],[Grade]])*DropAnalityka[[#This Row],[Quality/Quantity]],0)</f>
        <v>0</v>
      </c>
      <c r="L1408" s="49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9">
        <f>IFERROR(SUMIFS(Tabela10[Fod Worth],Tabela10[Drop],DropAnalityka[[#This Row],[Drop]],Tabela10[Grade],DropAnalityka[[#This Row],[Grade]])*DropAnalityka[[#This Row],[Quality/Quantity]],0)</f>
        <v>0</v>
      </c>
      <c r="L1409" s="49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9">
        <f>IFERROR(SUMIFS(Tabela10[Fod Worth],Tabela10[Drop],DropAnalityka[[#This Row],[Drop]],Tabela10[Grade],DropAnalityka[[#This Row],[Grade]])*DropAnalityka[[#This Row],[Quality/Quantity]],0)</f>
        <v>0</v>
      </c>
      <c r="L1410" s="49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9">
        <f>IFERROR(SUMIFS(Tabela10[Fod Worth],Tabela10[Drop],DropAnalityka[[#This Row],[Drop]],Tabela10[Grade],DropAnalityka[[#This Row],[Grade]])*DropAnalityka[[#This Row],[Quality/Quantity]],0)</f>
        <v>0</v>
      </c>
      <c r="L1411" s="49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9">
        <f>IFERROR(SUMIFS(Tabela10[Fod Worth],Tabela10[Drop],DropAnalityka[[#This Row],[Drop]],Tabela10[Grade],DropAnalityka[[#This Row],[Grade]])*DropAnalityka[[#This Row],[Quality/Quantity]],0)</f>
        <v>0</v>
      </c>
      <c r="L1412" s="49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9">
        <f>IFERROR(SUMIFS(Tabela10[Fod Worth],Tabela10[Drop],DropAnalityka[[#This Row],[Drop]],Tabela10[Grade],DropAnalityka[[#This Row],[Grade]])*DropAnalityka[[#This Row],[Quality/Quantity]],0)</f>
        <v>0</v>
      </c>
      <c r="L1413" s="49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9">
        <f>IFERROR(SUMIFS(Tabela10[Fod Worth],Tabela10[Drop],DropAnalityka[[#This Row],[Drop]],Tabela10[Grade],DropAnalityka[[#This Row],[Grade]])*DropAnalityka[[#This Row],[Quality/Quantity]],0)</f>
        <v>0</v>
      </c>
      <c r="L1414" s="49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9">
        <f>IFERROR(SUMIFS(Tabela10[Fod Worth],Tabela10[Drop],DropAnalityka[[#This Row],[Drop]],Tabela10[Grade],DropAnalityka[[#This Row],[Grade]])*DropAnalityka[[#This Row],[Quality/Quantity]],0)</f>
        <v>0</v>
      </c>
      <c r="L1415" s="49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9">
        <f>IFERROR(SUMIFS(Tabela10[Fod Worth],Tabela10[Drop],DropAnalityka[[#This Row],[Drop]],Tabela10[Grade],DropAnalityka[[#This Row],[Grade]])*DropAnalityka[[#This Row],[Quality/Quantity]],0)</f>
        <v>0</v>
      </c>
      <c r="L1416" s="49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9">
        <f>IFERROR(SUMIFS(Tabela10[Fod Worth],Tabela10[Drop],DropAnalityka[[#This Row],[Drop]],Tabela10[Grade],DropAnalityka[[#This Row],[Grade]])*DropAnalityka[[#This Row],[Quality/Quantity]],0)</f>
        <v>0</v>
      </c>
      <c r="L1417" s="49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9">
        <f>IFERROR(SUMIFS(Tabela10[Fod Worth],Tabela10[Drop],DropAnalityka[[#This Row],[Drop]],Tabela10[Grade],DropAnalityka[[#This Row],[Grade]])*DropAnalityka[[#This Row],[Quality/Quantity]],0)</f>
        <v>0</v>
      </c>
      <c r="L1418" s="49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9">
        <f>IFERROR(SUMIFS(Tabela10[Fod Worth],Tabela10[Drop],DropAnalityka[[#This Row],[Drop]],Tabela10[Grade],DropAnalityka[[#This Row],[Grade]])*DropAnalityka[[#This Row],[Quality/Quantity]],0)</f>
        <v>0</v>
      </c>
      <c r="L1419" s="49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9">
        <f>IFERROR(SUMIFS(Tabela10[Fod Worth],Tabela10[Drop],DropAnalityka[[#This Row],[Drop]],Tabela10[Grade],DropAnalityka[[#This Row],[Grade]])*DropAnalityka[[#This Row],[Quality/Quantity]],0)</f>
        <v>0</v>
      </c>
      <c r="L1420" s="49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9">
        <f>IFERROR(SUMIFS(Tabela10[Fod Worth],Tabela10[Drop],DropAnalityka[[#This Row],[Drop]],Tabela10[Grade],DropAnalityka[[#This Row],[Grade]])*DropAnalityka[[#This Row],[Quality/Quantity]],0)</f>
        <v>0</v>
      </c>
      <c r="L1421" s="49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9">
        <f>IFERROR(SUMIFS(Tabela10[Fod Worth],Tabela10[Drop],DropAnalityka[[#This Row],[Drop]],Tabela10[Grade],DropAnalityka[[#This Row],[Grade]])*DropAnalityka[[#This Row],[Quality/Quantity]],0)</f>
        <v>0</v>
      </c>
      <c r="L1422" s="49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9">
        <f>IFERROR(SUMIFS(Tabela10[Fod Worth],Tabela10[Drop],DropAnalityka[[#This Row],[Drop]],Tabela10[Grade],DropAnalityka[[#This Row],[Grade]])*DropAnalityka[[#This Row],[Quality/Quantity]],0)</f>
        <v>0</v>
      </c>
      <c r="L1423" s="49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9">
        <f>IFERROR(SUMIFS(Tabela10[Fod Worth],Tabela10[Drop],DropAnalityka[[#This Row],[Drop]],Tabela10[Grade],DropAnalityka[[#This Row],[Grade]])*DropAnalityka[[#This Row],[Quality/Quantity]],0)</f>
        <v>0</v>
      </c>
      <c r="L1424" s="49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9">
        <f>IFERROR(SUMIFS(Tabela10[Fod Worth],Tabela10[Drop],DropAnalityka[[#This Row],[Drop]],Tabela10[Grade],DropAnalityka[[#This Row],[Grade]])*DropAnalityka[[#This Row],[Quality/Quantity]],0)</f>
        <v>0</v>
      </c>
      <c r="L1425" s="49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9">
        <f>IFERROR(SUMIFS(Tabela10[Fod Worth],Tabela10[Drop],DropAnalityka[[#This Row],[Drop]],Tabela10[Grade],DropAnalityka[[#This Row],[Grade]])*DropAnalityka[[#This Row],[Quality/Quantity]],0)</f>
        <v>0</v>
      </c>
      <c r="L1426" s="49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9">
        <f>IFERROR(SUMIFS(Tabela10[Fod Worth],Tabela10[Drop],DropAnalityka[[#This Row],[Drop]],Tabela10[Grade],DropAnalityka[[#This Row],[Grade]])*DropAnalityka[[#This Row],[Quality/Quantity]],0)</f>
        <v>0</v>
      </c>
      <c r="L1427" s="49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9">
        <f>IFERROR(SUMIFS(Tabela10[Fod Worth],Tabela10[Drop],DropAnalityka[[#This Row],[Drop]],Tabela10[Grade],DropAnalityka[[#This Row],[Grade]])*DropAnalityka[[#This Row],[Quality/Quantity]],0)</f>
        <v>0</v>
      </c>
      <c r="L1428" s="49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9">
        <f>IFERROR(SUMIFS(Tabela10[Fod Worth],Tabela10[Drop],DropAnalityka[[#This Row],[Drop]],Tabela10[Grade],DropAnalityka[[#This Row],[Grade]])*DropAnalityka[[#This Row],[Quality/Quantity]],0)</f>
        <v>0</v>
      </c>
      <c r="L1429" s="49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9">
        <f>IFERROR(SUMIFS(Tabela10[Fod Worth],Tabela10[Drop],DropAnalityka[[#This Row],[Drop]],Tabela10[Grade],DropAnalityka[[#This Row],[Grade]])*DropAnalityka[[#This Row],[Quality/Quantity]],0)</f>
        <v>0</v>
      </c>
      <c r="L1430" s="49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9">
        <f>IFERROR(SUMIFS(Tabela10[Fod Worth],Tabela10[Drop],DropAnalityka[[#This Row],[Drop]],Tabela10[Grade],DropAnalityka[[#This Row],[Grade]])*DropAnalityka[[#This Row],[Quality/Quantity]],0)</f>
        <v>0</v>
      </c>
      <c r="L1431" s="49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9">
        <f>IFERROR(SUMIFS(Tabela10[Fod Worth],Tabela10[Drop],DropAnalityka[[#This Row],[Drop]],Tabela10[Grade],DropAnalityka[[#This Row],[Grade]])*DropAnalityka[[#This Row],[Quality/Quantity]],0)</f>
        <v>0</v>
      </c>
      <c r="L1432" s="49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9">
        <f>IFERROR(SUMIFS(Tabela10[Fod Worth],Tabela10[Drop],DropAnalityka[[#This Row],[Drop]],Tabela10[Grade],DropAnalityka[[#This Row],[Grade]])*DropAnalityka[[#This Row],[Quality/Quantity]],0)</f>
        <v>0</v>
      </c>
      <c r="L1433" s="49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9">
        <f>IFERROR(SUMIFS(Tabela10[Fod Worth],Tabela10[Drop],DropAnalityka[[#This Row],[Drop]],Tabela10[Grade],DropAnalityka[[#This Row],[Grade]])*DropAnalityka[[#This Row],[Quality/Quantity]],0)</f>
        <v>0</v>
      </c>
      <c r="L1434" s="49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9">
        <f>IFERROR(SUMIFS(Tabela10[Fod Worth],Tabela10[Drop],DropAnalityka[[#This Row],[Drop]],Tabela10[Grade],DropAnalityka[[#This Row],[Grade]])*DropAnalityka[[#This Row],[Quality/Quantity]],0)</f>
        <v>0</v>
      </c>
      <c r="L1435" s="49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9">
        <f>IFERROR(SUMIFS(Tabela10[Fod Worth],Tabela10[Drop],DropAnalityka[[#This Row],[Drop]],Tabela10[Grade],DropAnalityka[[#This Row],[Grade]])*DropAnalityka[[#This Row],[Quality/Quantity]],0)</f>
        <v>0</v>
      </c>
      <c r="L1436" s="49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9">
        <f>IFERROR(SUMIFS(Tabela10[Fod Worth],Tabela10[Drop],DropAnalityka[[#This Row],[Drop]],Tabela10[Grade],DropAnalityka[[#This Row],[Grade]])*DropAnalityka[[#This Row],[Quality/Quantity]],0)</f>
        <v>0</v>
      </c>
      <c r="L1437" s="49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9">
        <f>IFERROR(SUMIFS(Tabela10[Fod Worth],Tabela10[Drop],DropAnalityka[[#This Row],[Drop]],Tabela10[Grade],DropAnalityka[[#This Row],[Grade]])*DropAnalityka[[#This Row],[Quality/Quantity]],0)</f>
        <v>0</v>
      </c>
      <c r="L1438" s="49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9">
        <f>IFERROR(SUMIFS(Tabela10[Fod Worth],Tabela10[Drop],DropAnalityka[[#This Row],[Drop]],Tabela10[Grade],DropAnalityka[[#This Row],[Grade]])*DropAnalityka[[#This Row],[Quality/Quantity]],0)</f>
        <v>0</v>
      </c>
      <c r="L1439" s="49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9">
        <f>IFERROR(SUMIFS(Tabela10[Fod Worth],Tabela10[Drop],DropAnalityka[[#This Row],[Drop]],Tabela10[Grade],DropAnalityka[[#This Row],[Grade]])*DropAnalityka[[#This Row],[Quality/Quantity]],0)</f>
        <v>0</v>
      </c>
      <c r="L1440" s="49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9">
        <f>IFERROR(SUMIFS(Tabela10[Fod Worth],Tabela10[Drop],DropAnalityka[[#This Row],[Drop]],Tabela10[Grade],DropAnalityka[[#This Row],[Grade]])*DropAnalityka[[#This Row],[Quality/Quantity]],0)</f>
        <v>0</v>
      </c>
      <c r="L1441" s="49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9">
        <f>IFERROR(SUMIFS(Tabela10[Fod Worth],Tabela10[Drop],DropAnalityka[[#This Row],[Drop]],Tabela10[Grade],DropAnalityka[[#This Row],[Grade]])*DropAnalityka[[#This Row],[Quality/Quantity]],0)</f>
        <v>0</v>
      </c>
      <c r="L1442" s="49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9">
        <f>IFERROR(SUMIFS(Tabela10[Fod Worth],Tabela10[Drop],DropAnalityka[[#This Row],[Drop]],Tabela10[Grade],DropAnalityka[[#This Row],[Grade]])*DropAnalityka[[#This Row],[Quality/Quantity]],0)</f>
        <v>0</v>
      </c>
      <c r="L1443" s="49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9">
        <f>IFERROR(SUMIFS(Tabela10[Fod Worth],Tabela10[Drop],DropAnalityka[[#This Row],[Drop]],Tabela10[Grade],DropAnalityka[[#This Row],[Grade]])*DropAnalityka[[#This Row],[Quality/Quantity]],0)</f>
        <v>0</v>
      </c>
      <c r="L1444" s="49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9">
        <f>IFERROR(SUMIFS(Tabela10[Fod Worth],Tabela10[Drop],DropAnalityka[[#This Row],[Drop]],Tabela10[Grade],DropAnalityka[[#This Row],[Grade]])*DropAnalityka[[#This Row],[Quality/Quantity]],0)</f>
        <v>0</v>
      </c>
      <c r="L1445" s="49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9">
        <f>IFERROR(SUMIFS(Tabela10[Fod Worth],Tabela10[Drop],DropAnalityka[[#This Row],[Drop]],Tabela10[Grade],DropAnalityka[[#This Row],[Grade]])*DropAnalityka[[#This Row],[Quality/Quantity]],0)</f>
        <v>0</v>
      </c>
      <c r="L1446" s="49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9">
        <f>IFERROR(SUMIFS(Tabela10[Fod Worth],Tabela10[Drop],DropAnalityka[[#This Row],[Drop]],Tabela10[Grade],DropAnalityka[[#This Row],[Grade]])*DropAnalityka[[#This Row],[Quality/Quantity]],0)</f>
        <v>0</v>
      </c>
      <c r="L1447" s="49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9">
        <f>IFERROR(SUMIFS(Tabela10[Fod Worth],Tabela10[Drop],DropAnalityka[[#This Row],[Drop]],Tabela10[Grade],DropAnalityka[[#This Row],[Grade]])*DropAnalityka[[#This Row],[Quality/Quantity]],0)</f>
        <v>0</v>
      </c>
      <c r="L1448" s="49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9">
        <f>IFERROR(SUMIFS(Tabela10[Fod Worth],Tabela10[Drop],DropAnalityka[[#This Row],[Drop]],Tabela10[Grade],DropAnalityka[[#This Row],[Grade]])*DropAnalityka[[#This Row],[Quality/Quantity]],0)</f>
        <v>0</v>
      </c>
      <c r="L1449" s="49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9">
        <f>IFERROR(SUMIFS(Tabela10[Fod Worth],Tabela10[Drop],DropAnalityka[[#This Row],[Drop]],Tabela10[Grade],DropAnalityka[[#This Row],[Grade]])*DropAnalityka[[#This Row],[Quality/Quantity]],0)</f>
        <v>0</v>
      </c>
      <c r="L1450" s="49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9">
        <f>IFERROR(SUMIFS(Tabela10[Fod Worth],Tabela10[Drop],DropAnalityka[[#This Row],[Drop]],Tabela10[Grade],DropAnalityka[[#This Row],[Grade]])*DropAnalityka[[#This Row],[Quality/Quantity]],0)</f>
        <v>0</v>
      </c>
      <c r="L1451" s="49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9">
        <f>IFERROR(SUMIFS(Tabela10[Fod Worth],Tabela10[Drop],DropAnalityka[[#This Row],[Drop]],Tabela10[Grade],DropAnalityka[[#This Row],[Grade]])*DropAnalityka[[#This Row],[Quality/Quantity]],0)</f>
        <v>0</v>
      </c>
      <c r="L1452" s="49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9">
        <f>IFERROR(SUMIFS(Tabela10[Fod Worth],Tabela10[Drop],DropAnalityka[[#This Row],[Drop]],Tabela10[Grade],DropAnalityka[[#This Row],[Grade]])*DropAnalityka[[#This Row],[Quality/Quantity]],0)</f>
        <v>0</v>
      </c>
      <c r="L1453" s="49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9">
        <f>IFERROR(SUMIFS(Tabela10[Fod Worth],Tabela10[Drop],DropAnalityka[[#This Row],[Drop]],Tabela10[Grade],DropAnalityka[[#This Row],[Grade]])*DropAnalityka[[#This Row],[Quality/Quantity]],0)</f>
        <v>0</v>
      </c>
      <c r="L1454" s="49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9">
        <f>IFERROR(SUMIFS(Tabela10[Fod Worth],Tabela10[Drop],DropAnalityka[[#This Row],[Drop]],Tabela10[Grade],DropAnalityka[[#This Row],[Grade]])*DropAnalityka[[#This Row],[Quality/Quantity]],0)</f>
        <v>0</v>
      </c>
      <c r="L1455" s="49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9">
        <f>IFERROR(SUMIFS(Tabela10[Fod Worth],Tabela10[Drop],DropAnalityka[[#This Row],[Drop]],Tabela10[Grade],DropAnalityka[[#This Row],[Grade]])*DropAnalityka[[#This Row],[Quality/Quantity]],0)</f>
        <v>0</v>
      </c>
      <c r="L1456" s="49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9">
        <f>IFERROR(SUMIFS(Tabela10[Fod Worth],Tabela10[Drop],DropAnalityka[[#This Row],[Drop]],Tabela10[Grade],DropAnalityka[[#This Row],[Grade]])*DropAnalityka[[#This Row],[Quality/Quantity]],0)</f>
        <v>0</v>
      </c>
      <c r="L1457" s="49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9">
        <f>IFERROR(SUMIFS(Tabela10[Fod Worth],Tabela10[Drop],DropAnalityka[[#This Row],[Drop]],Tabela10[Grade],DropAnalityka[[#This Row],[Grade]])*DropAnalityka[[#This Row],[Quality/Quantity]],0)</f>
        <v>0</v>
      </c>
      <c r="L1458" s="49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9">
        <f>IFERROR(SUMIFS(Tabela10[Fod Worth],Tabela10[Drop],DropAnalityka[[#This Row],[Drop]],Tabela10[Grade],DropAnalityka[[#This Row],[Grade]])*DropAnalityka[[#This Row],[Quality/Quantity]],0)</f>
        <v>0</v>
      </c>
      <c r="L1459" s="49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9">
        <f>IFERROR(SUMIFS(Tabela10[Fod Worth],Tabela10[Drop],DropAnalityka[[#This Row],[Drop]],Tabela10[Grade],DropAnalityka[[#This Row],[Grade]])*DropAnalityka[[#This Row],[Quality/Quantity]],0)</f>
        <v>0</v>
      </c>
      <c r="L1460" s="49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9">
        <f>IFERROR(SUMIFS(Tabela10[Fod Worth],Tabela10[Drop],DropAnalityka[[#This Row],[Drop]],Tabela10[Grade],DropAnalityka[[#This Row],[Grade]])*DropAnalityka[[#This Row],[Quality/Quantity]],0)</f>
        <v>0</v>
      </c>
      <c r="L1461" s="49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9">
        <f>IFERROR(SUMIFS(Tabela10[Fod Worth],Tabela10[Drop],DropAnalityka[[#This Row],[Drop]],Tabela10[Grade],DropAnalityka[[#This Row],[Grade]])*DropAnalityka[[#This Row],[Quality/Quantity]],0)</f>
        <v>0</v>
      </c>
      <c r="L1462" s="49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9">
        <f>IFERROR(SUMIFS(Tabela10[Fod Worth],Tabela10[Drop],DropAnalityka[[#This Row],[Drop]],Tabela10[Grade],DropAnalityka[[#This Row],[Grade]])*DropAnalityka[[#This Row],[Quality/Quantity]],0)</f>
        <v>0</v>
      </c>
      <c r="L1463" s="49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9">
        <f>IFERROR(SUMIFS(Tabela10[Fod Worth],Tabela10[Drop],DropAnalityka[[#This Row],[Drop]],Tabela10[Grade],DropAnalityka[[#This Row],[Grade]])*DropAnalityka[[#This Row],[Quality/Quantity]],0)</f>
        <v>0</v>
      </c>
      <c r="L1464" s="49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9">
        <f>IFERROR(SUMIFS(Tabela10[Fod Worth],Tabela10[Drop],DropAnalityka[[#This Row],[Drop]],Tabela10[Grade],DropAnalityka[[#This Row],[Grade]])*DropAnalityka[[#This Row],[Quality/Quantity]],0)</f>
        <v>0</v>
      </c>
      <c r="L1465" s="49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9">
        <f>IFERROR(SUMIFS(Tabela10[Fod Worth],Tabela10[Drop],DropAnalityka[[#This Row],[Drop]],Tabela10[Grade],DropAnalityka[[#This Row],[Grade]])*DropAnalityka[[#This Row],[Quality/Quantity]],0)</f>
        <v>0</v>
      </c>
      <c r="L1466" s="49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9">
        <f>IFERROR(SUMIFS(Tabela10[Fod Worth],Tabela10[Drop],DropAnalityka[[#This Row],[Drop]],Tabela10[Grade],DropAnalityka[[#This Row],[Grade]])*DropAnalityka[[#This Row],[Quality/Quantity]],0)</f>
        <v>0</v>
      </c>
      <c r="L1467" s="49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9">
        <f>IFERROR(SUMIFS(Tabela10[Fod Worth],Tabela10[Drop],DropAnalityka[[#This Row],[Drop]],Tabela10[Grade],DropAnalityka[[#This Row],[Grade]])*DropAnalityka[[#This Row],[Quality/Quantity]],0)</f>
        <v>0</v>
      </c>
      <c r="L1468" s="49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9">
        <f>IFERROR(SUMIFS(Tabela10[Fod Worth],Tabela10[Drop],DropAnalityka[[#This Row],[Drop]],Tabela10[Grade],DropAnalityka[[#This Row],[Grade]])*DropAnalityka[[#This Row],[Quality/Quantity]],0)</f>
        <v>0</v>
      </c>
      <c r="L1469" s="49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9">
        <f>IFERROR(SUMIFS(Tabela10[Fod Worth],Tabela10[Drop],DropAnalityka[[#This Row],[Drop]],Tabela10[Grade],DropAnalityka[[#This Row],[Grade]])*DropAnalityka[[#This Row],[Quality/Quantity]],0)</f>
        <v>0</v>
      </c>
      <c r="L1470" s="49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9">
        <f>IFERROR(SUMIFS(Tabela10[Fod Worth],Tabela10[Drop],DropAnalityka[[#This Row],[Drop]],Tabela10[Grade],DropAnalityka[[#This Row],[Grade]])*DropAnalityka[[#This Row],[Quality/Quantity]],0)</f>
        <v>0</v>
      </c>
      <c r="L1471" s="49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9">
        <f>IFERROR(SUMIFS(Tabela10[Fod Worth],Tabela10[Drop],DropAnalityka[[#This Row],[Drop]],Tabela10[Grade],DropAnalityka[[#This Row],[Grade]])*DropAnalityka[[#This Row],[Quality/Quantity]],0)</f>
        <v>0</v>
      </c>
      <c r="L1472" s="49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9">
        <f>IFERROR(SUMIFS(Tabela10[Fod Worth],Tabela10[Drop],DropAnalityka[[#This Row],[Drop]],Tabela10[Grade],DropAnalityka[[#This Row],[Grade]])*DropAnalityka[[#This Row],[Quality/Quantity]],0)</f>
        <v>0</v>
      </c>
      <c r="L1473" s="49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9">
        <f>IFERROR(SUMIFS(Tabela10[Fod Worth],Tabela10[Drop],DropAnalityka[[#This Row],[Drop]],Tabela10[Grade],DropAnalityka[[#This Row],[Grade]])*DropAnalityka[[#This Row],[Quality/Quantity]],0)</f>
        <v>0</v>
      </c>
      <c r="L1474" s="49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9">
        <f>IFERROR(SUMIFS(Tabela10[Fod Worth],Tabela10[Drop],DropAnalityka[[#This Row],[Drop]],Tabela10[Grade],DropAnalityka[[#This Row],[Grade]])*DropAnalityka[[#This Row],[Quality/Quantity]],0)</f>
        <v>0</v>
      </c>
      <c r="L1475" s="49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9">
        <f>IFERROR(SUMIFS(Tabela10[Fod Worth],Tabela10[Drop],DropAnalityka[[#This Row],[Drop]],Tabela10[Grade],DropAnalityka[[#This Row],[Grade]])*DropAnalityka[[#This Row],[Quality/Quantity]],0)</f>
        <v>0</v>
      </c>
      <c r="L1476" s="49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9">
        <f>IFERROR(SUMIFS(Tabela10[Fod Worth],Tabela10[Drop],DropAnalityka[[#This Row],[Drop]],Tabela10[Grade],DropAnalityka[[#This Row],[Grade]])*DropAnalityka[[#This Row],[Quality/Quantity]],0)</f>
        <v>0</v>
      </c>
      <c r="L1477" s="49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9">
        <f>IFERROR(SUMIFS(Tabela10[Fod Worth],Tabela10[Drop],DropAnalityka[[#This Row],[Drop]],Tabela10[Grade],DropAnalityka[[#This Row],[Grade]])*DropAnalityka[[#This Row],[Quality/Quantity]],0)</f>
        <v>0</v>
      </c>
      <c r="L1478" s="49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9">
        <f>IFERROR(SUMIFS(Tabela10[Fod Worth],Tabela10[Drop],DropAnalityka[[#This Row],[Drop]],Tabela10[Grade],DropAnalityka[[#This Row],[Grade]])*DropAnalityka[[#This Row],[Quality/Quantity]],0)</f>
        <v>0</v>
      </c>
      <c r="L1479" s="49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9">
        <f>IFERROR(SUMIFS(Tabela10[Fod Worth],Tabela10[Drop],DropAnalityka[[#This Row],[Drop]],Tabela10[Grade],DropAnalityka[[#This Row],[Grade]])*DropAnalityka[[#This Row],[Quality/Quantity]],0)</f>
        <v>0</v>
      </c>
      <c r="L1480" s="49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9">
        <f>IFERROR(SUMIFS(Tabela10[Fod Worth],Tabela10[Drop],DropAnalityka[[#This Row],[Drop]],Tabela10[Grade],DropAnalityka[[#This Row],[Grade]])*DropAnalityka[[#This Row],[Quality/Quantity]],0)</f>
        <v>0</v>
      </c>
      <c r="L1481" s="49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9">
        <f>IFERROR(SUMIFS(Tabela10[Fod Worth],Tabela10[Drop],DropAnalityka[[#This Row],[Drop]],Tabela10[Grade],DropAnalityka[[#This Row],[Grade]])*DropAnalityka[[#This Row],[Quality/Quantity]],0)</f>
        <v>0</v>
      </c>
      <c r="L1482" s="49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9">
        <f>IFERROR(SUMIFS(Tabela10[Fod Worth],Tabela10[Drop],DropAnalityka[[#This Row],[Drop]],Tabela10[Grade],DropAnalityka[[#This Row],[Grade]])*DropAnalityka[[#This Row],[Quality/Quantity]],0)</f>
        <v>0</v>
      </c>
      <c r="L1483" s="49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9">
        <f>IFERROR(SUMIFS(Tabela10[Fod Worth],Tabela10[Drop],DropAnalityka[[#This Row],[Drop]],Tabela10[Grade],DropAnalityka[[#This Row],[Grade]])*DropAnalityka[[#This Row],[Quality/Quantity]],0)</f>
        <v>0</v>
      </c>
      <c r="L1484" s="49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9">
        <f>IFERROR(SUMIFS(Tabela10[Fod Worth],Tabela10[Drop],DropAnalityka[[#This Row],[Drop]],Tabela10[Grade],DropAnalityka[[#This Row],[Grade]])*DropAnalityka[[#This Row],[Quality/Quantity]],0)</f>
        <v>0</v>
      </c>
      <c r="L1485" s="49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9">
        <f>IFERROR(SUMIFS(Tabela10[Fod Worth],Tabela10[Drop],DropAnalityka[[#This Row],[Drop]],Tabela10[Grade],DropAnalityka[[#This Row],[Grade]])*DropAnalityka[[#This Row],[Quality/Quantity]],0)</f>
        <v>0</v>
      </c>
      <c r="L1486" s="49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9">
        <f>IFERROR(SUMIFS(Tabela10[Fod Worth],Tabela10[Drop],DropAnalityka[[#This Row],[Drop]],Tabela10[Grade],DropAnalityka[[#This Row],[Grade]])*DropAnalityka[[#This Row],[Quality/Quantity]],0)</f>
        <v>0</v>
      </c>
      <c r="L1487" s="49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9">
        <f>IFERROR(SUMIFS(Tabela10[Fod Worth],Tabela10[Drop],DropAnalityka[[#This Row],[Drop]],Tabela10[Grade],DropAnalityka[[#This Row],[Grade]])*DropAnalityka[[#This Row],[Quality/Quantity]],0)</f>
        <v>0</v>
      </c>
      <c r="L1488" s="49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9">
        <f>IFERROR(SUMIFS(Tabela10[Fod Worth],Tabela10[Drop],DropAnalityka[[#This Row],[Drop]],Tabela10[Grade],DropAnalityka[[#This Row],[Grade]])*DropAnalityka[[#This Row],[Quality/Quantity]],0)</f>
        <v>0</v>
      </c>
      <c r="L1489" s="49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9">
        <f>IFERROR(SUMIFS(Tabela10[Fod Worth],Tabela10[Drop],DropAnalityka[[#This Row],[Drop]],Tabela10[Grade],DropAnalityka[[#This Row],[Grade]])*DropAnalityka[[#This Row],[Quality/Quantity]],0)</f>
        <v>0</v>
      </c>
      <c r="L1490" s="49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9">
        <f>IFERROR(SUMIFS(Tabela10[Fod Worth],Tabela10[Drop],DropAnalityka[[#This Row],[Drop]],Tabela10[Grade],DropAnalityka[[#This Row],[Grade]])*DropAnalityka[[#This Row],[Quality/Quantity]],0)</f>
        <v>0</v>
      </c>
      <c r="L1491" s="49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9">
        <f>IFERROR(SUMIFS(Tabela10[Fod Worth],Tabela10[Drop],DropAnalityka[[#This Row],[Drop]],Tabela10[Grade],DropAnalityka[[#This Row],[Grade]])*DropAnalityka[[#This Row],[Quality/Quantity]],0)</f>
        <v>0</v>
      </c>
      <c r="L1492" s="49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9">
        <f>IFERROR(SUMIFS(Tabela10[Fod Worth],Tabela10[Drop],DropAnalityka[[#This Row],[Drop]],Tabela10[Grade],DropAnalityka[[#This Row],[Grade]])*DropAnalityka[[#This Row],[Quality/Quantity]],0)</f>
        <v>0</v>
      </c>
      <c r="L1493" s="49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9">
        <f>IFERROR(SUMIFS(Tabela10[Fod Worth],Tabela10[Drop],DropAnalityka[[#This Row],[Drop]],Tabela10[Grade],DropAnalityka[[#This Row],[Grade]])*DropAnalityka[[#This Row],[Quality/Quantity]],0)</f>
        <v>0</v>
      </c>
      <c r="L1494" s="49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9">
        <f>IFERROR(SUMIFS(Tabela10[Fod Worth],Tabela10[Drop],DropAnalityka[[#This Row],[Drop]],Tabela10[Grade],DropAnalityka[[#This Row],[Grade]])*DropAnalityka[[#This Row],[Quality/Quantity]],0)</f>
        <v>0</v>
      </c>
      <c r="L1495" s="49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9">
        <f>IFERROR(SUMIFS(Tabela10[Fod Worth],Tabela10[Drop],DropAnalityka[[#This Row],[Drop]],Tabela10[Grade],DropAnalityka[[#This Row],[Grade]])*DropAnalityka[[#This Row],[Quality/Quantity]],0)</f>
        <v>0</v>
      </c>
      <c r="L1496" s="49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9">
        <f>IFERROR(SUMIFS(Tabela10[Fod Worth],Tabela10[Drop],DropAnalityka[[#This Row],[Drop]],Tabela10[Grade],DropAnalityka[[#This Row],[Grade]])*DropAnalityka[[#This Row],[Quality/Quantity]],0)</f>
        <v>0</v>
      </c>
      <c r="L1497" s="49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9">
        <f>IFERROR(SUMIFS(Tabela10[Fod Worth],Tabela10[Drop],DropAnalityka[[#This Row],[Drop]],Tabela10[Grade],DropAnalityka[[#This Row],[Grade]])*DropAnalityka[[#This Row],[Quality/Quantity]],0)</f>
        <v>0</v>
      </c>
      <c r="L1498" s="49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9">
        <f>IFERROR(SUMIFS(Tabela10[Fod Worth],Tabela10[Drop],DropAnalityka[[#This Row],[Drop]],Tabela10[Grade],DropAnalityka[[#This Row],[Grade]])*DropAnalityka[[#This Row],[Quality/Quantity]],0)</f>
        <v>0</v>
      </c>
      <c r="L1499" s="49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9">
        <f>IFERROR(SUMIFS(Tabela10[Fod Worth],Tabela10[Drop],DropAnalityka[[#This Row],[Drop]],Tabela10[Grade],DropAnalityka[[#This Row],[Grade]])*DropAnalityka[[#This Row],[Quality/Quantity]],0)</f>
        <v>0</v>
      </c>
      <c r="L1500" s="49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9">
        <f>IFERROR(SUMIFS(Tabela10[Fod Worth],Tabela10[Drop],DropAnalityka[[#This Row],[Drop]],Tabela10[Grade],DropAnalityka[[#This Row],[Grade]])*DropAnalityka[[#This Row],[Quality/Quantity]],0)</f>
        <v>0</v>
      </c>
      <c r="L1501" s="49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9">
        <f>IFERROR(SUMIFS(Tabela10[Fod Worth],Tabela10[Drop],DropAnalityka[[#This Row],[Drop]],Tabela10[Grade],DropAnalityka[[#This Row],[Grade]])*DropAnalityka[[#This Row],[Quality/Quantity]],0)</f>
        <v>0</v>
      </c>
      <c r="L1502" s="49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9">
        <f>IFERROR(SUMIFS(Tabela10[Fod Worth],Tabela10[Drop],DropAnalityka[[#This Row],[Drop]],Tabela10[Grade],DropAnalityka[[#This Row],[Grade]])*DropAnalityka[[#This Row],[Quality/Quantity]],0)</f>
        <v>0</v>
      </c>
      <c r="L1503" s="49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9">
        <f>IFERROR(SUMIFS(Tabela10[Fod Worth],Tabela10[Drop],DropAnalityka[[#This Row],[Drop]],Tabela10[Grade],DropAnalityka[[#This Row],[Grade]])*DropAnalityka[[#This Row],[Quality/Quantity]],0)</f>
        <v>0</v>
      </c>
      <c r="L1504" s="49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9">
        <f>IFERROR(SUMIFS(Tabela10[Fod Worth],Tabela10[Drop],DropAnalityka[[#This Row],[Drop]],Tabela10[Grade],DropAnalityka[[#This Row],[Grade]])*DropAnalityka[[#This Row],[Quality/Quantity]],0)</f>
        <v>0</v>
      </c>
      <c r="L1505" s="49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9">
        <f>IFERROR(SUMIFS(Tabela10[Fod Worth],Tabela10[Drop],DropAnalityka[[#This Row],[Drop]],Tabela10[Grade],DropAnalityka[[#This Row],[Grade]])*DropAnalityka[[#This Row],[Quality/Quantity]],0)</f>
        <v>0</v>
      </c>
      <c r="L1506" s="49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9">
        <f>IFERROR(SUMIFS(Tabela10[Fod Worth],Tabela10[Drop],DropAnalityka[[#This Row],[Drop]],Tabela10[Grade],DropAnalityka[[#This Row],[Grade]])*DropAnalityka[[#This Row],[Quality/Quantity]],0)</f>
        <v>0</v>
      </c>
      <c r="L1507" s="49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9">
        <f>IFERROR(SUMIFS(Tabela10[Fod Worth],Tabela10[Drop],DropAnalityka[[#This Row],[Drop]],Tabela10[Grade],DropAnalityka[[#This Row],[Grade]])*DropAnalityka[[#This Row],[Quality/Quantity]],0)</f>
        <v>0</v>
      </c>
      <c r="L1508" s="49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9">
        <f>IFERROR(SUMIFS(Tabela10[Fod Worth],Tabela10[Drop],DropAnalityka[[#This Row],[Drop]],Tabela10[Grade],DropAnalityka[[#This Row],[Grade]])*DropAnalityka[[#This Row],[Quality/Quantity]],0)</f>
        <v>0</v>
      </c>
      <c r="L1509" s="49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9">
        <f>IFERROR(SUMIFS(Tabela10[Fod Worth],Tabela10[Drop],DropAnalityka[[#This Row],[Drop]],Tabela10[Grade],DropAnalityka[[#This Row],[Grade]])*DropAnalityka[[#This Row],[Quality/Quantity]],0)</f>
        <v>0</v>
      </c>
      <c r="L1510" s="49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9">
        <f>IFERROR(SUMIFS(Tabela10[Fod Worth],Tabela10[Drop],DropAnalityka[[#This Row],[Drop]],Tabela10[Grade],DropAnalityka[[#This Row],[Grade]])*DropAnalityka[[#This Row],[Quality/Quantity]],0)</f>
        <v>0</v>
      </c>
      <c r="L1511" s="49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9">
        <f>IFERROR(SUMIFS(Tabela10[Fod Worth],Tabela10[Drop],DropAnalityka[[#This Row],[Drop]],Tabela10[Grade],DropAnalityka[[#This Row],[Grade]])*DropAnalityka[[#This Row],[Quality/Quantity]],0)</f>
        <v>0</v>
      </c>
      <c r="L1512" s="49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9">
        <f>IFERROR(SUMIFS(Tabela10[Fod Worth],Tabela10[Drop],DropAnalityka[[#This Row],[Drop]],Tabela10[Grade],DropAnalityka[[#This Row],[Grade]])*DropAnalityka[[#This Row],[Quality/Quantity]],0)</f>
        <v>0</v>
      </c>
      <c r="L1513" s="49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9">
        <f>IFERROR(SUMIFS(Tabela10[Fod Worth],Tabela10[Drop],DropAnalityka[[#This Row],[Drop]],Tabela10[Grade],DropAnalityka[[#This Row],[Grade]])*DropAnalityka[[#This Row],[Quality/Quantity]],0)</f>
        <v>0</v>
      </c>
      <c r="L1514" s="49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9">
        <f>IFERROR(SUMIFS(Tabela10[Fod Worth],Tabela10[Drop],DropAnalityka[[#This Row],[Drop]],Tabela10[Grade],DropAnalityka[[#This Row],[Grade]])*DropAnalityka[[#This Row],[Quality/Quantity]],0)</f>
        <v>0</v>
      </c>
      <c r="L1515" s="49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9">
        <f>IFERROR(SUMIFS(Tabela10[Fod Worth],Tabela10[Drop],DropAnalityka[[#This Row],[Drop]],Tabela10[Grade],DropAnalityka[[#This Row],[Grade]])*DropAnalityka[[#This Row],[Quality/Quantity]],0)</f>
        <v>0</v>
      </c>
      <c r="L1516" s="49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9">
        <f>IFERROR(SUMIFS(Tabela10[Fod Worth],Tabela10[Drop],DropAnalityka[[#This Row],[Drop]],Tabela10[Grade],DropAnalityka[[#This Row],[Grade]])*DropAnalityka[[#This Row],[Quality/Quantity]],0)</f>
        <v>0</v>
      </c>
      <c r="L1517" s="49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9">
        <f>IFERROR(SUMIFS(Tabela10[Fod Worth],Tabela10[Drop],DropAnalityka[[#This Row],[Drop]],Tabela10[Grade],DropAnalityka[[#This Row],[Grade]])*DropAnalityka[[#This Row],[Quality/Quantity]],0)</f>
        <v>0</v>
      </c>
      <c r="L1518" s="49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9">
        <f>IFERROR(SUMIFS(Tabela10[Fod Worth],Tabela10[Drop],DropAnalityka[[#This Row],[Drop]],Tabela10[Grade],DropAnalityka[[#This Row],[Grade]])*DropAnalityka[[#This Row],[Quality/Quantity]],0)</f>
        <v>0</v>
      </c>
      <c r="L1519" s="49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9">
        <f>IFERROR(SUMIFS(Tabela10[Fod Worth],Tabela10[Drop],DropAnalityka[[#This Row],[Drop]],Tabela10[Grade],DropAnalityka[[#This Row],[Grade]])*DropAnalityka[[#This Row],[Quality/Quantity]],0)</f>
        <v>0</v>
      </c>
      <c r="L1520" s="49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9">
        <f>IFERROR(SUMIFS(Tabela10[Fod Worth],Tabela10[Drop],DropAnalityka[[#This Row],[Drop]],Tabela10[Grade],DropAnalityka[[#This Row],[Grade]])*DropAnalityka[[#This Row],[Quality/Quantity]],0)</f>
        <v>0</v>
      </c>
      <c r="L1521" s="49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9">
        <f>IFERROR(SUMIFS(Tabela10[Fod Worth],Tabela10[Drop],DropAnalityka[[#This Row],[Drop]],Tabela10[Grade],DropAnalityka[[#This Row],[Grade]])*DropAnalityka[[#This Row],[Quality/Quantity]],0)</f>
        <v>0</v>
      </c>
      <c r="L1522" s="49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9">
        <f>IFERROR(SUMIFS(Tabela10[Fod Worth],Tabela10[Drop],DropAnalityka[[#This Row],[Drop]],Tabela10[Grade],DropAnalityka[[#This Row],[Grade]])*DropAnalityka[[#This Row],[Quality/Quantity]],0)</f>
        <v>0</v>
      </c>
      <c r="L1523" s="49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9">
        <f>IFERROR(SUMIFS(Tabela10[Fod Worth],Tabela10[Drop],DropAnalityka[[#This Row],[Drop]],Tabela10[Grade],DropAnalityka[[#This Row],[Grade]])*DropAnalityka[[#This Row],[Quality/Quantity]],0)</f>
        <v>0</v>
      </c>
      <c r="L1524" s="49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9">
        <f>IFERROR(SUMIFS(Tabela10[Fod Worth],Tabela10[Drop],DropAnalityka[[#This Row],[Drop]],Tabela10[Grade],DropAnalityka[[#This Row],[Grade]])*DropAnalityka[[#This Row],[Quality/Quantity]],0)</f>
        <v>0</v>
      </c>
      <c r="L1525" s="49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9">
        <f>IFERROR(SUMIFS(Tabela10[Fod Worth],Tabela10[Drop],DropAnalityka[[#This Row],[Drop]],Tabela10[Grade],DropAnalityka[[#This Row],[Grade]])*DropAnalityka[[#This Row],[Quality/Quantity]],0)</f>
        <v>0</v>
      </c>
      <c r="L1526" s="49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9">
        <f>IFERROR(SUMIFS(Tabela10[Fod Worth],Tabela10[Drop],DropAnalityka[[#This Row],[Drop]],Tabela10[Grade],DropAnalityka[[#This Row],[Grade]])*DropAnalityka[[#This Row],[Quality/Quantity]],0)</f>
        <v>0</v>
      </c>
      <c r="L1527" s="49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9">
        <f>IFERROR(SUMIFS(Tabela10[Fod Worth],Tabela10[Drop],DropAnalityka[[#This Row],[Drop]],Tabela10[Grade],DropAnalityka[[#This Row],[Grade]])*DropAnalityka[[#This Row],[Quality/Quantity]],0)</f>
        <v>0</v>
      </c>
      <c r="L1528" s="49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9">
        <f>IFERROR(SUMIFS(Tabela10[Fod Worth],Tabela10[Drop],DropAnalityka[[#This Row],[Drop]],Tabela10[Grade],DropAnalityka[[#This Row],[Grade]])*DropAnalityka[[#This Row],[Quality/Quantity]],0)</f>
        <v>0</v>
      </c>
      <c r="L1529" s="49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9">
        <f>IFERROR(SUMIFS(Tabela10[Fod Worth],Tabela10[Drop],DropAnalityka[[#This Row],[Drop]],Tabela10[Grade],DropAnalityka[[#This Row],[Grade]])*DropAnalityka[[#This Row],[Quality/Quantity]],0)</f>
        <v>0</v>
      </c>
      <c r="L1530" s="49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9">
        <f>IFERROR(SUMIFS(Tabela10[Fod Worth],Tabela10[Drop],DropAnalityka[[#This Row],[Drop]],Tabela10[Grade],DropAnalityka[[#This Row],[Grade]])*DropAnalityka[[#This Row],[Quality/Quantity]],0)</f>
        <v>0</v>
      </c>
      <c r="L1531" s="49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9">
        <f>IFERROR(SUMIFS(Tabela10[Fod Worth],Tabela10[Drop],DropAnalityka[[#This Row],[Drop]],Tabela10[Grade],DropAnalityka[[#This Row],[Grade]])*DropAnalityka[[#This Row],[Quality/Quantity]],0)</f>
        <v>0</v>
      </c>
      <c r="L1532" s="49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9">
        <f>IFERROR(SUMIFS(Tabela10[Fod Worth],Tabela10[Drop],DropAnalityka[[#This Row],[Drop]],Tabela10[Grade],DropAnalityka[[#This Row],[Grade]])*DropAnalityka[[#This Row],[Quality/Quantity]],0)</f>
        <v>0</v>
      </c>
      <c r="L1533" s="49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9">
        <f>IFERROR(SUMIFS(Tabela10[Fod Worth],Tabela10[Drop],DropAnalityka[[#This Row],[Drop]],Tabela10[Grade],DropAnalityka[[#This Row],[Grade]])*DropAnalityka[[#This Row],[Quality/Quantity]],0)</f>
        <v>0</v>
      </c>
      <c r="L1534" s="49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9">
        <f>IFERROR(SUMIFS(Tabela10[Fod Worth],Tabela10[Drop],DropAnalityka[[#This Row],[Drop]],Tabela10[Grade],DropAnalityka[[#This Row],[Grade]])*DropAnalityka[[#This Row],[Quality/Quantity]],0)</f>
        <v>0</v>
      </c>
      <c r="L1535" s="49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9">
        <f>IFERROR(SUMIFS(Tabela10[Fod Worth],Tabela10[Drop],DropAnalityka[[#This Row],[Drop]],Tabela10[Grade],DropAnalityka[[#This Row],[Grade]])*DropAnalityka[[#This Row],[Quality/Quantity]],0)</f>
        <v>0</v>
      </c>
      <c r="L1536" s="49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9">
        <f>IFERROR(SUMIFS(Tabela10[Fod Worth],Tabela10[Drop],DropAnalityka[[#This Row],[Drop]],Tabela10[Grade],DropAnalityka[[#This Row],[Grade]])*DropAnalityka[[#This Row],[Quality/Quantity]],0)</f>
        <v>0</v>
      </c>
      <c r="L1537" s="49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9">
        <f>IFERROR(SUMIFS(Tabela10[Fod Worth],Tabela10[Drop],DropAnalityka[[#This Row],[Drop]],Tabela10[Grade],DropAnalityka[[#This Row],[Grade]])*DropAnalityka[[#This Row],[Quality/Quantity]],0)</f>
        <v>0</v>
      </c>
      <c r="L1538" s="49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9">
        <f>IFERROR(SUMIFS(Tabela10[Fod Worth],Tabela10[Drop],DropAnalityka[[#This Row],[Drop]],Tabela10[Grade],DropAnalityka[[#This Row],[Grade]])*DropAnalityka[[#This Row],[Quality/Quantity]],0)</f>
        <v>0</v>
      </c>
      <c r="L1539" s="49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9">
        <f>IFERROR(SUMIFS(Tabela10[Fod Worth],Tabela10[Drop],DropAnalityka[[#This Row],[Drop]],Tabela10[Grade],DropAnalityka[[#This Row],[Grade]])*DropAnalityka[[#This Row],[Quality/Quantity]],0)</f>
        <v>0</v>
      </c>
      <c r="L1540" s="49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9">
        <f>IFERROR(SUMIFS(Tabela10[Fod Worth],Tabela10[Drop],DropAnalityka[[#This Row],[Drop]],Tabela10[Grade],DropAnalityka[[#This Row],[Grade]])*DropAnalityka[[#This Row],[Quality/Quantity]],0)</f>
        <v>0</v>
      </c>
      <c r="L1541" s="49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9">
        <f>IFERROR(SUMIFS(Tabela10[Fod Worth],Tabela10[Drop],DropAnalityka[[#This Row],[Drop]],Tabela10[Grade],DropAnalityka[[#This Row],[Grade]])*DropAnalityka[[#This Row],[Quality/Quantity]],0)</f>
        <v>0</v>
      </c>
      <c r="L1542" s="49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9">
        <f>IFERROR(SUMIFS(Tabela10[Fod Worth],Tabela10[Drop],DropAnalityka[[#This Row],[Drop]],Tabela10[Grade],DropAnalityka[[#This Row],[Grade]])*DropAnalityka[[#This Row],[Quality/Quantity]],0)</f>
        <v>0</v>
      </c>
      <c r="L1543" s="49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9">
        <f>IFERROR(SUMIFS(Tabela10[Fod Worth],Tabela10[Drop],DropAnalityka[[#This Row],[Drop]],Tabela10[Grade],DropAnalityka[[#This Row],[Grade]])*DropAnalityka[[#This Row],[Quality/Quantity]],0)</f>
        <v>0</v>
      </c>
      <c r="L1544" s="49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9">
        <f>IFERROR(SUMIFS(Tabela10[Fod Worth],Tabela10[Drop],DropAnalityka[[#This Row],[Drop]],Tabela10[Grade],DropAnalityka[[#This Row],[Grade]])*DropAnalityka[[#This Row],[Quality/Quantity]],0)</f>
        <v>0</v>
      </c>
      <c r="L1545" s="49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9">
        <f>IFERROR(SUMIFS(Tabela10[Fod Worth],Tabela10[Drop],DropAnalityka[[#This Row],[Drop]],Tabela10[Grade],DropAnalityka[[#This Row],[Grade]])*DropAnalityka[[#This Row],[Quality/Quantity]],0)</f>
        <v>0</v>
      </c>
      <c r="L1546" s="49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9">
        <f>IFERROR(SUMIFS(Tabela10[Fod Worth],Tabela10[Drop],DropAnalityka[[#This Row],[Drop]],Tabela10[Grade],DropAnalityka[[#This Row],[Grade]])*DropAnalityka[[#This Row],[Quality/Quantity]],0)</f>
        <v>0</v>
      </c>
      <c r="L1547" s="49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9">
        <f>IFERROR(SUMIFS(Tabela10[Fod Worth],Tabela10[Drop],DropAnalityka[[#This Row],[Drop]],Tabela10[Grade],DropAnalityka[[#This Row],[Grade]])*DropAnalityka[[#This Row],[Quality/Quantity]],0)</f>
        <v>0</v>
      </c>
      <c r="L1548" s="49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9">
        <f>IFERROR(SUMIFS(Tabela10[Fod Worth],Tabela10[Drop],DropAnalityka[[#This Row],[Drop]],Tabela10[Grade],DropAnalityka[[#This Row],[Grade]])*DropAnalityka[[#This Row],[Quality/Quantity]],0)</f>
        <v>0</v>
      </c>
      <c r="L1549" s="49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9">
        <f>IFERROR(SUMIFS(Tabela10[Fod Worth],Tabela10[Drop],DropAnalityka[[#This Row],[Drop]],Tabela10[Grade],DropAnalityka[[#This Row],[Grade]])*DropAnalityka[[#This Row],[Quality/Quantity]],0)</f>
        <v>0</v>
      </c>
      <c r="L1550" s="49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9">
        <f>IFERROR(SUMIFS(Tabela10[Fod Worth],Tabela10[Drop],DropAnalityka[[#This Row],[Drop]],Tabela10[Grade],DropAnalityka[[#This Row],[Grade]])*DropAnalityka[[#This Row],[Quality/Quantity]],0)</f>
        <v>0</v>
      </c>
      <c r="L1551" s="49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9">
        <f>IFERROR(SUMIFS(Tabela10[Fod Worth],Tabela10[Drop],DropAnalityka[[#This Row],[Drop]],Tabela10[Grade],DropAnalityka[[#This Row],[Grade]])*DropAnalityka[[#This Row],[Quality/Quantity]],0)</f>
        <v>0</v>
      </c>
      <c r="L1552" s="49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9">
        <f>IFERROR(SUMIFS(Tabela10[Fod Worth],Tabela10[Drop],DropAnalityka[[#This Row],[Drop]],Tabela10[Grade],DropAnalityka[[#This Row],[Grade]])*DropAnalityka[[#This Row],[Quality/Quantity]],0)</f>
        <v>0</v>
      </c>
      <c r="L1553" s="49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9">
        <f>IFERROR(SUMIFS(Tabela10[Fod Worth],Tabela10[Drop],DropAnalityka[[#This Row],[Drop]],Tabela10[Grade],DropAnalityka[[#This Row],[Grade]])*DropAnalityka[[#This Row],[Quality/Quantity]],0)</f>
        <v>0</v>
      </c>
      <c r="L1554" s="49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9">
        <f>IFERROR(SUMIFS(Tabela10[Fod Worth],Tabela10[Drop],DropAnalityka[[#This Row],[Drop]],Tabela10[Grade],DropAnalityka[[#This Row],[Grade]])*DropAnalityka[[#This Row],[Quality/Quantity]],0)</f>
        <v>0</v>
      </c>
      <c r="L1555" s="49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9">
        <f>IFERROR(SUMIFS(Tabela10[Fod Worth],Tabela10[Drop],DropAnalityka[[#This Row],[Drop]],Tabela10[Grade],DropAnalityka[[#This Row],[Grade]])*DropAnalityka[[#This Row],[Quality/Quantity]],0)</f>
        <v>0</v>
      </c>
      <c r="L1556" s="49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9">
        <f>IFERROR(SUMIFS(Tabela10[Fod Worth],Tabela10[Drop],DropAnalityka[[#This Row],[Drop]],Tabela10[Grade],DropAnalityka[[#This Row],[Grade]])*DropAnalityka[[#This Row],[Quality/Quantity]],0)</f>
        <v>0</v>
      </c>
      <c r="L1557" s="49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9">
        <f>IFERROR(SUMIFS(Tabela10[Fod Worth],Tabela10[Drop],DropAnalityka[[#This Row],[Drop]],Tabela10[Grade],DropAnalityka[[#This Row],[Grade]])*DropAnalityka[[#This Row],[Quality/Quantity]],0)</f>
        <v>0</v>
      </c>
      <c r="L1558" s="49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9">
        <f>IFERROR(SUMIFS(Tabela10[Fod Worth],Tabela10[Drop],DropAnalityka[[#This Row],[Drop]],Tabela10[Grade],DropAnalityka[[#This Row],[Grade]])*DropAnalityka[[#This Row],[Quality/Quantity]],0)</f>
        <v>0</v>
      </c>
      <c r="L1559" s="49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9">
        <f>IFERROR(SUMIFS(Tabela10[Fod Worth],Tabela10[Drop],DropAnalityka[[#This Row],[Drop]],Tabela10[Grade],DropAnalityka[[#This Row],[Grade]])*DropAnalityka[[#This Row],[Quality/Quantity]],0)</f>
        <v>0</v>
      </c>
      <c r="L1560" s="49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9">
        <f>IFERROR(SUMIFS(Tabela10[Fod Worth],Tabela10[Drop],DropAnalityka[[#This Row],[Drop]],Tabela10[Grade],DropAnalityka[[#This Row],[Grade]])*DropAnalityka[[#This Row],[Quality/Quantity]],0)</f>
        <v>0</v>
      </c>
      <c r="L1561" s="49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9">
        <f>IFERROR(SUMIFS(Tabela10[Fod Worth],Tabela10[Drop],DropAnalityka[[#This Row],[Drop]],Tabela10[Grade],DropAnalityka[[#This Row],[Grade]])*DropAnalityka[[#This Row],[Quality/Quantity]],0)</f>
        <v>0</v>
      </c>
      <c r="L1562" s="49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9">
        <f>IFERROR(SUMIFS(Tabela10[Fod Worth],Tabela10[Drop],DropAnalityka[[#This Row],[Drop]],Tabela10[Grade],DropAnalityka[[#This Row],[Grade]])*DropAnalityka[[#This Row],[Quality/Quantity]],0)</f>
        <v>0</v>
      </c>
      <c r="L1563" s="49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9">
        <f>IFERROR(SUMIFS(Tabela10[Fod Worth],Tabela10[Drop],DropAnalityka[[#This Row],[Drop]],Tabela10[Grade],DropAnalityka[[#This Row],[Grade]])*DropAnalityka[[#This Row],[Quality/Quantity]],0)</f>
        <v>0</v>
      </c>
      <c r="L1564" s="49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9">
        <f>IFERROR(SUMIFS(Tabela10[Fod Worth],Tabela10[Drop],DropAnalityka[[#This Row],[Drop]],Tabela10[Grade],DropAnalityka[[#This Row],[Grade]])*DropAnalityka[[#This Row],[Quality/Quantity]],0)</f>
        <v>0</v>
      </c>
      <c r="L1565" s="49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9">
        <f>IFERROR(SUMIFS(Tabela10[Fod Worth],Tabela10[Drop],DropAnalityka[[#This Row],[Drop]],Tabela10[Grade],DropAnalityka[[#This Row],[Grade]])*DropAnalityka[[#This Row],[Quality/Quantity]],0)</f>
        <v>0</v>
      </c>
      <c r="L1566" s="49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9">
        <f>IFERROR(SUMIFS(Tabela10[Fod Worth],Tabela10[Drop],DropAnalityka[[#This Row],[Drop]],Tabela10[Grade],DropAnalityka[[#This Row],[Grade]])*DropAnalityka[[#This Row],[Quality/Quantity]],0)</f>
        <v>0</v>
      </c>
      <c r="L1567" s="49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9">
        <f>IFERROR(SUMIFS(Tabela10[Fod Worth],Tabela10[Drop],DropAnalityka[[#This Row],[Drop]],Tabela10[Grade],DropAnalityka[[#This Row],[Grade]])*DropAnalityka[[#This Row],[Quality/Quantity]],0)</f>
        <v>0</v>
      </c>
      <c r="L1568" s="49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9">
        <f>IFERROR(SUMIFS(Tabela10[Fod Worth],Tabela10[Drop],DropAnalityka[[#This Row],[Drop]],Tabela10[Grade],DropAnalityka[[#This Row],[Grade]])*DropAnalityka[[#This Row],[Quality/Quantity]],0)</f>
        <v>0</v>
      </c>
      <c r="L1569" s="49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9">
        <f>IFERROR(SUMIFS(Tabela10[Fod Worth],Tabela10[Drop],DropAnalityka[[#This Row],[Drop]],Tabela10[Grade],DropAnalityka[[#This Row],[Grade]])*DropAnalityka[[#This Row],[Quality/Quantity]],0)</f>
        <v>0</v>
      </c>
      <c r="L1570" s="49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9">
        <f>IFERROR(SUMIFS(Tabela10[Fod Worth],Tabela10[Drop],DropAnalityka[[#This Row],[Drop]],Tabela10[Grade],DropAnalityka[[#This Row],[Grade]])*DropAnalityka[[#This Row],[Quality/Quantity]],0)</f>
        <v>0</v>
      </c>
      <c r="L1571" s="49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9">
        <f>IFERROR(SUMIFS(Tabela10[Fod Worth],Tabela10[Drop],DropAnalityka[[#This Row],[Drop]],Tabela10[Grade],DropAnalityka[[#This Row],[Grade]])*DropAnalityka[[#This Row],[Quality/Quantity]],0)</f>
        <v>0</v>
      </c>
      <c r="L1572" s="49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9">
        <f>IFERROR(SUMIFS(Tabela10[Fod Worth],Tabela10[Drop],DropAnalityka[[#This Row],[Drop]],Tabela10[Grade],DropAnalityka[[#This Row],[Grade]])*DropAnalityka[[#This Row],[Quality/Quantity]],0)</f>
        <v>0</v>
      </c>
      <c r="L1573" s="49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9">
        <f>IFERROR(SUMIFS(Tabela10[Fod Worth],Tabela10[Drop],DropAnalityka[[#This Row],[Drop]],Tabela10[Grade],DropAnalityka[[#This Row],[Grade]])*DropAnalityka[[#This Row],[Quality/Quantity]],0)</f>
        <v>0</v>
      </c>
      <c r="L1574" s="49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9">
        <f>IFERROR(SUMIFS(Tabela10[Fod Worth],Tabela10[Drop],DropAnalityka[[#This Row],[Drop]],Tabela10[Grade],DropAnalityka[[#This Row],[Grade]])*DropAnalityka[[#This Row],[Quality/Quantity]],0)</f>
        <v>0</v>
      </c>
      <c r="L1575" s="49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9">
        <f>IFERROR(SUMIFS(Tabela10[Fod Worth],Tabela10[Drop],DropAnalityka[[#This Row],[Drop]],Tabela10[Grade],DropAnalityka[[#This Row],[Grade]])*DropAnalityka[[#This Row],[Quality/Quantity]],0)</f>
        <v>0</v>
      </c>
      <c r="L1576" s="49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9">
        <f>IFERROR(SUMIFS(Tabela10[Fod Worth],Tabela10[Drop],DropAnalityka[[#This Row],[Drop]],Tabela10[Grade],DropAnalityka[[#This Row],[Grade]])*DropAnalityka[[#This Row],[Quality/Quantity]],0)</f>
        <v>0</v>
      </c>
      <c r="L1577" s="49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9">
        <f>IFERROR(SUMIFS(Tabela10[Fod Worth],Tabela10[Drop],DropAnalityka[[#This Row],[Drop]],Tabela10[Grade],DropAnalityka[[#This Row],[Grade]])*DropAnalityka[[#This Row],[Quality/Quantity]],0)</f>
        <v>0</v>
      </c>
      <c r="L1578" s="49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9">
        <f>IFERROR(SUMIFS(Tabela10[Fod Worth],Tabela10[Drop],DropAnalityka[[#This Row],[Drop]],Tabela10[Grade],DropAnalityka[[#This Row],[Grade]])*DropAnalityka[[#This Row],[Quality/Quantity]],0)</f>
        <v>0</v>
      </c>
      <c r="L1579" s="49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9">
        <f>IFERROR(SUMIFS(Tabela10[Fod Worth],Tabela10[Drop],DropAnalityka[[#This Row],[Drop]],Tabela10[Grade],DropAnalityka[[#This Row],[Grade]])*DropAnalityka[[#This Row],[Quality/Quantity]],0)</f>
        <v>0</v>
      </c>
      <c r="L1580" s="49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9">
        <f>IFERROR(SUMIFS(Tabela10[Fod Worth],Tabela10[Drop],DropAnalityka[[#This Row],[Drop]],Tabela10[Grade],DropAnalityka[[#This Row],[Grade]])*DropAnalityka[[#This Row],[Quality/Quantity]],0)</f>
        <v>0</v>
      </c>
      <c r="L1581" s="49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9">
        <f>IFERROR(SUMIFS(Tabela10[Fod Worth],Tabela10[Drop],DropAnalityka[[#This Row],[Drop]],Tabela10[Grade],DropAnalityka[[#This Row],[Grade]])*DropAnalityka[[#This Row],[Quality/Quantity]],0)</f>
        <v>0</v>
      </c>
      <c r="L1582" s="49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9">
        <f>IFERROR(SUMIFS(Tabela10[Fod Worth],Tabela10[Drop],DropAnalityka[[#This Row],[Drop]],Tabela10[Grade],DropAnalityka[[#This Row],[Grade]])*DropAnalityka[[#This Row],[Quality/Quantity]],0)</f>
        <v>0</v>
      </c>
      <c r="L1583" s="49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9">
        <f>IFERROR(SUMIFS(Tabela10[Fod Worth],Tabela10[Drop],DropAnalityka[[#This Row],[Drop]],Tabela10[Grade],DropAnalityka[[#This Row],[Grade]])*DropAnalityka[[#This Row],[Quality/Quantity]],0)</f>
        <v>0</v>
      </c>
      <c r="L1584" s="49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9">
        <f>IFERROR(SUMIFS(Tabela10[Fod Worth],Tabela10[Drop],DropAnalityka[[#This Row],[Drop]],Tabela10[Grade],DropAnalityka[[#This Row],[Grade]])*DropAnalityka[[#This Row],[Quality/Quantity]],0)</f>
        <v>0</v>
      </c>
      <c r="L1585" s="49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9">
        <f>IFERROR(SUMIFS(Tabela10[Fod Worth],Tabela10[Drop],DropAnalityka[[#This Row],[Drop]],Tabela10[Grade],DropAnalityka[[#This Row],[Grade]])*DropAnalityka[[#This Row],[Quality/Quantity]],0)</f>
        <v>0</v>
      </c>
      <c r="L1586" s="49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9">
        <f>IFERROR(SUMIFS(Tabela10[Fod Worth],Tabela10[Drop],DropAnalityka[[#This Row],[Drop]],Tabela10[Grade],DropAnalityka[[#This Row],[Grade]])*DropAnalityka[[#This Row],[Quality/Quantity]],0)</f>
        <v>0</v>
      </c>
      <c r="L1587" s="49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9">
        <f>IFERROR(SUMIFS(Tabela10[Fod Worth],Tabela10[Drop],DropAnalityka[[#This Row],[Drop]],Tabela10[Grade],DropAnalityka[[#This Row],[Grade]])*DropAnalityka[[#This Row],[Quality/Quantity]],0)</f>
        <v>0</v>
      </c>
      <c r="L1588" s="49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9">
        <f>IFERROR(SUMIFS(Tabela10[Fod Worth],Tabela10[Drop],DropAnalityka[[#This Row],[Drop]],Tabela10[Grade],DropAnalityka[[#This Row],[Grade]])*DropAnalityka[[#This Row],[Quality/Quantity]],0)</f>
        <v>0</v>
      </c>
      <c r="L1589" s="49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9">
        <f>IFERROR(SUMIFS(Tabela10[Fod Worth],Tabela10[Drop],DropAnalityka[[#This Row],[Drop]],Tabela10[Grade],DropAnalityka[[#This Row],[Grade]])*DropAnalityka[[#This Row],[Quality/Quantity]],0)</f>
        <v>0</v>
      </c>
      <c r="L1590" s="49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9">
        <f>IFERROR(SUMIFS(Tabela10[Fod Worth],Tabela10[Drop],DropAnalityka[[#This Row],[Drop]],Tabela10[Grade],DropAnalityka[[#This Row],[Grade]])*DropAnalityka[[#This Row],[Quality/Quantity]],0)</f>
        <v>0</v>
      </c>
      <c r="L1591" s="49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9">
        <f>IFERROR(SUMIFS(Tabela10[Fod Worth],Tabela10[Drop],DropAnalityka[[#This Row],[Drop]],Tabela10[Grade],DropAnalityka[[#This Row],[Grade]])*DropAnalityka[[#This Row],[Quality/Quantity]],0)</f>
        <v>0</v>
      </c>
      <c r="L1592" s="49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9">
        <f>IFERROR(SUMIFS(Tabela10[Fod Worth],Tabela10[Drop],DropAnalityka[[#This Row],[Drop]],Tabela10[Grade],DropAnalityka[[#This Row],[Grade]])*DropAnalityka[[#This Row],[Quality/Quantity]],0)</f>
        <v>0</v>
      </c>
      <c r="L1593" s="49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9">
        <f>IFERROR(SUMIFS(Tabela10[Fod Worth],Tabela10[Drop],DropAnalityka[[#This Row],[Drop]],Tabela10[Grade],DropAnalityka[[#This Row],[Grade]])*DropAnalityka[[#This Row],[Quality/Quantity]],0)</f>
        <v>0</v>
      </c>
      <c r="L1594" s="49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9">
        <f>IFERROR(SUMIFS(Tabela10[Fod Worth],Tabela10[Drop],DropAnalityka[[#This Row],[Drop]],Tabela10[Grade],DropAnalityka[[#This Row],[Grade]])*DropAnalityka[[#This Row],[Quality/Quantity]],0)</f>
        <v>0</v>
      </c>
      <c r="L1595" s="49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9">
        <f>IFERROR(SUMIFS(Tabela10[Fod Worth],Tabela10[Drop],DropAnalityka[[#This Row],[Drop]],Tabela10[Grade],DropAnalityka[[#This Row],[Grade]])*DropAnalityka[[#This Row],[Quality/Quantity]],0)</f>
        <v>0</v>
      </c>
      <c r="L1596" s="49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9">
        <f>IFERROR(SUMIFS(Tabela10[Fod Worth],Tabela10[Drop],DropAnalityka[[#This Row],[Drop]],Tabela10[Grade],DropAnalityka[[#This Row],[Grade]])*DropAnalityka[[#This Row],[Quality/Quantity]],0)</f>
        <v>0</v>
      </c>
      <c r="L1597" s="49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9">
        <f>IFERROR(SUMIFS(Tabela10[Fod Worth],Tabela10[Drop],DropAnalityka[[#This Row],[Drop]],Tabela10[Grade],DropAnalityka[[#This Row],[Grade]])*DropAnalityka[[#This Row],[Quality/Quantity]],0)</f>
        <v>0</v>
      </c>
      <c r="L1598" s="49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9">
        <f>IFERROR(SUMIFS(Tabela10[Fod Worth],Tabela10[Drop],DropAnalityka[[#This Row],[Drop]],Tabela10[Grade],DropAnalityka[[#This Row],[Grade]])*DropAnalityka[[#This Row],[Quality/Quantity]],0)</f>
        <v>0</v>
      </c>
      <c r="L1599" s="49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9">
        <f>IFERROR(SUMIFS(Tabela10[Fod Worth],Tabela10[Drop],DropAnalityka[[#This Row],[Drop]],Tabela10[Grade],DropAnalityka[[#This Row],[Grade]])*DropAnalityka[[#This Row],[Quality/Quantity]],0)</f>
        <v>0</v>
      </c>
      <c r="L1600" s="49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9">
        <f>IFERROR(SUMIFS(Tabela10[Fod Worth],Tabela10[Drop],DropAnalityka[[#This Row],[Drop]],Tabela10[Grade],DropAnalityka[[#This Row],[Grade]])*DropAnalityka[[#This Row],[Quality/Quantity]],0)</f>
        <v>0</v>
      </c>
      <c r="L1601" s="49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9">
        <f>IFERROR(SUMIFS(Tabela10[Fod Worth],Tabela10[Drop],DropAnalityka[[#This Row],[Drop]],Tabela10[Grade],DropAnalityka[[#This Row],[Grade]])*DropAnalityka[[#This Row],[Quality/Quantity]],0)</f>
        <v>0</v>
      </c>
      <c r="L1602" s="49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9">
        <f>IFERROR(SUMIFS(Tabela10[Fod Worth],Tabela10[Drop],DropAnalityka[[#This Row],[Drop]],Tabela10[Grade],DropAnalityka[[#This Row],[Grade]])*DropAnalityka[[#This Row],[Quality/Quantity]],0)</f>
        <v>0</v>
      </c>
      <c r="L1603" s="49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9">
        <f>IFERROR(SUMIFS(Tabela10[Fod Worth],Tabela10[Drop],DropAnalityka[[#This Row],[Drop]],Tabela10[Grade],DropAnalityka[[#This Row],[Grade]])*DropAnalityka[[#This Row],[Quality/Quantity]],0)</f>
        <v>0</v>
      </c>
      <c r="L1604" s="49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9">
        <f>IFERROR(SUMIFS(Tabela10[Fod Worth],Tabela10[Drop],DropAnalityka[[#This Row],[Drop]],Tabela10[Grade],DropAnalityka[[#This Row],[Grade]])*DropAnalityka[[#This Row],[Quality/Quantity]],0)</f>
        <v>0</v>
      </c>
      <c r="L1605" s="49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9">
        <f>IFERROR(SUMIFS(Tabela10[Fod Worth],Tabela10[Drop],DropAnalityka[[#This Row],[Drop]],Tabela10[Grade],DropAnalityka[[#This Row],[Grade]])*DropAnalityka[[#This Row],[Quality/Quantity]],0)</f>
        <v>0</v>
      </c>
      <c r="L1606" s="49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9">
        <f>IFERROR(SUMIFS(Tabela10[Fod Worth],Tabela10[Drop],DropAnalityka[[#This Row],[Drop]],Tabela10[Grade],DropAnalityka[[#This Row],[Grade]])*DropAnalityka[[#This Row],[Quality/Quantity]],0)</f>
        <v>0</v>
      </c>
      <c r="L1607" s="49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9">
        <f>IFERROR(SUMIFS(Tabela10[Fod Worth],Tabela10[Drop],DropAnalityka[[#This Row],[Drop]],Tabela10[Grade],DropAnalityka[[#This Row],[Grade]])*DropAnalityka[[#This Row],[Quality/Quantity]],0)</f>
        <v>0</v>
      </c>
      <c r="L1608" s="49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9">
        <f>IFERROR(SUMIFS(Tabela10[Fod Worth],Tabela10[Drop],DropAnalityka[[#This Row],[Drop]],Tabela10[Grade],DropAnalityka[[#This Row],[Grade]])*DropAnalityka[[#This Row],[Quality/Quantity]],0)</f>
        <v>0</v>
      </c>
      <c r="L1609" s="49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9">
        <f>IFERROR(SUMIFS(Tabela10[Fod Worth],Tabela10[Drop],DropAnalityka[[#This Row],[Drop]],Tabela10[Grade],DropAnalityka[[#This Row],[Grade]])*DropAnalityka[[#This Row],[Quality/Quantity]],0)</f>
        <v>0</v>
      </c>
      <c r="L1610" s="49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9">
        <f>IFERROR(SUMIFS(Tabela10[Fod Worth],Tabela10[Drop],DropAnalityka[[#This Row],[Drop]],Tabela10[Grade],DropAnalityka[[#This Row],[Grade]])*DropAnalityka[[#This Row],[Quality/Quantity]],0)</f>
        <v>0</v>
      </c>
      <c r="L1611" s="49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9">
        <f>IFERROR(SUMIFS(Tabela10[Fod Worth],Tabela10[Drop],DropAnalityka[[#This Row],[Drop]],Tabela10[Grade],DropAnalityka[[#This Row],[Grade]])*DropAnalityka[[#This Row],[Quality/Quantity]],0)</f>
        <v>0</v>
      </c>
      <c r="L1612" s="49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9">
        <f>IFERROR(SUMIFS(Tabela10[Fod Worth],Tabela10[Drop],DropAnalityka[[#This Row],[Drop]],Tabela10[Grade],DropAnalityka[[#This Row],[Grade]])*DropAnalityka[[#This Row],[Quality/Quantity]],0)</f>
        <v>0</v>
      </c>
      <c r="L1613" s="49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9">
        <f>IFERROR(SUMIFS(Tabela10[Fod Worth],Tabela10[Drop],DropAnalityka[[#This Row],[Drop]],Tabela10[Grade],DropAnalityka[[#This Row],[Grade]])*DropAnalityka[[#This Row],[Quality/Quantity]],0)</f>
        <v>0</v>
      </c>
      <c r="L1614" s="49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9">
        <f>IFERROR(SUMIFS(Tabela10[Fod Worth],Tabela10[Drop],DropAnalityka[[#This Row],[Drop]],Tabela10[Grade],DropAnalityka[[#This Row],[Grade]])*DropAnalityka[[#This Row],[Quality/Quantity]],0)</f>
        <v>0</v>
      </c>
      <c r="L1615" s="49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9">
        <f>IFERROR(SUMIFS(Tabela10[Fod Worth],Tabela10[Drop],DropAnalityka[[#This Row],[Drop]],Tabela10[Grade],DropAnalityka[[#This Row],[Grade]])*DropAnalityka[[#This Row],[Quality/Quantity]],0)</f>
        <v>0</v>
      </c>
      <c r="L1616" s="49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9">
        <f>IFERROR(SUMIFS(Tabela10[Fod Worth],Tabela10[Drop],DropAnalityka[[#This Row],[Drop]],Tabela10[Grade],DropAnalityka[[#This Row],[Grade]])*DropAnalityka[[#This Row],[Quality/Quantity]],0)</f>
        <v>0</v>
      </c>
      <c r="L1617" s="49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9">
        <f>IFERROR(SUMIFS(Tabela10[Fod Worth],Tabela10[Drop],DropAnalityka[[#This Row],[Drop]],Tabela10[Grade],DropAnalityka[[#This Row],[Grade]])*DropAnalityka[[#This Row],[Quality/Quantity]],0)</f>
        <v>0</v>
      </c>
      <c r="L1618" s="49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9">
        <f>IFERROR(SUMIFS(Tabela10[Fod Worth],Tabela10[Drop],DropAnalityka[[#This Row],[Drop]],Tabela10[Grade],DropAnalityka[[#This Row],[Grade]])*DropAnalityka[[#This Row],[Quality/Quantity]],0)</f>
        <v>0</v>
      </c>
      <c r="L1619" s="49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9">
        <f>IFERROR(SUMIFS(Tabela10[Fod Worth],Tabela10[Drop],DropAnalityka[[#This Row],[Drop]],Tabela10[Grade],DropAnalityka[[#This Row],[Grade]])*DropAnalityka[[#This Row],[Quality/Quantity]],0)</f>
        <v>0</v>
      </c>
      <c r="L1620" s="49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9">
        <f>IFERROR(SUMIFS(Tabela10[Fod Worth],Tabela10[Drop],DropAnalityka[[#This Row],[Drop]],Tabela10[Grade],DropAnalityka[[#This Row],[Grade]])*DropAnalityka[[#This Row],[Quality/Quantity]],0)</f>
        <v>0</v>
      </c>
      <c r="L1621" s="49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9">
        <f>IFERROR(SUMIFS(Tabela10[Fod Worth],Tabela10[Drop],DropAnalityka[[#This Row],[Drop]],Tabela10[Grade],DropAnalityka[[#This Row],[Grade]])*DropAnalityka[[#This Row],[Quality/Quantity]],0)</f>
        <v>0</v>
      </c>
      <c r="L1622" s="49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9">
        <f>IFERROR(SUMIFS(Tabela10[Fod Worth],Tabela10[Drop],DropAnalityka[[#This Row],[Drop]],Tabela10[Grade],DropAnalityka[[#This Row],[Grade]])*DropAnalityka[[#This Row],[Quality/Quantity]],0)</f>
        <v>0</v>
      </c>
      <c r="L1623" s="49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9">
        <f>IFERROR(SUMIFS(Tabela10[Fod Worth],Tabela10[Drop],DropAnalityka[[#This Row],[Drop]],Tabela10[Grade],DropAnalityka[[#This Row],[Grade]])*DropAnalityka[[#This Row],[Quality/Quantity]],0)</f>
        <v>0</v>
      </c>
      <c r="L1624" s="49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9">
        <f>IFERROR(SUMIFS(Tabela10[Fod Worth],Tabela10[Drop],DropAnalityka[[#This Row],[Drop]],Tabela10[Grade],DropAnalityka[[#This Row],[Grade]])*DropAnalityka[[#This Row],[Quality/Quantity]],0)</f>
        <v>0</v>
      </c>
      <c r="L1625" s="49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9">
        <f>IFERROR(SUMIFS(Tabela10[Fod Worth],Tabela10[Drop],DropAnalityka[[#This Row],[Drop]],Tabela10[Grade],DropAnalityka[[#This Row],[Grade]])*DropAnalityka[[#This Row],[Quality/Quantity]],0)</f>
        <v>0</v>
      </c>
      <c r="L1626" s="49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9">
        <f>IFERROR(SUMIFS(Tabela10[Fod Worth],Tabela10[Drop],DropAnalityka[[#This Row],[Drop]],Tabela10[Grade],DropAnalityka[[#This Row],[Grade]])*DropAnalityka[[#This Row],[Quality/Quantity]],0)</f>
        <v>0</v>
      </c>
      <c r="L1627" s="49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9">
        <f>IFERROR(SUMIFS(Tabela10[Fod Worth],Tabela10[Drop],DropAnalityka[[#This Row],[Drop]],Tabela10[Grade],DropAnalityka[[#This Row],[Grade]])*DropAnalityka[[#This Row],[Quality/Quantity]],0)</f>
        <v>0</v>
      </c>
      <c r="L1628" s="49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9">
        <f>IFERROR(SUMIFS(Tabela10[Fod Worth],Tabela10[Drop],DropAnalityka[[#This Row],[Drop]],Tabela10[Grade],DropAnalityka[[#This Row],[Grade]])*DropAnalityka[[#This Row],[Quality/Quantity]],0)</f>
        <v>0</v>
      </c>
      <c r="L1629" s="49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9">
        <f>IFERROR(SUMIFS(Tabela10[Fod Worth],Tabela10[Drop],DropAnalityka[[#This Row],[Drop]],Tabela10[Grade],DropAnalityka[[#This Row],[Grade]])*DropAnalityka[[#This Row],[Quality/Quantity]],0)</f>
        <v>0</v>
      </c>
      <c r="L1630" s="49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9">
        <f>IFERROR(SUMIFS(Tabela10[Fod Worth],Tabela10[Drop],DropAnalityka[[#This Row],[Drop]],Tabela10[Grade],DropAnalityka[[#This Row],[Grade]])*DropAnalityka[[#This Row],[Quality/Quantity]],0)</f>
        <v>0</v>
      </c>
      <c r="L1631" s="49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9">
        <f>IFERROR(SUMIFS(Tabela10[Fod Worth],Tabela10[Drop],DropAnalityka[[#This Row],[Drop]],Tabela10[Grade],DropAnalityka[[#This Row],[Grade]])*DropAnalityka[[#This Row],[Quality/Quantity]],0)</f>
        <v>0</v>
      </c>
      <c r="L1632" s="49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9">
        <f>IFERROR(SUMIFS(Tabela10[Fod Worth],Tabela10[Drop],DropAnalityka[[#This Row],[Drop]],Tabela10[Grade],DropAnalityka[[#This Row],[Grade]])*DropAnalityka[[#This Row],[Quality/Quantity]],0)</f>
        <v>0</v>
      </c>
      <c r="L1633" s="49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9">
        <f>IFERROR(SUMIFS(Tabela10[Fod Worth],Tabela10[Drop],DropAnalityka[[#This Row],[Drop]],Tabela10[Grade],DropAnalityka[[#This Row],[Grade]])*DropAnalityka[[#This Row],[Quality/Quantity]],0)</f>
        <v>0</v>
      </c>
      <c r="L1634" s="49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9">
        <f>IFERROR(SUMIFS(Tabela10[Fod Worth],Tabela10[Drop],DropAnalityka[[#This Row],[Drop]],Tabela10[Grade],DropAnalityka[[#This Row],[Grade]])*DropAnalityka[[#This Row],[Quality/Quantity]],0)</f>
        <v>0</v>
      </c>
      <c r="L1635" s="49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9">
        <f>IFERROR(SUMIFS(Tabela10[Fod Worth],Tabela10[Drop],DropAnalityka[[#This Row],[Drop]],Tabela10[Grade],DropAnalityka[[#This Row],[Grade]])*DropAnalityka[[#This Row],[Quality/Quantity]],0)</f>
        <v>0</v>
      </c>
      <c r="L1636" s="49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9">
        <f>IFERROR(SUMIFS(Tabela10[Fod Worth],Tabela10[Drop],DropAnalityka[[#This Row],[Drop]],Tabela10[Grade],DropAnalityka[[#This Row],[Grade]])*DropAnalityka[[#This Row],[Quality/Quantity]],0)</f>
        <v>0</v>
      </c>
      <c r="L1637" s="49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9">
        <f>IFERROR(SUMIFS(Tabela10[Fod Worth],Tabela10[Drop],DropAnalityka[[#This Row],[Drop]],Tabela10[Grade],DropAnalityka[[#This Row],[Grade]])*DropAnalityka[[#This Row],[Quality/Quantity]],0)</f>
        <v>0</v>
      </c>
      <c r="L1638" s="49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9">
        <f>IFERROR(SUMIFS(Tabela10[Fod Worth],Tabela10[Drop],DropAnalityka[[#This Row],[Drop]],Tabela10[Grade],DropAnalityka[[#This Row],[Grade]])*DropAnalityka[[#This Row],[Quality/Quantity]],0)</f>
        <v>0</v>
      </c>
      <c r="L1639" s="49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9">
        <f>IFERROR(SUMIFS(Tabela10[Fod Worth],Tabela10[Drop],DropAnalityka[[#This Row],[Drop]],Tabela10[Grade],DropAnalityka[[#This Row],[Grade]])*DropAnalityka[[#This Row],[Quality/Quantity]],0)</f>
        <v>0</v>
      </c>
      <c r="L1640" s="49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9">
        <f>IFERROR(SUMIFS(Tabela10[Fod Worth],Tabela10[Drop],DropAnalityka[[#This Row],[Drop]],Tabela10[Grade],DropAnalityka[[#This Row],[Grade]])*DropAnalityka[[#This Row],[Quality/Quantity]],0)</f>
        <v>0</v>
      </c>
      <c r="L1641" s="49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9">
        <f>IFERROR(SUMIFS(Tabela10[Fod Worth],Tabela10[Drop],DropAnalityka[[#This Row],[Drop]],Tabela10[Grade],DropAnalityka[[#This Row],[Grade]])*DropAnalityka[[#This Row],[Quality/Quantity]],0)</f>
        <v>0</v>
      </c>
      <c r="L1642" s="49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9">
        <f>IFERROR(SUMIFS(Tabela10[Fod Worth],Tabela10[Drop],DropAnalityka[[#This Row],[Drop]],Tabela10[Grade],DropAnalityka[[#This Row],[Grade]])*DropAnalityka[[#This Row],[Quality/Quantity]],0)</f>
        <v>0</v>
      </c>
      <c r="L1643" s="49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9">
        <f>IFERROR(SUMIFS(Tabela10[Fod Worth],Tabela10[Drop],DropAnalityka[[#This Row],[Drop]],Tabela10[Grade],DropAnalityka[[#This Row],[Grade]])*DropAnalityka[[#This Row],[Quality/Quantity]],0)</f>
        <v>0</v>
      </c>
      <c r="L1644" s="49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9">
        <f>IFERROR(SUMIFS(Tabela10[Fod Worth],Tabela10[Drop],DropAnalityka[[#This Row],[Drop]],Tabela10[Grade],DropAnalityka[[#This Row],[Grade]])*DropAnalityka[[#This Row],[Quality/Quantity]],0)</f>
        <v>0</v>
      </c>
      <c r="L1645" s="49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9">
        <f>IFERROR(SUMIFS(Tabela10[Fod Worth],Tabela10[Drop],DropAnalityka[[#This Row],[Drop]],Tabela10[Grade],DropAnalityka[[#This Row],[Grade]])*DropAnalityka[[#This Row],[Quality/Quantity]],0)</f>
        <v>0</v>
      </c>
      <c r="L1646" s="49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9">
        <f>IFERROR(SUMIFS(Tabela10[Fod Worth],Tabela10[Drop],DropAnalityka[[#This Row],[Drop]],Tabela10[Grade],DropAnalityka[[#This Row],[Grade]])*DropAnalityka[[#This Row],[Quality/Quantity]],0)</f>
        <v>0</v>
      </c>
      <c r="L1647" s="49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9">
        <f>IFERROR(SUMIFS(Tabela10[Fod Worth],Tabela10[Drop],DropAnalityka[[#This Row],[Drop]],Tabela10[Grade],DropAnalityka[[#This Row],[Grade]])*DropAnalityka[[#This Row],[Quality/Quantity]],0)</f>
        <v>0</v>
      </c>
      <c r="L1648" s="49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9">
        <f>IFERROR(SUMIFS(Tabela10[Fod Worth],Tabela10[Drop],DropAnalityka[[#This Row],[Drop]],Tabela10[Grade],DropAnalityka[[#This Row],[Grade]])*DropAnalityka[[#This Row],[Quality/Quantity]],0)</f>
        <v>0</v>
      </c>
      <c r="L1649" s="49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9">
        <f>IFERROR(SUMIFS(Tabela10[Fod Worth],Tabela10[Drop],DropAnalityka[[#This Row],[Drop]],Tabela10[Grade],DropAnalityka[[#This Row],[Grade]])*DropAnalityka[[#This Row],[Quality/Quantity]],0)</f>
        <v>0</v>
      </c>
      <c r="L1650" s="49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9">
        <f>IFERROR(SUMIFS(Tabela10[Fod Worth],Tabela10[Drop],DropAnalityka[[#This Row],[Drop]],Tabela10[Grade],DropAnalityka[[#This Row],[Grade]])*DropAnalityka[[#This Row],[Quality/Quantity]],0)</f>
        <v>0</v>
      </c>
      <c r="L1651" s="49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9">
        <f>IFERROR(SUMIFS(Tabela10[Fod Worth],Tabela10[Drop],DropAnalityka[[#This Row],[Drop]],Tabela10[Grade],DropAnalityka[[#This Row],[Grade]])*DropAnalityka[[#This Row],[Quality/Quantity]],0)</f>
        <v>0</v>
      </c>
      <c r="L1652" s="49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9">
        <f>IFERROR(SUMIFS(Tabela10[Fod Worth],Tabela10[Drop],DropAnalityka[[#This Row],[Drop]],Tabela10[Grade],DropAnalityka[[#This Row],[Grade]])*DropAnalityka[[#This Row],[Quality/Quantity]],0)</f>
        <v>0</v>
      </c>
      <c r="L1653" s="49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9">
        <f>IFERROR(SUMIFS(Tabela10[Fod Worth],Tabela10[Drop],DropAnalityka[[#This Row],[Drop]],Tabela10[Grade],DropAnalityka[[#This Row],[Grade]])*DropAnalityka[[#This Row],[Quality/Quantity]],0)</f>
        <v>0</v>
      </c>
      <c r="L1654" s="49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9">
        <f>IFERROR(SUMIFS(Tabela10[Fod Worth],Tabela10[Drop],DropAnalityka[[#This Row],[Drop]],Tabela10[Grade],DropAnalityka[[#This Row],[Grade]])*DropAnalityka[[#This Row],[Quality/Quantity]],0)</f>
        <v>0</v>
      </c>
      <c r="L1655" s="49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9">
        <f>IFERROR(SUMIFS(Tabela10[Fod Worth],Tabela10[Drop],DropAnalityka[[#This Row],[Drop]],Tabela10[Grade],DropAnalityka[[#This Row],[Grade]])*DropAnalityka[[#This Row],[Quality/Quantity]],0)</f>
        <v>0</v>
      </c>
      <c r="L1656" s="49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9">
        <f>IFERROR(SUMIFS(Tabela10[Fod Worth],Tabela10[Drop],DropAnalityka[[#This Row],[Drop]],Tabela10[Grade],DropAnalityka[[#This Row],[Grade]])*DropAnalityka[[#This Row],[Quality/Quantity]],0)</f>
        <v>0</v>
      </c>
      <c r="L1657" s="49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9">
        <f>IFERROR(SUMIFS(Tabela10[Fod Worth],Tabela10[Drop],DropAnalityka[[#This Row],[Drop]],Tabela10[Grade],DropAnalityka[[#This Row],[Grade]])*DropAnalityka[[#This Row],[Quality/Quantity]],0)</f>
        <v>0</v>
      </c>
      <c r="L1658" s="49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9">
        <f>IFERROR(SUMIFS(Tabela10[Fod Worth],Tabela10[Drop],DropAnalityka[[#This Row],[Drop]],Tabela10[Grade],DropAnalityka[[#This Row],[Grade]])*DropAnalityka[[#This Row],[Quality/Quantity]],0)</f>
        <v>0</v>
      </c>
      <c r="L1659" s="49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9">
        <f>IFERROR(SUMIFS(Tabela10[Fod Worth],Tabela10[Drop],DropAnalityka[[#This Row],[Drop]],Tabela10[Grade],DropAnalityka[[#This Row],[Grade]])*DropAnalityka[[#This Row],[Quality/Quantity]],0)</f>
        <v>0</v>
      </c>
      <c r="L1660" s="49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9">
        <f>IFERROR(SUMIFS(Tabela10[Fod Worth],Tabela10[Drop],DropAnalityka[[#This Row],[Drop]],Tabela10[Grade],DropAnalityka[[#This Row],[Grade]])*DropAnalityka[[#This Row],[Quality/Quantity]],0)</f>
        <v>0</v>
      </c>
      <c r="L1661" s="49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9">
        <f>IFERROR(SUMIFS(Tabela10[Fod Worth],Tabela10[Drop],DropAnalityka[[#This Row],[Drop]],Tabela10[Grade],DropAnalityka[[#This Row],[Grade]])*DropAnalityka[[#This Row],[Quality/Quantity]],0)</f>
        <v>0</v>
      </c>
      <c r="L1662" s="49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9">
        <f>IFERROR(SUMIFS(Tabela10[Fod Worth],Tabela10[Drop],DropAnalityka[[#This Row],[Drop]],Tabela10[Grade],DropAnalityka[[#This Row],[Grade]])*DropAnalityka[[#This Row],[Quality/Quantity]],0)</f>
        <v>0</v>
      </c>
      <c r="L1663" s="49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9">
        <f>IFERROR(SUMIFS(Tabela10[Fod Worth],Tabela10[Drop],DropAnalityka[[#This Row],[Drop]],Tabela10[Grade],DropAnalityka[[#This Row],[Grade]])*DropAnalityka[[#This Row],[Quality/Quantity]],0)</f>
        <v>0</v>
      </c>
      <c r="L1664" s="49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9">
        <f>IFERROR(SUMIFS(Tabela10[Fod Worth],Tabela10[Drop],DropAnalityka[[#This Row],[Drop]],Tabela10[Grade],DropAnalityka[[#This Row],[Grade]])*DropAnalityka[[#This Row],[Quality/Quantity]],0)</f>
        <v>0</v>
      </c>
      <c r="L1665" s="49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9">
        <f>IFERROR(SUMIFS(Tabela10[Fod Worth],Tabela10[Drop],DropAnalityka[[#This Row],[Drop]],Tabela10[Grade],DropAnalityka[[#This Row],[Grade]])*DropAnalityka[[#This Row],[Quality/Quantity]],0)</f>
        <v>0</v>
      </c>
      <c r="L1666" s="49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9">
        <f>IFERROR(SUMIFS(Tabela10[Fod Worth],Tabela10[Drop],DropAnalityka[[#This Row],[Drop]],Tabela10[Grade],DropAnalityka[[#This Row],[Grade]])*DropAnalityka[[#This Row],[Quality/Quantity]],0)</f>
        <v>0</v>
      </c>
      <c r="L1667" s="49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9">
        <f>IFERROR(SUMIFS(Tabela10[Fod Worth],Tabela10[Drop],DropAnalityka[[#This Row],[Drop]],Tabela10[Grade],DropAnalityka[[#This Row],[Grade]])*DropAnalityka[[#This Row],[Quality/Quantity]],0)</f>
        <v>0</v>
      </c>
      <c r="L1668" s="49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9">
        <f>IFERROR(SUMIFS(Tabela10[Fod Worth],Tabela10[Drop],DropAnalityka[[#This Row],[Drop]],Tabela10[Grade],DropAnalityka[[#This Row],[Grade]])*DropAnalityka[[#This Row],[Quality/Quantity]],0)</f>
        <v>0</v>
      </c>
      <c r="L1669" s="49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9">
        <f>IFERROR(SUMIFS(Tabela10[Fod Worth],Tabela10[Drop],DropAnalityka[[#This Row],[Drop]],Tabela10[Grade],DropAnalityka[[#This Row],[Grade]])*DropAnalityka[[#This Row],[Quality/Quantity]],0)</f>
        <v>0</v>
      </c>
      <c r="L1670" s="49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9">
        <f>IFERROR(SUMIFS(Tabela10[Fod Worth],Tabela10[Drop],DropAnalityka[[#This Row],[Drop]],Tabela10[Grade],DropAnalityka[[#This Row],[Grade]])*DropAnalityka[[#This Row],[Quality/Quantity]],0)</f>
        <v>0</v>
      </c>
      <c r="L1671" s="49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9">
        <f>IFERROR(SUMIFS(Tabela10[Fod Worth],Tabela10[Drop],DropAnalityka[[#This Row],[Drop]],Tabela10[Grade],DropAnalityka[[#This Row],[Grade]])*DropAnalityka[[#This Row],[Quality/Quantity]],0)</f>
        <v>0</v>
      </c>
      <c r="L1672" s="49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9">
        <f>IFERROR(SUMIFS(Tabela10[Fod Worth],Tabela10[Drop],DropAnalityka[[#This Row],[Drop]],Tabela10[Grade],DropAnalityka[[#This Row],[Grade]])*DropAnalityka[[#This Row],[Quality/Quantity]],0)</f>
        <v>0</v>
      </c>
      <c r="L1673" s="49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9">
        <f>IFERROR(SUMIFS(Tabela10[Fod Worth],Tabela10[Drop],DropAnalityka[[#This Row],[Drop]],Tabela10[Grade],DropAnalityka[[#This Row],[Grade]])*DropAnalityka[[#This Row],[Quality/Quantity]],0)</f>
        <v>0</v>
      </c>
      <c r="L1674" s="49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9">
        <f>IFERROR(SUMIFS(Tabela10[Fod Worth],Tabela10[Drop],DropAnalityka[[#This Row],[Drop]],Tabela10[Grade],DropAnalityka[[#This Row],[Grade]])*DropAnalityka[[#This Row],[Quality/Quantity]],0)</f>
        <v>0</v>
      </c>
      <c r="L1675" s="49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9">
        <f>IFERROR(SUMIFS(Tabela10[Fod Worth],Tabela10[Drop],DropAnalityka[[#This Row],[Drop]],Tabela10[Grade],DropAnalityka[[#This Row],[Grade]])*DropAnalityka[[#This Row],[Quality/Quantity]],0)</f>
        <v>0</v>
      </c>
      <c r="L1676" s="49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9">
        <f>IFERROR(SUMIFS(Tabela10[Fod Worth],Tabela10[Drop],DropAnalityka[[#This Row],[Drop]],Tabela10[Grade],DropAnalityka[[#This Row],[Grade]])*DropAnalityka[[#This Row],[Quality/Quantity]],0)</f>
        <v>0</v>
      </c>
      <c r="L1677" s="49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9">
        <f>IFERROR(SUMIFS(Tabela10[Fod Worth],Tabela10[Drop],DropAnalityka[[#This Row],[Drop]],Tabela10[Grade],DropAnalityka[[#This Row],[Grade]])*DropAnalityka[[#This Row],[Quality/Quantity]],0)</f>
        <v>0</v>
      </c>
      <c r="L1678" s="49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9">
        <f>IFERROR(SUMIFS(Tabela10[Fod Worth],Tabela10[Drop],DropAnalityka[[#This Row],[Drop]],Tabela10[Grade],DropAnalityka[[#This Row],[Grade]])*DropAnalityka[[#This Row],[Quality/Quantity]],0)</f>
        <v>0</v>
      </c>
      <c r="L1679" s="49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9">
        <f>IFERROR(SUMIFS(Tabela10[Fod Worth],Tabela10[Drop],DropAnalityka[[#This Row],[Drop]],Tabela10[Grade],DropAnalityka[[#This Row],[Grade]])*DropAnalityka[[#This Row],[Quality/Quantity]],0)</f>
        <v>0</v>
      </c>
      <c r="L1680" s="49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9">
        <f>IFERROR(SUMIFS(Tabela10[Fod Worth],Tabela10[Drop],DropAnalityka[[#This Row],[Drop]],Tabela10[Grade],DropAnalityka[[#This Row],[Grade]])*DropAnalityka[[#This Row],[Quality/Quantity]],0)</f>
        <v>0</v>
      </c>
      <c r="L1681" s="49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9">
        <f>IFERROR(SUMIFS(Tabela10[Fod Worth],Tabela10[Drop],DropAnalityka[[#This Row],[Drop]],Tabela10[Grade],DropAnalityka[[#This Row],[Grade]])*DropAnalityka[[#This Row],[Quality/Quantity]],0)</f>
        <v>0</v>
      </c>
      <c r="L1682" s="49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9">
        <f>IFERROR(SUMIFS(Tabela10[Fod Worth],Tabela10[Drop],DropAnalityka[[#This Row],[Drop]],Tabela10[Grade],DropAnalityka[[#This Row],[Grade]])*DropAnalityka[[#This Row],[Quality/Quantity]],0)</f>
        <v>0</v>
      </c>
      <c r="L1683" s="49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9">
        <f>IFERROR(SUMIFS(Tabela10[Fod Worth],Tabela10[Drop],DropAnalityka[[#This Row],[Drop]],Tabela10[Grade],DropAnalityka[[#This Row],[Grade]])*DropAnalityka[[#This Row],[Quality/Quantity]],0)</f>
        <v>0</v>
      </c>
      <c r="L1684" s="49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9">
        <f>IFERROR(SUMIFS(Tabela10[Fod Worth],Tabela10[Drop],DropAnalityka[[#This Row],[Drop]],Tabela10[Grade],DropAnalityka[[#This Row],[Grade]])*DropAnalityka[[#This Row],[Quality/Quantity]],0)</f>
        <v>0</v>
      </c>
      <c r="L1685" s="49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9">
        <f>IFERROR(SUMIFS(Tabela10[Fod Worth],Tabela10[Drop],DropAnalityka[[#This Row],[Drop]],Tabela10[Grade],DropAnalityka[[#This Row],[Grade]])*DropAnalityka[[#This Row],[Quality/Quantity]],0)</f>
        <v>0</v>
      </c>
      <c r="L1686" s="49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9">
        <f>IFERROR(SUMIFS(Tabela10[Fod Worth],Tabela10[Drop],DropAnalityka[[#This Row],[Drop]],Tabela10[Grade],DropAnalityka[[#This Row],[Grade]])*DropAnalityka[[#This Row],[Quality/Quantity]],0)</f>
        <v>0</v>
      </c>
      <c r="L1687" s="49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9">
        <f>IFERROR(SUMIFS(Tabela10[Fod Worth],Tabela10[Drop],DropAnalityka[[#This Row],[Drop]],Tabela10[Grade],DropAnalityka[[#This Row],[Grade]])*DropAnalityka[[#This Row],[Quality/Quantity]],0)</f>
        <v>0</v>
      </c>
      <c r="L1688" s="49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9">
        <f>IFERROR(SUMIFS(Tabela10[Fod Worth],Tabela10[Drop],DropAnalityka[[#This Row],[Drop]],Tabela10[Grade],DropAnalityka[[#This Row],[Grade]])*DropAnalityka[[#This Row],[Quality/Quantity]],0)</f>
        <v>0</v>
      </c>
      <c r="L1689" s="49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9">
        <f>IFERROR(SUMIFS(Tabela10[Fod Worth],Tabela10[Drop],DropAnalityka[[#This Row],[Drop]],Tabela10[Grade],DropAnalityka[[#This Row],[Grade]])*DropAnalityka[[#This Row],[Quality/Quantity]],0)</f>
        <v>0</v>
      </c>
      <c r="L1690" s="49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9">
        <f>IFERROR(SUMIFS(Tabela10[Fod Worth],Tabela10[Drop],DropAnalityka[[#This Row],[Drop]],Tabela10[Grade],DropAnalityka[[#This Row],[Grade]])*DropAnalityka[[#This Row],[Quality/Quantity]],0)</f>
        <v>0</v>
      </c>
      <c r="L1691" s="49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9">
        <f>IFERROR(SUMIFS(Tabela10[Fod Worth],Tabela10[Drop],DropAnalityka[[#This Row],[Drop]],Tabela10[Grade],DropAnalityka[[#This Row],[Grade]])*DropAnalityka[[#This Row],[Quality/Quantity]],0)</f>
        <v>0</v>
      </c>
      <c r="L1692" s="49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9">
        <f>IFERROR(SUMIFS(Tabela10[Fod Worth],Tabela10[Drop],DropAnalityka[[#This Row],[Drop]],Tabela10[Grade],DropAnalityka[[#This Row],[Grade]])*DropAnalityka[[#This Row],[Quality/Quantity]],0)</f>
        <v>0</v>
      </c>
      <c r="L1693" s="49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9">
        <f>IFERROR(SUMIFS(Tabela10[Fod Worth],Tabela10[Drop],DropAnalityka[[#This Row],[Drop]],Tabela10[Grade],DropAnalityka[[#This Row],[Grade]])*DropAnalityka[[#This Row],[Quality/Quantity]],0)</f>
        <v>0</v>
      </c>
      <c r="L1694" s="49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9">
        <f>IFERROR(SUMIFS(Tabela10[Fod Worth],Tabela10[Drop],DropAnalityka[[#This Row],[Drop]],Tabela10[Grade],DropAnalityka[[#This Row],[Grade]])*DropAnalityka[[#This Row],[Quality/Quantity]],0)</f>
        <v>0</v>
      </c>
      <c r="L1695" s="49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9">
        <f>IFERROR(SUMIFS(Tabela10[Fod Worth],Tabela10[Drop],DropAnalityka[[#This Row],[Drop]],Tabela10[Grade],DropAnalityka[[#This Row],[Grade]])*DropAnalityka[[#This Row],[Quality/Quantity]],0)</f>
        <v>0</v>
      </c>
      <c r="L1696" s="49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9">
        <f>IFERROR(SUMIFS(Tabela10[Fod Worth],Tabela10[Drop],DropAnalityka[[#This Row],[Drop]],Tabela10[Grade],DropAnalityka[[#This Row],[Grade]])*DropAnalityka[[#This Row],[Quality/Quantity]],0)</f>
        <v>0</v>
      </c>
      <c r="L1697" s="49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9">
        <f>IFERROR(SUMIFS(Tabela10[Fod Worth],Tabela10[Drop],DropAnalityka[[#This Row],[Drop]],Tabela10[Grade],DropAnalityka[[#This Row],[Grade]])*DropAnalityka[[#This Row],[Quality/Quantity]],0)</f>
        <v>0</v>
      </c>
      <c r="L1698" s="49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9">
        <f>IFERROR(SUMIFS(Tabela10[Fod Worth],Tabela10[Drop],DropAnalityka[[#This Row],[Drop]],Tabela10[Grade],DropAnalityka[[#This Row],[Grade]])*DropAnalityka[[#This Row],[Quality/Quantity]],0)</f>
        <v>0</v>
      </c>
      <c r="L1699" s="49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9">
        <f>IFERROR(SUMIFS(Tabela10[Fod Worth],Tabela10[Drop],DropAnalityka[[#This Row],[Drop]],Tabela10[Grade],DropAnalityka[[#This Row],[Grade]])*DropAnalityka[[#This Row],[Quality/Quantity]],0)</f>
        <v>0</v>
      </c>
      <c r="L1700" s="49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9">
        <f>IFERROR(SUMIFS(Tabela10[Fod Worth],Tabela10[Drop],DropAnalityka[[#This Row],[Drop]],Tabela10[Grade],DropAnalityka[[#This Row],[Grade]])*DropAnalityka[[#This Row],[Quality/Quantity]],0)</f>
        <v>0</v>
      </c>
      <c r="L1701" s="49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9">
        <f>IFERROR(SUMIFS(Tabela10[Fod Worth],Tabela10[Drop],DropAnalityka[[#This Row],[Drop]],Tabela10[Grade],DropAnalityka[[#This Row],[Grade]])*DropAnalityka[[#This Row],[Quality/Quantity]],0)</f>
        <v>0</v>
      </c>
      <c r="L1702" s="49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9">
        <f>IFERROR(SUMIFS(Tabela10[Fod Worth],Tabela10[Drop],DropAnalityka[[#This Row],[Drop]],Tabela10[Grade],DropAnalityka[[#This Row],[Grade]])*DropAnalityka[[#This Row],[Quality/Quantity]],0)</f>
        <v>0</v>
      </c>
      <c r="L1703" s="49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9">
        <f>IFERROR(SUMIFS(Tabela10[Fod Worth],Tabela10[Drop],DropAnalityka[[#This Row],[Drop]],Tabela10[Grade],DropAnalityka[[#This Row],[Grade]])*DropAnalityka[[#This Row],[Quality/Quantity]],0)</f>
        <v>0</v>
      </c>
      <c r="L1704" s="49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9">
        <f>IFERROR(SUMIFS(Tabela10[Fod Worth],Tabela10[Drop],DropAnalityka[[#This Row],[Drop]],Tabela10[Grade],DropAnalityka[[#This Row],[Grade]])*DropAnalityka[[#This Row],[Quality/Quantity]],0)</f>
        <v>0</v>
      </c>
      <c r="L1705" s="49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9">
        <f>IFERROR(SUMIFS(Tabela10[Fod Worth],Tabela10[Drop],DropAnalityka[[#This Row],[Drop]],Tabela10[Grade],DropAnalityka[[#This Row],[Grade]])*DropAnalityka[[#This Row],[Quality/Quantity]],0)</f>
        <v>0</v>
      </c>
      <c r="L1706" s="49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9">
        <f>IFERROR(SUMIFS(Tabela10[Fod Worth],Tabela10[Drop],DropAnalityka[[#This Row],[Drop]],Tabela10[Grade],DropAnalityka[[#This Row],[Grade]])*DropAnalityka[[#This Row],[Quality/Quantity]],0)</f>
        <v>0</v>
      </c>
      <c r="L1707" s="49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9">
        <f>IFERROR(SUMIFS(Tabela10[Fod Worth],Tabela10[Drop],DropAnalityka[[#This Row],[Drop]],Tabela10[Grade],DropAnalityka[[#This Row],[Grade]])*DropAnalityka[[#This Row],[Quality/Quantity]],0)</f>
        <v>0</v>
      </c>
      <c r="L1708" s="49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9">
        <f>IFERROR(SUMIFS(Tabela10[Fod Worth],Tabela10[Drop],DropAnalityka[[#This Row],[Drop]],Tabela10[Grade],DropAnalityka[[#This Row],[Grade]])*DropAnalityka[[#This Row],[Quality/Quantity]],0)</f>
        <v>0</v>
      </c>
      <c r="L1709" s="49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9">
        <f>IFERROR(SUMIFS(Tabela10[Fod Worth],Tabela10[Drop],DropAnalityka[[#This Row],[Drop]],Tabela10[Grade],DropAnalityka[[#This Row],[Grade]])*DropAnalityka[[#This Row],[Quality/Quantity]],0)</f>
        <v>0</v>
      </c>
      <c r="L1710" s="49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9">
        <f>IFERROR(SUMIFS(Tabela10[Fod Worth],Tabela10[Drop],DropAnalityka[[#This Row],[Drop]],Tabela10[Grade],DropAnalityka[[#This Row],[Grade]])*DropAnalityka[[#This Row],[Quality/Quantity]],0)</f>
        <v>0</v>
      </c>
      <c r="L1711" s="49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9">
        <f>IFERROR(SUMIFS(Tabela10[Fod Worth],Tabela10[Drop],DropAnalityka[[#This Row],[Drop]],Tabela10[Grade],DropAnalityka[[#This Row],[Grade]])*DropAnalityka[[#This Row],[Quality/Quantity]],0)</f>
        <v>0</v>
      </c>
      <c r="L1712" s="49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9">
        <f>IFERROR(SUMIFS(Tabela10[Fod Worth],Tabela10[Drop],DropAnalityka[[#This Row],[Drop]],Tabela10[Grade],DropAnalityka[[#This Row],[Grade]])*DropAnalityka[[#This Row],[Quality/Quantity]],0)</f>
        <v>0</v>
      </c>
      <c r="L1713" s="49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9">
        <f>IFERROR(SUMIFS(Tabela10[Fod Worth],Tabela10[Drop],DropAnalityka[[#This Row],[Drop]],Tabela10[Grade],DropAnalityka[[#This Row],[Grade]])*DropAnalityka[[#This Row],[Quality/Quantity]],0)</f>
        <v>0</v>
      </c>
      <c r="L1714" s="49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9">
        <f>IFERROR(SUMIFS(Tabela10[Fod Worth],Tabela10[Drop],DropAnalityka[[#This Row],[Drop]],Tabela10[Grade],DropAnalityka[[#This Row],[Grade]])*DropAnalityka[[#This Row],[Quality/Quantity]],0)</f>
        <v>0</v>
      </c>
      <c r="L1715" s="49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9">
        <f>IFERROR(SUMIFS(Tabela10[Fod Worth],Tabela10[Drop],DropAnalityka[[#This Row],[Drop]],Tabela10[Grade],DropAnalityka[[#This Row],[Grade]])*DropAnalityka[[#This Row],[Quality/Quantity]],0)</f>
        <v>0</v>
      </c>
      <c r="L1716" s="49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9">
        <f>IFERROR(SUMIFS(Tabela10[Fod Worth],Tabela10[Drop],DropAnalityka[[#This Row],[Drop]],Tabela10[Grade],DropAnalityka[[#This Row],[Grade]])*DropAnalityka[[#This Row],[Quality/Quantity]],0)</f>
        <v>0</v>
      </c>
      <c r="L1717" s="49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9">
        <f>IFERROR(SUMIFS(Tabela10[Fod Worth],Tabela10[Drop],DropAnalityka[[#This Row],[Drop]],Tabela10[Grade],DropAnalityka[[#This Row],[Grade]])*DropAnalityka[[#This Row],[Quality/Quantity]],0)</f>
        <v>0</v>
      </c>
      <c r="L1718" s="49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9">
        <f>IFERROR(SUMIFS(Tabela10[Fod Worth],Tabela10[Drop],DropAnalityka[[#This Row],[Drop]],Tabela10[Grade],DropAnalityka[[#This Row],[Grade]])*DropAnalityka[[#This Row],[Quality/Quantity]],0)</f>
        <v>0</v>
      </c>
      <c r="L1719" s="49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9">
        <f>IFERROR(SUMIFS(Tabela10[Fod Worth],Tabela10[Drop],DropAnalityka[[#This Row],[Drop]],Tabela10[Grade],DropAnalityka[[#This Row],[Grade]])*DropAnalityka[[#This Row],[Quality/Quantity]],0)</f>
        <v>0</v>
      </c>
      <c r="L1720" s="49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9">
        <f>IFERROR(SUMIFS(Tabela10[Fod Worth],Tabela10[Drop],DropAnalityka[[#This Row],[Drop]],Tabela10[Grade],DropAnalityka[[#This Row],[Grade]])*DropAnalityka[[#This Row],[Quality/Quantity]],0)</f>
        <v>0</v>
      </c>
      <c r="L1721" s="49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9">
        <f>IFERROR(SUMIFS(Tabela10[Fod Worth],Tabela10[Drop],DropAnalityka[[#This Row],[Drop]],Tabela10[Grade],DropAnalityka[[#This Row],[Grade]])*DropAnalityka[[#This Row],[Quality/Quantity]],0)</f>
        <v>0</v>
      </c>
      <c r="L1722" s="49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9">
        <f>IFERROR(SUMIFS(Tabela10[Fod Worth],Tabela10[Drop],DropAnalityka[[#This Row],[Drop]],Tabela10[Grade],DropAnalityka[[#This Row],[Grade]])*DropAnalityka[[#This Row],[Quality/Quantity]],0)</f>
        <v>0</v>
      </c>
      <c r="L1723" s="49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9">
        <f>IFERROR(SUMIFS(Tabela10[Fod Worth],Tabela10[Drop],DropAnalityka[[#This Row],[Drop]],Tabela10[Grade],DropAnalityka[[#This Row],[Grade]])*DropAnalityka[[#This Row],[Quality/Quantity]],0)</f>
        <v>0</v>
      </c>
      <c r="L1724" s="49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9">
        <f>IFERROR(SUMIFS(Tabela10[Fod Worth],Tabela10[Drop],DropAnalityka[[#This Row],[Drop]],Tabela10[Grade],DropAnalityka[[#This Row],[Grade]])*DropAnalityka[[#This Row],[Quality/Quantity]],0)</f>
        <v>0</v>
      </c>
      <c r="L1725" s="49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9">
        <f>IFERROR(SUMIFS(Tabela10[Fod Worth],Tabela10[Drop],DropAnalityka[[#This Row],[Drop]],Tabela10[Grade],DropAnalityka[[#This Row],[Grade]])*DropAnalityka[[#This Row],[Quality/Quantity]],0)</f>
        <v>0</v>
      </c>
      <c r="L1726" s="49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9">
        <f>IFERROR(SUMIFS(Tabela10[Fod Worth],Tabela10[Drop],DropAnalityka[[#This Row],[Drop]],Tabela10[Grade],DropAnalityka[[#This Row],[Grade]])*DropAnalityka[[#This Row],[Quality/Quantity]],0)</f>
        <v>0</v>
      </c>
      <c r="L1727" s="49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9">
        <f>IFERROR(SUMIFS(Tabela10[Fod Worth],Tabela10[Drop],DropAnalityka[[#This Row],[Drop]],Tabela10[Grade],DropAnalityka[[#This Row],[Grade]])*DropAnalityka[[#This Row],[Quality/Quantity]],0)</f>
        <v>0</v>
      </c>
      <c r="L1728" s="49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9">
        <f>IFERROR(SUMIFS(Tabela10[Fod Worth],Tabela10[Drop],DropAnalityka[[#This Row],[Drop]],Tabela10[Grade],DropAnalityka[[#This Row],[Grade]])*DropAnalityka[[#This Row],[Quality/Quantity]],0)</f>
        <v>0</v>
      </c>
      <c r="L1729" s="49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9">
        <f>IFERROR(SUMIFS(Tabela10[Fod Worth],Tabela10[Drop],DropAnalityka[[#This Row],[Drop]],Tabela10[Grade],DropAnalityka[[#This Row],[Grade]])*DropAnalityka[[#This Row],[Quality/Quantity]],0)</f>
        <v>0</v>
      </c>
      <c r="L1730" s="49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9">
        <f>IFERROR(SUMIFS(Tabela10[Fod Worth],Tabela10[Drop],DropAnalityka[[#This Row],[Drop]],Tabela10[Grade],DropAnalityka[[#This Row],[Grade]])*DropAnalityka[[#This Row],[Quality/Quantity]],0)</f>
        <v>0</v>
      </c>
      <c r="L1731" s="49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9">
        <f>IFERROR(SUMIFS(Tabela10[Fod Worth],Tabela10[Drop],DropAnalityka[[#This Row],[Drop]],Tabela10[Grade],DropAnalityka[[#This Row],[Grade]])*DropAnalityka[[#This Row],[Quality/Quantity]],0)</f>
        <v>0</v>
      </c>
      <c r="L1732" s="49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9">
        <f>IFERROR(SUMIFS(Tabela10[Fod Worth],Tabela10[Drop],DropAnalityka[[#This Row],[Drop]],Tabela10[Grade],DropAnalityka[[#This Row],[Grade]])*DropAnalityka[[#This Row],[Quality/Quantity]],0)</f>
        <v>0</v>
      </c>
      <c r="L1733" s="49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9">
        <f>IFERROR(SUMIFS(Tabela10[Fod Worth],Tabela10[Drop],DropAnalityka[[#This Row],[Drop]],Tabela10[Grade],DropAnalityka[[#This Row],[Grade]])*DropAnalityka[[#This Row],[Quality/Quantity]],0)</f>
        <v>0</v>
      </c>
      <c r="L1734" s="49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9">
        <f>IFERROR(SUMIFS(Tabela10[Fod Worth],Tabela10[Drop],DropAnalityka[[#This Row],[Drop]],Tabela10[Grade],DropAnalityka[[#This Row],[Grade]])*DropAnalityka[[#This Row],[Quality/Quantity]],0)</f>
        <v>0</v>
      </c>
      <c r="L1735" s="49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9">
        <f>IFERROR(SUMIFS(Tabela10[Fod Worth],Tabela10[Drop],DropAnalityka[[#This Row],[Drop]],Tabela10[Grade],DropAnalityka[[#This Row],[Grade]])*DropAnalityka[[#This Row],[Quality/Quantity]],0)</f>
        <v>0</v>
      </c>
      <c r="L1736" s="49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9">
        <f>IFERROR(SUMIFS(Tabela10[Fod Worth],Tabela10[Drop],DropAnalityka[[#This Row],[Drop]],Tabela10[Grade],DropAnalityka[[#This Row],[Grade]])*DropAnalityka[[#This Row],[Quality/Quantity]],0)</f>
        <v>0</v>
      </c>
      <c r="L1737" s="49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9">
        <f>IFERROR(SUMIFS(Tabela10[Fod Worth],Tabela10[Drop],DropAnalityka[[#This Row],[Drop]],Tabela10[Grade],DropAnalityka[[#This Row],[Grade]])*DropAnalityka[[#This Row],[Quality/Quantity]],0)</f>
        <v>0</v>
      </c>
      <c r="L1738" s="49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9">
        <f>IFERROR(SUMIFS(Tabela10[Fod Worth],Tabela10[Drop],DropAnalityka[[#This Row],[Drop]],Tabela10[Grade],DropAnalityka[[#This Row],[Grade]])*DropAnalityka[[#This Row],[Quality/Quantity]],0)</f>
        <v>0</v>
      </c>
      <c r="L1739" s="49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9">
        <f>IFERROR(SUMIFS(Tabela10[Fod Worth],Tabela10[Drop],DropAnalityka[[#This Row],[Drop]],Tabela10[Grade],DropAnalityka[[#This Row],[Grade]])*DropAnalityka[[#This Row],[Quality/Quantity]],0)</f>
        <v>0</v>
      </c>
      <c r="L1740" s="49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9">
        <f>IFERROR(SUMIFS(Tabela10[Fod Worth],Tabela10[Drop],DropAnalityka[[#This Row],[Drop]],Tabela10[Grade],DropAnalityka[[#This Row],[Grade]])*DropAnalityka[[#This Row],[Quality/Quantity]],0)</f>
        <v>0</v>
      </c>
      <c r="L1741" s="49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9">
        <f>IFERROR(SUMIFS(Tabela10[Fod Worth],Tabela10[Drop],DropAnalityka[[#This Row],[Drop]],Tabela10[Grade],DropAnalityka[[#This Row],[Grade]])*DropAnalityka[[#This Row],[Quality/Quantity]],0)</f>
        <v>0</v>
      </c>
      <c r="L1742" s="49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9">
        <f>IFERROR(SUMIFS(Tabela10[Fod Worth],Tabela10[Drop],DropAnalityka[[#This Row],[Drop]],Tabela10[Grade],DropAnalityka[[#This Row],[Grade]])*DropAnalityka[[#This Row],[Quality/Quantity]],0)</f>
        <v>0</v>
      </c>
      <c r="L1743" s="49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9">
        <f>IFERROR(SUMIFS(Tabela10[Fod Worth],Tabela10[Drop],DropAnalityka[[#This Row],[Drop]],Tabela10[Grade],DropAnalityka[[#This Row],[Grade]])*DropAnalityka[[#This Row],[Quality/Quantity]],0)</f>
        <v>0</v>
      </c>
      <c r="L1744" s="49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9">
        <f>IFERROR(SUMIFS(Tabela10[Fod Worth],Tabela10[Drop],DropAnalityka[[#This Row],[Drop]],Tabela10[Grade],DropAnalityka[[#This Row],[Grade]])*DropAnalityka[[#This Row],[Quality/Quantity]],0)</f>
        <v>0</v>
      </c>
      <c r="L1745" s="49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9">
        <f>IFERROR(SUMIFS(Tabela10[Fod Worth],Tabela10[Drop],DropAnalityka[[#This Row],[Drop]],Tabela10[Grade],DropAnalityka[[#This Row],[Grade]])*DropAnalityka[[#This Row],[Quality/Quantity]],0)</f>
        <v>0</v>
      </c>
      <c r="L1746" s="49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9">
        <f>IFERROR(SUMIFS(Tabela10[Fod Worth],Tabela10[Drop],DropAnalityka[[#This Row],[Drop]],Tabela10[Grade],DropAnalityka[[#This Row],[Grade]])*DropAnalityka[[#This Row],[Quality/Quantity]],0)</f>
        <v>0</v>
      </c>
      <c r="L1747" s="49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9">
        <f>IFERROR(SUMIFS(Tabela10[Fod Worth],Tabela10[Drop],DropAnalityka[[#This Row],[Drop]],Tabela10[Grade],DropAnalityka[[#This Row],[Grade]])*DropAnalityka[[#This Row],[Quality/Quantity]],0)</f>
        <v>0</v>
      </c>
      <c r="L1748" s="49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9">
        <f>IFERROR(SUMIFS(Tabela10[Fod Worth],Tabela10[Drop],DropAnalityka[[#This Row],[Drop]],Tabela10[Grade],DropAnalityka[[#This Row],[Grade]])*DropAnalityka[[#This Row],[Quality/Quantity]],0)</f>
        <v>0</v>
      </c>
      <c r="L1749" s="49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9">
        <f>IFERROR(SUMIFS(Tabela10[Fod Worth],Tabela10[Drop],DropAnalityka[[#This Row],[Drop]],Tabela10[Grade],DropAnalityka[[#This Row],[Grade]])*DropAnalityka[[#This Row],[Quality/Quantity]],0)</f>
        <v>0</v>
      </c>
      <c r="L1750" s="49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9">
        <f>IFERROR(SUMIFS(Tabela10[Fod Worth],Tabela10[Drop],DropAnalityka[[#This Row],[Drop]],Tabela10[Grade],DropAnalityka[[#This Row],[Grade]])*DropAnalityka[[#This Row],[Quality/Quantity]],0)</f>
        <v>0</v>
      </c>
      <c r="L1751" s="49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9">
        <f>IFERROR(SUMIFS(Tabela10[Fod Worth],Tabela10[Drop],DropAnalityka[[#This Row],[Drop]],Tabela10[Grade],DropAnalityka[[#This Row],[Grade]])*DropAnalityka[[#This Row],[Quality/Quantity]],0)</f>
        <v>0</v>
      </c>
      <c r="L1752" s="49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9">
        <f>IFERROR(SUMIFS(Tabela10[Fod Worth],Tabela10[Drop],DropAnalityka[[#This Row],[Drop]],Tabela10[Grade],DropAnalityka[[#This Row],[Grade]])*DropAnalityka[[#This Row],[Quality/Quantity]],0)</f>
        <v>0</v>
      </c>
      <c r="L1753" s="49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9">
        <f>IFERROR(SUMIFS(Tabela10[Fod Worth],Tabela10[Drop],DropAnalityka[[#This Row],[Drop]],Tabela10[Grade],DropAnalityka[[#This Row],[Grade]])*DropAnalityka[[#This Row],[Quality/Quantity]],0)</f>
        <v>0</v>
      </c>
      <c r="L1754" s="49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9">
        <f>IFERROR(SUMIFS(Tabela10[Fod Worth],Tabela10[Drop],DropAnalityka[[#This Row],[Drop]],Tabela10[Grade],DropAnalityka[[#This Row],[Grade]])*DropAnalityka[[#This Row],[Quality/Quantity]],0)</f>
        <v>0</v>
      </c>
      <c r="L1755" s="49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9">
        <f>IFERROR(SUMIFS(Tabela10[Fod Worth],Tabela10[Drop],DropAnalityka[[#This Row],[Drop]],Tabela10[Grade],DropAnalityka[[#This Row],[Grade]])*DropAnalityka[[#This Row],[Quality/Quantity]],0)</f>
        <v>0</v>
      </c>
      <c r="L1756" s="49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9">
        <f>IFERROR(SUMIFS(Tabela10[Fod Worth],Tabela10[Drop],DropAnalityka[[#This Row],[Drop]],Tabela10[Grade],DropAnalityka[[#This Row],[Grade]])*DropAnalityka[[#This Row],[Quality/Quantity]],0)</f>
        <v>0</v>
      </c>
      <c r="L1757" s="49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9">
        <f>IFERROR(SUMIFS(Tabela10[Fod Worth],Tabela10[Drop],DropAnalityka[[#This Row],[Drop]],Tabela10[Grade],DropAnalityka[[#This Row],[Grade]])*DropAnalityka[[#This Row],[Quality/Quantity]],0)</f>
        <v>0</v>
      </c>
      <c r="L1758" s="49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9">
        <f>IFERROR(SUMIFS(Tabela10[Fod Worth],Tabela10[Drop],DropAnalityka[[#This Row],[Drop]],Tabela10[Grade],DropAnalityka[[#This Row],[Grade]])*DropAnalityka[[#This Row],[Quality/Quantity]],0)</f>
        <v>0</v>
      </c>
      <c r="L1759" s="49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9">
        <f>IFERROR(SUMIFS(Tabela10[Fod Worth],Tabela10[Drop],DropAnalityka[[#This Row],[Drop]],Tabela10[Grade],DropAnalityka[[#This Row],[Grade]])*DropAnalityka[[#This Row],[Quality/Quantity]],0)</f>
        <v>0</v>
      </c>
      <c r="L1760" s="49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9">
        <f>IFERROR(SUMIFS(Tabela10[Fod Worth],Tabela10[Drop],DropAnalityka[[#This Row],[Drop]],Tabela10[Grade],DropAnalityka[[#This Row],[Grade]])*DropAnalityka[[#This Row],[Quality/Quantity]],0)</f>
        <v>0</v>
      </c>
      <c r="L1761" s="49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9">
        <f>IFERROR(SUMIFS(Tabela10[Fod Worth],Tabela10[Drop],DropAnalityka[[#This Row],[Drop]],Tabela10[Grade],DropAnalityka[[#This Row],[Grade]])*DropAnalityka[[#This Row],[Quality/Quantity]],0)</f>
        <v>0</v>
      </c>
      <c r="L1762" s="49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9">
        <f>IFERROR(SUMIFS(Tabela10[Fod Worth],Tabela10[Drop],DropAnalityka[[#This Row],[Drop]],Tabela10[Grade],DropAnalityka[[#This Row],[Grade]])*DropAnalityka[[#This Row],[Quality/Quantity]],0)</f>
        <v>0</v>
      </c>
      <c r="L1763" s="49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9">
        <f>IFERROR(SUMIFS(Tabela10[Fod Worth],Tabela10[Drop],DropAnalityka[[#This Row],[Drop]],Tabela10[Grade],DropAnalityka[[#This Row],[Grade]])*DropAnalityka[[#This Row],[Quality/Quantity]],0)</f>
        <v>0</v>
      </c>
      <c r="L1764" s="49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9">
        <f>IFERROR(SUMIFS(Tabela10[Fod Worth],Tabela10[Drop],DropAnalityka[[#This Row],[Drop]],Tabela10[Grade],DropAnalityka[[#This Row],[Grade]])*DropAnalityka[[#This Row],[Quality/Quantity]],0)</f>
        <v>0</v>
      </c>
      <c r="L1765" s="49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9">
        <f>IFERROR(SUMIFS(Tabela10[Fod Worth],Tabela10[Drop],DropAnalityka[[#This Row],[Drop]],Tabela10[Grade],DropAnalityka[[#This Row],[Grade]])*DropAnalityka[[#This Row],[Quality/Quantity]],0)</f>
        <v>0</v>
      </c>
      <c r="L1766" s="49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9">
        <f>IFERROR(SUMIFS(Tabela10[Fod Worth],Tabela10[Drop],DropAnalityka[[#This Row],[Drop]],Tabela10[Grade],DropAnalityka[[#This Row],[Grade]])*DropAnalityka[[#This Row],[Quality/Quantity]],0)</f>
        <v>0</v>
      </c>
      <c r="L1767" s="49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9">
        <f>IFERROR(SUMIFS(Tabela10[Fod Worth],Tabela10[Drop],DropAnalityka[[#This Row],[Drop]],Tabela10[Grade],DropAnalityka[[#This Row],[Grade]])*DropAnalityka[[#This Row],[Quality/Quantity]],0)</f>
        <v>0</v>
      </c>
      <c r="L1768" s="49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9">
        <f>IFERROR(SUMIFS(Tabela10[Fod Worth],Tabela10[Drop],DropAnalityka[[#This Row],[Drop]],Tabela10[Grade],DropAnalityka[[#This Row],[Grade]])*DropAnalityka[[#This Row],[Quality/Quantity]],0)</f>
        <v>0</v>
      </c>
      <c r="L1769" s="49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9">
        <f>IFERROR(SUMIFS(Tabela10[Fod Worth],Tabela10[Drop],DropAnalityka[[#This Row],[Drop]],Tabela10[Grade],DropAnalityka[[#This Row],[Grade]])*DropAnalityka[[#This Row],[Quality/Quantity]],0)</f>
        <v>0</v>
      </c>
      <c r="L1770" s="49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9">
        <f>IFERROR(SUMIFS(Tabela10[Fod Worth],Tabela10[Drop],DropAnalityka[[#This Row],[Drop]],Tabela10[Grade],DropAnalityka[[#This Row],[Grade]])*DropAnalityka[[#This Row],[Quality/Quantity]],0)</f>
        <v>0</v>
      </c>
      <c r="L1771" s="49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9">
        <f>IFERROR(SUMIFS(Tabela10[Fod Worth],Tabela10[Drop],DropAnalityka[[#This Row],[Drop]],Tabela10[Grade],DropAnalityka[[#This Row],[Grade]])*DropAnalityka[[#This Row],[Quality/Quantity]],0)</f>
        <v>0</v>
      </c>
      <c r="L1772" s="49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9">
        <f>IFERROR(SUMIFS(Tabela10[Fod Worth],Tabela10[Drop],DropAnalityka[[#This Row],[Drop]],Tabela10[Grade],DropAnalityka[[#This Row],[Grade]])*DropAnalityka[[#This Row],[Quality/Quantity]],0)</f>
        <v>0</v>
      </c>
      <c r="L1773" s="49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9">
        <f>IFERROR(SUMIFS(Tabela10[Fod Worth],Tabela10[Drop],DropAnalityka[[#This Row],[Drop]],Tabela10[Grade],DropAnalityka[[#This Row],[Grade]])*DropAnalityka[[#This Row],[Quality/Quantity]],0)</f>
        <v>0</v>
      </c>
      <c r="L1774" s="49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9">
        <f>IFERROR(SUMIFS(Tabela10[Fod Worth],Tabela10[Drop],DropAnalityka[[#This Row],[Drop]],Tabela10[Grade],DropAnalityka[[#This Row],[Grade]])*DropAnalityka[[#This Row],[Quality/Quantity]],0)</f>
        <v>0</v>
      </c>
      <c r="L1775" s="49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9">
        <f>IFERROR(SUMIFS(Tabela10[Fod Worth],Tabela10[Drop],DropAnalityka[[#This Row],[Drop]],Tabela10[Grade],DropAnalityka[[#This Row],[Grade]])*DropAnalityka[[#This Row],[Quality/Quantity]],0)</f>
        <v>0</v>
      </c>
      <c r="L1776" s="49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9">
        <f>IFERROR(SUMIFS(Tabela10[Fod Worth],Tabela10[Drop],DropAnalityka[[#This Row],[Drop]],Tabela10[Grade],DropAnalityka[[#This Row],[Grade]])*DropAnalityka[[#This Row],[Quality/Quantity]],0)</f>
        <v>0</v>
      </c>
      <c r="L1777" s="49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9">
        <f>IFERROR(SUMIFS(Tabela10[Fod Worth],Tabela10[Drop],DropAnalityka[[#This Row],[Drop]],Tabela10[Grade],DropAnalityka[[#This Row],[Grade]])*DropAnalityka[[#This Row],[Quality/Quantity]],0)</f>
        <v>0</v>
      </c>
      <c r="L1778" s="49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9">
        <f>IFERROR(SUMIFS(Tabela10[Fod Worth],Tabela10[Drop],DropAnalityka[[#This Row],[Drop]],Tabela10[Grade],DropAnalityka[[#This Row],[Grade]])*DropAnalityka[[#This Row],[Quality/Quantity]],0)</f>
        <v>0</v>
      </c>
      <c r="L1779" s="49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9">
        <f>IFERROR(SUMIFS(Tabela10[Fod Worth],Tabela10[Drop],DropAnalityka[[#This Row],[Drop]],Tabela10[Grade],DropAnalityka[[#This Row],[Grade]])*DropAnalityka[[#This Row],[Quality/Quantity]],0)</f>
        <v>0</v>
      </c>
      <c r="L1780" s="49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9">
        <f>IFERROR(SUMIFS(Tabela10[Fod Worth],Tabela10[Drop],DropAnalityka[[#This Row],[Drop]],Tabela10[Grade],DropAnalityka[[#This Row],[Grade]])*DropAnalityka[[#This Row],[Quality/Quantity]],0)</f>
        <v>0</v>
      </c>
      <c r="L1781" s="49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9">
        <f>IFERROR(SUMIFS(Tabela10[Fod Worth],Tabela10[Drop],DropAnalityka[[#This Row],[Drop]],Tabela10[Grade],DropAnalityka[[#This Row],[Grade]])*DropAnalityka[[#This Row],[Quality/Quantity]],0)</f>
        <v>0</v>
      </c>
      <c r="L1782" s="49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9">
        <f>IFERROR(SUMIFS(Tabela10[Fod Worth],Tabela10[Drop],DropAnalityka[[#This Row],[Drop]],Tabela10[Grade],DropAnalityka[[#This Row],[Grade]])*DropAnalityka[[#This Row],[Quality/Quantity]],0)</f>
        <v>0</v>
      </c>
      <c r="L1783" s="49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9">
        <f>IFERROR(SUMIFS(Tabela10[Fod Worth],Tabela10[Drop],DropAnalityka[[#This Row],[Drop]],Tabela10[Grade],DropAnalityka[[#This Row],[Grade]])*DropAnalityka[[#This Row],[Quality/Quantity]],0)</f>
        <v>0</v>
      </c>
      <c r="L1784" s="49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9">
        <f>IFERROR(SUMIFS(Tabela10[Fod Worth],Tabela10[Drop],DropAnalityka[[#This Row],[Drop]],Tabela10[Grade],DropAnalityka[[#This Row],[Grade]])*DropAnalityka[[#This Row],[Quality/Quantity]],0)</f>
        <v>0</v>
      </c>
      <c r="L1785" s="49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9">
        <f>IFERROR(SUMIFS(Tabela10[Fod Worth],Tabela10[Drop],DropAnalityka[[#This Row],[Drop]],Tabela10[Grade],DropAnalityka[[#This Row],[Grade]])*DropAnalityka[[#This Row],[Quality/Quantity]],0)</f>
        <v>0</v>
      </c>
      <c r="L1786" s="49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9">
        <f>IFERROR(SUMIFS(Tabela10[Fod Worth],Tabela10[Drop],DropAnalityka[[#This Row],[Drop]],Tabela10[Grade],DropAnalityka[[#This Row],[Grade]])*DropAnalityka[[#This Row],[Quality/Quantity]],0)</f>
        <v>0</v>
      </c>
      <c r="L1787" s="49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9">
        <f>IFERROR(SUMIFS(Tabela10[Fod Worth],Tabela10[Drop],DropAnalityka[[#This Row],[Drop]],Tabela10[Grade],DropAnalityka[[#This Row],[Grade]])*DropAnalityka[[#This Row],[Quality/Quantity]],0)</f>
        <v>0</v>
      </c>
      <c r="L1788" s="49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9">
        <f>IFERROR(SUMIFS(Tabela10[Fod Worth],Tabela10[Drop],DropAnalityka[[#This Row],[Drop]],Tabela10[Grade],DropAnalityka[[#This Row],[Grade]])*DropAnalityka[[#This Row],[Quality/Quantity]],0)</f>
        <v>0</v>
      </c>
      <c r="L1789" s="49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9">
        <f>IFERROR(SUMIFS(Tabela10[Fod Worth],Tabela10[Drop],DropAnalityka[[#This Row],[Drop]],Tabela10[Grade],DropAnalityka[[#This Row],[Grade]])*DropAnalityka[[#This Row],[Quality/Quantity]],0)</f>
        <v>0</v>
      </c>
      <c r="L1790" s="49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9">
        <f>IFERROR(SUMIFS(Tabela10[Fod Worth],Tabela10[Drop],DropAnalityka[[#This Row],[Drop]],Tabela10[Grade],DropAnalityka[[#This Row],[Grade]])*DropAnalityka[[#This Row],[Quality/Quantity]],0)</f>
        <v>0</v>
      </c>
      <c r="L1791" s="49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9">
        <f>IFERROR(SUMIFS(Tabela10[Fod Worth],Tabela10[Drop],DropAnalityka[[#This Row],[Drop]],Tabela10[Grade],DropAnalityka[[#This Row],[Grade]])*DropAnalityka[[#This Row],[Quality/Quantity]],0)</f>
        <v>0</v>
      </c>
      <c r="L1792" s="49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9">
        <f>IFERROR(SUMIFS(Tabela10[Fod Worth],Tabela10[Drop],DropAnalityka[[#This Row],[Drop]],Tabela10[Grade],DropAnalityka[[#This Row],[Grade]])*DropAnalityka[[#This Row],[Quality/Quantity]],0)</f>
        <v>0</v>
      </c>
      <c r="L1793" s="49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9">
        <f>IFERROR(SUMIFS(Tabela10[Fod Worth],Tabela10[Drop],DropAnalityka[[#This Row],[Drop]],Tabela10[Grade],DropAnalityka[[#This Row],[Grade]])*DropAnalityka[[#This Row],[Quality/Quantity]],0)</f>
        <v>0</v>
      </c>
      <c r="L1794" s="49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9">
        <f>IFERROR(SUMIFS(Tabela10[Fod Worth],Tabela10[Drop],DropAnalityka[[#This Row],[Drop]],Tabela10[Grade],DropAnalityka[[#This Row],[Grade]])*DropAnalityka[[#This Row],[Quality/Quantity]],0)</f>
        <v>0</v>
      </c>
      <c r="L1795" s="49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9">
        <f>IFERROR(SUMIFS(Tabela10[Fod Worth],Tabela10[Drop],DropAnalityka[[#This Row],[Drop]],Tabela10[Grade],DropAnalityka[[#This Row],[Grade]])*DropAnalityka[[#This Row],[Quality/Quantity]],0)</f>
        <v>0</v>
      </c>
      <c r="L1796" s="49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9">
        <f>IFERROR(SUMIFS(Tabela10[Fod Worth],Tabela10[Drop],DropAnalityka[[#This Row],[Drop]],Tabela10[Grade],DropAnalityka[[#This Row],[Grade]])*DropAnalityka[[#This Row],[Quality/Quantity]],0)</f>
        <v>0</v>
      </c>
      <c r="L1797" s="49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9">
        <f>IFERROR(SUMIFS(Tabela10[Fod Worth],Tabela10[Drop],DropAnalityka[[#This Row],[Drop]],Tabela10[Grade],DropAnalityka[[#This Row],[Grade]])*DropAnalityka[[#This Row],[Quality/Quantity]],0)</f>
        <v>0</v>
      </c>
      <c r="L1798" s="49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9">
        <f>IFERROR(SUMIFS(Tabela10[Fod Worth],Tabela10[Drop],DropAnalityka[[#This Row],[Drop]],Tabela10[Grade],DropAnalityka[[#This Row],[Grade]])*DropAnalityka[[#This Row],[Quality/Quantity]],0)</f>
        <v>0</v>
      </c>
      <c r="L1799" s="49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9">
        <f>IFERROR(SUMIFS(Tabela10[Fod Worth],Tabela10[Drop],DropAnalityka[[#This Row],[Drop]],Tabela10[Grade],DropAnalityka[[#This Row],[Grade]])*DropAnalityka[[#This Row],[Quality/Quantity]],0)</f>
        <v>0</v>
      </c>
      <c r="L1800" s="49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9">
        <f>IFERROR(SUMIFS(Tabela10[Fod Worth],Tabela10[Drop],DropAnalityka[[#This Row],[Drop]],Tabela10[Grade],DropAnalityka[[#This Row],[Grade]])*DropAnalityka[[#This Row],[Quality/Quantity]],0)</f>
        <v>0</v>
      </c>
      <c r="L1801" s="49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9">
        <f>IFERROR(SUMIFS(Tabela10[Fod Worth],Tabela10[Drop],DropAnalityka[[#This Row],[Drop]],Tabela10[Grade],DropAnalityka[[#This Row],[Grade]])*DropAnalityka[[#This Row],[Quality/Quantity]],0)</f>
        <v>0</v>
      </c>
      <c r="L1802" s="49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9">
        <f>IFERROR(SUMIFS(Tabela10[Fod Worth],Tabela10[Drop],DropAnalityka[[#This Row],[Drop]],Tabela10[Grade],DropAnalityka[[#This Row],[Grade]])*DropAnalityka[[#This Row],[Quality/Quantity]],0)</f>
        <v>0</v>
      </c>
      <c r="L1803" s="49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9">
        <f>IFERROR(SUMIFS(Tabela10[Fod Worth],Tabela10[Drop],DropAnalityka[[#This Row],[Drop]],Tabela10[Grade],DropAnalityka[[#This Row],[Grade]])*DropAnalityka[[#This Row],[Quality/Quantity]],0)</f>
        <v>0</v>
      </c>
      <c r="L1804" s="49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9">
        <f>IFERROR(SUMIFS(Tabela10[Fod Worth],Tabela10[Drop],DropAnalityka[[#This Row],[Drop]],Tabela10[Grade],DropAnalityka[[#This Row],[Grade]])*DropAnalityka[[#This Row],[Quality/Quantity]],0)</f>
        <v>0</v>
      </c>
      <c r="L1805" s="49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9">
        <f>IFERROR(SUMIFS(Tabela10[Fod Worth],Tabela10[Drop],DropAnalityka[[#This Row],[Drop]],Tabela10[Grade],DropAnalityka[[#This Row],[Grade]])*DropAnalityka[[#This Row],[Quality/Quantity]],0)</f>
        <v>0</v>
      </c>
      <c r="L1806" s="49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9">
        <f>IFERROR(SUMIFS(Tabela10[Fod Worth],Tabela10[Drop],DropAnalityka[[#This Row],[Drop]],Tabela10[Grade],DropAnalityka[[#This Row],[Grade]])*DropAnalityka[[#This Row],[Quality/Quantity]],0)</f>
        <v>0</v>
      </c>
      <c r="L1807" s="49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9">
        <f>IFERROR(SUMIFS(Tabela10[Fod Worth],Tabela10[Drop],DropAnalityka[[#This Row],[Drop]],Tabela10[Grade],DropAnalityka[[#This Row],[Grade]])*DropAnalityka[[#This Row],[Quality/Quantity]],0)</f>
        <v>0</v>
      </c>
      <c r="L1808" s="49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9">
        <f>IFERROR(SUMIFS(Tabela10[Fod Worth],Tabela10[Drop],DropAnalityka[[#This Row],[Drop]],Tabela10[Grade],DropAnalityka[[#This Row],[Grade]])*DropAnalityka[[#This Row],[Quality/Quantity]],0)</f>
        <v>0</v>
      </c>
      <c r="L1809" s="49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9">
        <f>IFERROR(SUMIFS(Tabela10[Fod Worth],Tabela10[Drop],DropAnalityka[[#This Row],[Drop]],Tabela10[Grade],DropAnalityka[[#This Row],[Grade]])*DropAnalityka[[#This Row],[Quality/Quantity]],0)</f>
        <v>0</v>
      </c>
      <c r="L1810" s="49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9">
        <f>IFERROR(SUMIFS(Tabela10[Fod Worth],Tabela10[Drop],DropAnalityka[[#This Row],[Drop]],Tabela10[Grade],DropAnalityka[[#This Row],[Grade]])*DropAnalityka[[#This Row],[Quality/Quantity]],0)</f>
        <v>0</v>
      </c>
      <c r="L1811" s="49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9">
        <f>IFERROR(SUMIFS(Tabela10[Fod Worth],Tabela10[Drop],DropAnalityka[[#This Row],[Drop]],Tabela10[Grade],DropAnalityka[[#This Row],[Grade]])*DropAnalityka[[#This Row],[Quality/Quantity]],0)</f>
        <v>0</v>
      </c>
      <c r="L1812" s="49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9">
        <f>IFERROR(SUMIFS(Tabela10[Fod Worth],Tabela10[Drop],DropAnalityka[[#This Row],[Drop]],Tabela10[Grade],DropAnalityka[[#This Row],[Grade]])*DropAnalityka[[#This Row],[Quality/Quantity]],0)</f>
        <v>0</v>
      </c>
      <c r="L1813" s="49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9">
        <f>IFERROR(SUMIFS(Tabela10[Fod Worth],Tabela10[Drop],DropAnalityka[[#This Row],[Drop]],Tabela10[Grade],DropAnalityka[[#This Row],[Grade]])*DropAnalityka[[#This Row],[Quality/Quantity]],0)</f>
        <v>0</v>
      </c>
      <c r="L1814" s="49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9">
        <f>IFERROR(SUMIFS(Tabela10[Fod Worth],Tabela10[Drop],DropAnalityka[[#This Row],[Drop]],Tabela10[Grade],DropAnalityka[[#This Row],[Grade]])*DropAnalityka[[#This Row],[Quality/Quantity]],0)</f>
        <v>0</v>
      </c>
      <c r="L1815" s="49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9">
        <f>IFERROR(SUMIFS(Tabela10[Fod Worth],Tabela10[Drop],DropAnalityka[[#This Row],[Drop]],Tabela10[Grade],DropAnalityka[[#This Row],[Grade]])*DropAnalityka[[#This Row],[Quality/Quantity]],0)</f>
        <v>0</v>
      </c>
      <c r="L1816" s="49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9">
        <f>IFERROR(SUMIFS(Tabela10[Fod Worth],Tabela10[Drop],DropAnalityka[[#This Row],[Drop]],Tabela10[Grade],DropAnalityka[[#This Row],[Grade]])*DropAnalityka[[#This Row],[Quality/Quantity]],0)</f>
        <v>0</v>
      </c>
      <c r="L1817" s="49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9">
        <f>IFERROR(SUMIFS(Tabela10[Fod Worth],Tabela10[Drop],DropAnalityka[[#This Row],[Drop]],Tabela10[Grade],DropAnalityka[[#This Row],[Grade]])*DropAnalityka[[#This Row],[Quality/Quantity]],0)</f>
        <v>0</v>
      </c>
      <c r="L1818" s="49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9">
        <f>IFERROR(SUMIFS(Tabela10[Fod Worth],Tabela10[Drop],DropAnalityka[[#This Row],[Drop]],Tabela10[Grade],DropAnalityka[[#This Row],[Grade]])*DropAnalityka[[#This Row],[Quality/Quantity]],0)</f>
        <v>0</v>
      </c>
      <c r="L1819" s="49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9">
        <f>IFERROR(SUMIFS(Tabela10[Fod Worth],Tabela10[Drop],DropAnalityka[[#This Row],[Drop]],Tabela10[Grade],DropAnalityka[[#This Row],[Grade]])*DropAnalityka[[#This Row],[Quality/Quantity]],0)</f>
        <v>0</v>
      </c>
      <c r="L1820" s="49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9">
        <f>IFERROR(SUMIFS(Tabela10[Fod Worth],Tabela10[Drop],DropAnalityka[[#This Row],[Drop]],Tabela10[Grade],DropAnalityka[[#This Row],[Grade]])*DropAnalityka[[#This Row],[Quality/Quantity]],0)</f>
        <v>0</v>
      </c>
      <c r="L1821" s="49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9">
        <f>IFERROR(SUMIFS(Tabela10[Fod Worth],Tabela10[Drop],DropAnalityka[[#This Row],[Drop]],Tabela10[Grade],DropAnalityka[[#This Row],[Grade]])*DropAnalityka[[#This Row],[Quality/Quantity]],0)</f>
        <v>0</v>
      </c>
      <c r="L1822" s="49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9">
        <f>IFERROR(SUMIFS(Tabela10[Fod Worth],Tabela10[Drop],DropAnalityka[[#This Row],[Drop]],Tabela10[Grade],DropAnalityka[[#This Row],[Grade]])*DropAnalityka[[#This Row],[Quality/Quantity]],0)</f>
        <v>0</v>
      </c>
      <c r="L1823" s="49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9">
        <f>IFERROR(SUMIFS(Tabela10[Fod Worth],Tabela10[Drop],DropAnalityka[[#This Row],[Drop]],Tabela10[Grade],DropAnalityka[[#This Row],[Grade]])*DropAnalityka[[#This Row],[Quality/Quantity]],0)</f>
        <v>0</v>
      </c>
      <c r="L1824" s="49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9">
        <f>IFERROR(SUMIFS(Tabela10[Fod Worth],Tabela10[Drop],DropAnalityka[[#This Row],[Drop]],Tabela10[Grade],DropAnalityka[[#This Row],[Grade]])*DropAnalityka[[#This Row],[Quality/Quantity]],0)</f>
        <v>0</v>
      </c>
      <c r="L1825" s="49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9">
        <f>IFERROR(SUMIFS(Tabela10[Fod Worth],Tabela10[Drop],DropAnalityka[[#This Row],[Drop]],Tabela10[Grade],DropAnalityka[[#This Row],[Grade]])*DropAnalityka[[#This Row],[Quality/Quantity]],0)</f>
        <v>0</v>
      </c>
      <c r="L1826" s="49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9">
        <f>IFERROR(SUMIFS(Tabela10[Fod Worth],Tabela10[Drop],DropAnalityka[[#This Row],[Drop]],Tabela10[Grade],DropAnalityka[[#This Row],[Grade]])*DropAnalityka[[#This Row],[Quality/Quantity]],0)</f>
        <v>0</v>
      </c>
      <c r="L1827" s="49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9">
        <f>IFERROR(SUMIFS(Tabela10[Fod Worth],Tabela10[Drop],DropAnalityka[[#This Row],[Drop]],Tabela10[Grade],DropAnalityka[[#This Row],[Grade]])*DropAnalityka[[#This Row],[Quality/Quantity]],0)</f>
        <v>0</v>
      </c>
      <c r="L1828" s="49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9">
        <f>IFERROR(SUMIFS(Tabela10[Fod Worth],Tabela10[Drop],DropAnalityka[[#This Row],[Drop]],Tabela10[Grade],DropAnalityka[[#This Row],[Grade]])*DropAnalityka[[#This Row],[Quality/Quantity]],0)</f>
        <v>0</v>
      </c>
      <c r="L1829" s="49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9">
        <f>IFERROR(SUMIFS(Tabela10[Fod Worth],Tabela10[Drop],DropAnalityka[[#This Row],[Drop]],Tabela10[Grade],DropAnalityka[[#This Row],[Grade]])*DropAnalityka[[#This Row],[Quality/Quantity]],0)</f>
        <v>0</v>
      </c>
      <c r="L1830" s="49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9">
        <f>IFERROR(SUMIFS(Tabela10[Fod Worth],Tabela10[Drop],DropAnalityka[[#This Row],[Drop]],Tabela10[Grade],DropAnalityka[[#This Row],[Grade]])*DropAnalityka[[#This Row],[Quality/Quantity]],0)</f>
        <v>0</v>
      </c>
      <c r="L1831" s="49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9">
        <f>IFERROR(SUMIFS(Tabela10[Fod Worth],Tabela10[Drop],DropAnalityka[[#This Row],[Drop]],Tabela10[Grade],DropAnalityka[[#This Row],[Grade]])*DropAnalityka[[#This Row],[Quality/Quantity]],0)</f>
        <v>0</v>
      </c>
      <c r="L1832" s="49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9">
        <f>IFERROR(SUMIFS(Tabela10[Fod Worth],Tabela10[Drop],DropAnalityka[[#This Row],[Drop]],Tabela10[Grade],DropAnalityka[[#This Row],[Grade]])*DropAnalityka[[#This Row],[Quality/Quantity]],0)</f>
        <v>0</v>
      </c>
      <c r="L1833" s="49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9">
        <f>IFERROR(SUMIFS(Tabela10[Fod Worth],Tabela10[Drop],DropAnalityka[[#This Row],[Drop]],Tabela10[Grade],DropAnalityka[[#This Row],[Grade]])*DropAnalityka[[#This Row],[Quality/Quantity]],0)</f>
        <v>0</v>
      </c>
      <c r="L1834" s="49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9">
        <f>IFERROR(SUMIFS(Tabela10[Fod Worth],Tabela10[Drop],DropAnalityka[[#This Row],[Drop]],Tabela10[Grade],DropAnalityka[[#This Row],[Grade]])*DropAnalityka[[#This Row],[Quality/Quantity]],0)</f>
        <v>0</v>
      </c>
      <c r="L1835" s="49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9">
        <f>IFERROR(SUMIFS(Tabela10[Fod Worth],Tabela10[Drop],DropAnalityka[[#This Row],[Drop]],Tabela10[Grade],DropAnalityka[[#This Row],[Grade]])*DropAnalityka[[#This Row],[Quality/Quantity]],0)</f>
        <v>0</v>
      </c>
      <c r="L1836" s="49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9">
        <f>IFERROR(SUMIFS(Tabela10[Fod Worth],Tabela10[Drop],DropAnalityka[[#This Row],[Drop]],Tabela10[Grade],DropAnalityka[[#This Row],[Grade]])*DropAnalityka[[#This Row],[Quality/Quantity]],0)</f>
        <v>0</v>
      </c>
      <c r="L1837" s="49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9">
        <f>IFERROR(SUMIFS(Tabela10[Fod Worth],Tabela10[Drop],DropAnalityka[[#This Row],[Drop]],Tabela10[Grade],DropAnalityka[[#This Row],[Grade]])*DropAnalityka[[#This Row],[Quality/Quantity]],0)</f>
        <v>0</v>
      </c>
      <c r="L1838" s="49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9">
        <f>IFERROR(SUMIFS(Tabela10[Fod Worth],Tabela10[Drop],DropAnalityka[[#This Row],[Drop]],Tabela10[Grade],DropAnalityka[[#This Row],[Grade]])*DropAnalityka[[#This Row],[Quality/Quantity]],0)</f>
        <v>0</v>
      </c>
      <c r="L1839" s="49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9">
        <f>IFERROR(SUMIFS(Tabela10[Fod Worth],Tabela10[Drop],DropAnalityka[[#This Row],[Drop]],Tabela10[Grade],DropAnalityka[[#This Row],[Grade]])*DropAnalityka[[#This Row],[Quality/Quantity]],0)</f>
        <v>0</v>
      </c>
      <c r="L1840" s="49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9">
        <f>IFERROR(SUMIFS(Tabela10[Fod Worth],Tabela10[Drop],DropAnalityka[[#This Row],[Drop]],Tabela10[Grade],DropAnalityka[[#This Row],[Grade]])*DropAnalityka[[#This Row],[Quality/Quantity]],0)</f>
        <v>0</v>
      </c>
      <c r="L1841" s="49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9">
        <f>IFERROR(SUMIFS(Tabela10[Fod Worth],Tabela10[Drop],DropAnalityka[[#This Row],[Drop]],Tabela10[Grade],DropAnalityka[[#This Row],[Grade]])*DropAnalityka[[#This Row],[Quality/Quantity]],0)</f>
        <v>0</v>
      </c>
      <c r="L1842" s="49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9">
        <f>IFERROR(SUMIFS(Tabela10[Fod Worth],Tabela10[Drop],DropAnalityka[[#This Row],[Drop]],Tabela10[Grade],DropAnalityka[[#This Row],[Grade]])*DropAnalityka[[#This Row],[Quality/Quantity]],0)</f>
        <v>0</v>
      </c>
      <c r="L1843" s="49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9">
        <f>IFERROR(SUMIFS(Tabela10[Fod Worth],Tabela10[Drop],DropAnalityka[[#This Row],[Drop]],Tabela10[Grade],DropAnalityka[[#This Row],[Grade]])*DropAnalityka[[#This Row],[Quality/Quantity]],0)</f>
        <v>0</v>
      </c>
      <c r="L1844" s="49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9">
        <f>IFERROR(SUMIFS(Tabela10[Fod Worth],Tabela10[Drop],DropAnalityka[[#This Row],[Drop]],Tabela10[Grade],DropAnalityka[[#This Row],[Grade]])*DropAnalityka[[#This Row],[Quality/Quantity]],0)</f>
        <v>0</v>
      </c>
      <c r="L1845" s="49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9">
        <f>IFERROR(SUMIFS(Tabela10[Fod Worth],Tabela10[Drop],DropAnalityka[[#This Row],[Drop]],Tabela10[Grade],DropAnalityka[[#This Row],[Grade]])*DropAnalityka[[#This Row],[Quality/Quantity]],0)</f>
        <v>0</v>
      </c>
      <c r="L1846" s="49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9">
        <f>IFERROR(SUMIFS(Tabela10[Fod Worth],Tabela10[Drop],DropAnalityka[[#This Row],[Drop]],Tabela10[Grade],DropAnalityka[[#This Row],[Grade]])*DropAnalityka[[#This Row],[Quality/Quantity]],0)</f>
        <v>0</v>
      </c>
      <c r="L1847" s="49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9">
        <f>IFERROR(SUMIFS(Tabela10[Fod Worth],Tabela10[Drop],DropAnalityka[[#This Row],[Drop]],Tabela10[Grade],DropAnalityka[[#This Row],[Grade]])*DropAnalityka[[#This Row],[Quality/Quantity]],0)</f>
        <v>0</v>
      </c>
      <c r="L1848" s="49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9">
        <f>IFERROR(SUMIFS(Tabela10[Fod Worth],Tabela10[Drop],DropAnalityka[[#This Row],[Drop]],Tabela10[Grade],DropAnalityka[[#This Row],[Grade]])*DropAnalityka[[#This Row],[Quality/Quantity]],0)</f>
        <v>0</v>
      </c>
      <c r="L1849" s="49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9">
        <f>IFERROR(SUMIFS(Tabela10[Fod Worth],Tabela10[Drop],DropAnalityka[[#This Row],[Drop]],Tabela10[Grade],DropAnalityka[[#This Row],[Grade]])*DropAnalityka[[#This Row],[Quality/Quantity]],0)</f>
        <v>0</v>
      </c>
      <c r="L1850" s="49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9">
        <f>IFERROR(SUMIFS(Tabela10[Fod Worth],Tabela10[Drop],DropAnalityka[[#This Row],[Drop]],Tabela10[Grade],DropAnalityka[[#This Row],[Grade]])*DropAnalityka[[#This Row],[Quality/Quantity]],0)</f>
        <v>0</v>
      </c>
      <c r="L1851" s="49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9">
        <f>IFERROR(SUMIFS(Tabela10[Fod Worth],Tabela10[Drop],DropAnalityka[[#This Row],[Drop]],Tabela10[Grade],DropAnalityka[[#This Row],[Grade]])*DropAnalityka[[#This Row],[Quality/Quantity]],0)</f>
        <v>0</v>
      </c>
      <c r="L1852" s="49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9">
        <f>IFERROR(SUMIFS(Tabela10[Fod Worth],Tabela10[Drop],DropAnalityka[[#This Row],[Drop]],Tabela10[Grade],DropAnalityka[[#This Row],[Grade]])*DropAnalityka[[#This Row],[Quality/Quantity]],0)</f>
        <v>0</v>
      </c>
      <c r="L1853" s="49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9">
        <f>IFERROR(SUMIFS(Tabela10[Fod Worth],Tabela10[Drop],DropAnalityka[[#This Row],[Drop]],Tabela10[Grade],DropAnalityka[[#This Row],[Grade]])*DropAnalityka[[#This Row],[Quality/Quantity]],0)</f>
        <v>0</v>
      </c>
      <c r="L1854" s="49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9">
        <f>IFERROR(SUMIFS(Tabela10[Fod Worth],Tabela10[Drop],DropAnalityka[[#This Row],[Drop]],Tabela10[Grade],DropAnalityka[[#This Row],[Grade]])*DropAnalityka[[#This Row],[Quality/Quantity]],0)</f>
        <v>0</v>
      </c>
      <c r="L1855" s="49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9">
        <f>IFERROR(SUMIFS(Tabela10[Fod Worth],Tabela10[Drop],DropAnalityka[[#This Row],[Drop]],Tabela10[Grade],DropAnalityka[[#This Row],[Grade]])*DropAnalityka[[#This Row],[Quality/Quantity]],0)</f>
        <v>0</v>
      </c>
      <c r="L1856" s="49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9">
        <f>IFERROR(SUMIFS(Tabela10[Fod Worth],Tabela10[Drop],DropAnalityka[[#This Row],[Drop]],Tabela10[Grade],DropAnalityka[[#This Row],[Grade]])*DropAnalityka[[#This Row],[Quality/Quantity]],0)</f>
        <v>0</v>
      </c>
      <c r="L1857" s="49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9">
        <f>IFERROR(SUMIFS(Tabela10[Fod Worth],Tabela10[Drop],DropAnalityka[[#This Row],[Drop]],Tabela10[Grade],DropAnalityka[[#This Row],[Grade]])*DropAnalityka[[#This Row],[Quality/Quantity]],0)</f>
        <v>0</v>
      </c>
      <c r="L1858" s="49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9">
        <f>IFERROR(SUMIFS(Tabela10[Fod Worth],Tabela10[Drop],DropAnalityka[[#This Row],[Drop]],Tabela10[Grade],DropAnalityka[[#This Row],[Grade]])*DropAnalityka[[#This Row],[Quality/Quantity]],0)</f>
        <v>0</v>
      </c>
      <c r="L1859" s="49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9">
        <f>IFERROR(SUMIFS(Tabela10[Fod Worth],Tabela10[Drop],DropAnalityka[[#This Row],[Drop]],Tabela10[Grade],DropAnalityka[[#This Row],[Grade]])*DropAnalityka[[#This Row],[Quality/Quantity]],0)</f>
        <v>0</v>
      </c>
      <c r="L1860" s="49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9">
        <f>IFERROR(SUMIFS(Tabela10[Fod Worth],Tabela10[Drop],DropAnalityka[[#This Row],[Drop]],Tabela10[Grade],DropAnalityka[[#This Row],[Grade]])*DropAnalityka[[#This Row],[Quality/Quantity]],0)</f>
        <v>0</v>
      </c>
      <c r="L1861" s="49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9">
        <f>IFERROR(SUMIFS(Tabela10[Fod Worth],Tabela10[Drop],DropAnalityka[[#This Row],[Drop]],Tabela10[Grade],DropAnalityka[[#This Row],[Grade]])*DropAnalityka[[#This Row],[Quality/Quantity]],0)</f>
        <v>0</v>
      </c>
      <c r="L1862" s="49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9">
        <f>IFERROR(SUMIFS(Tabela10[Fod Worth],Tabela10[Drop],DropAnalityka[[#This Row],[Drop]],Tabela10[Grade],DropAnalityka[[#This Row],[Grade]])*DropAnalityka[[#This Row],[Quality/Quantity]],0)</f>
        <v>0</v>
      </c>
      <c r="L1863" s="49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9">
        <f>IFERROR(SUMIFS(Tabela10[Fod Worth],Tabela10[Drop],DropAnalityka[[#This Row],[Drop]],Tabela10[Grade],DropAnalityka[[#This Row],[Grade]])*DropAnalityka[[#This Row],[Quality/Quantity]],0)</f>
        <v>0</v>
      </c>
      <c r="L1864" s="49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9">
        <f>IFERROR(SUMIFS(Tabela10[Fod Worth],Tabela10[Drop],DropAnalityka[[#This Row],[Drop]],Tabela10[Grade],DropAnalityka[[#This Row],[Grade]])*DropAnalityka[[#This Row],[Quality/Quantity]],0)</f>
        <v>0</v>
      </c>
      <c r="L1865" s="49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9">
        <f>IFERROR(SUMIFS(Tabela10[Fod Worth],Tabela10[Drop],DropAnalityka[[#This Row],[Drop]],Tabela10[Grade],DropAnalityka[[#This Row],[Grade]])*DropAnalityka[[#This Row],[Quality/Quantity]],0)</f>
        <v>0</v>
      </c>
      <c r="L1866" s="49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9">
        <f>IFERROR(SUMIFS(Tabela10[Fod Worth],Tabela10[Drop],DropAnalityka[[#This Row],[Drop]],Tabela10[Grade],DropAnalityka[[#This Row],[Grade]])*DropAnalityka[[#This Row],[Quality/Quantity]],0)</f>
        <v>0</v>
      </c>
      <c r="L1867" s="49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9">
        <f>IFERROR(SUMIFS(Tabela10[Fod Worth],Tabela10[Drop],DropAnalityka[[#This Row],[Drop]],Tabela10[Grade],DropAnalityka[[#This Row],[Grade]])*DropAnalityka[[#This Row],[Quality/Quantity]],0)</f>
        <v>0</v>
      </c>
      <c r="L1868" s="49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9">
        <f>IFERROR(SUMIFS(Tabela10[Fod Worth],Tabela10[Drop],DropAnalityka[[#This Row],[Drop]],Tabela10[Grade],DropAnalityka[[#This Row],[Grade]])*DropAnalityka[[#This Row],[Quality/Quantity]],0)</f>
        <v>0</v>
      </c>
      <c r="L1869" s="49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9">
        <f>IFERROR(SUMIFS(Tabela10[Fod Worth],Tabela10[Drop],DropAnalityka[[#This Row],[Drop]],Tabela10[Grade],DropAnalityka[[#This Row],[Grade]])*DropAnalityka[[#This Row],[Quality/Quantity]],0)</f>
        <v>0</v>
      </c>
      <c r="L1870" s="49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9">
        <f>IFERROR(SUMIFS(Tabela10[Fod Worth],Tabela10[Drop],DropAnalityka[[#This Row],[Drop]],Tabela10[Grade],DropAnalityka[[#This Row],[Grade]])*DropAnalityka[[#This Row],[Quality/Quantity]],0)</f>
        <v>0</v>
      </c>
      <c r="L1871" s="49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9">
        <f>IFERROR(SUMIFS(Tabela10[Fod Worth],Tabela10[Drop],DropAnalityka[[#This Row],[Drop]],Tabela10[Grade],DropAnalityka[[#This Row],[Grade]])*DropAnalityka[[#This Row],[Quality/Quantity]],0)</f>
        <v>0</v>
      </c>
      <c r="L1872" s="49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9">
        <f>IFERROR(SUMIFS(Tabela10[Fod Worth],Tabela10[Drop],DropAnalityka[[#This Row],[Drop]],Tabela10[Grade],DropAnalityka[[#This Row],[Grade]])*DropAnalityka[[#This Row],[Quality/Quantity]],0)</f>
        <v>0</v>
      </c>
      <c r="L1873" s="49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9">
        <f>IFERROR(SUMIFS(Tabela10[Fod Worth],Tabela10[Drop],DropAnalityka[[#This Row],[Drop]],Tabela10[Grade],DropAnalityka[[#This Row],[Grade]])*DropAnalityka[[#This Row],[Quality/Quantity]],0)</f>
        <v>0</v>
      </c>
      <c r="L1874" s="49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9">
        <f>IFERROR(SUMIFS(Tabela10[Fod Worth],Tabela10[Drop],DropAnalityka[[#This Row],[Drop]],Tabela10[Grade],DropAnalityka[[#This Row],[Grade]])*DropAnalityka[[#This Row],[Quality/Quantity]],0)</f>
        <v>0</v>
      </c>
      <c r="L1875" s="49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9">
        <f>IFERROR(SUMIFS(Tabela10[Fod Worth],Tabela10[Drop],DropAnalityka[[#This Row],[Drop]],Tabela10[Grade],DropAnalityka[[#This Row],[Grade]])*DropAnalityka[[#This Row],[Quality/Quantity]],0)</f>
        <v>0</v>
      </c>
      <c r="L1876" s="49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9">
        <f>IFERROR(SUMIFS(Tabela10[Fod Worth],Tabela10[Drop],DropAnalityka[[#This Row],[Drop]],Tabela10[Grade],DropAnalityka[[#This Row],[Grade]])*DropAnalityka[[#This Row],[Quality/Quantity]],0)</f>
        <v>0</v>
      </c>
      <c r="L1877" s="49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9">
        <f>IFERROR(SUMIFS(Tabela10[Fod Worth],Tabela10[Drop],DropAnalityka[[#This Row],[Drop]],Tabela10[Grade],DropAnalityka[[#This Row],[Grade]])*DropAnalityka[[#This Row],[Quality/Quantity]],0)</f>
        <v>0</v>
      </c>
      <c r="L1878" s="49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9">
        <f>IFERROR(SUMIFS(Tabela10[Fod Worth],Tabela10[Drop],DropAnalityka[[#This Row],[Drop]],Tabela10[Grade],DropAnalityka[[#This Row],[Grade]])*DropAnalityka[[#This Row],[Quality/Quantity]],0)</f>
        <v>0</v>
      </c>
      <c r="L1879" s="49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9">
        <f>IFERROR(SUMIFS(Tabela10[Fod Worth],Tabela10[Drop],DropAnalityka[[#This Row],[Drop]],Tabela10[Grade],DropAnalityka[[#This Row],[Grade]])*DropAnalityka[[#This Row],[Quality/Quantity]],0)</f>
        <v>0</v>
      </c>
      <c r="L1880" s="49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9">
        <f>IFERROR(SUMIFS(Tabela10[Fod Worth],Tabela10[Drop],DropAnalityka[[#This Row],[Drop]],Tabela10[Grade],DropAnalityka[[#This Row],[Grade]])*DropAnalityka[[#This Row],[Quality/Quantity]],0)</f>
        <v>0</v>
      </c>
      <c r="L1881" s="49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9">
        <f>IFERROR(SUMIFS(Tabela10[Fod Worth],Tabela10[Drop],DropAnalityka[[#This Row],[Drop]],Tabela10[Grade],DropAnalityka[[#This Row],[Grade]])*DropAnalityka[[#This Row],[Quality/Quantity]],0)</f>
        <v>0</v>
      </c>
      <c r="L1882" s="49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9">
        <f>IFERROR(SUMIFS(Tabela10[Fod Worth],Tabela10[Drop],DropAnalityka[[#This Row],[Drop]],Tabela10[Grade],DropAnalityka[[#This Row],[Grade]])*DropAnalityka[[#This Row],[Quality/Quantity]],0)</f>
        <v>0</v>
      </c>
      <c r="L1883" s="49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9">
        <f>IFERROR(SUMIFS(Tabela10[Fod Worth],Tabela10[Drop],DropAnalityka[[#This Row],[Drop]],Tabela10[Grade],DropAnalityka[[#This Row],[Grade]])*DropAnalityka[[#This Row],[Quality/Quantity]],0)</f>
        <v>0</v>
      </c>
      <c r="L1884" s="49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9">
        <f>IFERROR(SUMIFS(Tabela10[Fod Worth],Tabela10[Drop],DropAnalityka[[#This Row],[Drop]],Tabela10[Grade],DropAnalityka[[#This Row],[Grade]])*DropAnalityka[[#This Row],[Quality/Quantity]],0)</f>
        <v>0</v>
      </c>
      <c r="L1885" s="49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9">
        <f>IFERROR(SUMIFS(Tabela10[Fod Worth],Tabela10[Drop],DropAnalityka[[#This Row],[Drop]],Tabela10[Grade],DropAnalityka[[#This Row],[Grade]])*DropAnalityka[[#This Row],[Quality/Quantity]],0)</f>
        <v>0</v>
      </c>
      <c r="L1886" s="49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9">
        <f>IFERROR(SUMIFS(Tabela10[Fod Worth],Tabela10[Drop],DropAnalityka[[#This Row],[Drop]],Tabela10[Grade],DropAnalityka[[#This Row],[Grade]])*DropAnalityka[[#This Row],[Quality/Quantity]],0)</f>
        <v>0</v>
      </c>
      <c r="L1887" s="49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9">
        <f>IFERROR(SUMIFS(Tabela10[Fod Worth],Tabela10[Drop],DropAnalityka[[#This Row],[Drop]],Tabela10[Grade],DropAnalityka[[#This Row],[Grade]])*DropAnalityka[[#This Row],[Quality/Quantity]],0)</f>
        <v>0</v>
      </c>
      <c r="L1888" s="49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9">
        <f>IFERROR(SUMIFS(Tabela10[Fod Worth],Tabela10[Drop],DropAnalityka[[#This Row],[Drop]],Tabela10[Grade],DropAnalityka[[#This Row],[Grade]])*DropAnalityka[[#This Row],[Quality/Quantity]],0)</f>
        <v>0</v>
      </c>
      <c r="L1889" s="49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9">
        <f>IFERROR(SUMIFS(Tabela10[Fod Worth],Tabela10[Drop],DropAnalityka[[#This Row],[Drop]],Tabela10[Grade],DropAnalityka[[#This Row],[Grade]])*DropAnalityka[[#This Row],[Quality/Quantity]],0)</f>
        <v>0</v>
      </c>
      <c r="L1890" s="49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9">
        <f>IFERROR(SUMIFS(Tabela10[Fod Worth],Tabela10[Drop],DropAnalityka[[#This Row],[Drop]],Tabela10[Grade],DropAnalityka[[#This Row],[Grade]])*DropAnalityka[[#This Row],[Quality/Quantity]],0)</f>
        <v>0</v>
      </c>
      <c r="L1891" s="49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9">
        <f>IFERROR(SUMIFS(Tabela10[Fod Worth],Tabela10[Drop],DropAnalityka[[#This Row],[Drop]],Tabela10[Grade],DropAnalityka[[#This Row],[Grade]])*DropAnalityka[[#This Row],[Quality/Quantity]],0)</f>
        <v>0</v>
      </c>
      <c r="L1892" s="49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9">
        <f>IFERROR(SUMIFS(Tabela10[Fod Worth],Tabela10[Drop],DropAnalityka[[#This Row],[Drop]],Tabela10[Grade],DropAnalityka[[#This Row],[Grade]])*DropAnalityka[[#This Row],[Quality/Quantity]],0)</f>
        <v>0</v>
      </c>
      <c r="L1893" s="49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9">
        <f>IFERROR(SUMIFS(Tabela10[Fod Worth],Tabela10[Drop],DropAnalityka[[#This Row],[Drop]],Tabela10[Grade],DropAnalityka[[#This Row],[Grade]])*DropAnalityka[[#This Row],[Quality/Quantity]],0)</f>
        <v>0</v>
      </c>
      <c r="L1894" s="49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9">
        <f>IFERROR(SUMIFS(Tabela10[Fod Worth],Tabela10[Drop],DropAnalityka[[#This Row],[Drop]],Tabela10[Grade],DropAnalityka[[#This Row],[Grade]])*DropAnalityka[[#This Row],[Quality/Quantity]],0)</f>
        <v>0</v>
      </c>
      <c r="L1895" s="49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9">
        <f>IFERROR(SUMIFS(Tabela10[Fod Worth],Tabela10[Drop],DropAnalityka[[#This Row],[Drop]],Tabela10[Grade],DropAnalityka[[#This Row],[Grade]])*DropAnalityka[[#This Row],[Quality/Quantity]],0)</f>
        <v>0</v>
      </c>
      <c r="L1896" s="49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9">
        <f>IFERROR(SUMIFS(Tabela10[Fod Worth],Tabela10[Drop],DropAnalityka[[#This Row],[Drop]],Tabela10[Grade],DropAnalityka[[#This Row],[Grade]])*DropAnalityka[[#This Row],[Quality/Quantity]],0)</f>
        <v>0</v>
      </c>
      <c r="L1897" s="49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9">
        <f>IFERROR(SUMIFS(Tabela10[Fod Worth],Tabela10[Drop],DropAnalityka[[#This Row],[Drop]],Tabela10[Grade],DropAnalityka[[#This Row],[Grade]])*DropAnalityka[[#This Row],[Quality/Quantity]],0)</f>
        <v>0</v>
      </c>
      <c r="L1898" s="49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9">
        <f>IFERROR(SUMIFS(Tabela10[Fod Worth],Tabela10[Drop],DropAnalityka[[#This Row],[Drop]],Tabela10[Grade],DropAnalityka[[#This Row],[Grade]])*DropAnalityka[[#This Row],[Quality/Quantity]],0)</f>
        <v>0</v>
      </c>
      <c r="L1899" s="49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9">
        <f>IFERROR(SUMIFS(Tabela10[Fod Worth],Tabela10[Drop],DropAnalityka[[#This Row],[Drop]],Tabela10[Grade],DropAnalityka[[#This Row],[Grade]])*DropAnalityka[[#This Row],[Quality/Quantity]],0)</f>
        <v>0</v>
      </c>
      <c r="L1900" s="49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9">
        <f>IFERROR(SUMIFS(Tabela10[Fod Worth],Tabela10[Drop],DropAnalityka[[#This Row],[Drop]],Tabela10[Grade],DropAnalityka[[#This Row],[Grade]])*DropAnalityka[[#This Row],[Quality/Quantity]],0)</f>
        <v>0</v>
      </c>
      <c r="L1901" s="49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9">
        <f>IFERROR(SUMIFS(Tabela10[Fod Worth],Tabela10[Drop],DropAnalityka[[#This Row],[Drop]],Tabela10[Grade],DropAnalityka[[#This Row],[Grade]])*DropAnalityka[[#This Row],[Quality/Quantity]],0)</f>
        <v>0</v>
      </c>
      <c r="L1902" s="49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9">
        <f>IFERROR(SUMIFS(Tabela10[Fod Worth],Tabela10[Drop],DropAnalityka[[#This Row],[Drop]],Tabela10[Grade],DropAnalityka[[#This Row],[Grade]])*DropAnalityka[[#This Row],[Quality/Quantity]],0)</f>
        <v>0</v>
      </c>
      <c r="L1903" s="49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9">
        <f>IFERROR(SUMIFS(Tabela10[Fod Worth],Tabela10[Drop],DropAnalityka[[#This Row],[Drop]],Tabela10[Grade],DropAnalityka[[#This Row],[Grade]])*DropAnalityka[[#This Row],[Quality/Quantity]],0)</f>
        <v>0</v>
      </c>
      <c r="L1904" s="49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9">
        <f>IFERROR(SUMIFS(Tabela10[Fod Worth],Tabela10[Drop],DropAnalityka[[#This Row],[Drop]],Tabela10[Grade],DropAnalityka[[#This Row],[Grade]])*DropAnalityka[[#This Row],[Quality/Quantity]],0)</f>
        <v>0</v>
      </c>
      <c r="L1905" s="49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9">
        <f>IFERROR(SUMIFS(Tabela10[Fod Worth],Tabela10[Drop],DropAnalityka[[#This Row],[Drop]],Tabela10[Grade],DropAnalityka[[#This Row],[Grade]])*DropAnalityka[[#This Row],[Quality/Quantity]],0)</f>
        <v>0</v>
      </c>
      <c r="L1906" s="49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9">
        <f>IFERROR(SUMIFS(Tabela10[Fod Worth],Tabela10[Drop],DropAnalityka[[#This Row],[Drop]],Tabela10[Grade],DropAnalityka[[#This Row],[Grade]])*DropAnalityka[[#This Row],[Quality/Quantity]],0)</f>
        <v>0</v>
      </c>
      <c r="L1907" s="49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9">
        <f>IFERROR(SUMIFS(Tabela10[Fod Worth],Tabela10[Drop],DropAnalityka[[#This Row],[Drop]],Tabela10[Grade],DropAnalityka[[#This Row],[Grade]])*DropAnalityka[[#This Row],[Quality/Quantity]],0)</f>
        <v>0</v>
      </c>
      <c r="L1908" s="49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9">
        <f>IFERROR(SUMIFS(Tabela10[Fod Worth],Tabela10[Drop],DropAnalityka[[#This Row],[Drop]],Tabela10[Grade],DropAnalityka[[#This Row],[Grade]])*DropAnalityka[[#This Row],[Quality/Quantity]],0)</f>
        <v>0</v>
      </c>
      <c r="L1909" s="49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9">
        <f>IFERROR(SUMIFS(Tabela10[Fod Worth],Tabela10[Drop],DropAnalityka[[#This Row],[Drop]],Tabela10[Grade],DropAnalityka[[#This Row],[Grade]])*DropAnalityka[[#This Row],[Quality/Quantity]],0)</f>
        <v>0</v>
      </c>
      <c r="L1910" s="49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9">
        <f>IFERROR(SUMIFS(Tabela10[Fod Worth],Tabela10[Drop],DropAnalityka[[#This Row],[Drop]],Tabela10[Grade],DropAnalityka[[#This Row],[Grade]])*DropAnalityka[[#This Row],[Quality/Quantity]],0)</f>
        <v>0</v>
      </c>
      <c r="L1911" s="49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9">
        <f>IFERROR(SUMIFS(Tabela10[Fod Worth],Tabela10[Drop],DropAnalityka[[#This Row],[Drop]],Tabela10[Grade],DropAnalityka[[#This Row],[Grade]])*DropAnalityka[[#This Row],[Quality/Quantity]],0)</f>
        <v>0</v>
      </c>
      <c r="L1912" s="49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9">
        <f>IFERROR(SUMIFS(Tabela10[Fod Worth],Tabela10[Drop],DropAnalityka[[#This Row],[Drop]],Tabela10[Grade],DropAnalityka[[#This Row],[Grade]])*DropAnalityka[[#This Row],[Quality/Quantity]],0)</f>
        <v>0</v>
      </c>
      <c r="L1913" s="49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9">
        <f>IFERROR(SUMIFS(Tabela10[Fod Worth],Tabela10[Drop],DropAnalityka[[#This Row],[Drop]],Tabela10[Grade],DropAnalityka[[#This Row],[Grade]])*DropAnalityka[[#This Row],[Quality/Quantity]],0)</f>
        <v>0</v>
      </c>
      <c r="L1914" s="49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9">
        <f>IFERROR(SUMIFS(Tabela10[Fod Worth],Tabela10[Drop],DropAnalityka[[#This Row],[Drop]],Tabela10[Grade],DropAnalityka[[#This Row],[Grade]])*DropAnalityka[[#This Row],[Quality/Quantity]],0)</f>
        <v>0</v>
      </c>
      <c r="L1915" s="49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9">
        <f>IFERROR(SUMIFS(Tabela10[Fod Worth],Tabela10[Drop],DropAnalityka[[#This Row],[Drop]],Tabela10[Grade],DropAnalityka[[#This Row],[Grade]])*DropAnalityka[[#This Row],[Quality/Quantity]],0)</f>
        <v>0</v>
      </c>
      <c r="L1916" s="49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9">
        <f>IFERROR(SUMIFS(Tabela10[Fod Worth],Tabela10[Drop],DropAnalityka[[#This Row],[Drop]],Tabela10[Grade],DropAnalityka[[#This Row],[Grade]])*DropAnalityka[[#This Row],[Quality/Quantity]],0)</f>
        <v>0</v>
      </c>
      <c r="L1917" s="49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9">
        <f>IFERROR(SUMIFS(Tabela10[Fod Worth],Tabela10[Drop],DropAnalityka[[#This Row],[Drop]],Tabela10[Grade],DropAnalityka[[#This Row],[Grade]])*DropAnalityka[[#This Row],[Quality/Quantity]],0)</f>
        <v>0</v>
      </c>
      <c r="L1918" s="49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9">
        <f>IFERROR(SUMIFS(Tabela10[Fod Worth],Tabela10[Drop],DropAnalityka[[#This Row],[Drop]],Tabela10[Grade],DropAnalityka[[#This Row],[Grade]])*DropAnalityka[[#This Row],[Quality/Quantity]],0)</f>
        <v>0</v>
      </c>
      <c r="L1919" s="49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9">
        <f>IFERROR(SUMIFS(Tabela10[Fod Worth],Tabela10[Drop],DropAnalityka[[#This Row],[Drop]],Tabela10[Grade],DropAnalityka[[#This Row],[Grade]])*DropAnalityka[[#This Row],[Quality/Quantity]],0)</f>
        <v>0</v>
      </c>
      <c r="L1920" s="49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9">
        <f>IFERROR(SUMIFS(Tabela10[Fod Worth],Tabela10[Drop],DropAnalityka[[#This Row],[Drop]],Tabela10[Grade],DropAnalityka[[#This Row],[Grade]])*DropAnalityka[[#This Row],[Quality/Quantity]],0)</f>
        <v>0</v>
      </c>
      <c r="L1921" s="49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9">
        <f>IFERROR(SUMIFS(Tabela10[Fod Worth],Tabela10[Drop],DropAnalityka[[#This Row],[Drop]],Tabela10[Grade],DropAnalityka[[#This Row],[Grade]])*DropAnalityka[[#This Row],[Quality/Quantity]],0)</f>
        <v>0</v>
      </c>
      <c r="L1922" s="49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9">
        <f>IFERROR(SUMIFS(Tabela10[Fod Worth],Tabela10[Drop],DropAnalityka[[#This Row],[Drop]],Tabela10[Grade],DropAnalityka[[#This Row],[Grade]])*DropAnalityka[[#This Row],[Quality/Quantity]],0)</f>
        <v>0</v>
      </c>
      <c r="L1923" s="49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9">
        <f>IFERROR(SUMIFS(Tabela10[Fod Worth],Tabela10[Drop],DropAnalityka[[#This Row],[Drop]],Tabela10[Grade],DropAnalityka[[#This Row],[Grade]])*DropAnalityka[[#This Row],[Quality/Quantity]],0)</f>
        <v>0</v>
      </c>
      <c r="L1924" s="49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9">
        <f>IFERROR(SUMIFS(Tabela10[Fod Worth],Tabela10[Drop],DropAnalityka[[#This Row],[Drop]],Tabela10[Grade],DropAnalityka[[#This Row],[Grade]])*DropAnalityka[[#This Row],[Quality/Quantity]],0)</f>
        <v>0</v>
      </c>
      <c r="L1925" s="49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9">
        <f>IFERROR(SUMIFS(Tabela10[Fod Worth],Tabela10[Drop],DropAnalityka[[#This Row],[Drop]],Tabela10[Grade],DropAnalityka[[#This Row],[Grade]])*DropAnalityka[[#This Row],[Quality/Quantity]],0)</f>
        <v>0</v>
      </c>
      <c r="L1926" s="49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9">
        <f>IFERROR(SUMIFS(Tabela10[Fod Worth],Tabela10[Drop],DropAnalityka[[#This Row],[Drop]],Tabela10[Grade],DropAnalityka[[#This Row],[Grade]])*DropAnalityka[[#This Row],[Quality/Quantity]],0)</f>
        <v>0</v>
      </c>
      <c r="L1927" s="49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9">
        <f>IFERROR(SUMIFS(Tabela10[Fod Worth],Tabela10[Drop],DropAnalityka[[#This Row],[Drop]],Tabela10[Grade],DropAnalityka[[#This Row],[Grade]])*DropAnalityka[[#This Row],[Quality/Quantity]],0)</f>
        <v>0</v>
      </c>
      <c r="L1928" s="49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9">
        <f>IFERROR(SUMIFS(Tabela10[Fod Worth],Tabela10[Drop],DropAnalityka[[#This Row],[Drop]],Tabela10[Grade],DropAnalityka[[#This Row],[Grade]])*DropAnalityka[[#This Row],[Quality/Quantity]],0)</f>
        <v>0</v>
      </c>
      <c r="L1929" s="49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9">
        <f>IFERROR(SUMIFS(Tabela10[Fod Worth],Tabela10[Drop],DropAnalityka[[#This Row],[Drop]],Tabela10[Grade],DropAnalityka[[#This Row],[Grade]])*DropAnalityka[[#This Row],[Quality/Quantity]],0)</f>
        <v>0</v>
      </c>
      <c r="L1930" s="49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9">
        <f>IFERROR(SUMIFS(Tabela10[Fod Worth],Tabela10[Drop],DropAnalityka[[#This Row],[Drop]],Tabela10[Grade],DropAnalityka[[#This Row],[Grade]])*DropAnalityka[[#This Row],[Quality/Quantity]],0)</f>
        <v>0</v>
      </c>
      <c r="L1931" s="49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9">
        <f>IFERROR(SUMIFS(Tabela10[Fod Worth],Tabela10[Drop],DropAnalityka[[#This Row],[Drop]],Tabela10[Grade],DropAnalityka[[#This Row],[Grade]])*DropAnalityka[[#This Row],[Quality/Quantity]],0)</f>
        <v>0</v>
      </c>
      <c r="L1932" s="49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9">
        <f>IFERROR(SUMIFS(Tabela10[Fod Worth],Tabela10[Drop],DropAnalityka[[#This Row],[Drop]],Tabela10[Grade],DropAnalityka[[#This Row],[Grade]])*DropAnalityka[[#This Row],[Quality/Quantity]],0)</f>
        <v>0</v>
      </c>
      <c r="L1933" s="49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9">
        <f>IFERROR(SUMIFS(Tabela10[Fod Worth],Tabela10[Drop],DropAnalityka[[#This Row],[Drop]],Tabela10[Grade],DropAnalityka[[#This Row],[Grade]])*DropAnalityka[[#This Row],[Quality/Quantity]],0)</f>
        <v>0</v>
      </c>
      <c r="L1934" s="49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9">
        <f>IFERROR(SUMIFS(Tabela10[Fod Worth],Tabela10[Drop],DropAnalityka[[#This Row],[Drop]],Tabela10[Grade],DropAnalityka[[#This Row],[Grade]])*DropAnalityka[[#This Row],[Quality/Quantity]],0)</f>
        <v>0</v>
      </c>
      <c r="L1935" s="49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9">
        <f>IFERROR(SUMIFS(Tabela10[Fod Worth],Tabela10[Drop],DropAnalityka[[#This Row],[Drop]],Tabela10[Grade],DropAnalityka[[#This Row],[Grade]])*DropAnalityka[[#This Row],[Quality/Quantity]],0)</f>
        <v>0</v>
      </c>
      <c r="L1936" s="49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9">
        <f>IFERROR(SUMIFS(Tabela10[Fod Worth],Tabela10[Drop],DropAnalityka[[#This Row],[Drop]],Tabela10[Grade],DropAnalityka[[#This Row],[Grade]])*DropAnalityka[[#This Row],[Quality/Quantity]],0)</f>
        <v>0</v>
      </c>
      <c r="L1937" s="49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9">
        <f>IFERROR(SUMIFS(Tabela10[Fod Worth],Tabela10[Drop],DropAnalityka[[#This Row],[Drop]],Tabela10[Grade],DropAnalityka[[#This Row],[Grade]])*DropAnalityka[[#This Row],[Quality/Quantity]],0)</f>
        <v>0</v>
      </c>
      <c r="L1938" s="49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9">
        <f>IFERROR(SUMIFS(Tabela10[Fod Worth],Tabela10[Drop],DropAnalityka[[#This Row],[Drop]],Tabela10[Grade],DropAnalityka[[#This Row],[Grade]])*DropAnalityka[[#This Row],[Quality/Quantity]],0)</f>
        <v>0</v>
      </c>
      <c r="L1939" s="49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9">
        <f>IFERROR(SUMIFS(Tabela10[Fod Worth],Tabela10[Drop],DropAnalityka[[#This Row],[Drop]],Tabela10[Grade],DropAnalityka[[#This Row],[Grade]])*DropAnalityka[[#This Row],[Quality/Quantity]],0)</f>
        <v>0</v>
      </c>
      <c r="L1940" s="49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9">
        <f>IFERROR(SUMIFS(Tabela10[Fod Worth],Tabela10[Drop],DropAnalityka[[#This Row],[Drop]],Tabela10[Grade],DropAnalityka[[#This Row],[Grade]])*DropAnalityka[[#This Row],[Quality/Quantity]],0)</f>
        <v>0</v>
      </c>
      <c r="L1941" s="49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9">
        <f>IFERROR(SUMIFS(Tabela10[Fod Worth],Tabela10[Drop],DropAnalityka[[#This Row],[Drop]],Tabela10[Grade],DropAnalityka[[#This Row],[Grade]])*DropAnalityka[[#This Row],[Quality/Quantity]],0)</f>
        <v>0</v>
      </c>
      <c r="L1942" s="49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9">
        <f>IFERROR(SUMIFS(Tabela10[Fod Worth],Tabela10[Drop],DropAnalityka[[#This Row],[Drop]],Tabela10[Grade],DropAnalityka[[#This Row],[Grade]])*DropAnalityka[[#This Row],[Quality/Quantity]],0)</f>
        <v>0</v>
      </c>
      <c r="L1943" s="49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9">
        <f>IFERROR(SUMIFS(Tabela10[Fod Worth],Tabela10[Drop],DropAnalityka[[#This Row],[Drop]],Tabela10[Grade],DropAnalityka[[#This Row],[Grade]])*DropAnalityka[[#This Row],[Quality/Quantity]],0)</f>
        <v>0</v>
      </c>
      <c r="L1944" s="49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9">
        <f>IFERROR(SUMIFS(Tabela10[Fod Worth],Tabela10[Drop],DropAnalityka[[#This Row],[Drop]],Tabela10[Grade],DropAnalityka[[#This Row],[Grade]])*DropAnalityka[[#This Row],[Quality/Quantity]],0)</f>
        <v>0</v>
      </c>
      <c r="L1945" s="49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9">
        <f>IFERROR(SUMIFS(Tabela10[Fod Worth],Tabela10[Drop],DropAnalityka[[#This Row],[Drop]],Tabela10[Grade],DropAnalityka[[#This Row],[Grade]])*DropAnalityka[[#This Row],[Quality/Quantity]],0)</f>
        <v>0</v>
      </c>
      <c r="L1946" s="49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9">
        <f>IFERROR(SUMIFS(Tabela10[Fod Worth],Tabela10[Drop],DropAnalityka[[#This Row],[Drop]],Tabela10[Grade],DropAnalityka[[#This Row],[Grade]])*DropAnalityka[[#This Row],[Quality/Quantity]],0)</f>
        <v>0</v>
      </c>
      <c r="L1947" s="49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9">
        <f>IFERROR(SUMIFS(Tabela10[Fod Worth],Tabela10[Drop],DropAnalityka[[#This Row],[Drop]],Tabela10[Grade],DropAnalityka[[#This Row],[Grade]])*DropAnalityka[[#This Row],[Quality/Quantity]],0)</f>
        <v>0</v>
      </c>
      <c r="L1948" s="49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9">
        <f>IFERROR(SUMIFS(Tabela10[Fod Worth],Tabela10[Drop],DropAnalityka[[#This Row],[Drop]],Tabela10[Grade],DropAnalityka[[#This Row],[Grade]])*DropAnalityka[[#This Row],[Quality/Quantity]],0)</f>
        <v>0</v>
      </c>
      <c r="L1949" s="49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9">
        <f>IFERROR(SUMIFS(Tabela10[Fod Worth],Tabela10[Drop],DropAnalityka[[#This Row],[Drop]],Tabela10[Grade],DropAnalityka[[#This Row],[Grade]])*DropAnalityka[[#This Row],[Quality/Quantity]],0)</f>
        <v>0</v>
      </c>
      <c r="L1950" s="49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9">
        <f>IFERROR(SUMIFS(Tabela10[Fod Worth],Tabela10[Drop],DropAnalityka[[#This Row],[Drop]],Tabela10[Grade],DropAnalityka[[#This Row],[Grade]])*DropAnalityka[[#This Row],[Quality/Quantity]],0)</f>
        <v>0</v>
      </c>
      <c r="L1951" s="49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9">
        <f>IFERROR(SUMIFS(Tabela10[Fod Worth],Tabela10[Drop],DropAnalityka[[#This Row],[Drop]],Tabela10[Grade],DropAnalityka[[#This Row],[Grade]])*DropAnalityka[[#This Row],[Quality/Quantity]],0)</f>
        <v>0</v>
      </c>
      <c r="L1952" s="49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9">
        <f>IFERROR(SUMIFS(Tabela10[Fod Worth],Tabela10[Drop],DropAnalityka[[#This Row],[Drop]],Tabela10[Grade],DropAnalityka[[#This Row],[Grade]])*DropAnalityka[[#This Row],[Quality/Quantity]],0)</f>
        <v>0</v>
      </c>
      <c r="L1953" s="49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9">
        <f>IFERROR(SUMIFS(Tabela10[Fod Worth],Tabela10[Drop],DropAnalityka[[#This Row],[Drop]],Tabela10[Grade],DropAnalityka[[#This Row],[Grade]])*DropAnalityka[[#This Row],[Quality/Quantity]],0)</f>
        <v>0</v>
      </c>
      <c r="L1954" s="49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9">
        <f>IFERROR(SUMIFS(Tabela10[Fod Worth],Tabela10[Drop],DropAnalityka[[#This Row],[Drop]],Tabela10[Grade],DropAnalityka[[#This Row],[Grade]])*DropAnalityka[[#This Row],[Quality/Quantity]],0)</f>
        <v>0</v>
      </c>
      <c r="L1955" s="49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9">
        <f>IFERROR(SUMIFS(Tabela10[Fod Worth],Tabela10[Drop],DropAnalityka[[#This Row],[Drop]],Tabela10[Grade],DropAnalityka[[#This Row],[Grade]])*DropAnalityka[[#This Row],[Quality/Quantity]],0)</f>
        <v>0</v>
      </c>
      <c r="L1956" s="49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9">
        <f>IFERROR(SUMIFS(Tabela10[Fod Worth],Tabela10[Drop],DropAnalityka[[#This Row],[Drop]],Tabela10[Grade],DropAnalityka[[#This Row],[Grade]])*DropAnalityka[[#This Row],[Quality/Quantity]],0)</f>
        <v>0</v>
      </c>
      <c r="L1957" s="49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9">
        <f>IFERROR(SUMIFS(Tabela10[Fod Worth],Tabela10[Drop],DropAnalityka[[#This Row],[Drop]],Tabela10[Grade],DropAnalityka[[#This Row],[Grade]])*DropAnalityka[[#This Row],[Quality/Quantity]],0)</f>
        <v>0</v>
      </c>
      <c r="L1958" s="49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9">
        <f>IFERROR(SUMIFS(Tabela10[Fod Worth],Tabela10[Drop],DropAnalityka[[#This Row],[Drop]],Tabela10[Grade],DropAnalityka[[#This Row],[Grade]])*DropAnalityka[[#This Row],[Quality/Quantity]],0)</f>
        <v>0</v>
      </c>
      <c r="L1959" s="49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9">
        <f>IFERROR(SUMIFS(Tabela10[Fod Worth],Tabela10[Drop],DropAnalityka[[#This Row],[Drop]],Tabela10[Grade],DropAnalityka[[#This Row],[Grade]])*DropAnalityka[[#This Row],[Quality/Quantity]],0)</f>
        <v>0</v>
      </c>
      <c r="L1960" s="49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9">
        <f>IFERROR(SUMIFS(Tabela10[Fod Worth],Tabela10[Drop],DropAnalityka[[#This Row],[Drop]],Tabela10[Grade],DropAnalityka[[#This Row],[Grade]])*DropAnalityka[[#This Row],[Quality/Quantity]],0)</f>
        <v>0</v>
      </c>
      <c r="L1961" s="49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9">
        <f>IFERROR(SUMIFS(Tabela10[Fod Worth],Tabela10[Drop],DropAnalityka[[#This Row],[Drop]],Tabela10[Grade],DropAnalityka[[#This Row],[Grade]])*DropAnalityka[[#This Row],[Quality/Quantity]],0)</f>
        <v>0</v>
      </c>
      <c r="L1962" s="49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9">
        <f>IFERROR(SUMIFS(Tabela10[Fod Worth],Tabela10[Drop],DropAnalityka[[#This Row],[Drop]],Tabela10[Grade],DropAnalityka[[#This Row],[Grade]])*DropAnalityka[[#This Row],[Quality/Quantity]],0)</f>
        <v>0</v>
      </c>
      <c r="L1963" s="49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9">
        <f>IFERROR(SUMIFS(Tabela10[Fod Worth],Tabela10[Drop],DropAnalityka[[#This Row],[Drop]],Tabela10[Grade],DropAnalityka[[#This Row],[Grade]])*DropAnalityka[[#This Row],[Quality/Quantity]],0)</f>
        <v>0</v>
      </c>
      <c r="L1964" s="49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9">
        <f>IFERROR(SUMIFS(Tabela10[Fod Worth],Tabela10[Drop],DropAnalityka[[#This Row],[Drop]],Tabela10[Grade],DropAnalityka[[#This Row],[Grade]])*DropAnalityka[[#This Row],[Quality/Quantity]],0)</f>
        <v>0</v>
      </c>
      <c r="L1965" s="49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9">
        <f>IFERROR(SUMIFS(Tabela10[Fod Worth],Tabela10[Drop],DropAnalityka[[#This Row],[Drop]],Tabela10[Grade],DropAnalityka[[#This Row],[Grade]])*DropAnalityka[[#This Row],[Quality/Quantity]],0)</f>
        <v>0</v>
      </c>
      <c r="L1966" s="49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9">
        <f>IFERROR(SUMIFS(Tabela10[Fod Worth],Tabela10[Drop],DropAnalityka[[#This Row],[Drop]],Tabela10[Grade],DropAnalityka[[#This Row],[Grade]])*DropAnalityka[[#This Row],[Quality/Quantity]],0)</f>
        <v>0</v>
      </c>
      <c r="L1967" s="49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9">
        <f>IFERROR(SUMIFS(Tabela10[Fod Worth],Tabela10[Drop],DropAnalityka[[#This Row],[Drop]],Tabela10[Grade],DropAnalityka[[#This Row],[Grade]])*DropAnalityka[[#This Row],[Quality/Quantity]],0)</f>
        <v>0</v>
      </c>
      <c r="L1968" s="49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9">
        <f>IFERROR(SUMIFS(Tabela10[Fod Worth],Tabela10[Drop],DropAnalityka[[#This Row],[Drop]],Tabela10[Grade],DropAnalityka[[#This Row],[Grade]])*DropAnalityka[[#This Row],[Quality/Quantity]],0)</f>
        <v>0</v>
      </c>
      <c r="L1969" s="49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9">
        <f>IFERROR(SUMIFS(Tabela10[Fod Worth],Tabela10[Drop],DropAnalityka[[#This Row],[Drop]],Tabela10[Grade],DropAnalityka[[#This Row],[Grade]])*DropAnalityka[[#This Row],[Quality/Quantity]],0)</f>
        <v>0</v>
      </c>
      <c r="L1970" s="49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9">
        <f>IFERROR(SUMIFS(Tabela10[Fod Worth],Tabela10[Drop],DropAnalityka[[#This Row],[Drop]],Tabela10[Grade],DropAnalityka[[#This Row],[Grade]])*DropAnalityka[[#This Row],[Quality/Quantity]],0)</f>
        <v>0</v>
      </c>
      <c r="L1971" s="49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9">
        <f>IFERROR(SUMIFS(Tabela10[Fod Worth],Tabela10[Drop],DropAnalityka[[#This Row],[Drop]],Tabela10[Grade],DropAnalityka[[#This Row],[Grade]])*DropAnalityka[[#This Row],[Quality/Quantity]],0)</f>
        <v>0</v>
      </c>
      <c r="L1972" s="49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9">
        <f>IFERROR(SUMIFS(Tabela10[Fod Worth],Tabela10[Drop],DropAnalityka[[#This Row],[Drop]],Tabela10[Grade],DropAnalityka[[#This Row],[Grade]])*DropAnalityka[[#This Row],[Quality/Quantity]],0)</f>
        <v>0</v>
      </c>
      <c r="L1973" s="49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9">
        <f>IFERROR(SUMIFS(Tabela10[Fod Worth],Tabela10[Drop],DropAnalityka[[#This Row],[Drop]],Tabela10[Grade],DropAnalityka[[#This Row],[Grade]])*DropAnalityka[[#This Row],[Quality/Quantity]],0)</f>
        <v>0</v>
      </c>
      <c r="L1974" s="49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9">
        <f>IFERROR(SUMIFS(Tabela10[Fod Worth],Tabela10[Drop],DropAnalityka[[#This Row],[Drop]],Tabela10[Grade],DropAnalityka[[#This Row],[Grade]])*DropAnalityka[[#This Row],[Quality/Quantity]],0)</f>
        <v>0</v>
      </c>
      <c r="L1975" s="49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9">
        <f>IFERROR(SUMIFS(Tabela10[Fod Worth],Tabela10[Drop],DropAnalityka[[#This Row],[Drop]],Tabela10[Grade],DropAnalityka[[#This Row],[Grade]])*DropAnalityka[[#This Row],[Quality/Quantity]],0)</f>
        <v>0</v>
      </c>
      <c r="L1976" s="49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9">
        <f>IFERROR(SUMIFS(Tabela10[Fod Worth],Tabela10[Drop],DropAnalityka[[#This Row],[Drop]],Tabela10[Grade],DropAnalityka[[#This Row],[Grade]])*DropAnalityka[[#This Row],[Quality/Quantity]],0)</f>
        <v>0</v>
      </c>
      <c r="L1977" s="49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9">
        <f>IFERROR(SUMIFS(Tabela10[Fod Worth],Tabela10[Drop],DropAnalityka[[#This Row],[Drop]],Tabela10[Grade],DropAnalityka[[#This Row],[Grade]])*DropAnalityka[[#This Row],[Quality/Quantity]],0)</f>
        <v>0</v>
      </c>
      <c r="L1978" s="49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9">
        <f>IFERROR(SUMIFS(Tabela10[Fod Worth],Tabela10[Drop],DropAnalityka[[#This Row],[Drop]],Tabela10[Grade],DropAnalityka[[#This Row],[Grade]])*DropAnalityka[[#This Row],[Quality/Quantity]],0)</f>
        <v>0</v>
      </c>
      <c r="L1979" s="49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9">
        <f>IFERROR(SUMIFS(Tabela10[Fod Worth],Tabela10[Drop],DropAnalityka[[#This Row],[Drop]],Tabela10[Grade],DropAnalityka[[#This Row],[Grade]])*DropAnalityka[[#This Row],[Quality/Quantity]],0)</f>
        <v>0</v>
      </c>
      <c r="L1980" s="49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9">
        <f>IFERROR(SUMIFS(Tabela10[Fod Worth],Tabela10[Drop],DropAnalityka[[#This Row],[Drop]],Tabela10[Grade],DropAnalityka[[#This Row],[Grade]])*DropAnalityka[[#This Row],[Quality/Quantity]],0)</f>
        <v>0</v>
      </c>
      <c r="L1981" s="49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9">
        <f>IFERROR(SUMIFS(Tabela10[Fod Worth],Tabela10[Drop],DropAnalityka[[#This Row],[Drop]],Tabela10[Grade],DropAnalityka[[#This Row],[Grade]])*DropAnalityka[[#This Row],[Quality/Quantity]],0)</f>
        <v>0</v>
      </c>
      <c r="L1982" s="49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9">
        <f>IFERROR(SUMIFS(Tabela10[Fod Worth],Tabela10[Drop],DropAnalityka[[#This Row],[Drop]],Tabela10[Grade],DropAnalityka[[#This Row],[Grade]])*DropAnalityka[[#This Row],[Quality/Quantity]],0)</f>
        <v>0</v>
      </c>
      <c r="L1983" s="49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9">
        <f>IFERROR(SUMIFS(Tabela10[Fod Worth],Tabela10[Drop],DropAnalityka[[#This Row],[Drop]],Tabela10[Grade],DropAnalityka[[#This Row],[Grade]])*DropAnalityka[[#This Row],[Quality/Quantity]],0)</f>
        <v>0</v>
      </c>
      <c r="L1984" s="49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9">
        <f>IFERROR(SUMIFS(Tabela10[Fod Worth],Tabela10[Drop],DropAnalityka[[#This Row],[Drop]],Tabela10[Grade],DropAnalityka[[#This Row],[Grade]])*DropAnalityka[[#This Row],[Quality/Quantity]],0)</f>
        <v>0</v>
      </c>
      <c r="L1985" s="49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9">
        <f>IFERROR(SUMIFS(Tabela10[Fod Worth],Tabela10[Drop],DropAnalityka[[#This Row],[Drop]],Tabela10[Grade],DropAnalityka[[#This Row],[Grade]])*DropAnalityka[[#This Row],[Quality/Quantity]],0)</f>
        <v>0</v>
      </c>
      <c r="L1986" s="49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9">
        <f>IFERROR(SUMIFS(Tabela10[Fod Worth],Tabela10[Drop],DropAnalityka[[#This Row],[Drop]],Tabela10[Grade],DropAnalityka[[#This Row],[Grade]])*DropAnalityka[[#This Row],[Quality/Quantity]],0)</f>
        <v>0</v>
      </c>
      <c r="L1987" s="49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9">
        <f>IFERROR(SUMIFS(Tabela10[Fod Worth],Tabela10[Drop],DropAnalityka[[#This Row],[Drop]],Tabela10[Grade],DropAnalityka[[#This Row],[Grade]])*DropAnalityka[[#This Row],[Quality/Quantity]],0)</f>
        <v>0</v>
      </c>
      <c r="L1988" s="49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9">
        <f>IFERROR(SUMIFS(Tabela10[Fod Worth],Tabela10[Drop],DropAnalityka[[#This Row],[Drop]],Tabela10[Grade],DropAnalityka[[#This Row],[Grade]])*DropAnalityka[[#This Row],[Quality/Quantity]],0)</f>
        <v>0</v>
      </c>
      <c r="L1989" s="49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9">
        <f>IFERROR(SUMIFS(Tabela10[Fod Worth],Tabela10[Drop],DropAnalityka[[#This Row],[Drop]],Tabela10[Grade],DropAnalityka[[#This Row],[Grade]])*DropAnalityka[[#This Row],[Quality/Quantity]],0)</f>
        <v>0</v>
      </c>
      <c r="L1990" s="49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9">
        <f>IFERROR(SUMIFS(Tabela10[Fod Worth],Tabela10[Drop],DropAnalityka[[#This Row],[Drop]],Tabela10[Grade],DropAnalityka[[#This Row],[Grade]])*DropAnalityka[[#This Row],[Quality/Quantity]],0)</f>
        <v>0</v>
      </c>
      <c r="L1991" s="49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9">
        <f>IFERROR(SUMIFS(Tabela10[Fod Worth],Tabela10[Drop],DropAnalityka[[#This Row],[Drop]],Tabela10[Grade],DropAnalityka[[#This Row],[Grade]])*DropAnalityka[[#This Row],[Quality/Quantity]],0)</f>
        <v>0</v>
      </c>
      <c r="L1992" s="49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9">
        <f>IFERROR(SUMIFS(Tabela10[Fod Worth],Tabela10[Drop],DropAnalityka[[#This Row],[Drop]],Tabela10[Grade],DropAnalityka[[#This Row],[Grade]])*DropAnalityka[[#This Row],[Quality/Quantity]],0)</f>
        <v>0</v>
      </c>
      <c r="L1993" s="49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9">
        <f>IFERROR(SUMIFS(Tabela10[Fod Worth],Tabela10[Drop],DropAnalityka[[#This Row],[Drop]],Tabela10[Grade],DropAnalityka[[#This Row],[Grade]])*DropAnalityka[[#This Row],[Quality/Quantity]],0)</f>
        <v>0</v>
      </c>
      <c r="L1994" s="49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9">
        <f>IFERROR(SUMIFS(Tabela10[Fod Worth],Tabela10[Drop],DropAnalityka[[#This Row],[Drop]],Tabela10[Grade],DropAnalityka[[#This Row],[Grade]])*DropAnalityka[[#This Row],[Quality/Quantity]],0)</f>
        <v>0</v>
      </c>
      <c r="L1995" s="49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9">
        <f>IFERROR(SUMIFS(Tabela10[Fod Worth],Tabela10[Drop],DropAnalityka[[#This Row],[Drop]],Tabela10[Grade],DropAnalityka[[#This Row],[Grade]])*DropAnalityka[[#This Row],[Quality/Quantity]],0)</f>
        <v>0</v>
      </c>
      <c r="L1996" s="49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9">
        <f>IFERROR(SUMIFS(Tabela10[Fod Worth],Tabela10[Drop],DropAnalityka[[#This Row],[Drop]],Tabela10[Grade],DropAnalityka[[#This Row],[Grade]])*DropAnalityka[[#This Row],[Quality/Quantity]],0)</f>
        <v>0</v>
      </c>
      <c r="L1997" s="49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9">
        <f>IFERROR(SUMIFS(Tabela10[Fod Worth],Tabela10[Drop],DropAnalityka[[#This Row],[Drop]],Tabela10[Grade],DropAnalityka[[#This Row],[Grade]])*DropAnalityka[[#This Row],[Quality/Quantity]],0)</f>
        <v>0</v>
      </c>
      <c r="L1998" s="49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9">
        <f>IFERROR(SUMIFS(Tabela10[Fod Worth],Tabela10[Drop],DropAnalityka[[#This Row],[Drop]],Tabela10[Grade],DropAnalityka[[#This Row],[Grade]])*DropAnalityka[[#This Row],[Quality/Quantity]],0)</f>
        <v>0</v>
      </c>
      <c r="L1999" s="49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7">
        <f>IFERROR(SUMIFS(Tabela10[Fod Worth],Tabela10[Drop],DropAnalityka[[#This Row],[Drop]],Tabela10[Grade],DropAnalityka[[#This Row],[Grade]])*DropAnalityka[[#This Row],[Quality/Quantity]],0)</f>
        <v>0</v>
      </c>
      <c r="L2000" s="87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7"/>
  <sheetViews>
    <sheetView zoomScale="85" zoomScaleNormal="85" workbookViewId="0">
      <selection activeCell="D26" sqref="D26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64" t="s">
        <v>242</v>
      </c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6"/>
    </row>
    <row r="3" spans="1:16" ht="15">
      <c r="A3" s="37" t="s">
        <v>220</v>
      </c>
      <c r="B3" s="36" t="s">
        <v>235</v>
      </c>
      <c r="C3" s="36" t="s">
        <v>241</v>
      </c>
      <c r="D3" s="36" t="s">
        <v>225</v>
      </c>
      <c r="E3" s="36" t="s">
        <v>235</v>
      </c>
      <c r="F3" s="36" t="s">
        <v>241</v>
      </c>
      <c r="G3" s="36" t="s">
        <v>230</v>
      </c>
      <c r="H3" s="36" t="s">
        <v>235</v>
      </c>
      <c r="I3" s="36" t="s">
        <v>241</v>
      </c>
      <c r="J3" s="57"/>
      <c r="K3" s="36" t="s">
        <v>235</v>
      </c>
      <c r="L3" s="58" t="s">
        <v>241</v>
      </c>
    </row>
    <row r="4" spans="1:16">
      <c r="A4" s="5" t="s">
        <v>223</v>
      </c>
      <c r="B4" s="6" t="s">
        <v>236</v>
      </c>
      <c r="C4" s="6" t="s">
        <v>214</v>
      </c>
      <c r="D4" s="6" t="s">
        <v>226</v>
      </c>
      <c r="E4" s="6" t="s">
        <v>236</v>
      </c>
      <c r="F4" s="6"/>
      <c r="G4" s="6" t="s">
        <v>231</v>
      </c>
      <c r="H4" s="6" t="s">
        <v>236</v>
      </c>
      <c r="I4" s="62" t="s">
        <v>214</v>
      </c>
      <c r="J4" s="59" t="s">
        <v>239</v>
      </c>
      <c r="K4" s="59" t="s">
        <v>34</v>
      </c>
      <c r="L4" s="60" t="s">
        <v>214</v>
      </c>
    </row>
    <row r="5" spans="1:16">
      <c r="A5" s="5" t="s">
        <v>222</v>
      </c>
      <c r="B5" s="6" t="s">
        <v>237</v>
      </c>
      <c r="C5" s="6" t="s">
        <v>214</v>
      </c>
      <c r="D5" s="6" t="s">
        <v>227</v>
      </c>
      <c r="E5" s="6" t="s">
        <v>237</v>
      </c>
      <c r="F5" s="62" t="s">
        <v>214</v>
      </c>
      <c r="G5" s="6" t="s">
        <v>232</v>
      </c>
      <c r="H5" s="6" t="s">
        <v>34</v>
      </c>
      <c r="I5" s="6" t="s">
        <v>214</v>
      </c>
      <c r="J5" s="6"/>
      <c r="K5" s="6"/>
      <c r="L5" s="61"/>
    </row>
    <row r="6" spans="1:16">
      <c r="A6" s="5" t="s">
        <v>221</v>
      </c>
      <c r="B6" s="6" t="s">
        <v>237</v>
      </c>
      <c r="C6" s="62" t="s">
        <v>214</v>
      </c>
      <c r="D6" s="6" t="s">
        <v>228</v>
      </c>
      <c r="E6" s="6" t="s">
        <v>237</v>
      </c>
      <c r="F6" s="6" t="s">
        <v>214</v>
      </c>
      <c r="G6" s="6" t="s">
        <v>233</v>
      </c>
      <c r="H6" s="6" t="s">
        <v>236</v>
      </c>
      <c r="I6" s="62" t="s">
        <v>214</v>
      </c>
      <c r="J6" s="6"/>
      <c r="K6" s="6"/>
      <c r="L6" s="61"/>
    </row>
    <row r="7" spans="1:16" ht="15" thickBot="1">
      <c r="A7" s="7" t="s">
        <v>224</v>
      </c>
      <c r="B7" s="8" t="s">
        <v>240</v>
      </c>
      <c r="C7" s="8" t="s">
        <v>214</v>
      </c>
      <c r="D7" s="8" t="s">
        <v>229</v>
      </c>
      <c r="E7" s="8" t="s">
        <v>238</v>
      </c>
      <c r="F7" s="8" t="s">
        <v>214</v>
      </c>
      <c r="G7" s="8" t="s">
        <v>234</v>
      </c>
      <c r="H7" s="8" t="s">
        <v>238</v>
      </c>
      <c r="I7" s="8" t="s">
        <v>214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7" t="s">
        <v>243</v>
      </c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9"/>
    </row>
    <row r="10" spans="1:16" ht="15">
      <c r="A10" s="37" t="s">
        <v>244</v>
      </c>
      <c r="B10" s="36" t="s">
        <v>235</v>
      </c>
      <c r="C10" s="36" t="s">
        <v>241</v>
      </c>
      <c r="D10" s="72" t="s">
        <v>245</v>
      </c>
      <c r="E10" s="71" t="s">
        <v>235</v>
      </c>
      <c r="F10" s="71" t="s">
        <v>241</v>
      </c>
      <c r="G10" s="71" t="s">
        <v>246</v>
      </c>
      <c r="H10" s="71" t="s">
        <v>235</v>
      </c>
      <c r="I10" s="71" t="s">
        <v>241</v>
      </c>
      <c r="J10" s="71" t="s">
        <v>191</v>
      </c>
      <c r="K10" s="71"/>
      <c r="L10" s="71" t="s">
        <v>235</v>
      </c>
      <c r="M10" s="71" t="s">
        <v>241</v>
      </c>
      <c r="N10" s="65"/>
      <c r="O10" s="71" t="s">
        <v>235</v>
      </c>
      <c r="P10" s="73" t="s">
        <v>241</v>
      </c>
    </row>
    <row r="11" spans="1:16">
      <c r="A11" s="5" t="s">
        <v>260</v>
      </c>
      <c r="B11" s="6" t="s">
        <v>237</v>
      </c>
      <c r="C11" s="74" t="s">
        <v>214</v>
      </c>
      <c r="D11" s="69" t="s">
        <v>247</v>
      </c>
      <c r="E11" s="65" t="s">
        <v>237</v>
      </c>
      <c r="F11" s="65" t="s">
        <v>214</v>
      </c>
      <c r="G11" s="65" t="s">
        <v>251</v>
      </c>
      <c r="H11" s="65" t="s">
        <v>34</v>
      </c>
      <c r="I11" s="65" t="s">
        <v>214</v>
      </c>
      <c r="J11" s="65" t="s">
        <v>255</v>
      </c>
      <c r="K11" s="65"/>
      <c r="L11" s="65" t="s">
        <v>34</v>
      </c>
      <c r="M11" s="65"/>
      <c r="N11" s="65" t="s">
        <v>259</v>
      </c>
      <c r="O11" s="65"/>
      <c r="P11" s="66" t="s">
        <v>214</v>
      </c>
    </row>
    <row r="12" spans="1:16">
      <c r="A12" s="5" t="s">
        <v>261</v>
      </c>
      <c r="B12" s="6" t="s">
        <v>34</v>
      </c>
      <c r="C12" s="74" t="s">
        <v>214</v>
      </c>
      <c r="D12" s="69" t="s">
        <v>248</v>
      </c>
      <c r="E12" s="65" t="s">
        <v>34</v>
      </c>
      <c r="F12" s="65" t="s">
        <v>214</v>
      </c>
      <c r="G12" s="65" t="s">
        <v>252</v>
      </c>
      <c r="H12" s="65" t="s">
        <v>236</v>
      </c>
      <c r="I12" s="65" t="s">
        <v>214</v>
      </c>
      <c r="J12" s="65" t="s">
        <v>256</v>
      </c>
      <c r="K12" s="65"/>
      <c r="L12" s="65" t="s">
        <v>236</v>
      </c>
      <c r="M12" s="65" t="s">
        <v>214</v>
      </c>
      <c r="N12" s="65"/>
      <c r="O12" s="65"/>
      <c r="P12" s="66"/>
    </row>
    <row r="13" spans="1:16">
      <c r="A13" s="5" t="s">
        <v>262</v>
      </c>
      <c r="B13" s="6" t="s">
        <v>237</v>
      </c>
      <c r="C13" s="74" t="s">
        <v>214</v>
      </c>
      <c r="D13" s="69" t="s">
        <v>249</v>
      </c>
      <c r="E13" s="65" t="s">
        <v>237</v>
      </c>
      <c r="F13" s="65" t="s">
        <v>214</v>
      </c>
      <c r="G13" s="65" t="s">
        <v>253</v>
      </c>
      <c r="H13" s="65" t="s">
        <v>237</v>
      </c>
      <c r="I13" s="65" t="s">
        <v>214</v>
      </c>
      <c r="J13" s="65" t="s">
        <v>257</v>
      </c>
      <c r="K13" s="65"/>
      <c r="L13" s="65" t="s">
        <v>236</v>
      </c>
      <c r="M13" s="65" t="s">
        <v>214</v>
      </c>
      <c r="N13" s="65"/>
      <c r="O13" s="65"/>
      <c r="P13" s="66"/>
    </row>
    <row r="14" spans="1:16" ht="15" thickBot="1">
      <c r="A14" s="7" t="s">
        <v>263</v>
      </c>
      <c r="B14" s="8" t="s">
        <v>236</v>
      </c>
      <c r="C14" s="75" t="s">
        <v>214</v>
      </c>
      <c r="D14" s="70" t="s">
        <v>250</v>
      </c>
      <c r="E14" s="67" t="s">
        <v>264</v>
      </c>
      <c r="F14" s="67" t="s">
        <v>214</v>
      </c>
      <c r="G14" s="67" t="s">
        <v>254</v>
      </c>
      <c r="H14" s="67" t="s">
        <v>264</v>
      </c>
      <c r="I14" s="67" t="s">
        <v>214</v>
      </c>
      <c r="J14" s="67" t="s">
        <v>258</v>
      </c>
      <c r="K14" s="67"/>
      <c r="L14" s="67" t="s">
        <v>264</v>
      </c>
      <c r="M14" s="67" t="s">
        <v>214</v>
      </c>
      <c r="N14" s="67"/>
      <c r="O14" s="67"/>
      <c r="P14" s="68"/>
    </row>
    <row r="17" spans="1:20" ht="15" thickBot="1"/>
    <row r="18" spans="1:20" ht="15" thickBot="1">
      <c r="F18" s="170" t="s">
        <v>271</v>
      </c>
      <c r="G18" s="171"/>
      <c r="H18" s="172"/>
      <c r="I18" s="173" t="s">
        <v>272</v>
      </c>
      <c r="J18" s="174"/>
      <c r="K18" s="175"/>
      <c r="L18" s="176" t="s">
        <v>18</v>
      </c>
      <c r="M18" s="177"/>
      <c r="N18" s="178"/>
      <c r="O18" s="179" t="s">
        <v>274</v>
      </c>
      <c r="P18" s="180"/>
      <c r="Q18" s="181"/>
      <c r="R18" s="161" t="s">
        <v>273</v>
      </c>
      <c r="S18" s="162"/>
      <c r="T18" s="163"/>
    </row>
    <row r="19" spans="1:20" ht="15.75" thickBot="1">
      <c r="C19" s="37" t="s">
        <v>267</v>
      </c>
      <c r="D19" s="36" t="s">
        <v>268</v>
      </c>
      <c r="E19" s="58" t="s">
        <v>269</v>
      </c>
      <c r="F19" s="91" t="s">
        <v>275</v>
      </c>
      <c r="G19" s="92" t="s">
        <v>315</v>
      </c>
      <c r="H19" s="93" t="s">
        <v>276</v>
      </c>
      <c r="I19" s="99" t="s">
        <v>275</v>
      </c>
      <c r="J19" s="100" t="s">
        <v>315</v>
      </c>
      <c r="K19" s="101" t="s">
        <v>276</v>
      </c>
      <c r="L19" s="107" t="s">
        <v>275</v>
      </c>
      <c r="M19" s="108" t="s">
        <v>315</v>
      </c>
      <c r="N19" s="109" t="s">
        <v>276</v>
      </c>
      <c r="O19" s="125" t="s">
        <v>275</v>
      </c>
      <c r="P19" s="126" t="s">
        <v>315</v>
      </c>
      <c r="Q19" s="127" t="s">
        <v>276</v>
      </c>
      <c r="R19" s="115" t="s">
        <v>275</v>
      </c>
      <c r="S19" s="116" t="s">
        <v>315</v>
      </c>
      <c r="T19" s="117" t="s">
        <v>276</v>
      </c>
    </row>
    <row r="20" spans="1:20" ht="15">
      <c r="A20" s="76" t="s">
        <v>270</v>
      </c>
      <c r="B20" s="81" t="s">
        <v>245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270</v>
      </c>
      <c r="B21" s="82" t="s">
        <v>247</v>
      </c>
      <c r="C21" s="5" t="s">
        <v>214</v>
      </c>
      <c r="D21" s="69" t="s">
        <v>349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270</v>
      </c>
      <c r="B22" s="82" t="s">
        <v>248</v>
      </c>
      <c r="C22" s="5" t="s">
        <v>214</v>
      </c>
      <c r="D22" s="69" t="s">
        <v>349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270</v>
      </c>
      <c r="B23" s="82" t="s">
        <v>249</v>
      </c>
      <c r="C23" s="5" t="s">
        <v>214</v>
      </c>
      <c r="D23" s="69" t="s">
        <v>349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270</v>
      </c>
      <c r="B24" s="83" t="s">
        <v>250</v>
      </c>
      <c r="C24" s="5" t="s">
        <v>214</v>
      </c>
      <c r="D24" s="69" t="s">
        <v>349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270</v>
      </c>
      <c r="B25" s="81" t="s">
        <v>246</v>
      </c>
      <c r="C25" s="5"/>
      <c r="D25" s="155" t="s">
        <v>353</v>
      </c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270</v>
      </c>
      <c r="B26" s="82" t="s">
        <v>251</v>
      </c>
      <c r="C26" s="5" t="s">
        <v>214</v>
      </c>
      <c r="D26" s="69" t="s">
        <v>349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/>
      <c r="P26" s="129"/>
      <c r="Q26" s="130"/>
      <c r="R26" s="118"/>
      <c r="S26" s="119"/>
      <c r="T26" s="120"/>
    </row>
    <row r="27" spans="1:20">
      <c r="A27" s="77" t="s">
        <v>270</v>
      </c>
      <c r="B27" s="82" t="s">
        <v>252</v>
      </c>
      <c r="C27" s="5" t="s">
        <v>214</v>
      </c>
      <c r="D27" s="69" t="s">
        <v>349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/>
      <c r="P27" s="129"/>
      <c r="Q27" s="130"/>
      <c r="R27" s="118"/>
      <c r="S27" s="119"/>
      <c r="T27" s="120"/>
    </row>
    <row r="28" spans="1:20">
      <c r="A28" s="77" t="s">
        <v>270</v>
      </c>
      <c r="B28" s="82" t="s">
        <v>253</v>
      </c>
      <c r="C28" s="5" t="s">
        <v>214</v>
      </c>
      <c r="D28" s="69" t="s">
        <v>349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/>
      <c r="P28" s="129"/>
      <c r="Q28" s="130"/>
      <c r="R28" s="118"/>
      <c r="S28" s="119"/>
      <c r="T28" s="120"/>
    </row>
    <row r="29" spans="1:20" ht="15" thickBot="1">
      <c r="A29" s="77" t="s">
        <v>270</v>
      </c>
      <c r="B29" s="83" t="s">
        <v>254</v>
      </c>
      <c r="C29" s="5" t="s">
        <v>214</v>
      </c>
      <c r="D29" s="69" t="s">
        <v>349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/>
      <c r="P29" s="129"/>
      <c r="Q29" s="130"/>
      <c r="R29" s="118"/>
      <c r="S29" s="119"/>
      <c r="T29" s="120"/>
    </row>
    <row r="30" spans="1:20" ht="15">
      <c r="A30" s="77" t="s">
        <v>270</v>
      </c>
      <c r="B30" s="81" t="s">
        <v>191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270</v>
      </c>
      <c r="B31" s="148" t="s">
        <v>255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270</v>
      </c>
      <c r="B32" s="82" t="s">
        <v>256</v>
      </c>
      <c r="C32" s="5" t="s">
        <v>214</v>
      </c>
      <c r="D32" s="69" t="s">
        <v>349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270</v>
      </c>
      <c r="B33" s="82" t="s">
        <v>257</v>
      </c>
      <c r="C33" s="5" t="s">
        <v>214</v>
      </c>
      <c r="D33" s="69" t="s">
        <v>349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270</v>
      </c>
      <c r="B34" s="83" t="s">
        <v>258</v>
      </c>
      <c r="C34" s="5" t="s">
        <v>214</v>
      </c>
      <c r="D34" s="69" t="s">
        <v>349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270</v>
      </c>
      <c r="B35" s="84" t="s">
        <v>259</v>
      </c>
      <c r="C35" s="7" t="s">
        <v>214</v>
      </c>
      <c r="D35" s="70" t="s">
        <v>352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277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80</v>
      </c>
      <c r="P36" s="131">
        <f t="shared" si="0"/>
        <v>105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278</v>
      </c>
      <c r="F37" s="95">
        <v>267</v>
      </c>
      <c r="G37" s="95">
        <v>65</v>
      </c>
      <c r="H37" s="95">
        <v>27</v>
      </c>
      <c r="I37" s="103">
        <v>121</v>
      </c>
      <c r="J37" s="103">
        <v>66</v>
      </c>
      <c r="K37" s="103">
        <v>37</v>
      </c>
      <c r="L37" s="111">
        <v>120</v>
      </c>
      <c r="M37" s="111">
        <v>63</v>
      </c>
      <c r="N37" s="111">
        <v>29</v>
      </c>
      <c r="O37" s="129">
        <v>187</v>
      </c>
      <c r="P37" s="129">
        <v>3</v>
      </c>
      <c r="Q37" s="129">
        <v>25</v>
      </c>
      <c r="R37" s="119">
        <v>19</v>
      </c>
      <c r="S37" s="119">
        <v>16</v>
      </c>
      <c r="T37" s="120">
        <v>6</v>
      </c>
    </row>
    <row r="38" spans="1:21" ht="15.75" thickBot="1">
      <c r="E38" s="86" t="s">
        <v>123</v>
      </c>
      <c r="F38" s="98">
        <f>MAXA(F36-F37,0)</f>
        <v>0</v>
      </c>
      <c r="G38" s="98">
        <f t="shared" ref="G38:T38" si="1">MAXA(G36-G37,0)</f>
        <v>0</v>
      </c>
      <c r="H38" s="98">
        <f t="shared" si="1"/>
        <v>0</v>
      </c>
      <c r="I38" s="106">
        <f t="shared" si="1"/>
        <v>0</v>
      </c>
      <c r="J38" s="106">
        <f t="shared" si="1"/>
        <v>0</v>
      </c>
      <c r="K38" s="106">
        <f t="shared" si="1"/>
        <v>0</v>
      </c>
      <c r="L38" s="114">
        <f t="shared" si="1"/>
        <v>0</v>
      </c>
      <c r="M38" s="114">
        <f t="shared" si="1"/>
        <v>2</v>
      </c>
      <c r="N38" s="114">
        <f t="shared" si="1"/>
        <v>0</v>
      </c>
      <c r="O38" s="132">
        <f t="shared" si="1"/>
        <v>0</v>
      </c>
      <c r="P38" s="132">
        <f t="shared" si="1"/>
        <v>102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9" t="s">
        <v>303</v>
      </c>
      <c r="H39" s="159"/>
      <c r="I39" s="159"/>
      <c r="J39" s="159"/>
      <c r="K39" s="159"/>
      <c r="L39" s="159"/>
      <c r="M39" s="159"/>
      <c r="N39" s="159"/>
      <c r="O39" s="159"/>
      <c r="P39" s="159"/>
      <c r="Q39" s="159"/>
      <c r="R39" s="159"/>
      <c r="S39" s="159"/>
      <c r="T39" s="160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0</v>
      </c>
      <c r="H40" s="136">
        <f>H$38/VLOOKUP(H$19,Tabela11[#All],6,FALSE)</f>
        <v>0</v>
      </c>
      <c r="I40" s="136">
        <f>I$38/VLOOKUP(I$19,Tabela11[#All],6,FALSE)</f>
        <v>0</v>
      </c>
      <c r="J40" s="136">
        <f>J$38/VLOOKUP(J$19,Tabela11[#All],6,FALSE)</f>
        <v>0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3.5820895522388061</v>
      </c>
      <c r="N40" s="136">
        <f>N$38/VLOOKUP(N$19,Tabela11[#All],6,FALSE)</f>
        <v>0</v>
      </c>
      <c r="O40" s="136">
        <f>O$38/VLOOKUP(O$19,Tabela11[#All],6,FALSE)</f>
        <v>0</v>
      </c>
      <c r="P40" s="136">
        <f>P$38/VLOOKUP(P$19,Tabela11[#All],6,FALSE)</f>
        <v>182.68656716417911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0</v>
      </c>
      <c r="H41" s="136">
        <f>H$38/VLOOKUP(H$19,Tabela11[#All],5,FALSE)</f>
        <v>0</v>
      </c>
      <c r="I41" s="136">
        <f>I$38/VLOOKUP(I$19,Tabela11[#All],5,FALSE)</f>
        <v>0</v>
      </c>
      <c r="J41" s="136">
        <f>J$38/VLOOKUP(J$19,Tabela11[#All],5,FALSE)</f>
        <v>0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9.1428571428571423</v>
      </c>
      <c r="N41" s="136">
        <f>N$38/VLOOKUP(N$19,Tabela11[#All],5,FALSE)</f>
        <v>0</v>
      </c>
      <c r="O41" s="136">
        <f>O$38/VLOOKUP(O$19,Tabela11[#All],5,FALSE)</f>
        <v>0</v>
      </c>
      <c r="P41" s="136">
        <f>P$38/VLOOKUP(P$19,Tabela11[#All],5,FALSE)</f>
        <v>466.28571428571428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0</v>
      </c>
      <c r="H42" s="138">
        <f>H$38/VLOOKUP(H$19,Tabela11[#All],4,FALSE)</f>
        <v>0</v>
      </c>
      <c r="I42" s="138">
        <f>I$38/VLOOKUP(I$19,Tabela11[#All],4,FALSE)</f>
        <v>0</v>
      </c>
      <c r="J42" s="138">
        <f>J$38/VLOOKUP(J$19,Tabela11[#All],4,FALSE)</f>
        <v>0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3.6216216216216215</v>
      </c>
      <c r="N42" s="138">
        <f>N$38/VLOOKUP(N$19,Tabela11[#All],4,FALSE)</f>
        <v>0</v>
      </c>
      <c r="O42" s="138">
        <f>O$38/VLOOKUP(O$19,Tabela11[#All],4,FALSE)</f>
        <v>0</v>
      </c>
      <c r="P42" s="138">
        <f>P$38/VLOOKUP(P$19,Tabela11[#All],4,FALSE)</f>
        <v>184.70270270270268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56" t="s">
        <v>302</v>
      </c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8"/>
      <c r="U44" s="140" t="s">
        <v>304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0</v>
      </c>
      <c r="H45" s="144">
        <f>H$38/VLOOKUP(H$19,Tabela11[#All],6,FALSE)*(7-12*0.065)</f>
        <v>0</v>
      </c>
      <c r="I45" s="144">
        <f>I$38/VLOOKUP(I$19,Tabela11[#All],6,FALSE)*(7-12*0.065)</f>
        <v>0</v>
      </c>
      <c r="J45" s="144">
        <f>J$38/VLOOKUP(J$19,Tabela11[#All],6,FALSE)*(7-12*0.065)</f>
        <v>0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22.280597014925373</v>
      </c>
      <c r="N45" s="144">
        <f>N$38/VLOOKUP(N$19,Tabela11[#All],6,FALSE)*(7-12*0.065)</f>
        <v>0</v>
      </c>
      <c r="O45" s="144">
        <f>O$38/VLOOKUP(O$19,Tabela11[#All],6,FALSE)*(7-12*0.065)</f>
        <v>0</v>
      </c>
      <c r="P45" s="144">
        <f>P$38/VLOOKUP(P$19,Tabela11[#All],6,FALSE)*(7-12*0.065)</f>
        <v>1136.3104477611939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1158.5910447761194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0</v>
      </c>
      <c r="H46" s="144">
        <f>H$38/VLOOKUP(H$19,Tabela11[#All],5,FALSE)*(7-12*0.065)</f>
        <v>0</v>
      </c>
      <c r="I46" s="144">
        <f>I$38/VLOOKUP(I$19,Tabela11[#All],5,FALSE)*(7-12*0.065)</f>
        <v>0</v>
      </c>
      <c r="J46" s="144">
        <f>J$38/VLOOKUP(J$19,Tabela11[#All],5,FALSE)*(7-12*0.065)</f>
        <v>0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56.868571428571421</v>
      </c>
      <c r="N46" s="144">
        <f>N$38/VLOOKUP(N$19,Tabela11[#All],5,FALSE)*(7-12*0.065)</f>
        <v>0</v>
      </c>
      <c r="O46" s="144">
        <f>O$38/VLOOKUP(O$19,Tabela11[#All],5,FALSE)*(7-12*0.065)</f>
        <v>0</v>
      </c>
      <c r="P46" s="144">
        <f>P$38/VLOOKUP(P$19,Tabela11[#All],5,FALSE)*(7-12*0.065)</f>
        <v>2900.2971428571427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2957.1657142857143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0</v>
      </c>
      <c r="H47" s="146">
        <f>H$38/VLOOKUP(H$19,Tabela11[#All],4,FALSE)*(6-12*0.065)</f>
        <v>0</v>
      </c>
      <c r="I47" s="146">
        <f>I$38/VLOOKUP(I$19,Tabela11[#All],4,FALSE)*(6-12*0.065)</f>
        <v>0</v>
      </c>
      <c r="J47" s="146">
        <f>J$38/VLOOKUP(J$19,Tabela11[#All],4,FALSE)*(6-12*0.065)</f>
        <v>0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18.904864864864862</v>
      </c>
      <c r="N47" s="146">
        <f>N$38/VLOOKUP(N$19,Tabela11[#All],4,FALSE)*(6-12*0.065)</f>
        <v>0</v>
      </c>
      <c r="O47" s="146">
        <f>O$38/VLOOKUP(O$19,Tabela11[#All],4,FALSE)*(6-12*0.065)</f>
        <v>0</v>
      </c>
      <c r="P47" s="146">
        <f>P$38/VLOOKUP(P$19,Tabela11[#All],4,FALSE)*(6-12*0.065)</f>
        <v>964.14810810810798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983.05297297297284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183</v>
      </c>
      <c r="J1" s="85" t="s">
        <v>22</v>
      </c>
      <c r="K1" s="85" t="s">
        <v>56</v>
      </c>
      <c r="L1" s="85" t="s">
        <v>55</v>
      </c>
      <c r="M1" s="85" t="s">
        <v>187</v>
      </c>
      <c r="N1" s="85" t="s">
        <v>184</v>
      </c>
      <c r="O1" s="85" t="s">
        <v>189</v>
      </c>
      <c r="P1" s="85" t="s">
        <v>24</v>
      </c>
      <c r="Q1" s="85" t="s">
        <v>265</v>
      </c>
      <c r="R1" s="85" t="s">
        <v>279</v>
      </c>
      <c r="S1" s="85" t="s">
        <v>137</v>
      </c>
      <c r="T1" s="85" t="s">
        <v>136</v>
      </c>
      <c r="U1" t="s">
        <v>139</v>
      </c>
      <c r="V1" t="s">
        <v>140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6">
        <f>LocFeatures[[#This Row],[Drop worth gain]]/(LocFeatures[[#This Row],[E. Cost]]-LocFeatures[[#This Row],[Energy gain]])</f>
        <v>1304.141304347826</v>
      </c>
      <c r="O2" s="56">
        <f>LocFeatures[[#This Row],[XP Train Gain]]/(LocFeatures[[#This Row],[E. Cost]]-LocFeatures[[#This Row],[Energy gain]])</f>
        <v>1255.8260869565217</v>
      </c>
      <c r="P2" s="56">
        <f>(LocFeatures[[#This Row],[XP Train Gain]]+LocFeatures[[#This Row],[XP drop]])/(LocFeatures[[#This Row],[E. Cost]]-LocFeatures[[#This Row],[Energy gain]])</f>
        <v>1360.1739130434783</v>
      </c>
      <c r="Q2" s="53">
        <f>COUNTIFS(DropAnalityka[Location],LocFeatures[[#This Row],[Location]],DropAnalityka[LVL],LocFeatures[[#This Row],[LVL]],DropAnalityka[Stage],LocFeatures[[#This Row],[Stage]])</f>
        <v>29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341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6">
        <f>AVERAGEIFS(DropAnalityka[Exp Gain],DropAnalityka[Location],LocFeatures[[#This Row],[Location]],DropAnalityka[LVL],LocFeatures[[#This Row],[LVL]],DropAnalityka[Stage],LocFeatures[[#This Row],[Stage]])</f>
        <v>0</v>
      </c>
      <c r="N3" s="56">
        <f>LocFeatures[[#This Row],[Drop worth gain]]/(LocFeatures[[#This Row],[E. Cost]]-LocFeatures[[#This Row],[Energy gain]])</f>
        <v>1138.4000000000001</v>
      </c>
      <c r="O3" s="56">
        <f>LocFeatures[[#This Row],[XP Train Gain]]/(LocFeatures[[#This Row],[E. Cost]]-LocFeatures[[#This Row],[Energy gain]])</f>
        <v>1097.28</v>
      </c>
      <c r="P3" s="56">
        <f>(LocFeatures[[#This Row],[XP Train Gain]]+LocFeatures[[#This Row],[XP drop]])/(LocFeatures[[#This Row],[E. Cost]]-LocFeatures[[#This Row],[Energy gain]])</f>
        <v>1097.28</v>
      </c>
      <c r="Q3" s="49">
        <f>COUNTIFS(DropAnalityka[Location],LocFeatures[[#This Row],[Location]],DropAnalityka[LVL],LocFeatures[[#This Row],[LVL]],DropAnalityka[Stage],LocFeatures[[#This Row],[Stage]])</f>
        <v>8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6">
        <f>AVERAGEIFS(DropAnalityka[Exp Gain],DropAnalityka[Location],LocFeatures[[#This Row],[Location]],DropAnalityka[LVL],LocFeatures[[#This Row],[LVL]],DropAnalityka[Stage],LocFeatures[[#This Row],[Stage]])</f>
        <v>175</v>
      </c>
      <c r="N4" s="56">
        <f>LocFeatures[[#This Row],[Drop worth gain]]/(LocFeatures[[#This Row],[E. Cost]]-LocFeatures[[#This Row],[Energy gain]])</f>
        <v>1585.3940886699506</v>
      </c>
      <c r="O4" s="56">
        <f>LocFeatures[[#This Row],[XP Train Gain]]/(LocFeatures[[#This Row],[E. Cost]]-LocFeatures[[#This Row],[Energy gain]])</f>
        <v>1133.5566502463053</v>
      </c>
      <c r="P4" s="56">
        <f>(LocFeatures[[#This Row],[XP Train Gain]]+LocFeatures[[#This Row],[XP drop]])/(LocFeatures[[#This Row],[E. Cost]]-LocFeatures[[#This Row],[Energy gain]])</f>
        <v>1216.3152709359606</v>
      </c>
      <c r="Q4" s="53">
        <f>COUNTIFS(DropAnalityka[Location],LocFeatures[[#This Row],[Location]],DropAnalityka[LVL],LocFeatures[[#This Row],[LVL]],DropAnalityka[Stage],LocFeatures[[#This Row],[Stage]])</f>
        <v>96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6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6">
        <f>LocFeatures[[#This Row],[Drop worth gain]]/(LocFeatures[[#This Row],[E. Cost]]-LocFeatures[[#This Row],[Energy gain]])</f>
        <v>1353.124060150376</v>
      </c>
      <c r="O5" s="56">
        <f>LocFeatures[[#This Row],[XP Train Gain]]/(LocFeatures[[#This Row],[E. Cost]]-LocFeatures[[#This Row],[Energy gain]])</f>
        <v>1252.015037593985</v>
      </c>
      <c r="P5" s="56">
        <f>(LocFeatures[[#This Row],[XP Train Gain]]+LocFeatures[[#This Row],[XP drop]])/(LocFeatures[[#This Row],[E. Cost]]-LocFeatures[[#This Row],[Energy gain]])</f>
        <v>1494.9548872180453</v>
      </c>
      <c r="Q5" s="49">
        <f>COUNTIFS(DropAnalityka[Location],LocFeatures[[#This Row],[Location]],DropAnalityka[LVL],LocFeatures[[#This Row],[LVL]],DropAnalityka[Stage],LocFeatures[[#This Row],[Stage]])</f>
        <v>87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266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6">
        <f>AVERAGEIFS(DropAnalityka[Exp Gain],DropAnalityka[Location],LocFeatures[[#This Row],[Location]],DropAnalityka[LVL],LocFeatures[[#This Row],[LVL]],DropAnalityka[Stage],LocFeatures[[#This Row],[Stage]])</f>
        <v>0</v>
      </c>
      <c r="N6" s="56">
        <f>LocFeatures[[#This Row],[Drop worth gain]]/(LocFeatures[[#This Row],[E. Cost]]-LocFeatures[[#This Row],[Energy gain]])</f>
        <v>1130.6666666666667</v>
      </c>
      <c r="O6" s="56">
        <f>LocFeatures[[#This Row],[XP Train Gain]]/(LocFeatures[[#This Row],[E. Cost]]-LocFeatures[[#This Row],[Energy gain]])</f>
        <v>804</v>
      </c>
      <c r="P6" s="56">
        <f>(LocFeatures[[#This Row],[XP Train Gain]]+LocFeatures[[#This Row],[XP drop]])/(LocFeatures[[#This Row],[E. Cost]]-LocFeatures[[#This Row],[Energy gain]])</f>
        <v>804</v>
      </c>
      <c r="Q6" s="53">
        <f>COUNTIFS(DropAnalityka[Location],LocFeatures[[#This Row],[Location]],DropAnalityka[LVL],LocFeatures[[#This Row],[LVL]],DropAnalityka[Stage],LocFeatures[[#This Row],[Stage]])</f>
        <v>1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6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6">
        <f>LocFeatures[[#This Row],[Drop worth gain]]/(LocFeatures[[#This Row],[E. Cost]]-LocFeatures[[#This Row],[Energy gain]])</f>
        <v>1251.0058139534883</v>
      </c>
      <c r="O7" s="56">
        <f>LocFeatures[[#This Row],[XP Train Gain]]/(LocFeatures[[#This Row],[E. Cost]]-LocFeatures[[#This Row],[Energy gain]])</f>
        <v>1068.0697674418604</v>
      </c>
      <c r="P7" s="56">
        <f>(LocFeatures[[#This Row],[XP Train Gain]]+LocFeatures[[#This Row],[XP drop]])/(LocFeatures[[#This Row],[E. Cost]]-LocFeatures[[#This Row],[Energy gain]])</f>
        <v>1175.0465116279067</v>
      </c>
      <c r="Q7" s="53">
        <f>COUNTIFS(DropAnalityka[Location],LocFeatures[[#This Row],[Location]],DropAnalityka[LVL],LocFeatures[[#This Row],[LVL]],DropAnalityka[Stage],LocFeatures[[#This Row],[Stage]])</f>
        <v>81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6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6">
        <f>LocFeatures[[#This Row],[Drop worth gain]]/(LocFeatures[[#This Row],[E. Cost]]-LocFeatures[[#This Row],[Energy gain]])</f>
        <v>1594.1376811594205</v>
      </c>
      <c r="O8" s="56">
        <f>LocFeatures[[#This Row],[XP Train Gain]]/(LocFeatures[[#This Row],[E. Cost]]-LocFeatures[[#This Row],[Energy gain]])</f>
        <v>1192.7826086956522</v>
      </c>
      <c r="P8" s="56">
        <f>(LocFeatures[[#This Row],[XP Train Gain]]+LocFeatures[[#This Row],[XP drop]])/(LocFeatures[[#This Row],[E. Cost]]-LocFeatures[[#This Row],[Energy gain]])</f>
        <v>1521.9275362318842</v>
      </c>
      <c r="Q8" s="53">
        <f>COUNTIFS(DropAnalityka[Location],LocFeatures[[#This Row],[Location]],DropAnalityka[LVL],LocFeatures[[#This Row],[LVL]],DropAnalityka[Stage],LocFeatures[[#This Row],[Stage]])</f>
        <v>43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6">
        <f>AVERAGEIFS(DropAnalityka[Exp Gain],DropAnalityka[Location],LocFeatures[[#This Row],[Location]],DropAnalityka[LVL],LocFeatures[[#This Row],[LVL]],DropAnalityka[Stage],LocFeatures[[#This Row],[Stage]])</f>
        <v>0</v>
      </c>
      <c r="N9" s="56">
        <f>LocFeatures[[#This Row],[Drop worth gain]]/(LocFeatures[[#This Row],[E. Cost]]-LocFeatures[[#This Row],[Energy gain]])</f>
        <v>988</v>
      </c>
      <c r="O9" s="56">
        <f>LocFeatures[[#This Row],[XP Train Gain]]/(LocFeatures[[#This Row],[E. Cost]]-LocFeatures[[#This Row],[Energy gain]])</f>
        <v>804</v>
      </c>
      <c r="P9" s="56">
        <f>(LocFeatures[[#This Row],[XP Train Gain]]+LocFeatures[[#This Row],[XP drop]])/(LocFeatures[[#This Row],[E. Cost]]-LocFeatures[[#This Row],[Energy gain]])</f>
        <v>804</v>
      </c>
      <c r="Q9" s="53">
        <f>COUNTIFS(DropAnalityka[Location],LocFeatures[[#This Row],[Location]],DropAnalityka[LVL],LocFeatures[[#This Row],[LVL]],DropAnalityka[Stage],LocFeatures[[#This Row],[Stage]])</f>
        <v>2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179</v>
      </c>
      <c r="B10" s="10" t="s">
        <v>9</v>
      </c>
      <c r="C10" s="10">
        <v>7</v>
      </c>
      <c r="D10" s="10">
        <v>6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6">
        <f>AVERAGEIFS(DropAnalityka[Exp Gain],DropAnalityka[Location],LocFeatures[[#This Row],[Location]],DropAnalityka[LVL],LocFeatures[[#This Row],[LVL]],DropAnalityka[Stage],LocFeatures[[#This Row],[Stage]])</f>
        <v>947.822</v>
      </c>
      <c r="N10" s="56">
        <f>LocFeatures[[#This Row],[Drop worth gain]]/(LocFeatures[[#This Row],[E. Cost]]-LocFeatures[[#This Row],[Energy gain]])</f>
        <v>1215.4489795918366</v>
      </c>
      <c r="O10" s="56">
        <f>LocFeatures[[#This Row],[XP Train Gain]]/(LocFeatures[[#This Row],[E. Cost]]-LocFeatures[[#This Row],[Energy gain]])</f>
        <v>0</v>
      </c>
      <c r="P10" s="56">
        <f>(LocFeatures[[#This Row],[XP Train Gain]]+LocFeatures[[#This Row],[XP drop]])/(LocFeatures[[#This Row],[E. Cost]]-LocFeatures[[#This Row],[Energy gain]])</f>
        <v>193.43306122448979</v>
      </c>
      <c r="Q10" s="53">
        <f>COUNTIFS(DropAnalityka[Location],LocFeatures[[#This Row],[Location]],DropAnalityka[LVL],LocFeatures[[#This Row],[LVL]],DropAnalityka[Stage],LocFeatures[[#This Row],[Stage]])</f>
        <v>50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237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6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6">
        <f>LocFeatures[[#This Row],[Drop worth gain]]/(LocFeatures[[#This Row],[E. Cost]]-LocFeatures[[#This Row],[Energy gain]])</f>
        <v>1846.9</v>
      </c>
      <c r="O11" s="56">
        <f>LocFeatures[[#This Row],[XP Train Gain]]/(LocFeatures[[#This Row],[E. Cost]]-LocFeatures[[#This Row],[Energy gain]])</f>
        <v>0</v>
      </c>
      <c r="P11" s="56">
        <f>(LocFeatures[[#This Row],[XP Train Gain]]+LocFeatures[[#This Row],[XP drop]])/(LocFeatures[[#This Row],[E. Cost]]-LocFeatures[[#This Row],[Energy gain]])</f>
        <v>716.44</v>
      </c>
      <c r="Q11" s="49">
        <f>COUNTIFS(DropAnalityka[Location],LocFeatures[[#This Row],[Location]],DropAnalityka[LVL],LocFeatures[[#This Row],[LVL]],DropAnalityka[Stage],LocFeatures[[#This Row],[Stage]])</f>
        <v>8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308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6">
        <f>AVERAGEIFS(DropAnalityka[Exp Gain],DropAnalityka[Location],LocFeatures[[#This Row],[Location]],DropAnalityka[LVL],LocFeatures[[#This Row],[LVL]],DropAnalityka[Stage],LocFeatures[[#This Row],[Stage]])</f>
        <v>0</v>
      </c>
      <c r="N12" s="56">
        <f>LocFeatures[[#This Row],[Drop worth gain]]/(LocFeatures[[#This Row],[E. Cost]]-LocFeatures[[#This Row],[Energy gain]])</f>
        <v>732.01886792452831</v>
      </c>
      <c r="O12" s="56">
        <f>LocFeatures[[#This Row],[XP Train Gain]]/(LocFeatures[[#This Row],[E. Cost]]-LocFeatures[[#This Row],[Energy gain]])</f>
        <v>1324.5283018867926</v>
      </c>
      <c r="P12" s="56">
        <f>(LocFeatures[[#This Row],[XP Train Gain]]+LocFeatures[[#This Row],[XP drop]])/(LocFeatures[[#This Row],[E. Cost]]-LocFeatures[[#This Row],[Energy gain]])</f>
        <v>1324.5283018867926</v>
      </c>
      <c r="Q12" s="49">
        <f>COUNTIFS(DropAnalityka[Location],LocFeatures[[#This Row],[Location]],DropAnalityka[LVL],LocFeatures[[#This Row],[LVL]],DropAnalityka[Stage],LocFeatures[[#This Row],[Stage]])</f>
        <v>26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179</v>
      </c>
      <c r="B13" s="10" t="s">
        <v>9</v>
      </c>
      <c r="C13" s="10">
        <v>8</v>
      </c>
      <c r="D13" s="10">
        <v>7</v>
      </c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6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6">
        <f>LocFeatures[[#This Row],[Drop worth gain]]/(LocFeatures[[#This Row],[E. Cost]]-LocFeatures[[#This Row],[Energy gain]])</f>
        <v>1120.7743362831859</v>
      </c>
      <c r="O13" s="56">
        <f>LocFeatures[[#This Row],[XP Train Gain]]/(LocFeatures[[#This Row],[E. Cost]]-LocFeatures[[#This Row],[Energy gain]])</f>
        <v>0</v>
      </c>
      <c r="P13" s="56">
        <f>(LocFeatures[[#This Row],[XP Train Gain]]+LocFeatures[[#This Row],[XP drop]])/(LocFeatures[[#This Row],[E. Cost]]-LocFeatures[[#This Row],[Energy gain]])</f>
        <v>134.51327433628319</v>
      </c>
      <c r="Q13" s="49">
        <f>COUNTIFS(DropAnalityka[Location],LocFeatures[[#This Row],[Location]],DropAnalityka[LVL],LocFeatures[[#This Row],[LVL]],DropAnalityka[Stage],LocFeatures[[#This Row],[Stage]])</f>
        <v>37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6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6">
        <f>LocFeatures[[#This Row],[Drop worth gain]]/(LocFeatures[[#This Row],[E. Cost]]-LocFeatures[[#This Row],[Energy gain]])</f>
        <v>896.89792663476874</v>
      </c>
      <c r="O14" s="56">
        <f>LocFeatures[[#This Row],[XP Train Gain]]/(LocFeatures[[#This Row],[E. Cost]]-LocFeatures[[#This Row],[Energy gain]])</f>
        <v>1343.5406698564593</v>
      </c>
      <c r="P14" s="56">
        <f>(LocFeatures[[#This Row],[XP Train Gain]]+LocFeatures[[#This Row],[XP drop]])/(LocFeatures[[#This Row],[E. Cost]]-LocFeatures[[#This Row],[Energy gain]])</f>
        <v>1595.3205741626793</v>
      </c>
      <c r="Q14" s="53">
        <f>COUNTIFS(DropAnalityka[Location],LocFeatures[[#This Row],[Location]],DropAnalityka[LVL],LocFeatures[[#This Row],[LVL]],DropAnalityka[Stage],LocFeatures[[#This Row],[Stage]])</f>
        <v>156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6">
        <f>AVERAGEIFS(DropAnalityka[Exp Gain],DropAnalityka[Location],LocFeatures[[#This Row],[Location]],DropAnalityka[LVL],LocFeatures[[#This Row],[LVL]],DropAnalityka[Stage],LocFeatures[[#This Row],[Stage]])</f>
        <v>400</v>
      </c>
      <c r="N15" s="56">
        <f>LocFeatures[[#This Row],[Drop worth gain]]/(LocFeatures[[#This Row],[E. Cost]]-LocFeatures[[#This Row],[Energy gain]])</f>
        <v>676.54666666666662</v>
      </c>
      <c r="O15" s="56">
        <f>LocFeatures[[#This Row],[XP Train Gain]]/(LocFeatures[[#This Row],[E. Cost]]-LocFeatures[[#This Row],[Energy gain]])</f>
        <v>1296</v>
      </c>
      <c r="P15" s="56">
        <f>(LocFeatures[[#This Row],[XP Train Gain]]+LocFeatures[[#This Row],[XP drop]])/(LocFeatures[[#This Row],[E. Cost]]-LocFeatures[[#This Row],[Energy gain]])</f>
        <v>1392</v>
      </c>
      <c r="Q15" s="53">
        <f>COUNTIFS(DropAnalityka[Location],LocFeatures[[#This Row],[Location]],DropAnalityka[LVL],LocFeatures[[#This Row],[LVL]],DropAnalityka[Stage],LocFeatures[[#This Row],[Stage]])</f>
        <v>18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266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6">
        <f>LocFeatures[[#This Row],[Drop worth gain]]/(LocFeatures[[#This Row],[E. Cost]]-LocFeatures[[#This Row],[Energy gain]])</f>
        <v>1082.2247191011234</v>
      </c>
      <c r="O16" s="56">
        <f>LocFeatures[[#This Row],[XP Train Gain]]/(LocFeatures[[#This Row],[E. Cost]]-LocFeatures[[#This Row],[Energy gain]])</f>
        <v>887.25842696629206</v>
      </c>
      <c r="P16" s="56">
        <f>(LocFeatures[[#This Row],[XP Train Gain]]+LocFeatures[[#This Row],[XP drop]])/(LocFeatures[[#This Row],[E. Cost]]-LocFeatures[[#This Row],[Energy gain]])</f>
        <v>968.15730337078639</v>
      </c>
      <c r="Q16" s="49">
        <f>COUNTIFS(DropAnalityka[Location],LocFeatures[[#This Row],[Location]],DropAnalityka[LVL],LocFeatures[[#This Row],[LVL]],DropAnalityka[Stage],LocFeatures[[#This Row],[Stage]])</f>
        <v>41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6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6">
        <f>LocFeatures[[#This Row],[Drop worth gain]]/(LocFeatures[[#This Row],[E. Cost]]-LocFeatures[[#This Row],[Energy gain]])</f>
        <v>987.00602409638554</v>
      </c>
      <c r="O17" s="56">
        <f>LocFeatures[[#This Row],[XP Train Gain]]/(LocFeatures[[#This Row],[E. Cost]]-LocFeatures[[#This Row],[Energy gain]])</f>
        <v>1051.698795180723</v>
      </c>
      <c r="P17" s="56">
        <f>(LocFeatures[[#This Row],[XP Train Gain]]+LocFeatures[[#This Row],[XP drop]])/(LocFeatures[[#This Row],[E. Cost]]-LocFeatures[[#This Row],[Energy gain]])</f>
        <v>1186.6385542168675</v>
      </c>
      <c r="Q17" s="53">
        <f>COUNTIFS(DropAnalityka[Location],LocFeatures[[#This Row],[Location]],DropAnalityka[LVL],LocFeatures[[#This Row],[LVL]],DropAnalityka[Stage],LocFeatures[[#This Row],[Stage]])</f>
        <v>53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663</v>
      </c>
      <c r="O18" s="56">
        <f>LocFeatures[[#This Row],[XP Train Gain]]/(LocFeatures[[#This Row],[E. Cost]]-LocFeatures[[#This Row],[Energy gain]])</f>
        <v>837</v>
      </c>
      <c r="P18" s="56">
        <f>(LocFeatures[[#This Row],[XP Train Gain]]+LocFeatures[[#This Row],[XP drop]])/(LocFeatures[[#This Row],[E. Cost]]-LocFeatures[[#This Row],[Energy gain]])</f>
        <v>837</v>
      </c>
      <c r="Q18" s="53">
        <f>COUNTIFS(DropAnalityka[Location],LocFeatures[[#This Row],[Location]],DropAnalityka[LVL],LocFeatures[[#This Row],[LVL]],DropAnalityka[Stage],LocFeatures[[#This Row],[Stage]])</f>
        <v>1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6">
        <f>LocFeatures[[#This Row],[Drop worth gain]]/(LocFeatures[[#This Row],[E. Cost]]-LocFeatures[[#This Row],[Energy gain]])</f>
        <v>1082.2247191011234</v>
      </c>
      <c r="O19" s="56">
        <f>LocFeatures[[#This Row],[XP Train Gain]]/(LocFeatures[[#This Row],[E. Cost]]-LocFeatures[[#This Row],[Energy gain]])</f>
        <v>0</v>
      </c>
      <c r="P19" s="56">
        <f>(LocFeatures[[#This Row],[XP Train Gain]]+LocFeatures[[#This Row],[XP drop]])/(LocFeatures[[#This Row],[E. Cost]]-LocFeatures[[#This Row],[Energy gain]])</f>
        <v>80.898876404494388</v>
      </c>
      <c r="Q19" s="49">
        <f>COUNTIFS(DropAnalityka[Location],LocFeatures[[#This Row],[Location]],DropAnalityka[LVL],LocFeatures[[#This Row],[LVL]],DropAnalityka[Stage],LocFeatures[[#This Row],[Stage]])</f>
        <v>41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307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6">
        <f>LocFeatures[[#This Row],[Drop worth gain]]/(LocFeatures[[#This Row],[E. Cost]]-LocFeatures[[#This Row],[Energy gain]])</f>
        <v>1144.2895442359252</v>
      </c>
      <c r="O20" s="56">
        <f>LocFeatures[[#This Row],[XP Train Gain]]/(LocFeatures[[#This Row],[E. Cost]]-LocFeatures[[#This Row],[Energy gain]])</f>
        <v>366.61126005361933</v>
      </c>
      <c r="P20" s="56">
        <f>(LocFeatures[[#This Row],[XP Train Gain]]+LocFeatures[[#This Row],[XP drop]])/(LocFeatures[[#This Row],[E. Cost]]-LocFeatures[[#This Row],[Energy gain]])</f>
        <v>1335.0080428954425</v>
      </c>
      <c r="Q20" s="49">
        <f>COUNTIFS(DropAnalityka[Location],LocFeatures[[#This Row],[Location]],DropAnalityka[LVL],LocFeatures[[#This Row],[LVL]],DropAnalityka[Stage],LocFeatures[[#This Row],[Stage]])</f>
        <v>71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6">
        <f>AVERAGEIFS(DropAnalityka[Exp Gain],DropAnalityka[Location],LocFeatures[[#This Row],[Location]],DropAnalityka[LVL],LocFeatures[[#This Row],[LVL]],DropAnalityka[Stage],LocFeatures[[#This Row],[Stage]])</f>
        <v>0</v>
      </c>
      <c r="N21" s="56">
        <f>LocFeatures[[#This Row],[Drop worth gain]]/(LocFeatures[[#This Row],[E. Cost]]-LocFeatures[[#This Row],[Energy gain]])</f>
        <v>3173</v>
      </c>
      <c r="O21" s="56">
        <f>LocFeatures[[#This Row],[XP Train Gain]]/(LocFeatures[[#This Row],[E. Cost]]-LocFeatures[[#This Row],[Energy gain]])</f>
        <v>1125</v>
      </c>
      <c r="P21" s="56">
        <f>(LocFeatures[[#This Row],[XP Train Gain]]+LocFeatures[[#This Row],[XP drop]])/(LocFeatures[[#This Row],[E. Cost]]-LocFeatures[[#This Row],[Energy gain]])</f>
        <v>1125</v>
      </c>
      <c r="Q21" s="53">
        <f>COUNTIFS(DropAnalityka[Location],LocFeatures[[#This Row],[Location]],DropAnalityka[LVL],LocFeatures[[#This Row],[LVL]],DropAnalityka[Stage],LocFeatures[[#This Row],[Stage]])</f>
        <v>1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217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6">
        <f>LocFeatures[[#This Row],[Drop worth gain]]/(LocFeatures[[#This Row],[E. Cost]]-LocFeatures[[#This Row],[Energy gain]])</f>
        <v>860.14268585131879</v>
      </c>
      <c r="O22" s="56">
        <f>LocFeatures[[#This Row],[XP Train Gain]]/(LocFeatures[[#This Row],[E. Cost]]-LocFeatures[[#This Row],[Energy gain]])</f>
        <v>309.45323741007195</v>
      </c>
      <c r="P22" s="56">
        <f>(LocFeatures[[#This Row],[XP Train Gain]]+LocFeatures[[#This Row],[XP drop]])/(LocFeatures[[#This Row],[E. Cost]]-LocFeatures[[#This Row],[Energy gain]])</f>
        <v>623.81930455635484</v>
      </c>
      <c r="Q22" s="49">
        <f>COUNTIFS(DropAnalityka[Location],LocFeatures[[#This Row],[Location]],DropAnalityka[LVL],LocFeatures[[#This Row],[LVL]],DropAnalityka[Stage],LocFeatures[[#This Row],[Stage]])</f>
        <v>67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6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6">
        <f>LocFeatures[[#This Row],[Drop worth gain]]/(LocFeatures[[#This Row],[E. Cost]]-LocFeatures[[#This Row],[Energy gain]])</f>
        <v>462.31250000000006</v>
      </c>
      <c r="O23" s="56">
        <f>LocFeatures[[#This Row],[XP Train Gain]]/(LocFeatures[[#This Row],[E. Cost]]-LocFeatures[[#This Row],[Energy gain]])</f>
        <v>341</v>
      </c>
      <c r="P23" s="56">
        <f>(LocFeatures[[#This Row],[XP Train Gain]]+LocFeatures[[#This Row],[XP drop]])/(LocFeatures[[#This Row],[E. Cost]]-LocFeatures[[#This Row],[Energy gain]])</f>
        <v>398.14285714285717</v>
      </c>
      <c r="Q23" s="53">
        <f>COUNTIFS(DropAnalityka[Location],LocFeatures[[#This Row],[Location]],DropAnalityka[LVL],LocFeatures[[#This Row],[LVL]],DropAnalityka[Stage],LocFeatures[[#This Row],[Stage]])</f>
        <v>62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284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6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6">
        <f>LocFeatures[[#This Row],[Drop worth gain]]/(LocFeatures[[#This Row],[E. Cost]]-LocFeatures[[#This Row],[Energy gain]])</f>
        <v>549.60465116279067</v>
      </c>
      <c r="O24" s="56">
        <f>LocFeatures[[#This Row],[XP Train Gain]]/(LocFeatures[[#This Row],[E. Cost]]-LocFeatures[[#This Row],[Energy gain]])</f>
        <v>302.33720930232556</v>
      </c>
      <c r="P24" s="56">
        <f>(LocFeatures[[#This Row],[XP Train Gain]]+LocFeatures[[#This Row],[XP drop]])/(LocFeatures[[#This Row],[E. Cost]]-LocFeatures[[#This Row],[Energy gain]])</f>
        <v>320.94186046511629</v>
      </c>
      <c r="Q24" s="49">
        <f>COUNTIFS(DropAnalityka[Location],LocFeatures[[#This Row],[Location]],DropAnalityka[LVL],LocFeatures[[#This Row],[LVL]],DropAnalityka[Stage],LocFeatures[[#This Row],[Stage]])</f>
        <v>27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217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6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6">
        <f>LocFeatures[[#This Row],[Drop worth gain]]/(LocFeatures[[#This Row],[E. Cost]]-LocFeatures[[#This Row],[Energy gain]])</f>
        <v>399.31034482758622</v>
      </c>
      <c r="O25" s="56">
        <f>LocFeatures[[#This Row],[XP Train Gain]]/(LocFeatures[[#This Row],[E. Cost]]-LocFeatures[[#This Row],[Energy gain]])</f>
        <v>321</v>
      </c>
      <c r="P25" s="56">
        <f>(LocFeatures[[#This Row],[XP Train Gain]]+LocFeatures[[#This Row],[XP drop]])/(LocFeatures[[#This Row],[E. Cost]]-LocFeatures[[#This Row],[Energy gain]])</f>
        <v>472.72413793103448</v>
      </c>
      <c r="Q25" s="49">
        <f>COUNTIFS(DropAnalityka[Location],LocFeatures[[#This Row],[Location]],DropAnalityka[LVL],LocFeatures[[#This Row],[LVL]],DropAnalityka[Stage],LocFeatures[[#This Row],[Stage]])</f>
        <v>29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6">
        <f>AVERAGEIFS(DropAnalityka[Exp Gain],DropAnalityka[Location],LocFeatures[[#This Row],[Location]],DropAnalityka[LVL],LocFeatures[[#This Row],[LVL]],DropAnalityka[Stage],LocFeatures[[#This Row],[Stage]])</f>
        <v>128</v>
      </c>
      <c r="N26" s="56">
        <f>LocFeatures[[#This Row],[Drop worth gain]]/(LocFeatures[[#This Row],[E. Cost]]-LocFeatures[[#This Row],[Energy gain]])</f>
        <v>582.84868421052624</v>
      </c>
      <c r="O26" s="56">
        <f>LocFeatures[[#This Row],[XP Train Gain]]/(LocFeatures[[#This Row],[E. Cost]]-LocFeatures[[#This Row],[Energy gain]])</f>
        <v>0</v>
      </c>
      <c r="P26" s="56">
        <f>(LocFeatures[[#This Row],[XP Train Gain]]+LocFeatures[[#This Row],[XP drop]])/(LocFeatures[[#This Row],[E. Cost]]-LocFeatures[[#This Row],[Energy gain]])</f>
        <v>21.05263157894737</v>
      </c>
      <c r="Q26" s="49">
        <f>COUNTIFS(DropAnalityka[Location],LocFeatures[[#This Row],[Location]],DropAnalityka[LVL],LocFeatures[[#This Row],[LVL]],DropAnalityka[Stage],LocFeatures[[#This Row],[Stage]])</f>
        <v>25</v>
      </c>
      <c r="R2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6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6">
        <f>LocFeatures[[#This Row],[Drop worth gain]]/(LocFeatures[[#This Row],[E. Cost]]-LocFeatures[[#This Row],[Energy gain]])</f>
        <v>295.8</v>
      </c>
      <c r="O27" s="56">
        <f>LocFeatures[[#This Row],[XP Train Gain]]/(LocFeatures[[#This Row],[E. Cost]]-LocFeatures[[#This Row],[Energy gain]])</f>
        <v>307.3</v>
      </c>
      <c r="P27" s="56">
        <f>(LocFeatures[[#This Row],[XP Train Gain]]+LocFeatures[[#This Row],[XP drop]])/(LocFeatures[[#This Row],[E. Cost]]-LocFeatures[[#This Row],[Energy gain]])</f>
        <v>573.9666666666667</v>
      </c>
      <c r="Q27" s="53">
        <f>COUNTIFS(DropAnalityka[Location],LocFeatures[[#This Row],[Location]],DropAnalityka[LVL],LocFeatures[[#This Row],[LVL]],DropAnalityka[Stage],LocFeatures[[#This Row],[Stage]])</f>
        <v>7</v>
      </c>
      <c r="R2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6">
        <f>AVERAGEIFS(DropAnalityka[Exp Gain],DropAnalityka[Location],LocFeatures[[#This Row],[Location]],DropAnalityka[LVL],LocFeatures[[#This Row],[LVL]],DropAnalityka[Stage],LocFeatures[[#This Row],[Stage]])</f>
        <v>0</v>
      </c>
      <c r="N28" s="56">
        <f>LocFeatures[[#This Row],[Drop worth gain]]/(LocFeatures[[#This Row],[E. Cost]]-LocFeatures[[#This Row],[Energy gain]])</f>
        <v>263.25</v>
      </c>
      <c r="O28" s="56">
        <f>LocFeatures[[#This Row],[XP Train Gain]]/(LocFeatures[[#This Row],[E. Cost]]-LocFeatures[[#This Row],[Energy gain]])</f>
        <v>361.125</v>
      </c>
      <c r="P28" s="56">
        <f>(LocFeatures[[#This Row],[XP Train Gain]]+LocFeatures[[#This Row],[XP drop]])/(LocFeatures[[#This Row],[E. Cost]]-LocFeatures[[#This Row],[Energy gain]])</f>
        <v>361.125</v>
      </c>
      <c r="Q28" s="49">
        <f>COUNTIFS(DropAnalityka[Location],LocFeatures[[#This Row],[Location]],DropAnalityka[LVL],LocFeatures[[#This Row],[LVL]],DropAnalityka[Stage],LocFeatures[[#This Row],[Stage]])</f>
        <v>3</v>
      </c>
      <c r="R2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9" sqref="D9"/>
    </sheetView>
  </sheetViews>
  <sheetFormatPr defaultRowHeight="14.25"/>
  <cols>
    <col min="1" max="1" width="17" customWidth="1"/>
    <col min="2" max="2" width="18.25" customWidth="1"/>
    <col min="3" max="3" width="1.875" bestFit="1" customWidth="1"/>
    <col min="4" max="5" width="2.875" bestFit="1" customWidth="1"/>
    <col min="6" max="6" width="14.125" bestFit="1" customWidth="1"/>
    <col min="7" max="7" width="14.125" customWidth="1"/>
    <col min="8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2.625" customWidth="1"/>
    <col min="15" max="15" width="7.125" customWidth="1"/>
    <col min="16" max="16" width="14.125" bestFit="1" customWidth="1"/>
  </cols>
  <sheetData>
    <row r="1" spans="1:6">
      <c r="A1" s="11" t="s">
        <v>7</v>
      </c>
      <c r="B1" t="s">
        <v>179</v>
      </c>
    </row>
    <row r="2" spans="1:6">
      <c r="A2" s="11" t="s">
        <v>11</v>
      </c>
      <c r="B2" t="s">
        <v>291</v>
      </c>
    </row>
    <row r="4" spans="1:6">
      <c r="A4" s="11" t="s">
        <v>282</v>
      </c>
      <c r="B4" s="11" t="s">
        <v>149</v>
      </c>
    </row>
    <row r="5" spans="1:6">
      <c r="A5" s="11" t="s">
        <v>65</v>
      </c>
      <c r="B5">
        <v>5</v>
      </c>
      <c r="C5">
        <v>6</v>
      </c>
      <c r="D5">
        <v>7</v>
      </c>
      <c r="E5">
        <v>8</v>
      </c>
      <c r="F5" t="s">
        <v>67</v>
      </c>
    </row>
    <row r="6" spans="1:6">
      <c r="A6" s="12" t="s">
        <v>17</v>
      </c>
      <c r="B6" s="49">
        <v>5</v>
      </c>
      <c r="C6" s="49">
        <v>3</v>
      </c>
      <c r="D6" s="49">
        <v>17</v>
      </c>
      <c r="E6" s="49">
        <v>8</v>
      </c>
      <c r="F6" s="49">
        <v>33</v>
      </c>
    </row>
    <row r="7" spans="1:6">
      <c r="A7" s="12" t="s">
        <v>26</v>
      </c>
      <c r="B7" s="49"/>
      <c r="C7" s="49"/>
      <c r="D7" s="49">
        <v>2</v>
      </c>
      <c r="E7" s="49"/>
      <c r="F7" s="49">
        <v>2</v>
      </c>
    </row>
    <row r="8" spans="1:6">
      <c r="A8" s="12" t="s">
        <v>27</v>
      </c>
      <c r="B8" s="49"/>
      <c r="C8" s="49">
        <v>1</v>
      </c>
      <c r="D8" s="49">
        <v>23</v>
      </c>
      <c r="E8" s="49">
        <v>16</v>
      </c>
      <c r="F8" s="49">
        <v>40</v>
      </c>
    </row>
    <row r="9" spans="1:6">
      <c r="A9" s="12" t="s">
        <v>28</v>
      </c>
      <c r="B9" s="49"/>
      <c r="C9" s="49"/>
      <c r="D9" s="49">
        <v>5</v>
      </c>
      <c r="E9" s="49">
        <v>11</v>
      </c>
      <c r="F9" s="49">
        <v>16</v>
      </c>
    </row>
    <row r="10" spans="1:6">
      <c r="A10" s="12" t="s">
        <v>67</v>
      </c>
      <c r="B10" s="49">
        <v>5</v>
      </c>
      <c r="C10" s="49">
        <v>4</v>
      </c>
      <c r="D10" s="49">
        <v>47</v>
      </c>
      <c r="E10" s="49">
        <v>35</v>
      </c>
      <c r="F10" s="49">
        <v>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291</v>
      </c>
    </row>
    <row r="2" spans="1:23">
      <c r="R2" s="182" t="s">
        <v>295</v>
      </c>
      <c r="S2" s="182"/>
      <c r="T2" s="182"/>
      <c r="U2" s="182"/>
      <c r="V2" s="182"/>
      <c r="W2" s="182"/>
    </row>
    <row r="3" spans="1:23" ht="15" thickBot="1">
      <c r="B3" s="11" t="s">
        <v>69</v>
      </c>
      <c r="G3" s="11" t="s">
        <v>281</v>
      </c>
      <c r="H3" s="11" t="s">
        <v>149</v>
      </c>
      <c r="Q3" s="6" t="s">
        <v>33</v>
      </c>
      <c r="R3" s="133" t="s">
        <v>296</v>
      </c>
      <c r="S3" s="134" t="s">
        <v>297</v>
      </c>
      <c r="T3" s="134" t="s">
        <v>298</v>
      </c>
      <c r="U3" s="134" t="s">
        <v>299</v>
      </c>
      <c r="V3" s="134" t="s">
        <v>300</v>
      </c>
      <c r="W3" s="135" t="s">
        <v>301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133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7" t="str">
        <f>G5</f>
        <v>high</v>
      </c>
      <c r="R4" s="90">
        <f>GETPIVOTDATA("Quality/Quantity",$G$3,"Stage",4,"Grade","high")/GETPIVOTDATA("LVL",$G$15,"Stage",4)</f>
        <v>0</v>
      </c>
      <c r="S4" s="88">
        <f>GETPIVOTDATA("Quality/Quantity",$G$3,"Stage",5,"Grade","high")/GETPIVOTDATA("LVL",$G$15,"Stage",5)</f>
        <v>0</v>
      </c>
      <c r="T4" s="88">
        <f>GETPIVOTDATA("Quality/Quantity",$G$3,"Stage",7,"Grade","high")/GETPIVOTDATA("LVL",$G$15,"Stage",7)</f>
        <v>0.13432835820895522</v>
      </c>
      <c r="U4" s="88">
        <f>GETPIVOTDATA("Quality/Quantity",$G$3,"Stage",8,"Grade","high")/GETPIVOTDATA("LVL",$G$15,"Stage",8)</f>
        <v>0.21875</v>
      </c>
      <c r="V4" s="88">
        <f>GETPIVOTDATA("Quality/Quantity",$G$3,"Stage",9,"Grade","high")/GETPIVOTDATA("LVL",$G$15,"Stage",9)</f>
        <v>0.26666666666666666</v>
      </c>
      <c r="W4" s="89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9">
        <v>38</v>
      </c>
      <c r="G5" s="12" t="s">
        <v>293</v>
      </c>
      <c r="H5" s="49"/>
      <c r="I5" s="49"/>
      <c r="J5" s="49">
        <v>9</v>
      </c>
      <c r="K5" s="49">
        <v>7</v>
      </c>
      <c r="L5" s="49">
        <v>32</v>
      </c>
      <c r="M5" s="49">
        <v>3</v>
      </c>
      <c r="N5" s="49">
        <v>51</v>
      </c>
      <c r="Q5" s="6" t="str">
        <f>G6</f>
        <v>low</v>
      </c>
      <c r="R5" s="90">
        <f>GETPIVOTDATA("Quality/Quantity",$G$3,"Stage",4,"Grade","low")/GETPIVOTDATA("LVL",$G$15,"Stage",4)</f>
        <v>0.5714285714285714</v>
      </c>
      <c r="S5" s="88">
        <f>GETPIVOTDATA("Quality/Quantity",$G$3,"Stage",5,"Grade","low")/GETPIVOTDATA("LVL",$G$15,"Stage",5)</f>
        <v>1.2</v>
      </c>
      <c r="T5" s="88">
        <f>GETPIVOTDATA("Quality/Quantity",$G$3,"Stage",7,"Grade","low")/GETPIVOTDATA("LVL",$G$15,"Stage",7)</f>
        <v>1.4179104477611941</v>
      </c>
      <c r="U5" s="88">
        <f>GETPIVOTDATA("Quality/Quantity",$G$3,"Stage",8,"Grade","low")/GETPIVOTDATA("LVL",$G$15,"Stage",8)</f>
        <v>1.34375</v>
      </c>
      <c r="V5" s="88">
        <f>GETPIVOTDATA("Quality/Quantity",$G$3,"Stage",9,"Grade","low")/GETPIVOTDATA("LVL",$G$15,"Stage",9)</f>
        <v>1.1166666666666667</v>
      </c>
      <c r="W5" s="89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9">
        <v>8</v>
      </c>
      <c r="G6" s="12" t="s">
        <v>292</v>
      </c>
      <c r="H6" s="49">
        <v>4</v>
      </c>
      <c r="I6" s="49">
        <v>24</v>
      </c>
      <c r="J6" s="49">
        <v>95</v>
      </c>
      <c r="K6" s="49">
        <v>43</v>
      </c>
      <c r="L6" s="49">
        <v>134</v>
      </c>
      <c r="M6" s="49">
        <v>10</v>
      </c>
      <c r="N6" s="49">
        <v>310</v>
      </c>
      <c r="Q6" s="6" t="str">
        <f>G7</f>
        <v>mid</v>
      </c>
      <c r="R6" s="90">
        <f>GETPIVOTDATA("Quality/Quantity",$G$3,"Stage",4,"Grade","mid")/GETPIVOTDATA("LVL",$G$15,"Stage",4)</f>
        <v>0.14285714285714285</v>
      </c>
      <c r="S6" s="88">
        <f>GETPIVOTDATA("Quality/Quantity",$G$3,"Stage",5,"Grade","mid")/GETPIVOTDATA("LVL",$G$15,"Stage",5)</f>
        <v>0.5</v>
      </c>
      <c r="T6" s="88">
        <f>GETPIVOTDATA("Quality/Quantity",$G$3,"Stage",7,"Grade","mid")/GETPIVOTDATA("LVL",$G$15,"Stage",7)</f>
        <v>0.55223880597014929</v>
      </c>
      <c r="U6" s="88">
        <f>GETPIVOTDATA("Quality/Quantity",$G$3,"Stage",8,"Grade","mid")/GETPIVOTDATA("LVL",$G$15,"Stage",8)</f>
        <v>0.21875</v>
      </c>
      <c r="V6" s="88">
        <f>GETPIVOTDATA("Quality/Quantity",$G$3,"Stage",9,"Grade","mid")/GETPIVOTDATA("LVL",$G$15,"Stage",9)</f>
        <v>0.55833333333333335</v>
      </c>
      <c r="W6" s="89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314</v>
      </c>
      <c r="H7" s="49">
        <v>1</v>
      </c>
      <c r="I7" s="49">
        <v>10</v>
      </c>
      <c r="J7" s="49">
        <v>37</v>
      </c>
      <c r="K7" s="49">
        <v>7</v>
      </c>
      <c r="L7" s="49">
        <v>67</v>
      </c>
      <c r="M7" s="49">
        <v>2</v>
      </c>
      <c r="N7" s="49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9">
        <v>8</v>
      </c>
      <c r="G8" s="12" t="s">
        <v>67</v>
      </c>
      <c r="H8" s="49">
        <v>5</v>
      </c>
      <c r="I8" s="49">
        <v>34</v>
      </c>
      <c r="J8" s="49">
        <v>141</v>
      </c>
      <c r="K8" s="49">
        <v>57</v>
      </c>
      <c r="L8" s="49">
        <v>233</v>
      </c>
      <c r="M8" s="49">
        <v>15</v>
      </c>
      <c r="N8" s="49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9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9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  <c r="G15" s="11" t="s">
        <v>282</v>
      </c>
      <c r="H15" s="11" t="s">
        <v>149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9">
        <v>25</v>
      </c>
      <c r="G17" s="12" t="s">
        <v>180</v>
      </c>
      <c r="H17" s="49"/>
      <c r="I17" s="49">
        <v>1</v>
      </c>
      <c r="J17" s="49">
        <v>1</v>
      </c>
      <c r="K17" s="49">
        <v>3</v>
      </c>
      <c r="L17" s="49">
        <v>1</v>
      </c>
      <c r="M17" s="49">
        <v>4</v>
      </c>
      <c r="N17" s="49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  <c r="G18" s="12" t="s">
        <v>146</v>
      </c>
      <c r="H18" s="49"/>
      <c r="I18" s="49">
        <v>16</v>
      </c>
      <c r="J18" s="49"/>
      <c r="K18" s="49"/>
      <c r="L18" s="49"/>
      <c r="M18" s="49"/>
      <c r="N18" s="49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  <c r="G19" s="12" t="s">
        <v>37</v>
      </c>
      <c r="H19" s="49">
        <v>7</v>
      </c>
      <c r="I19" s="49">
        <v>3</v>
      </c>
      <c r="J19" s="49">
        <v>62</v>
      </c>
      <c r="K19" s="49"/>
      <c r="L19" s="49">
        <v>25</v>
      </c>
      <c r="M19" s="49"/>
      <c r="N19" s="49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  <c r="G20" s="12" t="s">
        <v>217</v>
      </c>
      <c r="H20" s="49"/>
      <c r="I20" s="49"/>
      <c r="J20" s="49">
        <v>4</v>
      </c>
      <c r="K20" s="49">
        <v>29</v>
      </c>
      <c r="L20" s="49">
        <v>67</v>
      </c>
      <c r="M20" s="49"/>
      <c r="N20" s="49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9"/>
      <c r="G21" s="12" t="s">
        <v>284</v>
      </c>
      <c r="H21" s="49"/>
      <c r="I21" s="49"/>
      <c r="J21" s="49"/>
      <c r="K21" s="49"/>
      <c r="L21" s="49">
        <v>27</v>
      </c>
      <c r="M21" s="49">
        <v>2</v>
      </c>
      <c r="N21" s="49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  <c r="G22" s="12" t="s">
        <v>67</v>
      </c>
      <c r="H22" s="49">
        <v>7</v>
      </c>
      <c r="I22" s="49">
        <v>20</v>
      </c>
      <c r="J22" s="49">
        <v>67</v>
      </c>
      <c r="K22" s="49">
        <v>32</v>
      </c>
      <c r="L22" s="49">
        <v>120</v>
      </c>
      <c r="M22" s="49">
        <v>6</v>
      </c>
      <c r="N22" s="49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9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9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9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9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9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9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9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9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45"/>
  <sheetViews>
    <sheetView topLeftCell="Q1" zoomScale="85" zoomScaleNormal="85" workbookViewId="0">
      <selection activeCell="I3" sqref="I3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51" t="s">
        <v>119</v>
      </c>
      <c r="B1" s="42" t="s">
        <v>118</v>
      </c>
      <c r="C1" s="150" t="s">
        <v>322</v>
      </c>
      <c r="D1" s="150" t="s">
        <v>323</v>
      </c>
      <c r="E1" s="150" t="s">
        <v>324</v>
      </c>
      <c r="F1" s="42" t="s">
        <v>117</v>
      </c>
      <c r="G1" s="42" t="s">
        <v>116</v>
      </c>
      <c r="H1" s="42" t="s">
        <v>115</v>
      </c>
      <c r="I1" s="42" t="s">
        <v>114</v>
      </c>
      <c r="J1" s="42" t="s">
        <v>113</v>
      </c>
      <c r="K1" s="42" t="s">
        <v>112</v>
      </c>
      <c r="L1" s="42" t="s">
        <v>111</v>
      </c>
      <c r="M1" s="40" t="s">
        <v>110</v>
      </c>
      <c r="N1" s="42" t="s">
        <v>109</v>
      </c>
      <c r="O1" s="42" t="s">
        <v>108</v>
      </c>
      <c r="P1" s="42" t="s">
        <v>107</v>
      </c>
      <c r="Q1" s="42" t="s">
        <v>106</v>
      </c>
      <c r="R1" s="150" t="s">
        <v>325</v>
      </c>
      <c r="S1" s="42" t="s">
        <v>105</v>
      </c>
      <c r="T1" s="41" t="s">
        <v>104</v>
      </c>
      <c r="U1" s="40" t="s">
        <v>103</v>
      </c>
      <c r="V1" s="39"/>
      <c r="W1" s="39"/>
      <c r="X1" s="149" t="s">
        <v>319</v>
      </c>
      <c r="Y1" s="149" t="s">
        <v>316</v>
      </c>
      <c r="Z1" s="149" t="s">
        <v>317</v>
      </c>
      <c r="AA1" s="149" t="s">
        <v>318</v>
      </c>
      <c r="AB1" s="39"/>
      <c r="AC1" s="39"/>
      <c r="AD1" s="39"/>
      <c r="AE1" s="39" t="s">
        <v>5</v>
      </c>
      <c r="AF1" t="s">
        <v>102</v>
      </c>
      <c r="AG1" t="s">
        <v>101</v>
      </c>
      <c r="AH1" t="s">
        <v>84</v>
      </c>
      <c r="AJ1" s="149" t="s">
        <v>211</v>
      </c>
      <c r="AK1" s="149" t="s">
        <v>5</v>
      </c>
      <c r="AL1" t="s">
        <v>102</v>
      </c>
      <c r="AM1" t="s">
        <v>101</v>
      </c>
      <c r="AN1" t="s">
        <v>84</v>
      </c>
    </row>
    <row r="2" spans="1:40" ht="15" thickBot="1">
      <c r="A2" s="152" t="s">
        <v>100</v>
      </c>
      <c r="B2" s="22" t="s">
        <v>99</v>
      </c>
      <c r="C2" s="22"/>
      <c r="D2" s="22"/>
      <c r="E2" s="22"/>
      <c r="F2" s="21">
        <v>1</v>
      </c>
      <c r="G2" s="21">
        <v>1.5</v>
      </c>
      <c r="H2" s="21">
        <v>0</v>
      </c>
      <c r="I2" s="21">
        <v>0</v>
      </c>
      <c r="J2" s="21">
        <v>0</v>
      </c>
      <c r="K2" s="23"/>
      <c r="L2" s="23"/>
      <c r="M2" s="23"/>
      <c r="N2" s="20">
        <v>700</v>
      </c>
      <c r="O2" s="20">
        <v>2100</v>
      </c>
      <c r="P2" s="20">
        <f t="shared" ref="P2:P16" si="0">O2*G2</f>
        <v>3150</v>
      </c>
      <c r="Q2" s="21">
        <v>0.15</v>
      </c>
      <c r="R2" s="21">
        <f t="shared" ref="R2:R7" si="1">MINA(Q2+M2*$AN$2+0.12*E2+J2, 1)</f>
        <v>0.15</v>
      </c>
      <c r="S2" s="20">
        <f t="shared" ref="S2:S7" si="2">R2*P2+(1-R2)*O2</f>
        <v>2257.5</v>
      </c>
      <c r="T2" s="19">
        <v>2257.5</v>
      </c>
      <c r="U2" s="18">
        <f>S2/T2-1</f>
        <v>0</v>
      </c>
      <c r="V2" s="18"/>
      <c r="W2" s="18"/>
      <c r="X2" s="18" t="s">
        <v>88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52" t="s">
        <v>98</v>
      </c>
      <c r="B3" s="22" t="s">
        <v>90</v>
      </c>
      <c r="C3" s="22"/>
      <c r="D3" s="22"/>
      <c r="E3" s="22"/>
      <c r="F3" s="21">
        <f>$F$2+H3+K3*$AF$2+C3*0.35</f>
        <v>1.96</v>
      </c>
      <c r="G3" s="21">
        <f>$G$2+I3+L3*$AG$2+D3*0.4</f>
        <v>1.5</v>
      </c>
      <c r="H3" s="21">
        <v>0</v>
      </c>
      <c r="I3" s="21">
        <v>0</v>
      </c>
      <c r="J3" s="21">
        <v>0.15</v>
      </c>
      <c r="K3" s="23">
        <v>3</v>
      </c>
      <c r="L3" s="23"/>
      <c r="M3" s="23"/>
      <c r="N3" s="20">
        <f>N$2*$F3</f>
        <v>1372</v>
      </c>
      <c r="O3" s="20">
        <f t="shared" ref="O3:O16" si="3">O$2*$F3</f>
        <v>4116</v>
      </c>
      <c r="P3" s="20">
        <f t="shared" si="0"/>
        <v>6174</v>
      </c>
      <c r="Q3" s="21">
        <v>0.15</v>
      </c>
      <c r="R3" s="21">
        <f t="shared" si="1"/>
        <v>0.3</v>
      </c>
      <c r="S3" s="20">
        <f t="shared" si="2"/>
        <v>4733.3999999999996</v>
      </c>
      <c r="T3" s="19">
        <v>4424.7</v>
      </c>
      <c r="U3" s="18">
        <f t="shared" ref="U3:U16" si="4">S3/T3-1</f>
        <v>6.9767441860465018E-2</v>
      </c>
      <c r="V3" s="18"/>
      <c r="W3" s="18"/>
      <c r="X3" s="18" t="s">
        <v>86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53" t="s">
        <v>98</v>
      </c>
      <c r="B4" s="25" t="s">
        <v>89</v>
      </c>
      <c r="C4" s="25"/>
      <c r="D4" s="25"/>
      <c r="E4" s="25"/>
      <c r="F4" s="24">
        <f>$F$2+H4+K4*$AF$2+IF(OR(A4 = "Fatal", A4 = "Fatal+Blade"), 0.35,0)</f>
        <v>1.6400000000000001</v>
      </c>
      <c r="G4" s="21">
        <f>$G$2+I4+L4*$AG$2+IF(OR(A4 = "Rage", A4 = "Rage+Blade"), 0.4, 0)</f>
        <v>1.92</v>
      </c>
      <c r="H4" s="24">
        <f>H3</f>
        <v>0</v>
      </c>
      <c r="I4" s="24">
        <f t="shared" ref="I4:J5" si="5">I3</f>
        <v>0</v>
      </c>
      <c r="J4" s="24">
        <f>J3</f>
        <v>0.15</v>
      </c>
      <c r="K4" s="26">
        <v>2</v>
      </c>
      <c r="L4" s="26">
        <v>1</v>
      </c>
      <c r="M4" s="26"/>
      <c r="N4" s="20">
        <f t="shared" ref="N4:N16" si="6">N$2*$F4</f>
        <v>1148</v>
      </c>
      <c r="O4" s="43">
        <f t="shared" si="3"/>
        <v>3444.0000000000005</v>
      </c>
      <c r="P4" s="43">
        <f t="shared" si="0"/>
        <v>6612.4800000000005</v>
      </c>
      <c r="Q4" s="24">
        <f>Q3</f>
        <v>0.15</v>
      </c>
      <c r="R4" s="21">
        <f t="shared" si="1"/>
        <v>0.3</v>
      </c>
      <c r="S4" s="43">
        <f t="shared" si="2"/>
        <v>4394.5439999999999</v>
      </c>
      <c r="T4" s="19">
        <v>3919.2719999999999</v>
      </c>
      <c r="U4" s="18">
        <f t="shared" si="4"/>
        <v>0.12126537785588742</v>
      </c>
      <c r="V4" s="18"/>
      <c r="W4" s="18"/>
      <c r="X4" s="18" t="s">
        <v>87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6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53" t="s">
        <v>98</v>
      </c>
      <c r="B5" s="25" t="s">
        <v>85</v>
      </c>
      <c r="C5" s="25"/>
      <c r="D5" s="25"/>
      <c r="E5" s="25"/>
      <c r="F5" s="24">
        <f>$F$2+H5+K5*$AF$2+IF(OR(A5 = "Fatal", A5 = "Fatal+Blade"), 0.35,0)</f>
        <v>1.6400000000000001</v>
      </c>
      <c r="G5" s="21">
        <f>$G$2+I5+L5*$AG$2+IF(OR(A5 = "Rage", A5 = "Rage+Blade"), 0.4, 0)</f>
        <v>1.5</v>
      </c>
      <c r="H5" s="24">
        <f>H4</f>
        <v>0</v>
      </c>
      <c r="I5" s="24">
        <f t="shared" si="5"/>
        <v>0</v>
      </c>
      <c r="J5" s="24">
        <f t="shared" si="5"/>
        <v>0.15</v>
      </c>
      <c r="K5" s="26">
        <v>2</v>
      </c>
      <c r="L5" s="26"/>
      <c r="M5" s="26">
        <v>1</v>
      </c>
      <c r="N5" s="20">
        <f t="shared" si="6"/>
        <v>1148</v>
      </c>
      <c r="O5" s="43">
        <f t="shared" si="3"/>
        <v>3444.0000000000005</v>
      </c>
      <c r="P5" s="43">
        <f t="shared" si="0"/>
        <v>5166.0000000000009</v>
      </c>
      <c r="Q5" s="24">
        <f>Q4</f>
        <v>0.15</v>
      </c>
      <c r="R5" s="21">
        <f t="shared" si="1"/>
        <v>0.61</v>
      </c>
      <c r="S5" s="43">
        <f t="shared" si="2"/>
        <v>4494.420000000001</v>
      </c>
      <c r="T5" s="19">
        <v>4236.1200000000008</v>
      </c>
      <c r="U5" s="18">
        <f t="shared" si="4"/>
        <v>6.0975609756097615E-2</v>
      </c>
      <c r="V5" s="18"/>
      <c r="W5" s="18"/>
      <c r="X5" s="18"/>
      <c r="Y5" s="18"/>
      <c r="Z5" s="18"/>
      <c r="AA5" s="18"/>
      <c r="AB5" s="18"/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53" t="s">
        <v>88</v>
      </c>
      <c r="B6" s="25" t="s">
        <v>90</v>
      </c>
      <c r="C6" s="25">
        <v>1</v>
      </c>
      <c r="D6" s="25"/>
      <c r="E6" s="25"/>
      <c r="F6" s="24">
        <f t="shared" ref="F6:F7" si="7">$F$2+H6+K6*$AF$2+IF(OR(A6 = "Fatal", A6 = "Fatal+Blade"), 0.35,0)</f>
        <v>2.31</v>
      </c>
      <c r="G6" s="21">
        <f t="shared" ref="G6:G7" si="8">$G$2+I6+L6*$AG$2+IF(OR(A6 = "Rage", A6 = "Rage+Blade"), 0.4, 0)</f>
        <v>1.5</v>
      </c>
      <c r="H6" s="24">
        <f t="shared" ref="H6:J7" si="9">H5</f>
        <v>0</v>
      </c>
      <c r="I6" s="24">
        <f t="shared" si="9"/>
        <v>0</v>
      </c>
      <c r="J6" s="24">
        <f t="shared" si="9"/>
        <v>0.15</v>
      </c>
      <c r="K6" s="26">
        <v>3</v>
      </c>
      <c r="L6" s="26"/>
      <c r="M6" s="26"/>
      <c r="N6" s="20">
        <f t="shared" si="6"/>
        <v>1617</v>
      </c>
      <c r="O6" s="43">
        <f t="shared" si="3"/>
        <v>4851</v>
      </c>
      <c r="P6" s="43">
        <f t="shared" si="0"/>
        <v>7276.5</v>
      </c>
      <c r="Q6" s="24">
        <f>Q4</f>
        <v>0.15</v>
      </c>
      <c r="R6" s="21">
        <f t="shared" si="1"/>
        <v>0.3</v>
      </c>
      <c r="S6" s="43">
        <f t="shared" si="2"/>
        <v>5578.65</v>
      </c>
      <c r="T6" s="19">
        <v>5214.8249999999989</v>
      </c>
      <c r="U6" s="18">
        <f t="shared" si="4"/>
        <v>6.976744186046524E-2</v>
      </c>
      <c r="V6" s="18"/>
      <c r="W6" s="18"/>
      <c r="X6" s="18"/>
      <c r="Y6" s="18"/>
      <c r="Z6" s="18"/>
      <c r="AA6" s="18"/>
      <c r="AB6" s="18"/>
      <c r="AC6" s="18"/>
      <c r="AD6" t="s">
        <v>211</v>
      </c>
      <c r="AE6" t="s">
        <v>200</v>
      </c>
      <c r="AF6" t="s">
        <v>109</v>
      </c>
      <c r="AG6" t="s">
        <v>83</v>
      </c>
      <c r="AH6" t="s">
        <v>84</v>
      </c>
    </row>
    <row r="7" spans="1:40" ht="15" thickBot="1">
      <c r="A7" s="153" t="s">
        <v>87</v>
      </c>
      <c r="B7" s="25" t="s">
        <v>90</v>
      </c>
      <c r="C7" s="25"/>
      <c r="D7" s="25">
        <v>1</v>
      </c>
      <c r="E7" s="25"/>
      <c r="F7" s="24">
        <f t="shared" si="7"/>
        <v>1.96</v>
      </c>
      <c r="G7" s="21">
        <f t="shared" si="8"/>
        <v>1.9</v>
      </c>
      <c r="H7" s="24">
        <f t="shared" si="9"/>
        <v>0</v>
      </c>
      <c r="I7" s="24">
        <f t="shared" si="9"/>
        <v>0</v>
      </c>
      <c r="J7" s="24">
        <f t="shared" si="9"/>
        <v>0.15</v>
      </c>
      <c r="K7" s="26">
        <v>3</v>
      </c>
      <c r="L7" s="26"/>
      <c r="M7" s="26"/>
      <c r="N7" s="20">
        <f t="shared" si="6"/>
        <v>1372</v>
      </c>
      <c r="O7" s="43">
        <f t="shared" si="3"/>
        <v>4116</v>
      </c>
      <c r="P7" s="43">
        <f t="shared" si="0"/>
        <v>7820.4</v>
      </c>
      <c r="Q7" s="24">
        <f t="shared" ref="Q7:Q16" si="10">Q6</f>
        <v>0.15</v>
      </c>
      <c r="R7" s="21">
        <f t="shared" si="1"/>
        <v>0.3</v>
      </c>
      <c r="S7" s="43">
        <f t="shared" si="2"/>
        <v>5227.32</v>
      </c>
      <c r="T7" s="19">
        <v>4671.66</v>
      </c>
      <c r="U7" s="18">
        <f t="shared" si="4"/>
        <v>0.11894273127753308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320</v>
      </c>
      <c r="AF7" s="1">
        <v>4</v>
      </c>
      <c r="AG7" s="1">
        <v>4</v>
      </c>
      <c r="AH7" s="1">
        <v>3</v>
      </c>
    </row>
    <row r="8" spans="1:40" ht="15" thickBot="1">
      <c r="A8" s="153" t="s">
        <v>92</v>
      </c>
      <c r="B8" s="25" t="s">
        <v>90</v>
      </c>
      <c r="C8" s="25"/>
      <c r="D8" s="25"/>
      <c r="E8" s="25">
        <v>3</v>
      </c>
      <c r="F8" s="24">
        <f t="shared" ref="F8:F16" si="11">$F$2+H8+K8*$AF$2+IF(OR(A8 = "Fatal", A8 = "Fatal+Blade"), 0.35,0)</f>
        <v>1.96</v>
      </c>
      <c r="G8" s="21">
        <f t="shared" ref="G8:G16" si="12">$G$2+I8+L8*$AG$2+IF(OR(A8 = "Rage", A8 = "Rage+Blade"), 0.4, 0)</f>
        <v>1.5</v>
      </c>
      <c r="H8" s="24">
        <f t="shared" ref="H8:H16" si="13">H7</f>
        <v>0</v>
      </c>
      <c r="I8" s="24">
        <f t="shared" ref="I8:I16" si="14">I7</f>
        <v>0</v>
      </c>
      <c r="J8" s="24">
        <f t="shared" ref="J8:J16" si="15">J7</f>
        <v>0.15</v>
      </c>
      <c r="K8" s="26">
        <v>3</v>
      </c>
      <c r="L8" s="26"/>
      <c r="M8" s="26"/>
      <c r="N8" s="20">
        <f t="shared" si="6"/>
        <v>1372</v>
      </c>
      <c r="O8" s="43">
        <f t="shared" si="3"/>
        <v>4116</v>
      </c>
      <c r="P8" s="43">
        <f t="shared" si="0"/>
        <v>6174</v>
      </c>
      <c r="Q8" s="24">
        <f t="shared" si="10"/>
        <v>0.15</v>
      </c>
      <c r="R8" s="21">
        <f t="shared" ref="R8:R16" si="16">MINA(Q8+M8*$AN$2+0.12*E8+J8, 1)</f>
        <v>0.66</v>
      </c>
      <c r="S8" s="43">
        <f t="shared" ref="S8:S16" si="17">R8*P8+(1-R8)*O8</f>
        <v>5474.28</v>
      </c>
      <c r="T8" s="19">
        <v>5165.58</v>
      </c>
      <c r="U8" s="18">
        <f t="shared" si="4"/>
        <v>5.9760956175298752E-2</v>
      </c>
      <c r="V8" s="18"/>
      <c r="W8" s="18"/>
      <c r="X8" s="18"/>
      <c r="Y8" s="18"/>
      <c r="Z8" t="s">
        <v>97</v>
      </c>
      <c r="AD8" t="s">
        <v>26</v>
      </c>
      <c r="AE8" t="s">
        <v>321</v>
      </c>
      <c r="AF8" s="1">
        <v>2</v>
      </c>
      <c r="AG8" s="1">
        <v>2.25</v>
      </c>
      <c r="AH8" s="1">
        <v>2</v>
      </c>
    </row>
    <row r="9" spans="1:40" ht="15.75" thickBot="1">
      <c r="A9" s="153" t="s">
        <v>91</v>
      </c>
      <c r="B9" s="25" t="s">
        <v>90</v>
      </c>
      <c r="C9" s="25">
        <v>1</v>
      </c>
      <c r="D9" s="25"/>
      <c r="E9" s="25">
        <v>1</v>
      </c>
      <c r="F9" s="24">
        <f t="shared" si="11"/>
        <v>2.31</v>
      </c>
      <c r="G9" s="21">
        <f t="shared" si="12"/>
        <v>1.5</v>
      </c>
      <c r="H9" s="24">
        <f t="shared" si="13"/>
        <v>0</v>
      </c>
      <c r="I9" s="24">
        <f t="shared" si="14"/>
        <v>0</v>
      </c>
      <c r="J9" s="24">
        <f t="shared" si="15"/>
        <v>0.15</v>
      </c>
      <c r="K9" s="26">
        <v>3</v>
      </c>
      <c r="L9" s="26"/>
      <c r="M9" s="26"/>
      <c r="N9" s="20">
        <f t="shared" si="6"/>
        <v>1617</v>
      </c>
      <c r="O9" s="43">
        <f t="shared" si="3"/>
        <v>4851</v>
      </c>
      <c r="P9" s="43">
        <f t="shared" si="0"/>
        <v>7276.5</v>
      </c>
      <c r="Q9" s="24">
        <f t="shared" si="10"/>
        <v>0.15</v>
      </c>
      <c r="R9" s="21">
        <f t="shared" si="16"/>
        <v>0.42000000000000004</v>
      </c>
      <c r="S9" s="43">
        <f t="shared" si="17"/>
        <v>5869.71</v>
      </c>
      <c r="T9" s="19">
        <v>5505.8850000000002</v>
      </c>
      <c r="U9" s="18">
        <f t="shared" si="4"/>
        <v>6.6079295154185091E-2</v>
      </c>
      <c r="V9" s="18"/>
      <c r="W9" s="18"/>
      <c r="X9" s="18" t="s">
        <v>121</v>
      </c>
      <c r="Y9" s="38" t="s">
        <v>96</v>
      </c>
      <c r="Z9" s="37" t="s">
        <v>95</v>
      </c>
      <c r="AA9" s="36" t="s">
        <v>94</v>
      </c>
      <c r="AB9" s="35" t="s">
        <v>93</v>
      </c>
    </row>
    <row r="10" spans="1:40" ht="15" thickBot="1">
      <c r="A10" s="153" t="s">
        <v>120</v>
      </c>
      <c r="B10" s="25" t="s">
        <v>90</v>
      </c>
      <c r="C10" s="25"/>
      <c r="D10" s="25">
        <v>1</v>
      </c>
      <c r="E10" s="25">
        <v>1</v>
      </c>
      <c r="F10" s="24">
        <f t="shared" si="11"/>
        <v>1.96</v>
      </c>
      <c r="G10" s="21">
        <f t="shared" si="12"/>
        <v>1.9</v>
      </c>
      <c r="H10" s="24">
        <f t="shared" si="13"/>
        <v>0</v>
      </c>
      <c r="I10" s="24">
        <f t="shared" si="14"/>
        <v>0</v>
      </c>
      <c r="J10" s="24">
        <f t="shared" si="15"/>
        <v>0.15</v>
      </c>
      <c r="K10" s="26">
        <v>3</v>
      </c>
      <c r="L10" s="26"/>
      <c r="M10" s="26"/>
      <c r="N10" s="20">
        <f t="shared" si="6"/>
        <v>1372</v>
      </c>
      <c r="O10" s="43">
        <f t="shared" si="3"/>
        <v>4116</v>
      </c>
      <c r="P10" s="43">
        <f t="shared" si="0"/>
        <v>7820.4</v>
      </c>
      <c r="Q10" s="24">
        <f t="shared" si="10"/>
        <v>0.15</v>
      </c>
      <c r="R10" s="21">
        <f t="shared" si="16"/>
        <v>0.42000000000000004</v>
      </c>
      <c r="S10" s="43">
        <f t="shared" si="17"/>
        <v>5671.848</v>
      </c>
      <c r="T10" s="19">
        <v>5116.1880000000001</v>
      </c>
      <c r="U10" s="18">
        <f t="shared" si="4"/>
        <v>0.10860820595333864</v>
      </c>
      <c r="V10" s="18"/>
      <c r="W10" s="18"/>
      <c r="X10" s="18" t="s">
        <v>122</v>
      </c>
      <c r="Y10" s="34">
        <v>0.15</v>
      </c>
      <c r="Z10" s="33">
        <v>0.1</v>
      </c>
      <c r="AA10" s="32">
        <v>0.12</v>
      </c>
      <c r="AB10" s="31">
        <v>0.2</v>
      </c>
      <c r="AD10" t="s">
        <v>27</v>
      </c>
      <c r="AE10" t="s">
        <v>320</v>
      </c>
      <c r="AF10">
        <v>5</v>
      </c>
      <c r="AG10">
        <v>6</v>
      </c>
      <c r="AH10">
        <v>4</v>
      </c>
    </row>
    <row r="11" spans="1:40" ht="15" thickBot="1">
      <c r="A11" s="153" t="s">
        <v>92</v>
      </c>
      <c r="B11" s="25" t="s">
        <v>90</v>
      </c>
      <c r="C11" s="25"/>
      <c r="D11" s="25"/>
      <c r="E11" s="25">
        <v>3</v>
      </c>
      <c r="F11" s="24">
        <f t="shared" si="11"/>
        <v>1.6400000000000001</v>
      </c>
      <c r="G11" s="21">
        <f t="shared" si="12"/>
        <v>1.92</v>
      </c>
      <c r="H11" s="24">
        <f t="shared" si="13"/>
        <v>0</v>
      </c>
      <c r="I11" s="24">
        <f t="shared" si="14"/>
        <v>0</v>
      </c>
      <c r="J11" s="24">
        <f t="shared" si="15"/>
        <v>0.15</v>
      </c>
      <c r="K11" s="26">
        <v>2</v>
      </c>
      <c r="L11" s="26">
        <v>1</v>
      </c>
      <c r="M11" s="26"/>
      <c r="N11" s="20">
        <f t="shared" si="6"/>
        <v>1148</v>
      </c>
      <c r="O11" s="43">
        <f t="shared" si="3"/>
        <v>3444.0000000000005</v>
      </c>
      <c r="P11" s="43">
        <f t="shared" si="0"/>
        <v>6612.4800000000005</v>
      </c>
      <c r="Q11" s="24">
        <f t="shared" si="10"/>
        <v>0.15</v>
      </c>
      <c r="R11" s="21">
        <f t="shared" si="16"/>
        <v>0.66</v>
      </c>
      <c r="S11" s="43">
        <f t="shared" si="17"/>
        <v>5535.1968000000006</v>
      </c>
      <c r="T11" s="19">
        <v>5059.9248000000007</v>
      </c>
      <c r="U11" s="18">
        <f t="shared" si="4"/>
        <v>9.392866866321814E-2</v>
      </c>
      <c r="V11" s="18"/>
      <c r="W11" s="18"/>
      <c r="X11" s="18" t="s">
        <v>122</v>
      </c>
      <c r="Y11" s="34">
        <v>0.3</v>
      </c>
      <c r="Z11" s="33">
        <v>0.1</v>
      </c>
      <c r="AA11" s="32">
        <v>0.12</v>
      </c>
      <c r="AB11" s="31">
        <v>0.15</v>
      </c>
      <c r="AD11" t="s">
        <v>27</v>
      </c>
      <c r="AE11" t="s">
        <v>321</v>
      </c>
      <c r="AF11">
        <v>2.25</v>
      </c>
      <c r="AG11">
        <v>3</v>
      </c>
      <c r="AH11">
        <v>2.25</v>
      </c>
    </row>
    <row r="12" spans="1:40" ht="15" thickBot="1">
      <c r="A12" s="153" t="s">
        <v>91</v>
      </c>
      <c r="B12" s="25" t="s">
        <v>90</v>
      </c>
      <c r="C12" s="25">
        <v>1</v>
      </c>
      <c r="D12" s="25"/>
      <c r="E12" s="25">
        <v>1</v>
      </c>
      <c r="F12" s="24">
        <f t="shared" si="11"/>
        <v>1.9900000000000002</v>
      </c>
      <c r="G12" s="21">
        <f t="shared" si="12"/>
        <v>1.92</v>
      </c>
      <c r="H12" s="24">
        <f t="shared" si="13"/>
        <v>0</v>
      </c>
      <c r="I12" s="24">
        <f t="shared" si="14"/>
        <v>0</v>
      </c>
      <c r="J12" s="24">
        <f t="shared" si="15"/>
        <v>0.15</v>
      </c>
      <c r="K12" s="26">
        <v>2</v>
      </c>
      <c r="L12" s="26">
        <v>1</v>
      </c>
      <c r="M12" s="26"/>
      <c r="N12" s="20">
        <f t="shared" si="6"/>
        <v>1393.0000000000002</v>
      </c>
      <c r="O12" s="43">
        <f t="shared" si="3"/>
        <v>4179</v>
      </c>
      <c r="P12" s="43">
        <f t="shared" si="0"/>
        <v>8023.6799999999994</v>
      </c>
      <c r="Q12" s="24">
        <f t="shared" si="10"/>
        <v>0.15</v>
      </c>
      <c r="R12" s="21">
        <f t="shared" si="16"/>
        <v>0.42000000000000004</v>
      </c>
      <c r="S12" s="43">
        <f t="shared" si="17"/>
        <v>5793.7655999999997</v>
      </c>
      <c r="T12" s="19">
        <v>5217.0635999999995</v>
      </c>
      <c r="U12" s="18">
        <f t="shared" si="4"/>
        <v>0.11054149311118233</v>
      </c>
      <c r="V12" s="18"/>
      <c r="W12" s="18"/>
      <c r="X12" s="18" t="s">
        <v>122</v>
      </c>
      <c r="Y12" s="34">
        <v>0.5</v>
      </c>
      <c r="Z12" s="33">
        <v>0.1</v>
      </c>
      <c r="AA12" s="32">
        <v>0.12</v>
      </c>
      <c r="AB12" s="31">
        <v>0.11</v>
      </c>
    </row>
    <row r="13" spans="1:40" ht="15" thickBot="1">
      <c r="A13" s="153" t="s">
        <v>120</v>
      </c>
      <c r="B13" s="25" t="s">
        <v>90</v>
      </c>
      <c r="C13" s="25"/>
      <c r="D13" s="25">
        <v>1</v>
      </c>
      <c r="E13" s="25">
        <v>1</v>
      </c>
      <c r="F13" s="24">
        <f t="shared" si="11"/>
        <v>1.6400000000000001</v>
      </c>
      <c r="G13" s="21">
        <f t="shared" si="12"/>
        <v>2.3199999999999998</v>
      </c>
      <c r="H13" s="24">
        <f t="shared" si="13"/>
        <v>0</v>
      </c>
      <c r="I13" s="24">
        <f t="shared" si="14"/>
        <v>0</v>
      </c>
      <c r="J13" s="24">
        <f t="shared" si="15"/>
        <v>0.15</v>
      </c>
      <c r="K13" s="26">
        <v>2</v>
      </c>
      <c r="L13" s="26">
        <v>1</v>
      </c>
      <c r="M13" s="26"/>
      <c r="N13" s="20">
        <f t="shared" si="6"/>
        <v>1148</v>
      </c>
      <c r="O13" s="43">
        <f t="shared" si="3"/>
        <v>3444.0000000000005</v>
      </c>
      <c r="P13" s="43">
        <f t="shared" si="0"/>
        <v>7990.0800000000008</v>
      </c>
      <c r="Q13" s="24">
        <f t="shared" si="10"/>
        <v>0.15</v>
      </c>
      <c r="R13" s="21">
        <f t="shared" si="16"/>
        <v>0.42000000000000004</v>
      </c>
      <c r="S13" s="43">
        <f t="shared" si="17"/>
        <v>5353.3536000000013</v>
      </c>
      <c r="T13" s="19">
        <v>4671.4416000000001</v>
      </c>
      <c r="U13" s="18">
        <f t="shared" si="4"/>
        <v>0.14597463874963168</v>
      </c>
      <c r="V13" s="18"/>
      <c r="W13" s="18"/>
      <c r="X13" s="18"/>
      <c r="Y13" s="34"/>
      <c r="Z13" s="33"/>
      <c r="AA13" s="32"/>
      <c r="AB13" s="31"/>
      <c r="AD13" t="s">
        <v>28</v>
      </c>
      <c r="AE13" t="s">
        <v>320</v>
      </c>
      <c r="AF13">
        <v>8</v>
      </c>
      <c r="AG13">
        <v>8</v>
      </c>
      <c r="AH13">
        <v>5</v>
      </c>
    </row>
    <row r="14" spans="1:40" ht="15" thickBot="1">
      <c r="A14" s="153" t="s">
        <v>92</v>
      </c>
      <c r="B14" s="25" t="s">
        <v>90</v>
      </c>
      <c r="C14" s="25"/>
      <c r="D14" s="25"/>
      <c r="E14" s="25">
        <v>3</v>
      </c>
      <c r="F14" s="24">
        <f t="shared" si="11"/>
        <v>1.6400000000000001</v>
      </c>
      <c r="G14" s="21">
        <f t="shared" si="12"/>
        <v>1.5</v>
      </c>
      <c r="H14" s="24">
        <f t="shared" si="13"/>
        <v>0</v>
      </c>
      <c r="I14" s="24">
        <f t="shared" si="14"/>
        <v>0</v>
      </c>
      <c r="J14" s="24">
        <f t="shared" si="15"/>
        <v>0.15</v>
      </c>
      <c r="K14" s="26">
        <v>2</v>
      </c>
      <c r="L14" s="26"/>
      <c r="M14" s="26">
        <v>1</v>
      </c>
      <c r="N14" s="20">
        <f t="shared" si="6"/>
        <v>1148</v>
      </c>
      <c r="O14" s="43">
        <f t="shared" si="3"/>
        <v>3444.0000000000005</v>
      </c>
      <c r="P14" s="43">
        <f t="shared" si="0"/>
        <v>5166.0000000000009</v>
      </c>
      <c r="Q14" s="24">
        <f t="shared" si="10"/>
        <v>0.15</v>
      </c>
      <c r="R14" s="21">
        <f t="shared" si="16"/>
        <v>0.97</v>
      </c>
      <c r="S14" s="43">
        <f t="shared" si="17"/>
        <v>5114.34</v>
      </c>
      <c r="T14" s="19">
        <v>4856.0400000000009</v>
      </c>
      <c r="U14" s="18">
        <f t="shared" si="4"/>
        <v>5.3191489361702038E-2</v>
      </c>
      <c r="V14" s="18"/>
      <c r="W14" s="18"/>
      <c r="X14" s="18"/>
      <c r="Y14" s="34"/>
      <c r="Z14" s="33"/>
      <c r="AA14" s="32"/>
      <c r="AB14" s="31"/>
      <c r="AD14" t="s">
        <v>28</v>
      </c>
      <c r="AE14" t="s">
        <v>321</v>
      </c>
      <c r="AF14">
        <v>2.25</v>
      </c>
      <c r="AG14">
        <v>3.33</v>
      </c>
      <c r="AH14">
        <v>2.5</v>
      </c>
    </row>
    <row r="15" spans="1:40" ht="15" thickBot="1">
      <c r="A15" s="153" t="s">
        <v>91</v>
      </c>
      <c r="B15" s="25" t="s">
        <v>90</v>
      </c>
      <c r="C15" s="25">
        <v>1</v>
      </c>
      <c r="D15" s="25"/>
      <c r="E15" s="25">
        <v>1</v>
      </c>
      <c r="F15" s="24">
        <f t="shared" si="11"/>
        <v>1.9900000000000002</v>
      </c>
      <c r="G15" s="21">
        <f t="shared" si="12"/>
        <v>1.5</v>
      </c>
      <c r="H15" s="24">
        <f t="shared" si="13"/>
        <v>0</v>
      </c>
      <c r="I15" s="24">
        <f t="shared" si="14"/>
        <v>0</v>
      </c>
      <c r="J15" s="24">
        <f t="shared" si="15"/>
        <v>0.15</v>
      </c>
      <c r="K15" s="26">
        <v>2</v>
      </c>
      <c r="L15" s="26"/>
      <c r="M15" s="26">
        <v>1</v>
      </c>
      <c r="N15" s="20">
        <f t="shared" si="6"/>
        <v>1393.0000000000002</v>
      </c>
      <c r="O15" s="43">
        <f t="shared" si="3"/>
        <v>4179</v>
      </c>
      <c r="P15" s="43">
        <f t="shared" si="0"/>
        <v>6268.5</v>
      </c>
      <c r="Q15" s="24">
        <f t="shared" si="10"/>
        <v>0.15</v>
      </c>
      <c r="R15" s="21">
        <f t="shared" si="16"/>
        <v>0.73</v>
      </c>
      <c r="S15" s="43">
        <f t="shared" si="17"/>
        <v>5704.335</v>
      </c>
      <c r="T15" s="19">
        <v>5390.91</v>
      </c>
      <c r="U15" s="18">
        <f t="shared" si="4"/>
        <v>5.8139534883721034E-2</v>
      </c>
      <c r="V15" s="18"/>
      <c r="W15" s="18"/>
      <c r="X15" s="18"/>
      <c r="Y15" s="34"/>
      <c r="Z15" s="33"/>
      <c r="AA15" s="32"/>
      <c r="AB15" s="31"/>
    </row>
    <row r="16" spans="1:40" ht="15" thickBot="1">
      <c r="A16" s="153" t="s">
        <v>120</v>
      </c>
      <c r="B16" s="25" t="s">
        <v>90</v>
      </c>
      <c r="C16" s="25"/>
      <c r="D16" s="25">
        <v>1</v>
      </c>
      <c r="E16" s="25">
        <v>1</v>
      </c>
      <c r="F16" s="24">
        <f t="shared" si="11"/>
        <v>1.6400000000000001</v>
      </c>
      <c r="G16" s="21">
        <f t="shared" si="12"/>
        <v>1.9</v>
      </c>
      <c r="H16" s="24">
        <f t="shared" si="13"/>
        <v>0</v>
      </c>
      <c r="I16" s="24">
        <f t="shared" si="14"/>
        <v>0</v>
      </c>
      <c r="J16" s="24">
        <f t="shared" si="15"/>
        <v>0.15</v>
      </c>
      <c r="K16" s="26">
        <v>2</v>
      </c>
      <c r="L16" s="26"/>
      <c r="M16" s="26">
        <v>1</v>
      </c>
      <c r="N16" s="20">
        <f t="shared" si="6"/>
        <v>1148</v>
      </c>
      <c r="O16" s="43">
        <f t="shared" si="3"/>
        <v>3444.0000000000005</v>
      </c>
      <c r="P16" s="43">
        <f t="shared" si="0"/>
        <v>6543.6</v>
      </c>
      <c r="Q16" s="24">
        <f t="shared" si="10"/>
        <v>0.15</v>
      </c>
      <c r="R16" s="21">
        <f t="shared" si="16"/>
        <v>0.73</v>
      </c>
      <c r="S16" s="43">
        <f t="shared" si="17"/>
        <v>5706.7080000000005</v>
      </c>
      <c r="T16" s="19">
        <v>5241.768</v>
      </c>
      <c r="U16" s="18">
        <f t="shared" si="4"/>
        <v>8.869908015768746E-2</v>
      </c>
      <c r="V16" s="18"/>
      <c r="W16" s="18"/>
      <c r="X16" s="18"/>
      <c r="Y16" s="34"/>
      <c r="Z16" s="33"/>
      <c r="AA16" s="32"/>
      <c r="AB16" s="31"/>
      <c r="AD16" t="s">
        <v>29</v>
      </c>
      <c r="AE16" t="s">
        <v>320</v>
      </c>
      <c r="AF16">
        <v>11</v>
      </c>
      <c r="AG16">
        <v>11</v>
      </c>
      <c r="AH16">
        <v>7</v>
      </c>
    </row>
    <row r="17" spans="1:34" ht="15" thickBot="1">
      <c r="A17" s="153"/>
      <c r="B17" s="25"/>
      <c r="C17" s="25"/>
      <c r="D17" s="25"/>
      <c r="E17" s="25"/>
      <c r="F17" s="24"/>
      <c r="G17" s="21"/>
      <c r="H17" s="24"/>
      <c r="I17" s="24"/>
      <c r="J17" s="24"/>
      <c r="K17" s="26"/>
      <c r="L17" s="26"/>
      <c r="M17" s="26"/>
      <c r="N17" s="20"/>
      <c r="O17" s="43"/>
      <c r="P17" s="43"/>
      <c r="Q17" s="24"/>
      <c r="R17" s="21"/>
      <c r="S17" s="43"/>
      <c r="T17" s="19"/>
      <c r="U17" s="18"/>
      <c r="V17" s="18"/>
      <c r="W17" s="18"/>
      <c r="X17" s="18"/>
      <c r="Y17" s="30"/>
      <c r="Z17" s="29"/>
      <c r="AA17" s="28"/>
      <c r="AB17" s="27"/>
      <c r="AC17" s="18"/>
      <c r="AD17" t="s">
        <v>29</v>
      </c>
      <c r="AE17" t="s">
        <v>321</v>
      </c>
      <c r="AF17">
        <v>3</v>
      </c>
      <c r="AG17">
        <v>4</v>
      </c>
      <c r="AH17">
        <v>3</v>
      </c>
    </row>
    <row r="18" spans="1:34" ht="15" thickBot="1">
      <c r="A18" s="153"/>
      <c r="B18" s="25"/>
      <c r="C18" s="25"/>
      <c r="D18" s="25"/>
      <c r="E18" s="25"/>
      <c r="F18" s="24"/>
      <c r="G18" s="21"/>
      <c r="H18" s="24"/>
      <c r="I18" s="24"/>
      <c r="J18" s="24"/>
      <c r="K18" s="26"/>
      <c r="L18" s="26"/>
      <c r="M18" s="26"/>
      <c r="N18" s="20"/>
      <c r="O18" s="43"/>
      <c r="P18" s="43"/>
      <c r="Q18" s="24"/>
      <c r="R18" s="21"/>
      <c r="S18" s="43"/>
      <c r="T18" s="19"/>
      <c r="U18" s="18"/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53"/>
      <c r="B19" s="25"/>
      <c r="C19" s="25"/>
      <c r="D19" s="25"/>
      <c r="E19" s="25"/>
      <c r="F19" s="24"/>
      <c r="G19" s="21"/>
      <c r="H19" s="24"/>
      <c r="I19" s="24"/>
      <c r="J19" s="24"/>
      <c r="K19" s="26"/>
      <c r="L19" s="26"/>
      <c r="M19" s="26"/>
      <c r="N19" s="20"/>
      <c r="O19" s="43"/>
      <c r="P19" s="43"/>
      <c r="Q19" s="24"/>
      <c r="R19" s="21"/>
      <c r="S19" s="43"/>
      <c r="T19" s="19"/>
      <c r="U19" s="18"/>
      <c r="V19" s="18"/>
      <c r="W19" s="183" t="s">
        <v>337</v>
      </c>
      <c r="X19" s="183"/>
      <c r="Y19" s="183"/>
      <c r="Z19" s="183"/>
      <c r="AA19" s="183"/>
      <c r="AB19" s="183"/>
      <c r="AC19" s="183"/>
      <c r="AD19" s="183"/>
      <c r="AE19" s="183"/>
      <c r="AF19" s="183"/>
    </row>
    <row r="20" spans="1:34" ht="15" thickBot="1">
      <c r="A20" s="153"/>
      <c r="B20" s="25"/>
      <c r="C20" s="25"/>
      <c r="D20" s="25"/>
      <c r="E20" s="25"/>
      <c r="F20" s="24"/>
      <c r="G20" s="21"/>
      <c r="H20" s="24"/>
      <c r="I20" s="24"/>
      <c r="J20" s="24"/>
      <c r="K20" s="26"/>
      <c r="L20" s="26"/>
      <c r="M20" s="26"/>
      <c r="N20" s="20"/>
      <c r="O20" s="43"/>
      <c r="P20" s="43"/>
      <c r="Q20" s="24"/>
      <c r="R20" s="21"/>
      <c r="S20" s="43"/>
      <c r="T20" s="19"/>
      <c r="U20" s="18"/>
      <c r="V20" s="18"/>
      <c r="W20" s="18" t="s">
        <v>84</v>
      </c>
      <c r="X20" s="18" t="s">
        <v>83</v>
      </c>
      <c r="Y20" s="18" t="s">
        <v>82</v>
      </c>
      <c r="Z20" s="18" t="s">
        <v>330</v>
      </c>
      <c r="AA20" s="18" t="s">
        <v>331</v>
      </c>
      <c r="AB20" s="18" t="s">
        <v>332</v>
      </c>
      <c r="AC20" s="18" t="s">
        <v>333</v>
      </c>
      <c r="AD20" s="18" t="s">
        <v>334</v>
      </c>
      <c r="AE20" s="18" t="s">
        <v>335</v>
      </c>
      <c r="AF20" t="s">
        <v>336</v>
      </c>
    </row>
    <row r="21" spans="1:34" ht="15" thickBot="1">
      <c r="A21" s="153"/>
      <c r="B21" s="25"/>
      <c r="C21" s="25"/>
      <c r="D21" s="25"/>
      <c r="E21" s="25"/>
      <c r="F21" s="24"/>
      <c r="G21" s="24"/>
      <c r="H21" s="24"/>
      <c r="I21" s="24"/>
      <c r="J21" s="24"/>
      <c r="K21" s="26"/>
      <c r="L21" s="26"/>
      <c r="M21" s="10"/>
      <c r="N21" s="25"/>
      <c r="O21" s="25"/>
      <c r="P21" s="25"/>
      <c r="Q21" s="24"/>
      <c r="R21" s="24"/>
      <c r="S21" s="20"/>
      <c r="T21" s="19"/>
      <c r="U21" s="18"/>
      <c r="V21" s="18"/>
      <c r="W21" s="18" t="s">
        <v>327</v>
      </c>
      <c r="X21" s="18">
        <v>0</v>
      </c>
      <c r="Y21" s="18">
        <v>0</v>
      </c>
      <c r="Z21" s="18" t="s">
        <v>88</v>
      </c>
      <c r="AA21" s="18" t="s">
        <v>86</v>
      </c>
      <c r="AB21" s="18" t="s">
        <v>326</v>
      </c>
      <c r="AC21">
        <v>3</v>
      </c>
      <c r="AD21" s="18"/>
      <c r="AF21">
        <v>1</v>
      </c>
    </row>
    <row r="22" spans="1:34" ht="15" thickBot="1">
      <c r="A22" s="152"/>
      <c r="B22" s="22"/>
      <c r="C22" s="22"/>
      <c r="D22" s="22"/>
      <c r="E22" s="22"/>
      <c r="F22" s="21"/>
      <c r="G22" s="21"/>
      <c r="H22" s="21"/>
      <c r="I22" s="21"/>
      <c r="J22" s="21"/>
      <c r="K22" s="23"/>
      <c r="L22" s="23"/>
      <c r="N22" s="22"/>
      <c r="O22" s="22"/>
      <c r="P22" s="22"/>
      <c r="Q22" s="21"/>
      <c r="R22" s="21"/>
      <c r="S22" s="20"/>
      <c r="T22" s="19"/>
      <c r="U22" s="18"/>
      <c r="V22" s="18"/>
      <c r="W22" s="18" t="s">
        <v>328</v>
      </c>
      <c r="X22" s="18">
        <v>0</v>
      </c>
      <c r="Y22" s="18">
        <v>0</v>
      </c>
      <c r="Z22" s="18" t="s">
        <v>88</v>
      </c>
      <c r="AA22" s="18" t="s">
        <v>86</v>
      </c>
      <c r="AB22" s="18" t="s">
        <v>326</v>
      </c>
      <c r="AC22">
        <v>2</v>
      </c>
      <c r="AD22" s="18" t="s">
        <v>83</v>
      </c>
      <c r="AE22">
        <v>1</v>
      </c>
      <c r="AF22">
        <v>1</v>
      </c>
    </row>
    <row r="23" spans="1:34" ht="15" thickBot="1">
      <c r="A23" s="152"/>
      <c r="B23" s="22"/>
      <c r="C23" s="22"/>
      <c r="D23" s="22"/>
      <c r="E23" s="22"/>
      <c r="F23" s="21"/>
      <c r="G23" s="21"/>
      <c r="H23" s="21"/>
      <c r="I23" s="21"/>
      <c r="J23" s="21"/>
      <c r="K23" s="23"/>
      <c r="L23" s="23"/>
      <c r="N23" s="22"/>
      <c r="O23" s="22"/>
      <c r="P23" s="22"/>
      <c r="Q23" s="21"/>
      <c r="R23" s="21"/>
      <c r="S23" s="20"/>
      <c r="T23" s="19"/>
      <c r="U23" s="18"/>
      <c r="V23" s="18"/>
      <c r="W23" s="18" t="s">
        <v>329</v>
      </c>
      <c r="X23" s="18">
        <v>0</v>
      </c>
      <c r="Y23" s="18">
        <v>0</v>
      </c>
      <c r="Z23" s="18" t="s">
        <v>88</v>
      </c>
      <c r="AA23" s="18" t="s">
        <v>86</v>
      </c>
      <c r="AB23" s="18" t="s">
        <v>326</v>
      </c>
      <c r="AC23">
        <v>3</v>
      </c>
      <c r="AD23" s="18"/>
      <c r="AF23">
        <v>3</v>
      </c>
    </row>
    <row r="24" spans="1:34" ht="15" thickBot="1">
      <c r="A24" s="152"/>
      <c r="B24" s="22"/>
      <c r="C24" s="22"/>
      <c r="D24" s="22"/>
      <c r="E24" s="22"/>
      <c r="F24" s="21"/>
      <c r="G24" s="21"/>
      <c r="H24" s="21"/>
      <c r="I24" s="21"/>
      <c r="J24" s="21"/>
      <c r="K24" s="23"/>
      <c r="L24" s="23"/>
      <c r="N24" s="22"/>
      <c r="O24" s="22"/>
      <c r="P24" s="22"/>
      <c r="Q24" s="21"/>
      <c r="R24" s="21"/>
      <c r="S24" s="20"/>
      <c r="T24" s="19"/>
      <c r="U24" s="18"/>
      <c r="V24" s="18"/>
      <c r="W24" s="18" t="s">
        <v>329</v>
      </c>
      <c r="X24" s="18">
        <v>0</v>
      </c>
      <c r="Y24" s="18">
        <v>0</v>
      </c>
      <c r="Z24" s="18" t="s">
        <v>87</v>
      </c>
      <c r="AA24" s="18" t="s">
        <v>86</v>
      </c>
      <c r="AB24" s="18" t="s">
        <v>326</v>
      </c>
      <c r="AC24">
        <v>3</v>
      </c>
      <c r="AD24" s="18"/>
      <c r="AF24">
        <v>2</v>
      </c>
    </row>
    <row r="25" spans="1:34" ht="15" thickBot="1">
      <c r="A25" s="152"/>
      <c r="B25" s="22"/>
      <c r="C25" s="22"/>
      <c r="D25" s="22"/>
      <c r="E25" s="22"/>
      <c r="F25" s="21"/>
      <c r="G25" s="21"/>
      <c r="H25" s="21"/>
      <c r="I25" s="21"/>
      <c r="J25" s="21"/>
      <c r="K25" s="23"/>
      <c r="L25" s="23"/>
      <c r="N25" s="22"/>
      <c r="O25" s="22"/>
      <c r="P25" s="22"/>
      <c r="Q25" s="21"/>
      <c r="R25" s="21"/>
      <c r="S25" s="20"/>
      <c r="T25" s="19"/>
      <c r="U25" s="18"/>
      <c r="V25" s="18"/>
      <c r="W25" s="18" t="s">
        <v>329</v>
      </c>
      <c r="X25" s="18">
        <v>0</v>
      </c>
      <c r="Y25" s="18">
        <v>0</v>
      </c>
      <c r="Z25" s="18" t="s">
        <v>88</v>
      </c>
      <c r="AA25" s="18" t="s">
        <v>86</v>
      </c>
      <c r="AB25" s="18" t="s">
        <v>326</v>
      </c>
      <c r="AC25">
        <v>2</v>
      </c>
      <c r="AD25" s="18" t="s">
        <v>83</v>
      </c>
      <c r="AE25">
        <v>1</v>
      </c>
      <c r="AF25">
        <v>1</v>
      </c>
    </row>
    <row r="26" spans="1:34" ht="15" thickBot="1">
      <c r="A26" s="152"/>
      <c r="B26" s="22"/>
      <c r="C26" s="22"/>
      <c r="D26" s="22"/>
      <c r="E26" s="22"/>
      <c r="F26" s="21"/>
      <c r="G26" s="21"/>
      <c r="H26" s="21"/>
      <c r="I26" s="21"/>
      <c r="J26" s="21"/>
      <c r="K26" s="23"/>
      <c r="L26" s="23"/>
      <c r="N26" s="22"/>
      <c r="O26" s="22"/>
      <c r="P26" s="22"/>
      <c r="Q26" s="21"/>
      <c r="R26" s="21"/>
      <c r="S26" s="20"/>
      <c r="T26" s="19"/>
      <c r="U26" s="18"/>
      <c r="V26" s="18"/>
      <c r="W26" s="18" t="s">
        <v>327</v>
      </c>
      <c r="X26" s="18">
        <v>0.2</v>
      </c>
      <c r="Y26" s="18">
        <v>0</v>
      </c>
      <c r="Z26" s="18" t="s">
        <v>88</v>
      </c>
      <c r="AA26" s="18" t="s">
        <v>86</v>
      </c>
      <c r="AB26" s="18" t="s">
        <v>326</v>
      </c>
      <c r="AC26">
        <v>2</v>
      </c>
      <c r="AD26" s="18" t="s">
        <v>84</v>
      </c>
      <c r="AE26">
        <v>1</v>
      </c>
      <c r="AF26">
        <v>1</v>
      </c>
    </row>
    <row r="27" spans="1:34" ht="15" thickBot="1">
      <c r="A27" s="152"/>
      <c r="B27" s="22"/>
      <c r="C27" s="22"/>
      <c r="D27" s="22"/>
      <c r="E27" s="22"/>
      <c r="F27" s="21"/>
      <c r="G27" s="21"/>
      <c r="H27" s="21"/>
      <c r="I27" s="21"/>
      <c r="J27" s="21"/>
      <c r="K27" s="23"/>
      <c r="L27" s="23"/>
      <c r="N27" s="22"/>
      <c r="O27" s="22"/>
      <c r="P27" s="22"/>
      <c r="Q27" s="21"/>
      <c r="R27" s="21"/>
      <c r="S27" s="20"/>
      <c r="T27" s="19"/>
      <c r="U27" s="18"/>
      <c r="V27" s="18"/>
      <c r="W27" s="18" t="s">
        <v>328</v>
      </c>
      <c r="X27" s="18">
        <v>0.2</v>
      </c>
      <c r="Y27" s="18">
        <v>0</v>
      </c>
      <c r="Z27" s="18" t="s">
        <v>88</v>
      </c>
      <c r="AA27" s="18" t="s">
        <v>86</v>
      </c>
      <c r="AB27" s="18" t="s">
        <v>326</v>
      </c>
      <c r="AC27">
        <v>3</v>
      </c>
      <c r="AD27" s="18"/>
      <c r="AF27">
        <v>1</v>
      </c>
    </row>
    <row r="28" spans="1:34" ht="15" thickBot="1">
      <c r="A28" s="152"/>
      <c r="B28" s="22"/>
      <c r="C28" s="22"/>
      <c r="D28" s="22"/>
      <c r="E28" s="22"/>
      <c r="F28" s="21"/>
      <c r="G28" s="21"/>
      <c r="H28" s="21"/>
      <c r="I28" s="21"/>
      <c r="J28" s="21"/>
      <c r="K28" s="23"/>
      <c r="L28" s="23"/>
      <c r="N28" s="22"/>
      <c r="O28" s="22"/>
      <c r="P28" s="22"/>
      <c r="Q28" s="21"/>
      <c r="R28" s="21"/>
      <c r="S28" s="20"/>
      <c r="T28" s="19"/>
      <c r="U28" s="18"/>
      <c r="V28" s="18"/>
      <c r="W28" s="18" t="s">
        <v>328</v>
      </c>
      <c r="X28" s="18">
        <v>0.2</v>
      </c>
      <c r="Y28" s="18">
        <v>0</v>
      </c>
      <c r="Z28" s="18" t="s">
        <v>88</v>
      </c>
      <c r="AA28" s="18" t="s">
        <v>86</v>
      </c>
      <c r="AB28" s="18" t="s">
        <v>326</v>
      </c>
      <c r="AC28">
        <v>2</v>
      </c>
      <c r="AD28" s="18" t="s">
        <v>84</v>
      </c>
      <c r="AE28">
        <v>1</v>
      </c>
      <c r="AF28">
        <v>1</v>
      </c>
      <c r="AG28" s="15"/>
      <c r="AH28" s="15"/>
    </row>
    <row r="29" spans="1:34" ht="15" thickBot="1">
      <c r="A29" s="152"/>
      <c r="B29" s="22"/>
      <c r="C29" s="22"/>
      <c r="D29" s="22"/>
      <c r="E29" s="22"/>
      <c r="F29" s="21"/>
      <c r="G29" s="21"/>
      <c r="H29" s="21"/>
      <c r="I29" s="21"/>
      <c r="J29" s="21"/>
      <c r="K29" s="23"/>
      <c r="L29" s="23"/>
      <c r="N29" s="22"/>
      <c r="O29" s="22"/>
      <c r="P29" s="22"/>
      <c r="Q29" s="21"/>
      <c r="R29" s="21"/>
      <c r="S29" s="20"/>
      <c r="T29" s="19"/>
      <c r="U29" s="18"/>
      <c r="V29" s="18"/>
      <c r="W29" s="18" t="s">
        <v>328</v>
      </c>
      <c r="X29" s="18">
        <v>0.2</v>
      </c>
      <c r="Y29" s="18">
        <v>0</v>
      </c>
      <c r="Z29" s="18" t="s">
        <v>87</v>
      </c>
      <c r="AA29" s="18" t="s">
        <v>86</v>
      </c>
      <c r="AB29" s="18" t="s">
        <v>326</v>
      </c>
      <c r="AC29">
        <v>2</v>
      </c>
      <c r="AD29" s="18" t="s">
        <v>84</v>
      </c>
      <c r="AE29">
        <v>1</v>
      </c>
      <c r="AF29">
        <v>1</v>
      </c>
      <c r="AG29" s="15"/>
      <c r="AH29" s="15"/>
    </row>
    <row r="30" spans="1:34" ht="15" thickBot="1">
      <c r="A30" s="152"/>
      <c r="B30" s="22"/>
      <c r="C30" s="22"/>
      <c r="D30" s="22"/>
      <c r="E30" s="22"/>
      <c r="F30" s="21"/>
      <c r="G30" s="21"/>
      <c r="H30" s="21"/>
      <c r="I30" s="21"/>
      <c r="J30" s="21"/>
      <c r="K30" s="23"/>
      <c r="L30" s="23"/>
      <c r="N30" s="22"/>
      <c r="O30" s="22"/>
      <c r="P30" s="22"/>
      <c r="Q30" s="21"/>
      <c r="R30" s="21"/>
      <c r="S30" s="20"/>
      <c r="T30" s="19"/>
      <c r="U30" s="18"/>
      <c r="V30" s="18"/>
      <c r="W30" s="18" t="s">
        <v>329</v>
      </c>
      <c r="X30" s="18">
        <v>0.2</v>
      </c>
      <c r="Y30" s="18">
        <v>0</v>
      </c>
      <c r="Z30" s="18" t="s">
        <v>88</v>
      </c>
      <c r="AA30" s="18" t="s">
        <v>86</v>
      </c>
      <c r="AB30" s="18" t="s">
        <v>326</v>
      </c>
      <c r="AC30">
        <v>2</v>
      </c>
      <c r="AD30" s="18" t="s">
        <v>83</v>
      </c>
      <c r="AE30">
        <v>1</v>
      </c>
      <c r="AF30">
        <v>1</v>
      </c>
      <c r="AH30" s="15"/>
    </row>
    <row r="31" spans="1:34" ht="15" thickBot="1">
      <c r="A31" s="152"/>
      <c r="B31" s="22"/>
      <c r="C31" s="22"/>
      <c r="D31" s="22"/>
      <c r="E31" s="22"/>
      <c r="F31" s="21"/>
      <c r="G31" s="21"/>
      <c r="H31" s="21"/>
      <c r="I31" s="21"/>
      <c r="J31" s="21"/>
      <c r="K31" s="23"/>
      <c r="L31" s="23"/>
      <c r="N31" s="22"/>
      <c r="O31" s="22"/>
      <c r="P31" s="22"/>
      <c r="Q31" s="21"/>
      <c r="R31" s="21"/>
      <c r="S31" s="20"/>
      <c r="T31" s="19"/>
      <c r="U31" s="18"/>
      <c r="V31" s="18"/>
      <c r="W31" s="154" t="s">
        <v>327</v>
      </c>
      <c r="X31" s="154">
        <v>0.2</v>
      </c>
      <c r="Y31" s="154">
        <v>0.2</v>
      </c>
      <c r="Z31" s="18" t="s">
        <v>88</v>
      </c>
      <c r="AA31" s="18" t="s">
        <v>86</v>
      </c>
      <c r="AB31" s="18" t="s">
        <v>326</v>
      </c>
      <c r="AC31">
        <v>2</v>
      </c>
      <c r="AD31" s="18" t="s">
        <v>84</v>
      </c>
      <c r="AE31">
        <v>1</v>
      </c>
      <c r="AF31">
        <v>1</v>
      </c>
    </row>
    <row r="32" spans="1:34" ht="15" thickBot="1">
      <c r="A32" s="152"/>
      <c r="B32" s="22"/>
      <c r="C32" s="22"/>
      <c r="D32" s="22"/>
      <c r="E32" s="22"/>
      <c r="F32" s="21"/>
      <c r="G32" s="21"/>
      <c r="H32" s="21"/>
      <c r="I32" s="21"/>
      <c r="J32" s="21"/>
      <c r="K32" s="23"/>
      <c r="L32" s="23"/>
      <c r="N32" s="22"/>
      <c r="O32" s="22"/>
      <c r="P32" s="22"/>
      <c r="Q32" s="21"/>
      <c r="R32" s="21"/>
      <c r="S32" s="20"/>
      <c r="T32" s="19"/>
      <c r="U32" s="18"/>
      <c r="V32" s="18"/>
      <c r="W32" s="154" t="s">
        <v>327</v>
      </c>
      <c r="X32" s="154">
        <v>0.2</v>
      </c>
      <c r="Y32" s="154">
        <v>0.2</v>
      </c>
      <c r="Z32" s="18" t="s">
        <v>87</v>
      </c>
      <c r="AA32" s="18" t="s">
        <v>86</v>
      </c>
      <c r="AB32" s="18" t="s">
        <v>326</v>
      </c>
      <c r="AC32">
        <v>3</v>
      </c>
      <c r="AD32" s="18" t="s">
        <v>84</v>
      </c>
      <c r="AE32">
        <v>1</v>
      </c>
      <c r="AF32">
        <v>2</v>
      </c>
    </row>
    <row r="33" spans="1:32" ht="15" thickBot="1">
      <c r="A33" s="152"/>
      <c r="B33" s="22"/>
      <c r="C33" s="22"/>
      <c r="D33" s="22"/>
      <c r="E33" s="22"/>
      <c r="F33" s="21"/>
      <c r="G33" s="21"/>
      <c r="H33" s="21"/>
      <c r="I33" s="21"/>
      <c r="J33" s="21"/>
      <c r="K33" s="23"/>
      <c r="L33" s="23"/>
      <c r="N33" s="22"/>
      <c r="O33" s="22"/>
      <c r="P33" s="22"/>
      <c r="Q33" s="21"/>
      <c r="R33" s="21"/>
      <c r="S33" s="20"/>
      <c r="T33" s="19"/>
      <c r="U33" s="18"/>
      <c r="V33" s="18"/>
      <c r="W33" s="18" t="s">
        <v>338</v>
      </c>
      <c r="X33" s="154">
        <v>0.2</v>
      </c>
      <c r="Y33" s="154">
        <v>0.2</v>
      </c>
      <c r="Z33" s="18" t="s">
        <v>87</v>
      </c>
      <c r="AA33" s="18" t="s">
        <v>86</v>
      </c>
      <c r="AB33" s="18" t="s">
        <v>326</v>
      </c>
      <c r="AC33">
        <v>3</v>
      </c>
      <c r="AD33" s="18" t="s">
        <v>84</v>
      </c>
      <c r="AE33">
        <v>1</v>
      </c>
      <c r="AF33">
        <v>1</v>
      </c>
    </row>
    <row r="34" spans="1:32" ht="15" thickBot="1">
      <c r="A34" s="152"/>
      <c r="B34" s="22"/>
      <c r="C34" s="22"/>
      <c r="D34" s="22"/>
      <c r="E34" s="22"/>
      <c r="F34" s="21"/>
      <c r="G34" s="21"/>
      <c r="H34" s="21"/>
      <c r="I34" s="21"/>
      <c r="J34" s="21"/>
      <c r="K34" s="23"/>
      <c r="L34" s="23"/>
      <c r="N34" s="22"/>
      <c r="O34" s="22"/>
      <c r="P34" s="22"/>
      <c r="Q34" s="21"/>
      <c r="R34" s="21"/>
      <c r="S34" s="20"/>
      <c r="T34" s="19"/>
      <c r="U34" s="18"/>
      <c r="V34" s="18"/>
      <c r="W34" s="18" t="s">
        <v>338</v>
      </c>
      <c r="X34" s="154">
        <v>0.2</v>
      </c>
      <c r="Y34" s="154">
        <v>0.2</v>
      </c>
      <c r="Z34" s="18" t="s">
        <v>88</v>
      </c>
      <c r="AA34" s="18" t="s">
        <v>86</v>
      </c>
      <c r="AB34" s="18" t="s">
        <v>326</v>
      </c>
      <c r="AC34">
        <v>2</v>
      </c>
      <c r="AD34" s="18" t="s">
        <v>83</v>
      </c>
      <c r="AE34">
        <v>1</v>
      </c>
      <c r="AF34">
        <v>2</v>
      </c>
    </row>
    <row r="35" spans="1:32" ht="15" thickBot="1">
      <c r="A35" s="152"/>
      <c r="B35" s="22"/>
      <c r="C35" s="22"/>
      <c r="D35" s="22"/>
      <c r="E35" s="22"/>
      <c r="F35" s="21"/>
      <c r="G35" s="21"/>
      <c r="H35" s="21"/>
      <c r="I35" s="21"/>
      <c r="J35" s="21"/>
      <c r="K35" s="23"/>
      <c r="L35" s="23"/>
      <c r="N35" s="22"/>
      <c r="O35" s="22"/>
      <c r="P35" s="22"/>
      <c r="Q35" s="21"/>
      <c r="R35" s="21"/>
      <c r="S35" s="20"/>
      <c r="T35" s="19"/>
      <c r="U35" s="18"/>
      <c r="V35" s="18"/>
      <c r="W35" s="18" t="s">
        <v>339</v>
      </c>
      <c r="X35" s="154">
        <v>0.2</v>
      </c>
      <c r="Y35" s="154">
        <v>0.2</v>
      </c>
      <c r="Z35" s="18" t="s">
        <v>88</v>
      </c>
      <c r="AA35" s="18" t="s">
        <v>86</v>
      </c>
      <c r="AB35" s="18" t="s">
        <v>326</v>
      </c>
      <c r="AC35">
        <v>2</v>
      </c>
      <c r="AD35" s="18" t="s">
        <v>83</v>
      </c>
      <c r="AE35">
        <v>1</v>
      </c>
      <c r="AF35">
        <v>1</v>
      </c>
    </row>
    <row r="36" spans="1:32" ht="15" thickBot="1">
      <c r="A36" s="152"/>
      <c r="B36" s="22"/>
      <c r="C36" s="22"/>
      <c r="D36" s="22"/>
      <c r="E36" s="22"/>
      <c r="F36" s="21"/>
      <c r="G36" s="21"/>
      <c r="H36" s="21"/>
      <c r="I36" s="21"/>
      <c r="J36" s="21"/>
      <c r="K36" s="23"/>
      <c r="L36" s="23"/>
      <c r="N36" s="22"/>
      <c r="O36" s="22"/>
      <c r="P36" s="22"/>
      <c r="Q36" s="21"/>
      <c r="R36" s="21"/>
      <c r="S36" s="20"/>
      <c r="T36" s="19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52"/>
      <c r="B37" s="22"/>
      <c r="C37" s="22"/>
      <c r="D37" s="22"/>
      <c r="E37" s="22"/>
      <c r="F37" s="21"/>
      <c r="G37" s="21"/>
      <c r="H37" s="21"/>
      <c r="I37" s="21"/>
      <c r="J37" s="21"/>
      <c r="K37" s="23"/>
      <c r="L37" s="23"/>
      <c r="N37" s="22"/>
      <c r="O37" s="22"/>
      <c r="P37" s="22"/>
      <c r="Q37" s="21"/>
      <c r="R37" s="21"/>
      <c r="S37" s="20"/>
      <c r="T37" s="19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52"/>
      <c r="B38" s="22"/>
      <c r="C38" s="22"/>
      <c r="D38" s="22"/>
      <c r="E38" s="22"/>
      <c r="F38" s="21"/>
      <c r="G38" s="21"/>
      <c r="H38" s="21"/>
      <c r="I38" s="21"/>
      <c r="J38" s="21"/>
      <c r="K38" s="23"/>
      <c r="L38" s="23"/>
      <c r="N38" s="22"/>
      <c r="O38" s="22"/>
      <c r="P38" s="22"/>
      <c r="Q38" s="21"/>
      <c r="R38" s="21"/>
      <c r="S38" s="20"/>
      <c r="T38" s="19"/>
      <c r="U38" s="18"/>
      <c r="V38" s="18"/>
      <c r="W38" s="154"/>
      <c r="X38" s="154"/>
      <c r="Y38" s="154"/>
      <c r="Z38" s="154"/>
      <c r="AA38" s="154"/>
      <c r="AB38" s="154"/>
      <c r="AC38" s="154"/>
      <c r="AD38" s="154"/>
      <c r="AE38" s="6"/>
      <c r="AF38" s="6"/>
    </row>
    <row r="39" spans="1:32"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54"/>
      <c r="X42" s="154"/>
      <c r="Y42" s="154"/>
      <c r="Z42" s="154"/>
      <c r="AA42" s="154"/>
      <c r="AB42" s="154"/>
      <c r="AC42" s="154"/>
      <c r="AD42" s="154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161</v>
      </c>
      <c r="B1" t="s">
        <v>162</v>
      </c>
      <c r="C1" t="s">
        <v>163</v>
      </c>
      <c r="D1" t="s">
        <v>167</v>
      </c>
      <c r="E1" t="s">
        <v>164</v>
      </c>
      <c r="F1" t="s">
        <v>10</v>
      </c>
    </row>
    <row r="2" spans="1:6">
      <c r="A2" t="s">
        <v>151</v>
      </c>
      <c r="B2" t="s">
        <v>195</v>
      </c>
      <c r="C2" t="s">
        <v>171</v>
      </c>
      <c r="D2" t="s">
        <v>176</v>
      </c>
      <c r="E2" t="s">
        <v>177</v>
      </c>
      <c r="F2" t="s">
        <v>198</v>
      </c>
    </row>
    <row r="3" spans="1:6">
      <c r="A3" t="s">
        <v>152</v>
      </c>
      <c r="B3" t="s">
        <v>195</v>
      </c>
      <c r="C3" t="s">
        <v>175</v>
      </c>
      <c r="D3" t="s">
        <v>173</v>
      </c>
      <c r="E3" t="s">
        <v>174</v>
      </c>
      <c r="F3" t="s">
        <v>198</v>
      </c>
    </row>
    <row r="4" spans="1:6">
      <c r="A4" t="s">
        <v>153</v>
      </c>
      <c r="B4" t="s">
        <v>195</v>
      </c>
      <c r="C4" t="s">
        <v>154</v>
      </c>
      <c r="D4" t="s">
        <v>176</v>
      </c>
      <c r="E4" t="s">
        <v>178</v>
      </c>
      <c r="F4" t="s">
        <v>199</v>
      </c>
    </row>
    <row r="5" spans="1:6">
      <c r="A5" t="s">
        <v>156</v>
      </c>
      <c r="B5" t="s">
        <v>155</v>
      </c>
      <c r="C5" t="s">
        <v>171</v>
      </c>
      <c r="D5" t="s">
        <v>190</v>
      </c>
      <c r="E5" t="s">
        <v>172</v>
      </c>
      <c r="F5" t="s">
        <v>199</v>
      </c>
    </row>
    <row r="6" spans="1:6">
      <c r="A6" t="s">
        <v>157</v>
      </c>
      <c r="B6" t="s">
        <v>158</v>
      </c>
      <c r="C6" t="s">
        <v>159</v>
      </c>
      <c r="D6" t="s">
        <v>170</v>
      </c>
      <c r="E6" t="s">
        <v>165</v>
      </c>
      <c r="F6" t="s">
        <v>199</v>
      </c>
    </row>
    <row r="7" spans="1:6">
      <c r="A7" t="s">
        <v>141</v>
      </c>
      <c r="B7" t="s">
        <v>191</v>
      </c>
      <c r="C7" t="s">
        <v>192</v>
      </c>
    </row>
    <row r="8" spans="1:6">
      <c r="A8" t="s">
        <v>193</v>
      </c>
      <c r="B8" t="s">
        <v>160</v>
      </c>
      <c r="C8" t="s">
        <v>86</v>
      </c>
      <c r="D8" t="s">
        <v>194</v>
      </c>
    </row>
    <row r="9" spans="1:6">
      <c r="A9" t="s">
        <v>196</v>
      </c>
      <c r="B9" t="s">
        <v>158</v>
      </c>
      <c r="C9" t="s">
        <v>197</v>
      </c>
      <c r="D9" t="s">
        <v>176</v>
      </c>
      <c r="F9" t="s">
        <v>199</v>
      </c>
    </row>
    <row r="10" spans="1:6">
      <c r="A10" t="s">
        <v>218</v>
      </c>
      <c r="B10" t="s">
        <v>160</v>
      </c>
      <c r="C10" t="s">
        <v>86</v>
      </c>
    </row>
    <row r="11" spans="1:6">
      <c r="A11" t="s">
        <v>219</v>
      </c>
      <c r="B11" t="s">
        <v>155</v>
      </c>
      <c r="C11" t="s">
        <v>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200</v>
      </c>
      <c r="B1" t="s">
        <v>211</v>
      </c>
      <c r="C1" t="s">
        <v>201</v>
      </c>
      <c r="D1" t="s">
        <v>202</v>
      </c>
      <c r="E1" t="s">
        <v>203</v>
      </c>
      <c r="F1" t="s">
        <v>204</v>
      </c>
      <c r="G1" t="s">
        <v>166</v>
      </c>
      <c r="H1" t="s">
        <v>205</v>
      </c>
      <c r="I1" t="s">
        <v>206</v>
      </c>
      <c r="J1" t="s">
        <v>207</v>
      </c>
      <c r="K1" t="s">
        <v>210</v>
      </c>
      <c r="L1" t="s">
        <v>212</v>
      </c>
      <c r="M1" t="s">
        <v>213</v>
      </c>
    </row>
    <row r="2" spans="1:13">
      <c r="A2" t="s">
        <v>208</v>
      </c>
      <c r="C2">
        <v>1</v>
      </c>
      <c r="D2">
        <v>4</v>
      </c>
      <c r="G2">
        <v>3</v>
      </c>
      <c r="J2">
        <v>7</v>
      </c>
    </row>
    <row r="3" spans="1:13">
      <c r="A3" t="s">
        <v>208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209</v>
      </c>
      <c r="C4">
        <v>1</v>
      </c>
      <c r="E4">
        <v>119</v>
      </c>
      <c r="G4">
        <v>3</v>
      </c>
      <c r="H4">
        <v>5</v>
      </c>
      <c r="J4">
        <v>10</v>
      </c>
      <c r="M4" t="s">
        <v>214</v>
      </c>
    </row>
    <row r="5" spans="1:13">
      <c r="A5" t="s">
        <v>208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214</v>
      </c>
    </row>
    <row r="6" spans="1:13">
      <c r="A6" t="s">
        <v>209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208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208</v>
      </c>
      <c r="C8">
        <v>4</v>
      </c>
      <c r="G8">
        <v>6</v>
      </c>
      <c r="H8">
        <v>6</v>
      </c>
    </row>
    <row r="9" spans="1:13">
      <c r="A9" t="s">
        <v>209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208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6"/>
      <c r="B1" s="47" t="s">
        <v>130</v>
      </c>
      <c r="C1" s="47" t="s">
        <v>131</v>
      </c>
      <c r="D1" s="48" t="s">
        <v>132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348</v>
      </c>
      <c r="B6" t="s">
        <v>3</v>
      </c>
      <c r="C6" t="s">
        <v>2</v>
      </c>
      <c r="D6" t="s">
        <v>345</v>
      </c>
      <c r="E6" t="s">
        <v>344</v>
      </c>
      <c r="F6" t="s">
        <v>346</v>
      </c>
      <c r="G6" t="s">
        <v>347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138</v>
      </c>
      <c r="T6" s="4" t="s">
        <v>142</v>
      </c>
      <c r="U6" s="4" t="s">
        <v>143</v>
      </c>
      <c r="V6" s="4" t="s">
        <v>144</v>
      </c>
      <c r="W6" s="4" t="s">
        <v>145</v>
      </c>
      <c r="X6" s="4" t="s">
        <v>143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54">
        <f>Tabela16[[#This Row],[Ene refill to XP]]/30*Tabela16[[#This Row],[Energy pool]]+Tabela16[[#This Row],[Ene to XP]]</f>
        <v>500</v>
      </c>
      <c r="K7" s="54">
        <f>Tabela16[[#This Row],[Ener refill no XP]]/30*Tabela16[[#This Row],[Energy pool]]+Tabela16[[#This Row],[Ene no XP]]</f>
        <v>0</v>
      </c>
      <c r="L7" s="50" t="s">
        <v>8</v>
      </c>
      <c r="M7" s="50" t="s">
        <v>30</v>
      </c>
      <c r="N7" s="50">
        <v>3</v>
      </c>
      <c r="O7">
        <f>SUMIFS(LocFeatures[[#All],[XP Train Gain]],LocFeatures[[#All],[Location]],Summary!$L7,LocFeatures[[#All],[LVL]],Summary!$M7,LocFeatures[[#All],[Stage]],Summary!$N7)</f>
        <v>3294</v>
      </c>
      <c r="P7">
        <f>SUMIFS(LocFeatures[[#All],[Drop worth gain]],LocFeatures[[#All],[Location]],Summary!$L7,LocFeatures[[#All],[LVL]],Summary!$M7,LocFeatures[[#All],[Stage]],Summary!$N7)</f>
        <v>3091.3773584905657</v>
      </c>
      <c r="Q7">
        <f>SUMIFS(LocFeatures[[#All],[Energy gain]],LocFeatures[[#All],[Location]],Summary!$L7,LocFeatures[[#All],[LVL]],Summary!$M7,LocFeatures[[#All],[Stage]],Summary!$N7)</f>
        <v>0.86792452830188682</v>
      </c>
      <c r="R7">
        <f>SUMIFS(LocFeatures[[#All],[E. Cost]],LocFeatures[[#All],[Location]],Summary!$L7,LocFeatures[[#All],[LVL]],Summary!$M7,LocFeatures[[#All],[Stage]],Summary!$N7)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54">
        <f>Tabela16[[#This Row],[Ene refill to XP]]/30*Tabela16[[#This Row],[Energy pool]]+Tabela16[[#This Row],[Ene to XP]]</f>
        <v>500</v>
      </c>
      <c r="K8" s="54">
        <f>Tabela16[[#This Row],[Ener refill no XP]]/30*Tabela16[[#This Row],[Energy pool]]+Tabela16[[#This Row],[Ene no XP]]</f>
        <v>0</v>
      </c>
      <c r="L8" s="50" t="s">
        <v>8</v>
      </c>
      <c r="M8" s="50" t="s">
        <v>30</v>
      </c>
      <c r="N8" s="50">
        <v>3</v>
      </c>
      <c r="O8">
        <f>SUMIFS(LocFeatures[[#All],[XP Train Gain]],LocFeatures[[#All],[Location]],Summary!$L8,LocFeatures[[#All],[LVL]],Summary!$M8,LocFeatures[[#All],[Stage]],Summary!$N8)</f>
        <v>3294</v>
      </c>
      <c r="P8">
        <f>SUMIFS(LocFeatures[[#All],[Drop worth gain]],LocFeatures[[#All],[Location]],Summary!$L8,LocFeatures[[#All],[LVL]],Summary!$M8,LocFeatures[[#All],[Stage]],Summary!$N8)</f>
        <v>3091.3773584905657</v>
      </c>
      <c r="Q8">
        <f>SUMIFS(LocFeatures[[#All],[Energy gain]],LocFeatures[[#All],[Location]],Summary!$L8,LocFeatures[[#All],[LVL]],Summary!$M8,LocFeatures[[#All],[Stage]],Summary!$N8)</f>
        <v>0.86792452830188682</v>
      </c>
      <c r="R8">
        <f>SUMIFS(LocFeatures[[#All],[E. Cost]],LocFeatures[[#All],[Location]],Summary!$L8,LocFeatures[[#All],[LVL]],Summary!$M8,LocFeatures[[#All],[Stage]],Summary!$N8)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54">
        <f>Tabela16[[#This Row],[Ene refill to XP]]/30*Tabela16[[#This Row],[Energy pool]]+Tabela16[[#This Row],[Ene to XP]]</f>
        <v>0</v>
      </c>
      <c r="K9" s="54">
        <f>Tabela16[[#This Row],[Ener refill no XP]]/30*Tabela16[[#This Row],[Energy pool]]+Tabela16[[#This Row],[Ene no XP]]</f>
        <v>0</v>
      </c>
      <c r="L9" s="50" t="s">
        <v>8</v>
      </c>
      <c r="M9" s="50" t="s">
        <v>30</v>
      </c>
      <c r="N9" s="50">
        <v>3</v>
      </c>
      <c r="O9">
        <f>SUMIFS(LocFeatures[[#All],[XP Train Gain]],LocFeatures[[#All],[Location]],Summary!$L9,LocFeatures[[#All],[LVL]],Summary!$M9,LocFeatures[[#All],[Stage]],Summary!$N9)</f>
        <v>3294</v>
      </c>
      <c r="P9">
        <f>SUMIFS(LocFeatures[[#All],[Drop worth gain]],LocFeatures[[#All],[Location]],Summary!$L9,LocFeatures[[#All],[LVL]],Summary!$M9,LocFeatures[[#All],[Stage]],Summary!$N9)</f>
        <v>3091.3773584905657</v>
      </c>
      <c r="Q9">
        <f>SUMIFS(LocFeatures[[#All],[Energy gain]],LocFeatures[[#All],[Location]],Summary!$L9,LocFeatures[[#All],[LVL]],Summary!$M9,LocFeatures[[#All],[Stage]],Summary!$N9)</f>
        <v>0.86792452830188682</v>
      </c>
      <c r="R9">
        <f>SUMIFS(LocFeatures[[#All],[E. Cost]],LocFeatures[[#All],[Location]],Summary!$L9,LocFeatures[[#All],[LVL]],Summary!$M9,LocFeatures[[#All],[Stage]],Summary!$N9)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54">
        <f>Tabela16[[#This Row],[Ene refill to XP]]/30*Tabela16[[#This Row],[Energy pool]]+Tabela16[[#This Row],[Ene to XP]]</f>
        <v>0</v>
      </c>
      <c r="K10" s="54">
        <f>Tabela16[[#This Row],[Ener refill no XP]]/30*Tabela16[[#This Row],[Energy pool]]+Tabela16[[#This Row],[Ene no XP]]</f>
        <v>0</v>
      </c>
      <c r="L10" s="50" t="s">
        <v>8</v>
      </c>
      <c r="M10" s="50" t="s">
        <v>30</v>
      </c>
      <c r="N10" s="50">
        <v>3</v>
      </c>
      <c r="O10">
        <f>SUMIFS(LocFeatures[[#All],[XP Train Gain]],LocFeatures[[#All],[Location]],Summary!$L10,LocFeatures[[#All],[LVL]],Summary!$M10,LocFeatures[[#All],[Stage]],Summary!$N10)</f>
        <v>3294</v>
      </c>
      <c r="P10">
        <f>SUMIFS(LocFeatures[[#All],[Drop worth gain]],LocFeatures[[#All],[Location]],Summary!$L10,LocFeatures[[#All],[LVL]],Summary!$M10,LocFeatures[[#All],[Stage]],Summary!$N10)</f>
        <v>3091.3773584905657</v>
      </c>
      <c r="Q10">
        <f>SUMIFS(LocFeatures[[#All],[Energy gain]],LocFeatures[[#All],[Location]],Summary!$L10,LocFeatures[[#All],[LVL]],Summary!$M10,LocFeatures[[#All],[Stage]],Summary!$N10)</f>
        <v>0.86792452830188682</v>
      </c>
      <c r="R10">
        <f>SUMIFS(LocFeatures[[#All],[E. Cost]],LocFeatures[[#All],[Location]],Summary!$L10,LocFeatures[[#All],[LVL]],Summary!$M10,LocFeatures[[#All],[Stage]],Summary!$N10)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54">
        <f>Tabela16[[#This Row],[Ene refill to XP]]/30*Tabela16[[#This Row],[Energy pool]]+Tabela16[[#This Row],[Ene to XP]]</f>
        <v>500</v>
      </c>
      <c r="K11" s="54">
        <f>Tabela16[[#This Row],[Ener refill no XP]]/30*Tabela16[[#This Row],[Energy pool]]+Tabela16[[#This Row],[Ene no XP]]</f>
        <v>0</v>
      </c>
      <c r="L11" s="50" t="s">
        <v>31</v>
      </c>
      <c r="M11" s="50" t="s">
        <v>9</v>
      </c>
      <c r="N11" s="50">
        <v>1</v>
      </c>
      <c r="O11">
        <f>SUMIFS(LocFeatures[[#All],[XP Train Gain]],LocFeatures[[#All],[Location]],Summary!$L11,LocFeatures[[#All],[LVL]],Summary!$M11,LocFeatures[[#All],[Stage]],Summary!$N11)</f>
        <v>2268</v>
      </c>
      <c r="P11">
        <f>SUMIFS(LocFeatures[[#All],[Drop worth gain]],LocFeatures[[#All],[Location]],Summary!$L11,LocFeatures[[#All],[LVL]],Summary!$M11,LocFeatures[[#All],[Stage]],Summary!$N11)</f>
        <v>2656.4567901234568</v>
      </c>
      <c r="Q11">
        <f>SUMIFS(LocFeatures[[#All],[Energy gain]],LocFeatures[[#All],[Location]],Summary!$L11,LocFeatures[[#All],[LVL]],Summary!$M11,LocFeatures[[#All],[Stage]],Summary!$N11)</f>
        <v>0.87654320987654322</v>
      </c>
      <c r="R11">
        <f>SUMIFS(LocFeatures[[#All],[E. Cost]],LocFeatures[[#All],[Location]],Summary!$L11,LocFeatures[[#All],[LVL]],Summary!$M11,LocFeatures[[#All],[Stage]],Summary!$N11)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54">
        <f>Tabela16[[#This Row],[Ene refill to XP]]/30*Tabela16[[#This Row],[Energy pool]]+Tabela16[[#This Row],[Ene to XP]]</f>
        <v>500</v>
      </c>
      <c r="K12" s="54">
        <f>Tabela16[[#This Row],[Ener refill no XP]]/30*Tabela16[[#This Row],[Energy pool]]+Tabela16[[#This Row],[Ene no XP]]</f>
        <v>0</v>
      </c>
      <c r="L12" s="50" t="s">
        <v>31</v>
      </c>
      <c r="M12" s="50" t="s">
        <v>9</v>
      </c>
      <c r="N12" s="50">
        <v>1</v>
      </c>
      <c r="O12">
        <f>SUMIFS(LocFeatures[[#All],[XP Train Gain]],LocFeatures[[#All],[Location]],Summary!$L12,LocFeatures[[#All],[LVL]],Summary!$M12,LocFeatures[[#All],[Stage]],Summary!$N12)</f>
        <v>2268</v>
      </c>
      <c r="P12">
        <f>SUMIFS(LocFeatures[[#All],[Drop worth gain]],LocFeatures[[#All],[Location]],Summary!$L12,LocFeatures[[#All],[LVL]],Summary!$M12,LocFeatures[[#All],[Stage]],Summary!$N12)</f>
        <v>2656.4567901234568</v>
      </c>
      <c r="Q12">
        <f>SUMIFS(LocFeatures[[#All],[Energy gain]],LocFeatures[[#All],[Location]],Summary!$L12,LocFeatures[[#All],[LVL]],Summary!$M12,LocFeatures[[#All],[Stage]],Summary!$N12)</f>
        <v>0.87654320987654322</v>
      </c>
      <c r="R12">
        <f>SUMIFS(LocFeatures[[#All],[E. Cost]],LocFeatures[[#All],[Location]],Summary!$L12,LocFeatures[[#All],[LVL]],Summary!$M12,LocFeatures[[#All],[Stage]],Summary!$N12)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54">
        <f>Tabela16[[#This Row],[Ene refill to XP]]/30*Tabela16[[#This Row],[Energy pool]]+Tabela16[[#This Row],[Ene to XP]]</f>
        <v>0</v>
      </c>
      <c r="K13" s="54">
        <f>Tabela16[[#This Row],[Ener refill no XP]]/30*Tabela16[[#This Row],[Energy pool]]+Tabela16[[#This Row],[Ene no XP]]</f>
        <v>0</v>
      </c>
      <c r="L13" s="50" t="s">
        <v>31</v>
      </c>
      <c r="M13" s="50" t="s">
        <v>9</v>
      </c>
      <c r="N13" s="50">
        <v>1</v>
      </c>
      <c r="O13">
        <f>SUMIFS(LocFeatures[[#All],[XP Train Gain]],LocFeatures[[#All],[Location]],Summary!$L13,LocFeatures[[#All],[LVL]],Summary!$M13,LocFeatures[[#All],[Stage]],Summary!$N13)</f>
        <v>2268</v>
      </c>
      <c r="P13">
        <f>SUMIFS(LocFeatures[[#All],[Drop worth gain]],LocFeatures[[#All],[Location]],Summary!$L13,LocFeatures[[#All],[LVL]],Summary!$M13,LocFeatures[[#All],[Stage]],Summary!$N13)</f>
        <v>2656.4567901234568</v>
      </c>
      <c r="Q13">
        <f>SUMIFS(LocFeatures[[#All],[Energy gain]],LocFeatures[[#All],[Location]],Summary!$L13,LocFeatures[[#All],[LVL]],Summary!$M13,LocFeatures[[#All],[Stage]],Summary!$N13)</f>
        <v>0.87654320987654322</v>
      </c>
      <c r="R13">
        <f>SUMIFS(LocFeatures[[#All],[E. Cost]],LocFeatures[[#All],[Location]],Summary!$L13,LocFeatures[[#All],[LVL]],Summary!$M13,LocFeatures[[#All],[Stage]],Summary!$N13)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54">
        <f>Tabela16[[#This Row],[Ene refill to XP]]/30*Tabela16[[#This Row],[Energy pool]]+Tabela16[[#This Row],[Ene to XP]]</f>
        <v>0</v>
      </c>
      <c r="K14" s="54">
        <f>Tabela16[[#This Row],[Ener refill no XP]]/30*Tabela16[[#This Row],[Energy pool]]+Tabela16[[#This Row],[Ene no XP]]</f>
        <v>0</v>
      </c>
      <c r="L14" s="50" t="s">
        <v>31</v>
      </c>
      <c r="M14" s="50" t="s">
        <v>9</v>
      </c>
      <c r="N14" s="50">
        <v>1</v>
      </c>
      <c r="O14">
        <f>SUMIFS(LocFeatures[[#All],[XP Train Gain]],LocFeatures[[#All],[Location]],Summary!$L14,LocFeatures[[#All],[LVL]],Summary!$M14,LocFeatures[[#All],[Stage]],Summary!$N14)</f>
        <v>2268</v>
      </c>
      <c r="P14">
        <f>SUMIFS(LocFeatures[[#All],[Drop worth gain]],LocFeatures[[#All],[Location]],Summary!$L14,LocFeatures[[#All],[LVL]],Summary!$M14,LocFeatures[[#All],[Stage]],Summary!$N14)</f>
        <v>2656.4567901234568</v>
      </c>
      <c r="Q14">
        <f>SUMIFS(LocFeatures[[#All],[Energy gain]],LocFeatures[[#All],[Location]],Summary!$L14,LocFeatures[[#All],[LVL]],Summary!$M14,LocFeatures[[#All],[Stage]],Summary!$N14)</f>
        <v>0.87654320987654322</v>
      </c>
      <c r="R14">
        <f>SUMIFS(LocFeatures[[#All],[E. Cost]],LocFeatures[[#All],[Location]],Summary!$L14,LocFeatures[[#All],[LVL]],Summary!$M14,LocFeatures[[#All],[Stage]],Summary!$N14)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54">
        <f>Tabela16[[#This Row],[Ene refill to XP]]/30*Tabela16[[#This Row],[Energy pool]]+Tabela16[[#This Row],[Ene to XP]]</f>
        <v>500</v>
      </c>
      <c r="K15" s="54">
        <f>Tabela16[[#This Row],[Ener refill no XP]]/30*Tabela16[[#This Row],[Energy pool]]+Tabela16[[#This Row],[Ene no XP]]</f>
        <v>0</v>
      </c>
      <c r="L15" s="50" t="s">
        <v>8</v>
      </c>
      <c r="M15" s="51" t="s">
        <v>32</v>
      </c>
      <c r="N15" s="50">
        <v>3</v>
      </c>
      <c r="O15">
        <f>SUMIFS(LocFeatures[[#All],[XP Train Gain]],LocFeatures[[#All],[Location]],Summary!$L15,LocFeatures[[#All],[LVL]],Summary!$M15,LocFeatures[[#All],[Stage]],Summary!$N15)</f>
        <v>5400</v>
      </c>
      <c r="P15">
        <f>SUMIFS(LocFeatures[[#All],[Drop worth gain]],LocFeatures[[#All],[Location]],Summary!$L15,LocFeatures[[#All],[LVL]],Summary!$M15,LocFeatures[[#All],[Stage]],Summary!$N15)</f>
        <v>3604.8397435897436</v>
      </c>
      <c r="Q15">
        <f>SUMIFS(LocFeatures[[#All],[Energy gain]],LocFeatures[[#All],[Location]],Summary!$L15,LocFeatures[[#All],[LVL]],Summary!$M15,LocFeatures[[#All],[Stage]],Summary!$N15)</f>
        <v>0.98076923076923073</v>
      </c>
      <c r="R15">
        <f>SUMIFS(LocFeatures[[#All],[E. Cost]],LocFeatures[[#All],[Location]],Summary!$L15,LocFeatures[[#All],[LVL]],Summary!$M15,LocFeatures[[#All],[Stage]],Summary!$N15)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54">
        <f>Tabela16[[#This Row],[Ene refill to XP]]/30*Tabela16[[#This Row],[Energy pool]]+Tabela16[[#This Row],[Ene to XP]]</f>
        <v>500</v>
      </c>
      <c r="K16" s="54">
        <f>Tabela16[[#This Row],[Ener refill no XP]]/30*Tabela16[[#This Row],[Energy pool]]+Tabela16[[#This Row],[Ene no XP]]</f>
        <v>0</v>
      </c>
      <c r="L16" s="50" t="s">
        <v>8</v>
      </c>
      <c r="M16" s="51" t="s">
        <v>32</v>
      </c>
      <c r="N16" s="50">
        <v>3</v>
      </c>
      <c r="O16">
        <f>SUMIFS(LocFeatures[[#All],[XP Train Gain]],LocFeatures[[#All],[Location]],Summary!$L16,LocFeatures[[#All],[LVL]],Summary!$M16,LocFeatures[[#All],[Stage]],Summary!$N16)</f>
        <v>5400</v>
      </c>
      <c r="P16">
        <f>SUMIFS(LocFeatures[[#All],[Drop worth gain]],LocFeatures[[#All],[Location]],Summary!$L16,LocFeatures[[#All],[LVL]],Summary!$M16,LocFeatures[[#All],[Stage]],Summary!$N16)</f>
        <v>3604.8397435897436</v>
      </c>
      <c r="Q16">
        <f>SUMIFS(LocFeatures[[#All],[Energy gain]],LocFeatures[[#All],[Location]],Summary!$L16,LocFeatures[[#All],[LVL]],Summary!$M16,LocFeatures[[#All],[Stage]],Summary!$N16)</f>
        <v>0.98076923076923073</v>
      </c>
      <c r="R16">
        <f>SUMIFS(LocFeatures[[#All],[E. Cost]],LocFeatures[[#All],[Location]],Summary!$L16,LocFeatures[[#All],[LVL]],Summary!$M16,LocFeatures[[#All],[Stage]],Summary!$N16)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54">
        <f>Tabela16[[#This Row],[Ene refill to XP]]/30*Tabela16[[#This Row],[Energy pool]]+Tabela16[[#This Row],[Ene to XP]]</f>
        <v>0</v>
      </c>
      <c r="K17" s="54">
        <f>Tabela16[[#This Row],[Ener refill no XP]]/30*Tabela16[[#This Row],[Energy pool]]+Tabela16[[#This Row],[Ene no XP]]</f>
        <v>0</v>
      </c>
      <c r="L17" s="50" t="s">
        <v>8</v>
      </c>
      <c r="M17" s="51" t="s">
        <v>32</v>
      </c>
      <c r="N17" s="50">
        <v>3</v>
      </c>
      <c r="O17">
        <f>SUMIFS(LocFeatures[[#All],[XP Train Gain]],LocFeatures[[#All],[Location]],Summary!$L17,LocFeatures[[#All],[LVL]],Summary!$M17,LocFeatures[[#All],[Stage]],Summary!$N17)</f>
        <v>5400</v>
      </c>
      <c r="P17">
        <f>SUMIFS(LocFeatures[[#All],[Drop worth gain]],LocFeatures[[#All],[Location]],Summary!$L17,LocFeatures[[#All],[LVL]],Summary!$M17,LocFeatures[[#All],[Stage]],Summary!$N17)</f>
        <v>3604.8397435897436</v>
      </c>
      <c r="Q17">
        <f>SUMIFS(LocFeatures[[#All],[Energy gain]],LocFeatures[[#All],[Location]],Summary!$L17,LocFeatures[[#All],[LVL]],Summary!$M17,LocFeatures[[#All],[Stage]],Summary!$N17)</f>
        <v>0.98076923076923073</v>
      </c>
      <c r="R17">
        <f>SUMIFS(LocFeatures[[#All],[E. Cost]],LocFeatures[[#All],[Location]],Summary!$L17,LocFeatures[[#All],[LVL]],Summary!$M17,LocFeatures[[#All],[Stage]],Summary!$N17)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54">
        <f>Tabela16[[#This Row],[Ene refill to XP]]/30*Tabela16[[#This Row],[Energy pool]]+Tabela16[[#This Row],[Ene to XP]]</f>
        <v>0</v>
      </c>
      <c r="K18" s="54">
        <f>Tabela16[[#This Row],[Ener refill no XP]]/30*Tabela16[[#This Row],[Energy pool]]+Tabela16[[#This Row],[Ene no XP]]</f>
        <v>0</v>
      </c>
      <c r="L18" s="50" t="s">
        <v>8</v>
      </c>
      <c r="M18" s="51" t="s">
        <v>32</v>
      </c>
      <c r="N18" s="50">
        <v>3</v>
      </c>
      <c r="O18">
        <f>SUMIFS(LocFeatures[[#All],[XP Train Gain]],LocFeatures[[#All],[Location]],Summary!$L18,LocFeatures[[#All],[LVL]],Summary!$M18,LocFeatures[[#All],[Stage]],Summary!$N18)</f>
        <v>5400</v>
      </c>
      <c r="P18">
        <f>SUMIFS(LocFeatures[[#All],[Drop worth gain]],LocFeatures[[#All],[Location]],Summary!$L18,LocFeatures[[#All],[LVL]],Summary!$M18,LocFeatures[[#All],[Stage]],Summary!$N18)</f>
        <v>3604.8397435897436</v>
      </c>
      <c r="Q18">
        <f>SUMIFS(LocFeatures[[#All],[Energy gain]],LocFeatures[[#All],[Location]],Summary!$L18,LocFeatures[[#All],[LVL]],Summary!$M18,LocFeatures[[#All],[Stage]],Summary!$N18)</f>
        <v>0.98076923076923073</v>
      </c>
      <c r="R18">
        <f>SUMIFS(LocFeatures[[#All],[E. Cost]],LocFeatures[[#All],[Location]],Summary!$L18,LocFeatures[[#All],[LVL]],Summary!$M18,LocFeatures[[#All],[Stage]],Summary!$N18)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54">
        <f>Tabela16[[#This Row],[Ene refill to XP]]/30*Tabela16[[#This Row],[Energy pool]]+Tabela16[[#This Row],[Ene to XP]]</f>
        <v>0</v>
      </c>
      <c r="K19" s="54">
        <f>Tabela16[[#This Row],[Ener refill no XP]]/30*Tabela16[[#This Row],[Energy pool]]+Tabela16[[#This Row],[Ene no XP]]</f>
        <v>0</v>
      </c>
      <c r="L19" s="50" t="s">
        <v>8</v>
      </c>
      <c r="M19" s="51" t="s">
        <v>32</v>
      </c>
      <c r="N19" s="50">
        <v>3</v>
      </c>
      <c r="O19">
        <f>SUMIFS(LocFeatures[[#All],[XP Train Gain]],LocFeatures[[#All],[Location]],Summary!$L19,LocFeatures[[#All],[LVL]],Summary!$M19,LocFeatures[[#All],[Stage]],Summary!$N19)</f>
        <v>5400</v>
      </c>
      <c r="P19">
        <f>SUMIFS(LocFeatures[[#All],[Drop worth gain]],LocFeatures[[#All],[Location]],Summary!$L19,LocFeatures[[#All],[LVL]],Summary!$M19,LocFeatures[[#All],[Stage]],Summary!$N19)</f>
        <v>3604.8397435897436</v>
      </c>
      <c r="Q19">
        <f>SUMIFS(LocFeatures[[#All],[Energy gain]],LocFeatures[[#All],[Location]],Summary!$L19,LocFeatures[[#All],[LVL]],Summary!$M19,LocFeatures[[#All],[Stage]],Summary!$N19)</f>
        <v>0.98076923076923073</v>
      </c>
      <c r="R19">
        <f>SUMIFS(LocFeatures[[#All],[E. Cost]],LocFeatures[[#All],[Location]],Summary!$L19,LocFeatures[[#All],[LVL]],Summary!$M19,LocFeatures[[#All],[Stage]],Summary!$N19)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54">
        <f>Tabela16[[#This Row],[Ene refill to XP]]/30*Tabela16[[#This Row],[Energy pool]]+Tabela16[[#This Row],[Ene to XP]]</f>
        <v>0</v>
      </c>
      <c r="K20" s="54">
        <f>Tabela16[[#This Row],[Ener refill no XP]]/30*Tabela16[[#This Row],[Energy pool]]+Tabela16[[#This Row],[Ene no XP]]</f>
        <v>0</v>
      </c>
      <c r="L20" s="50" t="s">
        <v>8</v>
      </c>
      <c r="M20" s="51" t="s">
        <v>32</v>
      </c>
      <c r="N20" s="50">
        <v>3</v>
      </c>
      <c r="O20">
        <f>SUMIFS(LocFeatures[[#All],[XP Train Gain]],LocFeatures[[#All],[Location]],Summary!$L20,LocFeatures[[#All],[LVL]],Summary!$M20,LocFeatures[[#All],[Stage]],Summary!$N20)</f>
        <v>5400</v>
      </c>
      <c r="P20">
        <f>SUMIFS(LocFeatures[[#All],[Drop worth gain]],LocFeatures[[#All],[Location]],Summary!$L20,LocFeatures[[#All],[LVL]],Summary!$M20,LocFeatures[[#All],[Stage]],Summary!$N20)</f>
        <v>3604.8397435897436</v>
      </c>
      <c r="Q20">
        <f>SUMIFS(LocFeatures[[#All],[Energy gain]],LocFeatures[[#All],[Location]],Summary!$L20,LocFeatures[[#All],[LVL]],Summary!$M20,LocFeatures[[#All],[Stage]],Summary!$N20)</f>
        <v>0.98076923076923073</v>
      </c>
      <c r="R20">
        <f>SUMIFS(LocFeatures[[#All],[E. Cost]],LocFeatures[[#All],[Location]],Summary!$L20,LocFeatures[[#All],[LVL]],Summary!$M20,LocFeatures[[#All],[Stage]],Summary!$N20)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54">
        <f>Tabela16[[#This Row],[Ene refill to XP]]/30*Tabela16[[#This Row],[Energy pool]]+Tabela16[[#This Row],[Ene to XP]]</f>
        <v>0</v>
      </c>
      <c r="K21" s="54">
        <f>Tabela16[[#This Row],[Ener refill no XP]]/30*Tabela16[[#This Row],[Energy pool]]+Tabela16[[#This Row],[Ene no XP]]</f>
        <v>0</v>
      </c>
      <c r="L21" s="50" t="s">
        <v>8</v>
      </c>
      <c r="M21" s="51" t="s">
        <v>32</v>
      </c>
      <c r="N21" s="50">
        <v>3</v>
      </c>
      <c r="O21">
        <f>SUMIFS(LocFeatures[[#All],[XP Train Gain]],LocFeatures[[#All],[Location]],Summary!$L21,LocFeatures[[#All],[LVL]],Summary!$M21,LocFeatures[[#All],[Stage]],Summary!$N21)</f>
        <v>5400</v>
      </c>
      <c r="P21">
        <f>SUMIFS(LocFeatures[[#All],[Drop worth gain]],LocFeatures[[#All],[Location]],Summary!$L21,LocFeatures[[#All],[LVL]],Summary!$M21,LocFeatures[[#All],[Stage]],Summary!$N21)</f>
        <v>3604.8397435897436</v>
      </c>
      <c r="Q21">
        <f>SUMIFS(LocFeatures[[#All],[Energy gain]],LocFeatures[[#All],[Location]],Summary!$L21,LocFeatures[[#All],[LVL]],Summary!$M21,LocFeatures[[#All],[Stage]],Summary!$N21)</f>
        <v>0.98076923076923073</v>
      </c>
      <c r="R21">
        <f>SUMIFS(LocFeatures[[#All],[E. Cost]],LocFeatures[[#All],[Location]],Summary!$L21,LocFeatures[[#All],[LVL]],Summary!$M21,LocFeatures[[#All],[Stage]],Summary!$N21)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54">
        <f>Tabela16[[#This Row],[Ene refill to XP]]/30*Tabela16[[#This Row],[Energy pool]]+Tabela16[[#This Row],[Ene to XP]]</f>
        <v>0</v>
      </c>
      <c r="K22" s="54">
        <f>Tabela16[[#This Row],[Ener refill no XP]]/30*Tabela16[[#This Row],[Energy pool]]+Tabela16[[#This Row],[Ene no XP]]</f>
        <v>0</v>
      </c>
      <c r="L22" s="50" t="s">
        <v>61</v>
      </c>
      <c r="M22" s="50" t="s">
        <v>9</v>
      </c>
      <c r="N22" s="50">
        <v>1</v>
      </c>
      <c r="O22">
        <f>SUMIFS(LocFeatures[[#All],[XP Train Gain]],LocFeatures[[#All],[Location]],Summary!$L22,LocFeatures[[#All],[LVL]],Summary!$M22,LocFeatures[[#All],[Stage]],Summary!$N22)</f>
        <v>2397</v>
      </c>
      <c r="P22">
        <f>SUMIFS(LocFeatures[[#All],[Drop worth gain]],LocFeatures[[#All],[Location]],Summary!$L22,LocFeatures[[#All],[LVL]],Summary!$M22,LocFeatures[[#All],[Stage]],Summary!$N22)</f>
        <v>3352.4479166666665</v>
      </c>
      <c r="Q22">
        <f>SUMIFS(LocFeatures[[#All],[Energy gain]],LocFeatures[[#All],[Location]],Summary!$L22,LocFeatures[[#All],[LVL]],Summary!$M22,LocFeatures[[#All],[Stage]],Summary!$N22)</f>
        <v>0.88541666666666663</v>
      </c>
      <c r="R22">
        <f>SUMIFS(LocFeatures[[#All],[E. Cost]],LocFeatures[[#All],[Location]],Summary!$L22,LocFeatures[[#All],[LVL]],Summary!$M22,LocFeatures[[#All],[Stage]],Summary!$N22)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54">
        <f>Tabela16[[#This Row],[Ene refill to XP]]/30*Tabela16[[#This Row],[Energy pool]]+Tabela16[[#This Row],[Ene to XP]]</f>
        <v>0</v>
      </c>
      <c r="K23" s="54">
        <f>Tabela16[[#This Row],[Ener refill no XP]]/30*Tabela16[[#This Row],[Energy pool]]+Tabela16[[#This Row],[Ene no XP]]</f>
        <v>0</v>
      </c>
      <c r="L23" s="50" t="s">
        <v>61</v>
      </c>
      <c r="M23" s="50" t="s">
        <v>9</v>
      </c>
      <c r="N23" s="50">
        <v>1</v>
      </c>
      <c r="O23">
        <f>SUMIFS(LocFeatures[[#All],[XP Train Gain]],LocFeatures[[#All],[Location]],Summary!$L23,LocFeatures[[#All],[LVL]],Summary!$M23,LocFeatures[[#All],[Stage]],Summary!$N23)</f>
        <v>2397</v>
      </c>
      <c r="P23">
        <f>SUMIFS(LocFeatures[[#All],[Drop worth gain]],LocFeatures[[#All],[Location]],Summary!$L23,LocFeatures[[#All],[LVL]],Summary!$M23,LocFeatures[[#All],[Stage]],Summary!$N23)</f>
        <v>3352.4479166666665</v>
      </c>
      <c r="Q23">
        <f>SUMIFS(LocFeatures[[#All],[Energy gain]],LocFeatures[[#All],[Location]],Summary!$L23,LocFeatures[[#All],[LVL]],Summary!$M23,LocFeatures[[#All],[Stage]],Summary!$N23)</f>
        <v>0.88541666666666663</v>
      </c>
      <c r="R23">
        <f>SUMIFS(LocFeatures[[#All],[E. Cost]],LocFeatures[[#All],[Location]],Summary!$L23,LocFeatures[[#All],[LVL]],Summary!$M23,LocFeatures[[#All],[Stage]],Summary!$N23)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54">
        <f>Tabela16[[#This Row],[Ene refill to XP]]/30*Tabela16[[#This Row],[Energy pool]]+Tabela16[[#This Row],[Ene to XP]]</f>
        <v>0</v>
      </c>
      <c r="K24" s="54">
        <f>Tabela16[[#This Row],[Ener refill no XP]]/30*Tabela16[[#This Row],[Energy pool]]+Tabela16[[#This Row],[Ene no XP]]</f>
        <v>0</v>
      </c>
      <c r="L24" s="50" t="s">
        <v>61</v>
      </c>
      <c r="M24" s="50" t="s">
        <v>9</v>
      </c>
      <c r="N24" s="50">
        <v>1</v>
      </c>
      <c r="O24">
        <f>SUMIFS(LocFeatures[[#All],[XP Train Gain]],LocFeatures[[#All],[Location]],Summary!$L24,LocFeatures[[#All],[LVL]],Summary!$M24,LocFeatures[[#All],[Stage]],Summary!$N24)</f>
        <v>2397</v>
      </c>
      <c r="P24">
        <f>SUMIFS(LocFeatures[[#All],[Drop worth gain]],LocFeatures[[#All],[Location]],Summary!$L24,LocFeatures[[#All],[LVL]],Summary!$M24,LocFeatures[[#All],[Stage]],Summary!$N24)</f>
        <v>3352.4479166666665</v>
      </c>
      <c r="Q24">
        <f>SUMIFS(LocFeatures[[#All],[Energy gain]],LocFeatures[[#All],[Location]],Summary!$L24,LocFeatures[[#All],[LVL]],Summary!$M24,LocFeatures[[#All],[Stage]],Summary!$N24)</f>
        <v>0.88541666666666663</v>
      </c>
      <c r="R24">
        <f>SUMIFS(LocFeatures[[#All],[E. Cost]],LocFeatures[[#All],[Location]],Summary!$L24,LocFeatures[[#All],[LVL]],Summary!$M24,LocFeatures[[#All],[Stage]],Summary!$N24)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54">
        <f>Tabela16[[#This Row],[Ene refill to XP]]/30*Tabela16[[#This Row],[Energy pool]]+Tabela16[[#This Row],[Ene to XP]]</f>
        <v>0</v>
      </c>
      <c r="K25" s="54">
        <f>Tabela16[[#This Row],[Ener refill no XP]]/30*Tabela16[[#This Row],[Energy pool]]+Tabela16[[#This Row],[Ene no XP]]</f>
        <v>0</v>
      </c>
      <c r="L25" s="50" t="s">
        <v>31</v>
      </c>
      <c r="M25" s="50" t="s">
        <v>9</v>
      </c>
      <c r="N25" s="50">
        <v>1</v>
      </c>
      <c r="O25">
        <f>SUMIFS(LocFeatures[[#All],[XP Train Gain]],LocFeatures[[#All],[Location]],Summary!$L25,LocFeatures[[#All],[LVL]],Summary!$M25,LocFeatures[[#All],[Stage]],Summary!$N25)</f>
        <v>2268</v>
      </c>
      <c r="P25">
        <f>SUMIFS(LocFeatures[[#All],[Drop worth gain]],LocFeatures[[#All],[Location]],Summary!$L25,LocFeatures[[#All],[LVL]],Summary!$M25,LocFeatures[[#All],[Stage]],Summary!$N25)</f>
        <v>2656.4567901234568</v>
      </c>
      <c r="Q25">
        <f>SUMIFS(LocFeatures[[#All],[Energy gain]],LocFeatures[[#All],[Location]],Summary!$L25,LocFeatures[[#All],[LVL]],Summary!$M25,LocFeatures[[#All],[Stage]],Summary!$N25)</f>
        <v>0.87654320987654322</v>
      </c>
      <c r="R25">
        <f>SUMIFS(LocFeatures[[#All],[E. Cost]],LocFeatures[[#All],[Location]],Summary!$L25,LocFeatures[[#All],[LVL]],Summary!$M25,LocFeatures[[#All],[Stage]],Summary!$N25)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54">
        <f>Tabela16[[#This Row],[Ene refill to XP]]/30*Tabela16[[#This Row],[Energy pool]]+Tabela16[[#This Row],[Ene to XP]]</f>
        <v>0</v>
      </c>
      <c r="K26" s="54">
        <f>Tabela16[[#This Row],[Ener refill no XP]]/30*Tabela16[[#This Row],[Energy pool]]+Tabela16[[#This Row],[Ene no XP]]</f>
        <v>0</v>
      </c>
      <c r="L26" s="50" t="s">
        <v>31</v>
      </c>
      <c r="M26" s="50" t="s">
        <v>9</v>
      </c>
      <c r="N26" s="50">
        <v>1</v>
      </c>
      <c r="O26">
        <f>SUMIFS(LocFeatures[[#All],[XP Train Gain]],LocFeatures[[#All],[Location]],Summary!$L26,LocFeatures[[#All],[LVL]],Summary!$M26,LocFeatures[[#All],[Stage]],Summary!$N26)</f>
        <v>2268</v>
      </c>
      <c r="P26">
        <f>SUMIFS(LocFeatures[[#All],[Drop worth gain]],LocFeatures[[#All],[Location]],Summary!$L26,LocFeatures[[#All],[LVL]],Summary!$M26,LocFeatures[[#All],[Stage]],Summary!$N26)</f>
        <v>2656.4567901234568</v>
      </c>
      <c r="Q26">
        <f>SUMIFS(LocFeatures[[#All],[Energy gain]],LocFeatures[[#All],[Location]],Summary!$L26,LocFeatures[[#All],[LVL]],Summary!$M26,LocFeatures[[#All],[Stage]],Summary!$N26)</f>
        <v>0.87654320987654322</v>
      </c>
      <c r="R26">
        <f>SUMIFS(LocFeatures[[#All],[E. Cost]],LocFeatures[[#All],[Location]],Summary!$L26,LocFeatures[[#All],[LVL]],Summary!$M26,LocFeatures[[#All],[Stage]],Summary!$N26)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54">
        <f>Tabela16[[#This Row],[Ene refill to XP]]/30*Tabela16[[#This Row],[Energy pool]]+Tabela16[[#This Row],[Ene to XP]]</f>
        <v>0</v>
      </c>
      <c r="K27" s="54">
        <f>Tabela16[[#This Row],[Ener refill no XP]]/30*Tabela16[[#This Row],[Energy pool]]+Tabela16[[#This Row],[Ene no XP]]</f>
        <v>0</v>
      </c>
      <c r="L27" s="50" t="s">
        <v>31</v>
      </c>
      <c r="M27" s="50" t="s">
        <v>9</v>
      </c>
      <c r="N27" s="50">
        <v>1</v>
      </c>
      <c r="O27">
        <f>SUMIFS(LocFeatures[[#All],[XP Train Gain]],LocFeatures[[#All],[Location]],Summary!$L27,LocFeatures[[#All],[LVL]],Summary!$M27,LocFeatures[[#All],[Stage]],Summary!$N27)</f>
        <v>2268</v>
      </c>
      <c r="P27">
        <f>SUMIFS(LocFeatures[[#All],[Drop worth gain]],LocFeatures[[#All],[Location]],Summary!$L27,LocFeatures[[#All],[LVL]],Summary!$M27,LocFeatures[[#All],[Stage]],Summary!$N27)</f>
        <v>2656.4567901234568</v>
      </c>
      <c r="Q27">
        <f>SUMIFS(LocFeatures[[#All],[Energy gain]],LocFeatures[[#All],[Location]],Summary!$L27,LocFeatures[[#All],[LVL]],Summary!$M27,LocFeatures[[#All],[Stage]],Summary!$N27)</f>
        <v>0.87654320987654322</v>
      </c>
      <c r="R27">
        <f>SUMIFS(LocFeatures[[#All],[E. Cost]],LocFeatures[[#All],[Location]],Summary!$L27,LocFeatures[[#All],[LVL]],Summary!$M27,LocFeatures[[#All],[Stage]],Summary!$N27)</f>
        <v>3</v>
      </c>
    </row>
    <row r="28" spans="1:24">
      <c r="A28" t="s">
        <v>134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54">
        <f>Tabela16[[#This Row],[Ene refill to XP]]/30*Tabela16[[#This Row],[Energy pool]]+Tabela16[[#This Row],[Ene to XP]]</f>
        <v>0</v>
      </c>
      <c r="K28" s="54">
        <f>Tabela16[[#This Row],[Ener refill no XP]]/30*Tabela16[[#This Row],[Energy pool]]+Tabela16[[#This Row],[Ene no XP]]</f>
        <v>0</v>
      </c>
      <c r="L28" s="50" t="s">
        <v>31</v>
      </c>
      <c r="M28" s="50" t="s">
        <v>9</v>
      </c>
      <c r="N28" s="50">
        <v>1</v>
      </c>
      <c r="O28">
        <f>SUMIFS(LocFeatures[[#All],[XP Train Gain]],LocFeatures[[#All],[Location]],Summary!$L28,LocFeatures[[#All],[LVL]],Summary!$M28,LocFeatures[[#All],[Stage]],Summary!$N28)</f>
        <v>2268</v>
      </c>
      <c r="P28">
        <f>SUMIFS(LocFeatures[[#All],[Drop worth gain]],LocFeatures[[#All],[Location]],Summary!$L28,LocFeatures[[#All],[LVL]],Summary!$M28,LocFeatures[[#All],[Stage]],Summary!$N28)</f>
        <v>2656.4567901234568</v>
      </c>
      <c r="Q28">
        <f>SUMIFS(LocFeatures[[#All],[Energy gain]],LocFeatures[[#All],[Location]],Summary!$L28,LocFeatures[[#All],[LVL]],Summary!$M28,LocFeatures[[#All],[Stage]],Summary!$N28)</f>
        <v>0.87654320987654322</v>
      </c>
      <c r="R28">
        <f>SUMIFS(LocFeatures[[#All],[E. Cost]],LocFeatures[[#All],[Location]],Summary!$L28,LocFeatures[[#All],[LVL]],Summary!$M28,LocFeatures[[#All],[Stage]],Summary!$N28)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54">
        <f>Tabela16[[#This Row],[Ene refill to XP]]/30*Tabela16[[#This Row],[Energy pool]]+Tabela16[[#This Row],[Ene to XP]]</f>
        <v>225</v>
      </c>
      <c r="K29" s="54">
        <f>Tabela16[[#This Row],[Ener refill no XP]]/30*Tabela16[[#This Row],[Energy pool]]+Tabela16[[#This Row],[Ene no XP]]</f>
        <v>0</v>
      </c>
      <c r="L29" s="50" t="s">
        <v>31</v>
      </c>
      <c r="M29" s="50" t="s">
        <v>9</v>
      </c>
      <c r="N29" s="50">
        <v>1</v>
      </c>
      <c r="O29">
        <f>SUMIFS(LocFeatures[[#All],[XP Train Gain]],LocFeatures[[#All],[Location]],Summary!$L29,LocFeatures[[#All],[LVL]],Summary!$M29,LocFeatures[[#All],[Stage]],Summary!$N29)</f>
        <v>2268</v>
      </c>
      <c r="P29">
        <f>SUMIFS(LocFeatures[[#All],[Drop worth gain]],LocFeatures[[#All],[Location]],Summary!$L29,LocFeatures[[#All],[LVL]],Summary!$M29,LocFeatures[[#All],[Stage]],Summary!$N29)</f>
        <v>2656.4567901234568</v>
      </c>
      <c r="Q29">
        <f>SUMIFS(LocFeatures[[#All],[Energy gain]],LocFeatures[[#All],[Location]],Summary!$L29,LocFeatures[[#All],[LVL]],Summary!$M29,LocFeatures[[#All],[Stage]],Summary!$N29)</f>
        <v>0.87654320987654322</v>
      </c>
      <c r="R29">
        <f>SUMIFS(LocFeatures[[#All],[E. Cost]],LocFeatures[[#All],[Location]],Summary!$L29,LocFeatures[[#All],[LVL]],Summary!$M29,LocFeatures[[#All],[Stage]],Summary!$N29)</f>
        <v>3</v>
      </c>
    </row>
    <row r="30" spans="1:24">
      <c r="A30" t="s">
        <v>135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54">
        <f>Tabela16[[#This Row],[Ene refill to XP]]/30*Tabela16[[#This Row],[Energy pool]]+Tabela16[[#This Row],[Ene to XP]]</f>
        <v>225</v>
      </c>
      <c r="K30" s="54">
        <f>Tabela16[[#This Row],[Ener refill no XP]]/30*Tabela16[[#This Row],[Energy pool]]+Tabela16[[#This Row],[Ene no XP]]</f>
        <v>0</v>
      </c>
      <c r="L30" s="50" t="s">
        <v>31</v>
      </c>
      <c r="M30" s="50" t="s">
        <v>9</v>
      </c>
      <c r="N30" s="50">
        <v>1</v>
      </c>
      <c r="O30">
        <f>2/3*2*SUMIFS(LocFeatures[[#All],[XP Train Gain]],LocFeatures[[#All],[Location]],Summary!$L30,LocFeatures[[#All],[LVL]],Summary!$M30,LocFeatures[[#All],[Stage]],Summary!$N30)</f>
        <v>3024</v>
      </c>
      <c r="P30">
        <f>SUMIFS(LocFeatures[[#All],[Drop worth gain]],LocFeatures[[#All],[Location]],Summary!$L30,LocFeatures[[#All],[LVL]],Summary!$M30,LocFeatures[[#All],[Stage]],Summary!$N30)</f>
        <v>2656.4567901234568</v>
      </c>
      <c r="Q30">
        <f>SUMIFS(LocFeatures[[#All],[Energy gain]],LocFeatures[[#All],[Location]],Summary!$L30,LocFeatures[[#All],[LVL]],Summary!$M30,LocFeatures[[#All],[Stage]],Summary!$N30)</f>
        <v>0.87654320987654322</v>
      </c>
      <c r="R30">
        <f>SUMIFS(LocFeatures[[#All],[E. Cost]],LocFeatures[[#All],[Location]],Summary!$L30,LocFeatures[[#All],[LVL]],Summary!$M30,LocFeatures[[#All],[Stage]],Summary!$N30)</f>
        <v>3</v>
      </c>
      <c r="V30" s="2"/>
      <c r="W30" s="2"/>
      <c r="X30" s="2"/>
    </row>
    <row r="31" spans="1:24">
      <c r="A31" t="s">
        <v>134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54">
        <f>Tabela16[[#This Row],[Ene refill to XP]]/30*Tabela16[[#This Row],[Energy pool]]+Tabela16[[#This Row],[Ene to XP]]</f>
        <v>0</v>
      </c>
      <c r="K31" s="54">
        <f>Tabela16[[#This Row],[Ener refill no XP]]/30*Tabela16[[#This Row],[Energy pool]]+Tabela16[[#This Row],[Ene no XP]]</f>
        <v>0</v>
      </c>
      <c r="L31" s="50" t="s">
        <v>8</v>
      </c>
      <c r="M31" s="51" t="s">
        <v>32</v>
      </c>
      <c r="N31" s="50">
        <v>3</v>
      </c>
      <c r="O31">
        <f>SUMIFS(LocFeatures[[#All],[XP Train Gain]],LocFeatures[[#All],[Location]],Summary!$L31,LocFeatures[[#All],[LVL]],Summary!$M31,LocFeatures[[#All],[Stage]],Summary!$N31)</f>
        <v>5400</v>
      </c>
      <c r="P31">
        <f>SUMIFS(LocFeatures[[#All],[Drop worth gain]],LocFeatures[[#All],[Location]],Summary!$L31,LocFeatures[[#All],[LVL]],Summary!$M31,LocFeatures[[#All],[Stage]],Summary!$N31)</f>
        <v>3604.8397435897436</v>
      </c>
      <c r="Q31">
        <f>SUMIFS(LocFeatures[[#All],[Energy gain]],LocFeatures[[#All],[Location]],Summary!$L31,LocFeatures[[#All],[LVL]],Summary!$M31,LocFeatures[[#All],[Stage]],Summary!$N31)</f>
        <v>0.98076923076923073</v>
      </c>
      <c r="R31">
        <f>SUMIFS(LocFeatures[[#All],[E. Cost]],LocFeatures[[#All],[Location]],Summary!$L31,LocFeatures[[#All],[LVL]],Summary!$M31,LocFeatures[[#All],[Stage]],Summary!$N31)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54">
        <f>Tabela16[[#This Row],[Ene refill to XP]]/30*Tabela16[[#This Row],[Energy pool]]+Tabela16[[#This Row],[Ene to XP]]</f>
        <v>225</v>
      </c>
      <c r="K32" s="54">
        <f>Tabela16[[#This Row],[Ener refill no XP]]/30*Tabela16[[#This Row],[Energy pool]]+Tabela16[[#This Row],[Ene no XP]]</f>
        <v>0</v>
      </c>
      <c r="L32" s="50" t="s">
        <v>8</v>
      </c>
      <c r="M32" s="51" t="s">
        <v>32</v>
      </c>
      <c r="N32" s="50">
        <v>3</v>
      </c>
      <c r="O32">
        <f>SUMIFS(LocFeatures[[#All],[XP Train Gain]],LocFeatures[[#All],[Location]],Summary!$L32,LocFeatures[[#All],[LVL]],Summary!$M32,LocFeatures[[#All],[Stage]],Summary!$N32)</f>
        <v>5400</v>
      </c>
      <c r="P32">
        <f>SUMIFS(LocFeatures[[#All],[Drop worth gain]],LocFeatures[[#All],[Location]],Summary!$L32,LocFeatures[[#All],[LVL]],Summary!$M32,LocFeatures[[#All],[Stage]],Summary!$N32)</f>
        <v>3604.8397435897436</v>
      </c>
      <c r="Q32">
        <f>SUMIFS(LocFeatures[[#All],[Energy gain]],LocFeatures[[#All],[Location]],Summary!$L32,LocFeatures[[#All],[LVL]],Summary!$M32,LocFeatures[[#All],[Stage]],Summary!$N32)</f>
        <v>0.98076923076923073</v>
      </c>
      <c r="R32">
        <f>SUMIFS(LocFeatures[[#All],[E. Cost]],LocFeatures[[#All],[Location]],Summary!$L32,LocFeatures[[#All],[LVL]],Summary!$M32,LocFeatures[[#All],[Stage]],Summary!$N32)</f>
        <v>5</v>
      </c>
    </row>
    <row r="33" spans="1:18">
      <c r="A33" t="s">
        <v>134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54">
        <f>Tabela16[[#This Row],[Ene refill to XP]]/30*Tabela16[[#This Row],[Energy pool]]+Tabela16[[#This Row],[Ene to XP]]</f>
        <v>0</v>
      </c>
      <c r="K33" s="54">
        <f>Tabela16[[#This Row],[Ener refill no XP]]/30*Tabela16[[#This Row],[Energy pool]]+Tabela16[[#This Row],[Ene no XP]]</f>
        <v>0</v>
      </c>
      <c r="L33" s="50" t="s">
        <v>31</v>
      </c>
      <c r="M33" s="51" t="s">
        <v>30</v>
      </c>
      <c r="N33" s="50">
        <v>11</v>
      </c>
      <c r="O33">
        <f>SUMIFS(LocFeatures[[#All],[XP Train Gain]],LocFeatures[[#All],[Location]],Summary!$L33,LocFeatures[[#All],[LVL]],Summary!$M33,LocFeatures[[#All],[Stage]],Summary!$N33)</f>
        <v>3828</v>
      </c>
      <c r="P33">
        <f>SUMIFS(LocFeatures[[#All],[Drop worth gain]],LocFeatures[[#All],[Location]],Summary!$L33,LocFeatures[[#All],[LVL]],Summary!$M33,LocFeatures[[#All],[Stage]],Summary!$N33)</f>
        <v>4137.1379310344828</v>
      </c>
      <c r="Q33">
        <f>SUMIFS(LocFeatures[[#All],[Energy gain]],LocFeatures[[#All],[Location]],Summary!$L33,LocFeatures[[#All],[LVL]],Summary!$M33,LocFeatures[[#All],[Stage]],Summary!$N33)</f>
        <v>0.94252873563218387</v>
      </c>
      <c r="R33">
        <f>SUMIFS(LocFeatures[[#All],[E. Cost]],LocFeatures[[#All],[Location]],Summary!$L33,LocFeatures[[#All],[LVL]],Summary!$M33,LocFeatures[[#All],[Stage]],Summary!$N33)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54">
        <f>Tabela16[[#This Row],[Ene refill to XP]]/30*Tabela16[[#This Row],[Energy pool]]+Tabela16[[#This Row],[Ene to XP]]</f>
        <v>225</v>
      </c>
      <c r="K34" s="54">
        <f>Tabela16[[#This Row],[Ener refill no XP]]/30*Tabela16[[#This Row],[Energy pool]]+Tabela16[[#This Row],[Ene no XP]]</f>
        <v>0</v>
      </c>
      <c r="L34" s="50" t="s">
        <v>31</v>
      </c>
      <c r="M34" s="51" t="s">
        <v>30</v>
      </c>
      <c r="N34" s="50">
        <v>11</v>
      </c>
      <c r="O34">
        <f>SUMIFS(LocFeatures[[#All],[XP Train Gain]],LocFeatures[[#All],[Location]],Summary!$L34,LocFeatures[[#All],[LVL]],Summary!$M34,LocFeatures[[#All],[Stage]],Summary!$N34)</f>
        <v>3828</v>
      </c>
      <c r="P34">
        <f>SUMIFS(LocFeatures[[#All],[Drop worth gain]],LocFeatures[[#All],[Location]],Summary!$L34,LocFeatures[[#All],[LVL]],Summary!$M34,LocFeatures[[#All],[Stage]],Summary!$N34)</f>
        <v>4137.1379310344828</v>
      </c>
      <c r="Q34">
        <f>SUMIFS(LocFeatures[[#All],[Energy gain]],LocFeatures[[#All],[Location]],Summary!$L34,LocFeatures[[#All],[LVL]],Summary!$M34,LocFeatures[[#All],[Stage]],Summary!$N34)</f>
        <v>0.94252873563218387</v>
      </c>
      <c r="R34">
        <f>SUMIFS(LocFeatures[[#All],[E. Cost]],LocFeatures[[#All],[Location]],Summary!$L34,LocFeatures[[#All],[LVL]],Summary!$M34,LocFeatures[[#All],[Stage]],Summary!$N34)</f>
        <v>4</v>
      </c>
    </row>
    <row r="35" spans="1:18">
      <c r="A35" t="s">
        <v>343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54">
        <f>Tabela16[[#This Row],[Ene refill to XP]]/30*Tabela16[[#This Row],[Energy pool]]+Tabela16[[#This Row],[Ene to XP]]</f>
        <v>2214</v>
      </c>
      <c r="K35" s="54">
        <f>Tabela16[[#This Row],[Ener refill no XP]]/30*Tabela16[[#This Row],[Energy pool]]+Tabela16[[#This Row],[Ene no XP]]</f>
        <v>1107</v>
      </c>
      <c r="L35" s="50" t="s">
        <v>31</v>
      </c>
      <c r="M35" s="51" t="s">
        <v>30</v>
      </c>
      <c r="N35" s="50">
        <v>11</v>
      </c>
      <c r="O35">
        <f>SUMIFS(LocFeatures[[#All],[XP Train Gain]],LocFeatures[[#All],[Location]],Summary!$L35,LocFeatures[[#All],[LVL]],Summary!$M35,LocFeatures[[#All],[Stage]],Summary!$N35)</f>
        <v>3828</v>
      </c>
      <c r="P35">
        <f>SUMIFS(LocFeatures[[#All],[Drop worth gain]],LocFeatures[[#All],[Location]],Summary!$L35,LocFeatures[[#All],[LVL]],Summary!$M35,LocFeatures[[#All],[Stage]],Summary!$N35)</f>
        <v>4137.1379310344828</v>
      </c>
      <c r="Q35">
        <f>SUMIFS(LocFeatures[[#All],[Energy gain]],LocFeatures[[#All],[Location]],Summary!$L35,LocFeatures[[#All],[LVL]],Summary!$M35,LocFeatures[[#All],[Stage]],Summary!$N35)</f>
        <v>0.94252873563218387</v>
      </c>
      <c r="R35">
        <f>SUMIFS(LocFeatures[[#All],[E. Cost]],LocFeatures[[#All],[Location]],Summary!$L35,LocFeatures[[#All],[LVL]],Summary!$M35,LocFeatures[[#All],[Stage]],Summary!$N35)</f>
        <v>4</v>
      </c>
    </row>
    <row r="36" spans="1:18">
      <c r="A36" t="s">
        <v>343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54">
        <f>Tabela16[[#This Row],[Ene refill to XP]]/30*Tabela16[[#This Row],[Energy pool]]+Tabela16[[#This Row],[Ene to XP]]</f>
        <v>1107</v>
      </c>
      <c r="K36" s="54">
        <f>Tabela16[[#This Row],[Ener refill no XP]]/30*Tabela16[[#This Row],[Energy pool]]+Tabela16[[#This Row],[Ene no XP]]</f>
        <v>2464</v>
      </c>
      <c r="L36" s="50" t="s">
        <v>31</v>
      </c>
      <c r="M36" s="51" t="s">
        <v>30</v>
      </c>
      <c r="N36" s="50">
        <v>11</v>
      </c>
      <c r="O36">
        <f>SUMIFS(LocFeatures[[#All],[XP Train Gain]],LocFeatures[[#All],[Location]],Summary!$L36,LocFeatures[[#All],[LVL]],Summary!$M36,LocFeatures[[#All],[Stage]],Summary!$N36)</f>
        <v>3828</v>
      </c>
      <c r="P36">
        <f>SUMIFS(LocFeatures[[#All],[Drop worth gain]],LocFeatures[[#All],[Location]],Summary!$L36,LocFeatures[[#All],[LVL]],Summary!$M36,LocFeatures[[#All],[Stage]],Summary!$N36)</f>
        <v>4137.1379310344828</v>
      </c>
      <c r="Q36">
        <f>SUMIFS(LocFeatures[[#All],[Energy gain]],LocFeatures[[#All],[Location]],Summary!$L36,LocFeatures[[#All],[LVL]],Summary!$M36,LocFeatures[[#All],[Stage]],Summary!$N36)</f>
        <v>0.94252873563218387</v>
      </c>
      <c r="R36">
        <f>SUMIFS(LocFeatures[[#All],[E. Cost]],LocFeatures[[#All],[Location]],Summary!$L36,LocFeatures[[#All],[LVL]],Summary!$M36,LocFeatures[[#All],[Stage]],Summary!$N36)</f>
        <v>4</v>
      </c>
    </row>
    <row r="37" spans="1:18">
      <c r="A37" t="s">
        <v>342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54">
        <f>Tabela16[[#This Row],[Ene refill to XP]]/30*Tabela16[[#This Row],[Energy pool]]+Tabela16[[#This Row],[Ene to XP]]</f>
        <v>3321</v>
      </c>
      <c r="K37" s="54">
        <f>Tabela16[[#This Row],[Ener refill no XP]]/30*Tabela16[[#This Row],[Energy pool]]+Tabela16[[#This Row],[Ene no XP]]</f>
        <v>0</v>
      </c>
      <c r="L37" s="50" t="s">
        <v>31</v>
      </c>
      <c r="M37" s="51" t="s">
        <v>30</v>
      </c>
      <c r="N37" s="50">
        <v>11</v>
      </c>
      <c r="O37">
        <f>SUMIFS(LocFeatures[[#All],[XP Train Gain]],LocFeatures[[#All],[Location]],Summary!$L37,LocFeatures[[#All],[LVL]],Summary!$M37,LocFeatures[[#All],[Stage]],Summary!$N37)</f>
        <v>3828</v>
      </c>
      <c r="P37">
        <f>SUMIFS(LocFeatures[[#All],[Drop worth gain]],LocFeatures[[#All],[Location]],Summary!$L37,LocFeatures[[#All],[LVL]],Summary!$M37,LocFeatures[[#All],[Stage]],Summary!$N37)</f>
        <v>4137.1379310344828</v>
      </c>
      <c r="Q37">
        <f>SUMIFS(LocFeatures[[#All],[Energy gain]],LocFeatures[[#All],[Location]],Summary!$L37,LocFeatures[[#All],[LVL]],Summary!$M37,LocFeatures[[#All],[Stage]],Summary!$N37)</f>
        <v>0.94252873563218387</v>
      </c>
      <c r="R37">
        <f>SUMIFS(LocFeatures[[#All],[E. Cost]],LocFeatures[[#All],[Location]],Summary!$L37,LocFeatures[[#All],[LVL]],Summary!$M37,LocFeatures[[#All],[Stage]],Summary!$N37)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54">
        <f>Tabela16[[#This Row],[Ene refill to XP]]/30*Tabela16[[#This Row],[Energy pool]]+Tabela16[[#This Row],[Ene to XP]]</f>
        <v>0</v>
      </c>
      <c r="K38" s="54">
        <f>Tabela16[[#This Row],[Ener refill no XP]]/30*Tabela16[[#This Row],[Energy pool]]+Tabela16[[#This Row],[Ene no XP]]</f>
        <v>3821</v>
      </c>
      <c r="L38" s="50" t="s">
        <v>31</v>
      </c>
      <c r="M38" s="51" t="s">
        <v>30</v>
      </c>
      <c r="N38" s="50">
        <v>11</v>
      </c>
      <c r="O38">
        <f>SUMIFS(LocFeatures[[#All],[XP Train Gain]],LocFeatures[[#All],[Location]],Summary!$L38,LocFeatures[[#All],[LVL]],Summary!$M38,LocFeatures[[#All],[Stage]],Summary!$N38)</f>
        <v>3828</v>
      </c>
      <c r="P38">
        <f>SUMIFS(LocFeatures[[#All],[Drop worth gain]],LocFeatures[[#All],[Location]],Summary!$L38,LocFeatures[[#All],[LVL]],Summary!$M38,LocFeatures[[#All],[Stage]],Summary!$N38)</f>
        <v>4137.1379310344828</v>
      </c>
      <c r="Q38">
        <f>SUMIFS(LocFeatures[[#All],[Energy gain]],LocFeatures[[#All],[Location]],Summary!$L38,LocFeatures[[#All],[LVL]],Summary!$M38,LocFeatures[[#All],[Stage]],Summary!$N38)</f>
        <v>0.94252873563218387</v>
      </c>
      <c r="R38">
        <f>SUMIFS(LocFeatures[[#All],[E. Cost]],LocFeatures[[#All],[Location]],Summary!$L38,LocFeatures[[#All],[LVL]],Summary!$M38,LocFeatures[[#All],[Stage]],Summary!$N38)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EXP lvls</vt:lpstr>
      <vt:lpstr>Drop analityka</vt:lpstr>
      <vt:lpstr>Fusion</vt:lpstr>
      <vt:lpstr>Location features</vt:lpstr>
      <vt:lpstr>TP_GiantRunes</vt:lpstr>
      <vt:lpstr>TabPrz</vt:lpstr>
      <vt:lpstr>Runes for DPS</vt:lpstr>
      <vt:lpstr>Runes to mobs</vt:lpstr>
      <vt:lpstr>Runes</vt:lpstr>
      <vt:lpstr>Summary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2015-11-02T01:32:45Z</dcterms:modified>
</cp:coreProperties>
</file>