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P_GiantRunes" sheetId="10" r:id="rId5"/>
    <sheet name="TabPrz" sheetId="5" r:id="rId6"/>
    <sheet name="Runes for DPS" sheetId="6" r:id="rId7"/>
    <sheet name="Runes to mobs" sheetId="7" r:id="rId8"/>
    <sheet name="Runes" sheetId="8" r:id="rId9"/>
    <sheet name="Summary" sheetId="2" r:id="rId10"/>
  </sheets>
  <calcPr calcId="125725"/>
  <pivotCaches>
    <pivotCache cacheId="415" r:id="rId11"/>
  </pivotCaches>
</workbook>
</file>

<file path=xl/calcChain.xml><?xml version="1.0" encoding="utf-8"?>
<calcChain xmlns="http://schemas.openxmlformats.org/spreadsheetml/2006/main">
  <c r="R35" i="2"/>
  <c r="Q35"/>
  <c r="P35"/>
  <c r="O35"/>
  <c r="G38"/>
  <c r="G36"/>
  <c r="F37"/>
  <c r="K16"/>
  <c r="K14"/>
  <c r="K12"/>
  <c r="K8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7"/>
  <c r="P37"/>
  <c r="O37"/>
  <c r="Q3" i="4"/>
  <c r="L3"/>
  <c r="K3"/>
  <c r="J3"/>
  <c r="I3"/>
  <c r="E3"/>
  <c r="K24" i="2" l="1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B35" s="1"/>
  <c r="N3" i="4"/>
  <c r="O3"/>
  <c r="R3" s="1"/>
  <c r="I37" i="2" l="1"/>
  <c r="J36"/>
  <c r="K36"/>
  <c r="C35"/>
  <c r="J4" i="6"/>
  <c r="H4"/>
  <c r="P2"/>
  <c r="AN4"/>
  <c r="AM4"/>
  <c r="AL4"/>
  <c r="AN3"/>
  <c r="AM3"/>
  <c r="AL3"/>
  <c r="AN2"/>
  <c r="R3" s="1"/>
  <c r="AM2"/>
  <c r="AL2"/>
  <c r="Q6" i="5"/>
  <c r="Q13" i="4"/>
  <c r="L13"/>
  <c r="K13"/>
  <c r="J13"/>
  <c r="U6" i="5"/>
  <c r="V6"/>
  <c r="R6"/>
  <c r="S6"/>
  <c r="W6"/>
  <c r="T6"/>
  <c r="I38" i="2" l="1"/>
  <c r="J37"/>
  <c r="K37"/>
  <c r="R2" i="6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M3" i="4" l="1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M20" l="1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S4" i="5"/>
  <c r="W4"/>
  <c r="W5"/>
  <c r="T4"/>
  <c r="V5"/>
  <c r="T5"/>
  <c r="U5"/>
  <c r="R5"/>
  <c r="V4"/>
  <c r="U4"/>
  <c r="S5"/>
  <c r="P11" i="4" l="1"/>
  <c r="O11"/>
  <c r="R11" s="1"/>
  <c r="O24"/>
  <c r="R24" s="1"/>
  <c r="O25"/>
  <c r="O28"/>
  <c r="R28" s="1"/>
  <c r="O22"/>
  <c r="R22" s="1"/>
  <c r="R25"/>
  <c r="Q5" i="5"/>
  <c r="Q4"/>
  <c r="R4"/>
  <c r="M30" i="1" l="1"/>
  <c r="I12" i="4"/>
  <c r="N12" s="1"/>
  <c r="Q26"/>
  <c r="L26"/>
  <c r="K26"/>
  <c r="J26"/>
  <c r="J2"/>
  <c r="I11" l="1"/>
  <c r="N11" s="1"/>
  <c r="P22"/>
  <c r="I22"/>
  <c r="N22" s="1"/>
  <c r="I24"/>
  <c r="N24" s="1"/>
  <c r="P24"/>
  <c r="O26"/>
  <c r="R26" s="1"/>
  <c r="K2" l="1"/>
  <c r="Q2"/>
  <c r="L2"/>
  <c r="O2" l="1"/>
  <c r="R2" s="1"/>
  <c r="M31" i="1"/>
  <c r="M29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M32" i="1"/>
  <c r="M33" s="1"/>
  <c r="Q15" i="4"/>
  <c r="L15"/>
  <c r="K15"/>
  <c r="J15"/>
  <c r="U46" i="9" l="1"/>
  <c r="U47"/>
  <c r="U45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O8" l="1"/>
  <c r="R8" s="1"/>
  <c r="O6"/>
  <c r="R6" s="1"/>
  <c r="O7"/>
  <c r="R7" s="1"/>
  <c r="M34" i="1"/>
  <c r="O23" i="4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O31" i="1" l="1"/>
  <c r="O33"/>
  <c r="K23" i="4"/>
  <c r="O35" i="1" l="1"/>
  <c r="O37" s="1"/>
  <c r="M36" l="1"/>
  <c r="K10" i="4"/>
  <c r="I21" l="1"/>
  <c r="N21" s="1"/>
  <c r="I6"/>
  <c r="N6" s="1"/>
  <c r="P18"/>
  <c r="P21"/>
  <c r="P6"/>
  <c r="P25"/>
  <c r="P28" l="1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I25" i="4" l="1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N5" s="1"/>
  <c r="I17"/>
  <c r="N17" s="1"/>
  <c r="I8"/>
  <c r="N8" s="1"/>
  <c r="I14"/>
  <c r="N14" s="1"/>
  <c r="I7"/>
  <c r="N7" s="1"/>
  <c r="I4"/>
  <c r="N4" s="1"/>
  <c r="O16" i="1"/>
  <c r="M20"/>
  <c r="O18"/>
  <c r="M21" l="1"/>
  <c r="M22" s="1"/>
  <c r="M23" s="1"/>
  <c r="O20"/>
  <c r="V4"/>
  <c r="W4" s="1"/>
  <c r="V5"/>
  <c r="W5" s="1"/>
  <c r="V6"/>
  <c r="W6" s="1"/>
  <c r="V7"/>
  <c r="W7" s="1"/>
  <c r="V8"/>
  <c r="W8" s="1"/>
  <c r="K16" i="4"/>
  <c r="K19"/>
  <c r="K17"/>
  <c r="K7"/>
  <c r="K18"/>
  <c r="K14"/>
  <c r="K21"/>
  <c r="K4"/>
  <c r="K6"/>
  <c r="K9"/>
  <c r="K8"/>
  <c r="Z8" i="1" l="1"/>
  <c r="Z7"/>
  <c r="Z6"/>
  <c r="Z5"/>
  <c r="Z4"/>
  <c r="Y4"/>
  <c r="Y8"/>
  <c r="Y7"/>
  <c r="Y6"/>
  <c r="Y5"/>
  <c r="O22" l="1"/>
  <c r="O24" s="1"/>
  <c r="R38" i="2"/>
  <c r="R36"/>
  <c r="R30"/>
  <c r="R34"/>
  <c r="P34"/>
  <c r="R33"/>
  <c r="P33"/>
  <c r="R32"/>
  <c r="R31"/>
  <c r="R29"/>
  <c r="R28"/>
  <c r="M5" i="1" l="1"/>
  <c r="M4"/>
  <c r="O5" s="1"/>
  <c r="AH2" i="6"/>
  <c r="S2" s="1"/>
  <c r="U2" s="1"/>
  <c r="AG2"/>
  <c r="AF2"/>
  <c r="J5"/>
  <c r="J6" s="1"/>
  <c r="J7" s="1"/>
  <c r="J8" s="1"/>
  <c r="Q4"/>
  <c r="Q6" s="1"/>
  <c r="V3" i="1"/>
  <c r="W3" s="1"/>
  <c r="V2"/>
  <c r="O6" l="1"/>
  <c r="O7"/>
  <c r="M6"/>
  <c r="M7"/>
  <c r="J9" i="6"/>
  <c r="G3"/>
  <c r="F3"/>
  <c r="N3" s="1"/>
  <c r="R4"/>
  <c r="P4" i="1"/>
  <c r="Z2"/>
  <c r="W2"/>
  <c r="O33" i="2"/>
  <c r="O34"/>
  <c r="Y2" i="1"/>
  <c r="Q7" i="6"/>
  <c r="Q8" s="1"/>
  <c r="Q9" s="1"/>
  <c r="Q10" s="1"/>
  <c r="Q11" s="1"/>
  <c r="Q12" s="1"/>
  <c r="Q13" s="1"/>
  <c r="Q14" s="1"/>
  <c r="Q15" s="1"/>
  <c r="Q16" s="1"/>
  <c r="Q5"/>
  <c r="I4"/>
  <c r="G4" s="1"/>
  <c r="H5"/>
  <c r="H6" s="1"/>
  <c r="F4"/>
  <c r="N4" s="1"/>
  <c r="Z3" i="1"/>
  <c r="Y3"/>
  <c r="R27" i="2"/>
  <c r="R26"/>
  <c r="R25"/>
  <c r="R24"/>
  <c r="R23"/>
  <c r="R22"/>
  <c r="R21"/>
  <c r="R20"/>
  <c r="R19"/>
  <c r="R18"/>
  <c r="R17"/>
  <c r="R16"/>
  <c r="R15"/>
  <c r="O8" i="1" l="1"/>
  <c r="M9"/>
  <c r="M8"/>
  <c r="O9" s="1"/>
  <c r="R8" i="6"/>
  <c r="J10"/>
  <c r="R9"/>
  <c r="H7"/>
  <c r="H8" s="1"/>
  <c r="F6"/>
  <c r="N6" s="1"/>
  <c r="R5"/>
  <c r="R6"/>
  <c r="Q24" i="2"/>
  <c r="P6" i="1"/>
  <c r="Q19" i="2"/>
  <c r="Q31"/>
  <c r="Q32"/>
  <c r="I5" i="6"/>
  <c r="I6" s="1"/>
  <c r="F5"/>
  <c r="N5" s="1"/>
  <c r="O4"/>
  <c r="P4" s="1"/>
  <c r="S4" s="1"/>
  <c r="U4" s="1"/>
  <c r="O3"/>
  <c r="P3" s="1"/>
  <c r="S3" s="1"/>
  <c r="U3" s="1"/>
  <c r="Q21" i="2"/>
  <c r="Q15"/>
  <c r="Q18"/>
  <c r="Q20"/>
  <c r="Q16"/>
  <c r="Q17"/>
  <c r="Q23"/>
  <c r="Q22"/>
  <c r="H9" i="6" l="1"/>
  <c r="F8"/>
  <c r="J11"/>
  <c r="R10"/>
  <c r="I7"/>
  <c r="I8" s="1"/>
  <c r="G6"/>
  <c r="F7"/>
  <c r="N7" s="1"/>
  <c r="G5"/>
  <c r="R7"/>
  <c r="M11" i="1"/>
  <c r="P8"/>
  <c r="O6" i="6"/>
  <c r="O5"/>
  <c r="O24" i="2"/>
  <c r="O22"/>
  <c r="O23"/>
  <c r="P23"/>
  <c r="P24"/>
  <c r="P22"/>
  <c r="H10" i="6" l="1"/>
  <c r="F9"/>
  <c r="I9"/>
  <c r="G8"/>
  <c r="J12"/>
  <c r="R11"/>
  <c r="G7"/>
  <c r="P6"/>
  <c r="S6" s="1"/>
  <c r="U6" s="1"/>
  <c r="P5"/>
  <c r="S5" s="1"/>
  <c r="U5" s="1"/>
  <c r="P10" i="1"/>
  <c r="O12" s="1"/>
  <c r="O32" i="2"/>
  <c r="O31"/>
  <c r="P32"/>
  <c r="P31"/>
  <c r="O7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H11" i="6" l="1"/>
  <c r="F10"/>
  <c r="I10"/>
  <c r="G9"/>
  <c r="J13"/>
  <c r="R12"/>
  <c r="P7"/>
  <c r="S7" s="1"/>
  <c r="U7" s="1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H12" i="6" l="1"/>
  <c r="F11"/>
  <c r="I11"/>
  <c r="G10"/>
  <c r="J14"/>
  <c r="R13"/>
  <c r="N8"/>
  <c r="Q34" i="2"/>
  <c r="Q33"/>
  <c r="B24"/>
  <c r="C24"/>
  <c r="B23"/>
  <c r="C23"/>
  <c r="O14"/>
  <c r="A3"/>
  <c r="B3" s="1"/>
  <c r="B37" l="1"/>
  <c r="C37"/>
  <c r="H13" i="6"/>
  <c r="F12"/>
  <c r="I12"/>
  <c r="G11"/>
  <c r="J15"/>
  <c r="R14"/>
  <c r="P38" i="2"/>
  <c r="P36"/>
  <c r="C33"/>
  <c r="B30"/>
  <c r="P30"/>
  <c r="P29"/>
  <c r="P28"/>
  <c r="N10" i="6"/>
  <c r="N11"/>
  <c r="O8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H14" i="6" l="1"/>
  <c r="F13"/>
  <c r="N13" s="1"/>
  <c r="I13"/>
  <c r="G12"/>
  <c r="J16"/>
  <c r="R16" s="1"/>
  <c r="R15"/>
  <c r="P8"/>
  <c r="O9"/>
  <c r="P9" s="1"/>
  <c r="N9"/>
  <c r="C3" i="2"/>
  <c r="D3" s="1"/>
  <c r="C30"/>
  <c r="B33"/>
  <c r="B31"/>
  <c r="C31"/>
  <c r="B28"/>
  <c r="C28"/>
  <c r="C29"/>
  <c r="B29"/>
  <c r="B32"/>
  <c r="C32"/>
  <c r="O11" i="6"/>
  <c r="O10"/>
  <c r="N12"/>
  <c r="B26" i="2"/>
  <c r="C26"/>
  <c r="B27"/>
  <c r="C27"/>
  <c r="E42"/>
  <c r="F42" s="1"/>
  <c r="H15" i="6" l="1"/>
  <c r="F14"/>
  <c r="N14" s="1"/>
  <c r="I14"/>
  <c r="G13"/>
  <c r="S9"/>
  <c r="U9" s="1"/>
  <c r="S8"/>
  <c r="U8" s="1"/>
  <c r="C34" i="2"/>
  <c r="B34"/>
  <c r="O13" i="6"/>
  <c r="O12"/>
  <c r="P10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H16" i="6" l="1"/>
  <c r="F16" s="1"/>
  <c r="N16" s="1"/>
  <c r="F15"/>
  <c r="N15" s="1"/>
  <c r="O14"/>
  <c r="I15"/>
  <c r="G14"/>
  <c r="S10"/>
  <c r="U10" s="1"/>
  <c r="O15" l="1"/>
  <c r="I16"/>
  <c r="G16" s="1"/>
  <c r="G15"/>
  <c r="B36" i="2"/>
  <c r="C36"/>
  <c r="B38"/>
  <c r="C38"/>
  <c r="O16" i="6"/>
  <c r="P11" l="1"/>
  <c r="S11" l="1"/>
  <c r="U11" s="1"/>
  <c r="P12"/>
  <c r="S12" l="1"/>
  <c r="U12" s="1"/>
  <c r="P13"/>
  <c r="S13" l="1"/>
  <c r="U13" s="1"/>
  <c r="P14"/>
  <c r="S14" l="1"/>
  <c r="U14" s="1"/>
  <c r="P15"/>
  <c r="S15" l="1"/>
  <c r="U15" s="1"/>
  <c r="P16"/>
  <c r="S16" l="1"/>
  <c r="U16" s="1"/>
</calcChain>
</file>

<file path=xl/sharedStrings.xml><?xml version="1.0" encoding="utf-8"?>
<sst xmlns="http://schemas.openxmlformats.org/spreadsheetml/2006/main" count="4276" uniqueCount="353">
  <si>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</si>
  <si>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</si>
  <si>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</si>
  <si>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</si>
  <si>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</si>
  <si>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</si>
  <si>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</si>
  <si>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</si>
  <si>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</si>
  <si>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</si>
  <si>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</si>
  <si>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</si>
  <si>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</si>
  <si>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</si>
  <si>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</si>
  <si>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</si>
  <si>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</si>
  <si>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</si>
  <si>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</si>
  <si>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</si>
  <si>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</si>
  <si>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</si>
  <si>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</si>
  <si>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</si>
  <si>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</si>
  <si>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</si>
  <si>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</si>
  <si>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</si>
  <si>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</si>
  <si>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</si>
  <si>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</si>
  <si>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</si>
  <si>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</si>
  <si>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</si>
  <si>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</si>
  <si>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</si>
  <si>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</si>
  <si>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</si>
  <si>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</si>
  <si>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</si>
  <si>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</si>
  <si>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</si>
  <si>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</si>
  <si>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</si>
  <si>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</si>
  <si>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</si>
  <si>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</si>
  <si>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</si>
  <si>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</si>
  <si>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</si>
  <si>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</si>
  <si>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</si>
  <si>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</si>
  <si>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</si>
  <si>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</si>
  <si>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</si>
  <si>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</si>
  <si>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</si>
  <si>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</si>
  <si>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</si>
  <si>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</si>
  <si>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</si>
  <si>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</si>
  <si>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</si>
  <si>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</si>
  <si>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</si>
  <si>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</si>
  <si>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</si>
  <si>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</si>
  <si>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</si>
  <si>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</si>
  <si>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</si>
  <si>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</si>
  <si>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</si>
  <si>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</si>
  <si>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</si>
  <si>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</si>
  <si>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</si>
  <si>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</si>
  <si>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</si>
  <si>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</si>
  <si>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</si>
  <si>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</si>
  <si>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</si>
  <si>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</si>
  <si>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</si>
  <si>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</si>
  <si>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</si>
  <si>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</si>
  <si>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</si>
  <si>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</si>
  <si>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</si>
  <si>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</si>
  <si>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</si>
  <si>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</si>
  <si>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</si>
  <si>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</si>
  <si>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</si>
  <si>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</si>
  <si>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</si>
  <si>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</si>
  <si>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</si>
  <si>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</si>
  <si>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</si>
  <si>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</si>
  <si>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</si>
  <si>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</si>
  <si>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</si>
  <si>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</si>
  <si>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</si>
  <si>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</si>
  <si>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</si>
  <si>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</si>
  <si>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</si>
  <si>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</si>
  <si>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</si>
  <si>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</si>
  <si>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</si>
  <si>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</si>
  <si>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</si>
  <si>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</si>
  <si>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</si>
  <si>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</si>
  <si>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</si>
  <si>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</si>
  <si>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</si>
  <si>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</si>
  <si>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</si>
  <si>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</si>
  <si>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</si>
  <si>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</si>
  <si>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</si>
  <si>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</si>
  <si>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</si>
  <si>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</si>
  <si>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</si>
  <si>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</si>
  <si>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</si>
  <si>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</si>
  <si>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</si>
  <si>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</si>
  <si>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</si>
  <si>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</si>
  <si>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</si>
  <si>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</si>
  <si>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</si>
  <si>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</si>
  <si>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</si>
  <si>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</si>
  <si>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</si>
  <si>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</si>
  <si>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</si>
  <si>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</si>
  <si>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</si>
  <si>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</si>
  <si>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</si>
  <si>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</si>
  <si>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</si>
  <si>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</si>
  <si>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</si>
  <si>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</si>
  <si>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</si>
  <si>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</si>
  <si>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</si>
  <si>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</si>
  <si>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</si>
  <si>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</si>
  <si>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</si>
  <si>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</si>
  <si>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</si>
  <si>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</si>
  <si>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</si>
  <si>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</si>
  <si>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</si>
  <si>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</si>
  <si>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</si>
  <si>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</si>
  <si>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</si>
  <si>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</si>
  <si>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</si>
  <si>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</si>
  <si>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</si>
  <si>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</si>
  <si>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</si>
  <si>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</si>
  <si>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</si>
  <si>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</si>
  <si>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</si>
  <si>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</si>
  <si>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</si>
  <si>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</si>
  <si>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</si>
  <si>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</si>
  <si>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</si>
  <si>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</si>
  <si>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</si>
  <si>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</si>
  <si>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</si>
  <si>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</si>
  <si>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</si>
  <si>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</si>
  <si>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</si>
  <si>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</si>
  <si>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</si>
  <si>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</si>
  <si>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</si>
  <si>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</si>
  <si>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</si>
  <si>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</si>
  <si>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</si>
  <si>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</si>
  <si>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</si>
  <si>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</si>
  <si>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</si>
  <si>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</si>
  <si>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</si>
  <si>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</si>
  <si>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</si>
  <si>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</si>
  <si>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</si>
  <si>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</si>
  <si>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</si>
  <si>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</si>
  <si>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</si>
  <si>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</si>
  <si>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</si>
  <si>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</si>
  <si>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</si>
  <si>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</si>
  <si>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</si>
  <si>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</si>
  <si>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</si>
  <si>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</si>
  <si>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</si>
  <si>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</si>
  <si>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</si>
  <si>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</si>
  <si>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</si>
  <si>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</si>
  <si>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</si>
  <si>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</si>
  <si>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</si>
  <si>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</si>
  <si>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</si>
  <si>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</si>
  <si>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</si>
  <si>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</si>
  <si>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</si>
  <si>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</si>
  <si>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</si>
  <si>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</si>
  <si>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</si>
  <si>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</si>
  <si>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</si>
  <si>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</si>
  <si>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</si>
  <si>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</si>
  <si>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</si>
  <si>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</si>
  <si>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</si>
  <si>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</si>
  <si>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</si>
  <si>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</si>
  <si>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</si>
  <si>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</si>
  <si>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</si>
  <si>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</si>
  <si>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</si>
  <si>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</si>
  <si>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</si>
  <si>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</si>
  <si>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</si>
  <si>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</si>
  <si>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</si>
  <si>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</si>
  <si>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</si>
  <si>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</si>
  <si>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</si>
  <si>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</si>
  <si>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</si>
  <si>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</si>
  <si>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</si>
  <si>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</si>
  <si>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</si>
  <si>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</si>
  <si>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</si>
  <si>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</si>
  <si>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</si>
  <si>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</si>
  <si>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</si>
  <si>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</si>
  <si>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</si>
  <si>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</si>
  <si>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</si>
  <si>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</si>
  <si>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</si>
  <si>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</si>
  <si>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</si>
  <si>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</si>
  <si>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</si>
  <si>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</si>
  <si>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</si>
  <si>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</si>
  <si>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</si>
  <si>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</si>
  <si>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</si>
  <si>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</si>
  <si>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</si>
  <si>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</si>
  <si>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</si>
  <si>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</si>
  <si>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</si>
  <si>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</si>
  <si>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</si>
  <si>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</si>
  <si>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</si>
  <si>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</si>
  <si>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</si>
  <si>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</si>
  <si>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</si>
  <si>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</si>
  <si>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</si>
  <si>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</si>
  <si>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</si>
  <si>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</si>
  <si>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</si>
  <si>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</si>
  <si>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</si>
  <si>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</si>
  <si>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</si>
  <si>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</si>
  <si>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</si>
  <si>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</si>
  <si>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</si>
  <si>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</si>
  <si>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</si>
  <si>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</si>
  <si>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</si>
  <si>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</si>
  <si>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</si>
  <si>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</si>
  <si>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</si>
  <si>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</si>
  <si>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</si>
  <si>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</si>
  <si>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</si>
  <si>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</si>
  <si>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</si>
  <si>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</si>
  <si>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</si>
  <si>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</si>
  <si>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4* 16</t>
  </si>
  <si>
    <t>Zapas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</si>
</sst>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2" fillId="4" borderId="20" xfId="0" applyFont="1" applyFill="1" applyBorder="1" applyAlignment="1">
      <alignment horizontal="left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ny" xfId="0" builtinId="0"/>
  </cellStyles>
  <dxfs count="67"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4" formatCode="#,##0.00"/>
    </dxf>
    <dxf>
      <numFmt numFmtId="4" formatCode="#,##0.0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  <border diagonalUp="0" diagonalDown="0">
        <left/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inden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06.56161134259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9" cacheId="4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4:F10" firstHeaderRow="1" firstDataRow="2" firstDataCol="1" rowPageCount="2" colPageCount="1"/>
  <pivotFields count="13">
    <pivotField axis="axisPage" showAll="0">
      <items count="18">
        <item x="5"/>
        <item x="9"/>
        <item x="1"/>
        <item x="2"/>
        <item x="7"/>
        <item x="8"/>
        <item x="11"/>
        <item x="6"/>
        <item x="3"/>
        <item x="10"/>
        <item x="13"/>
        <item x="14"/>
        <item x="4"/>
        <item x="12"/>
        <item x="0"/>
        <item x="16"/>
        <item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Page" multipleItemSelectionAllowed="1" showAll="0">
      <items count="24">
        <item h="1" x="12"/>
        <item x="13"/>
        <item h="1" x="16"/>
        <item h="1" x="10"/>
        <item h="1" x="17"/>
        <item h="1" m="1" x="22"/>
        <item h="1" x="15"/>
        <item h="1" x="1"/>
        <item h="1" x="6"/>
        <item h="1" x="3"/>
        <item h="1" x="19"/>
        <item x="18"/>
        <item h="1" x="4"/>
        <item x="2"/>
        <item h="1" x="11"/>
        <item h="1" x="7"/>
        <item h="1" x="8"/>
        <item h="1" x="9"/>
        <item x="20"/>
        <item h="1" x="5"/>
        <item h="1" x="14"/>
        <item h="1" x="0"/>
        <item h="1" x="21"/>
        <item t="default"/>
      </items>
    </pivotField>
    <pivotField showAll="0"/>
    <pivotField axis="axisRow" showAll="0">
      <items count="11">
        <item h="1" m="1" x="9"/>
        <item x="2"/>
        <item x="1"/>
        <item x="5"/>
        <item x="7"/>
        <item x="8"/>
        <item x="6"/>
        <item x="3"/>
        <item x="0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5">
    <i>
      <x v="1"/>
    </i>
    <i>
      <x v="3"/>
    </i>
    <i>
      <x v="4"/>
    </i>
    <i>
      <x v="5"/>
    </i>
    <i t="grand">
      <x/>
    </i>
  </rowItems>
  <colFields count="1">
    <field x="2"/>
  </colFields>
  <colItems count="5">
    <i>
      <x v="4"/>
    </i>
    <i>
      <x v="5"/>
    </i>
    <i>
      <x v="6"/>
    </i>
    <i>
      <x v="7"/>
    </i>
    <i t="grand">
      <x/>
    </i>
  </colItems>
  <pageFields count="2">
    <pageField fld="0" item="4" hier="-1"/>
    <pageField fld="5" hier="-1"/>
  </pageField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4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4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4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5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>
    <filterColumn colId="3"/>
  </autoFilter>
  <tableColumns count="5">
    <tableColumn id="1" name="Kolumna1"/>
    <tableColumn id="2" name="Missing"/>
    <tableColumn id="3" name="Done"/>
    <tableColumn id="5" name="Zapas" dataDxfId="0">
      <calculatedColumnFormula>MAXA(-(4*M1-Tabela6[[#This Row],[Done]]),0)</calculatedColumnFormula>
    </tableColumn>
    <tableColumn id="4" name="XP to gain" dataDxfId="6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65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64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63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62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61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60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59">
      <calculatedColumnFormula>4*LocFeatures[[#This Row],[XP Gain per member]]</calculatedColumnFormula>
    </tableColumn>
    <tableColumn id="11" name="XP Train Gain"/>
    <tableColumn id="22" name="XP drop" dataDxfId="58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57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56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55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52" tableBorderDxfId="51">
  <autoFilter ref="Q3:W6"/>
  <tableColumns count="7">
    <tableColumn id="1" name="Kolumna1">
      <calculatedColumnFormula>G5</calculatedColumnFormula>
    </tableColumn>
    <tableColumn id="2" name="4" dataDxfId="50"/>
    <tableColumn id="3" name="5" dataDxfId="49"/>
    <tableColumn id="4" name="7" dataDxfId="48"/>
    <tableColumn id="5" name="8" dataDxfId="47"/>
    <tableColumn id="6" name="9" dataDxfId="46"/>
    <tableColumn id="7" name="10" dataDxfId="45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A4" totalsRowShown="0" headerRowDxfId="44">
  <autoFilter ref="X1:AA4"/>
  <tableColumns count="4">
    <tableColumn id="1" name="Set Name" dataDxfId="43"/>
    <tableColumn id="2" name="Attack" dataDxfId="42"/>
    <tableColumn id="3" name="Crit.Dmg" dataDxfId="41"/>
    <tableColumn id="4" name="Crit.Cha" dataDxfId="4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8" totalsRowShown="0" headerRowDxfId="39" dataDxfId="38" tableBorderDxfId="37">
  <autoFilter ref="A1:U38"/>
  <tableColumns count="21">
    <tableColumn id="1" name="Set" dataDxfId="36"/>
    <tableColumn id="2" name="Runes" dataDxfId="35"/>
    <tableColumn id="3" name="Fatal Nbr" dataDxfId="34"/>
    <tableColumn id="4" name="Rage Nbr" dataDxfId="33"/>
    <tableColumn id="5" name="Blade Nbr" dataDxfId="32"/>
    <tableColumn id="6" name="Atk Mult" dataDxfId="31"/>
    <tableColumn id="7" name="CritD" dataDxfId="30"/>
    <tableColumn id="8" name="Atk % from subs" dataDxfId="29"/>
    <tableColumn id="9" name="Crit D % from subs" dataDxfId="28"/>
    <tableColumn id="10" name="% of Crit C from subs" dataDxfId="27"/>
    <tableColumn id="11" name="Nbr of Atk rune" dataDxfId="26"/>
    <tableColumn id="12" name="Nbr of Crit D rune" dataDxfId="25"/>
    <tableColumn id="13" name="Nbr of Crit C rune"/>
    <tableColumn id="14" name="Atk" dataDxfId="24"/>
    <tableColumn id="15" name="Dmg" dataDxfId="23"/>
    <tableColumn id="16" name="DmgC" dataDxfId="22"/>
    <tableColumn id="17" name="Crit Chance Basic" dataDxfId="21"/>
    <tableColumn id="18" name="Final Crit Chance" dataDxfId="20"/>
    <tableColumn id="19" name="AvgDmg" dataDxfId="19"/>
    <tableColumn id="20" name="AvgDmg Basic" dataDxfId="18"/>
    <tableColumn id="21" name="% change to basic" dataDxfId="17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16">
  <autoFilter ref="W20:AF42"/>
  <tableColumns count="10">
    <tableColumn id="1" name="Crit C" dataDxfId="15"/>
    <tableColumn id="2" name="Crit D" dataDxfId="14"/>
    <tableColumn id="3" name="Atk " dataDxfId="13"/>
    <tableColumn id="4" name="Set1" dataDxfId="12"/>
    <tableColumn id="5" name="Set2" dataDxfId="11"/>
    <tableColumn id="6" name="Rune1" dataDxfId="10"/>
    <tableColumn id="7" name="NBR R1"/>
    <tableColumn id="8" name="Rune2" dataDxfId="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4">
  <autoFilter ref="A6:R38"/>
  <tableColumns count="18">
    <tableColumn id="1" name="Scenario"/>
    <tableColumn id="2" name="XP" dataDxfId="8">
      <calculatedColumnFormula>(2*$J7+$K7)/($R7-$Q7)*O7</calculatedColumnFormula>
    </tableColumn>
    <tableColumn id="3" name="Gold" dataDxfId="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3"/>
    <tableColumn id="11" name="Ene normal" dataDxfId="1"/>
    <tableColumn id="12" name="Location" dataDxfId="2"/>
    <tableColumn id="13" name="LVL" dataDxfId="6"/>
    <tableColumn id="14" name="Stage" dataDxfId="5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41"/>
  <sheetViews>
    <sheetView topLeftCell="A19" workbookViewId="0">
      <selection activeCell="N5" sqref="N5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352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v>5</v>
      </c>
      <c r="N3">
        <v>0</v>
      </c>
      <c r="O3" s="49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5</v>
      </c>
      <c r="O4" s="49">
        <v>0</v>
      </c>
      <c r="P4" s="1">
        <f>M4*$B$5</f>
        <v>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20</v>
      </c>
      <c r="N5">
        <v>0</v>
      </c>
      <c r="O5" s="49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20</v>
      </c>
      <c r="N6">
        <v>0</v>
      </c>
      <c r="O6" s="49">
        <f>MAXA(-(M5+M4-O5-Tabela6[[#This Row],[Done]]),0)</f>
        <v>0</v>
      </c>
      <c r="P6" s="1">
        <f>M6*$B$4</f>
        <v>1643640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60</v>
      </c>
      <c r="N7">
        <v>0</v>
      </c>
      <c r="O7" s="49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80</v>
      </c>
      <c r="N8">
        <v>0</v>
      </c>
      <c r="O8" s="49">
        <f>MAXA(-(M7+M6-O7-Tabela6[[#This Row],[Done]]),0)</f>
        <v>0</v>
      </c>
      <c r="P8" s="1">
        <f>M8*$B$3</f>
        <v>2865760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160</v>
      </c>
      <c r="N9">
        <v>0</v>
      </c>
      <c r="O9" s="49">
        <f>MAXA(-(4*M7-Tabela6[[#This Row],[Done]])-M8,0)</f>
        <v>0</v>
      </c>
      <c r="P9" s="45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9"/>
      <c r="P10" s="52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9"/>
      <c r="P11" s="45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44">
        <f>SUM(Tabela6[XP to gain])</f>
        <v>4509400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44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41" t="s">
        <v>243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125</v>
      </c>
      <c r="M28">
        <v>4</v>
      </c>
      <c r="N28">
        <v>0</v>
      </c>
      <c r="O28" s="1">
        <v>0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13-Tabela610[[#This Row],[Done]]</f>
        <v>7</v>
      </c>
      <c r="N29">
        <v>6</v>
      </c>
      <c r="O29" s="1">
        <f>M29*$B$5</f>
        <v>1328250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16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M30-Tabela610[[#This Row],[Done]]</f>
        <v>16</v>
      </c>
      <c r="N31">
        <v>0</v>
      </c>
      <c r="O31" s="1">
        <f>M31*$B$4</f>
        <v>1314912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3*M30-Tabela610[[#This Row],[Done]]</f>
        <v>48</v>
      </c>
      <c r="N32"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3+M32-Tabela610[[#This Row],[Done]]</f>
        <v>51</v>
      </c>
      <c r="N33">
        <v>0</v>
      </c>
      <c r="O33" s="1">
        <f>M33*$B$3</f>
        <v>1826922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2*(M31+M32-10)-Tabela610[[#This Row],[Done]]</f>
        <v>108</v>
      </c>
      <c r="N34">
        <v>0</v>
      </c>
      <c r="O34" s="45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128</v>
      </c>
      <c r="O37" s="44">
        <f>SUM(Tabela610[XP to gain])+4*B6</f>
        <v>6256672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2" activePane="bottomLeft" state="frozen"/>
      <selection pane="bottomLeft" activeCell="F1106" sqref="F110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211</v>
      </c>
      <c r="I1" t="s">
        <v>182</v>
      </c>
      <c r="J1" t="s">
        <v>181</v>
      </c>
      <c r="K1" t="s">
        <v>188</v>
      </c>
      <c r="L1" t="s">
        <v>186</v>
      </c>
      <c r="M1" t="s">
        <v>284</v>
      </c>
      <c r="O1" t="s">
        <v>11</v>
      </c>
      <c r="P1" t="s">
        <v>211</v>
      </c>
      <c r="Q1" t="s">
        <v>181</v>
      </c>
      <c r="R1" t="s">
        <v>188</v>
      </c>
      <c r="S1" t="s">
        <v>186</v>
      </c>
      <c r="T1" t="s">
        <v>312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311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800</v>
      </c>
      <c r="O8" t="s">
        <v>215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274</v>
      </c>
      <c r="G120">
        <v>2</v>
      </c>
      <c r="H120" t="s">
        <v>293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274</v>
      </c>
      <c r="G170">
        <v>2</v>
      </c>
      <c r="H170" t="s">
        <v>293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274</v>
      </c>
      <c r="G174">
        <v>1</v>
      </c>
      <c r="H174" t="s">
        <v>315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271</v>
      </c>
      <c r="G176">
        <v>2</v>
      </c>
      <c r="H176" t="s">
        <v>293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274</v>
      </c>
      <c r="G284">
        <v>4</v>
      </c>
      <c r="H284" t="s">
        <v>293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295</v>
      </c>
      <c r="G285">
        <v>3</v>
      </c>
      <c r="H285" t="s">
        <v>293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295</v>
      </c>
      <c r="G286">
        <v>2</v>
      </c>
      <c r="H286" t="s">
        <v>293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295</v>
      </c>
      <c r="G287">
        <v>1</v>
      </c>
      <c r="H287" t="s">
        <v>315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295</v>
      </c>
      <c r="G288">
        <v>2</v>
      </c>
      <c r="H288" t="s">
        <v>293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295</v>
      </c>
      <c r="G289">
        <v>1</v>
      </c>
      <c r="H289" t="s">
        <v>315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295</v>
      </c>
      <c r="G290">
        <v>2</v>
      </c>
      <c r="H290" t="s">
        <v>293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295</v>
      </c>
      <c r="G292">
        <v>2</v>
      </c>
      <c r="H292" t="s">
        <v>315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295</v>
      </c>
      <c r="G293">
        <v>1</v>
      </c>
      <c r="H293" t="s">
        <v>315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295</v>
      </c>
      <c r="G297">
        <v>1</v>
      </c>
      <c r="H297" t="s">
        <v>315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295</v>
      </c>
      <c r="G298">
        <v>3</v>
      </c>
      <c r="H298" t="s">
        <v>315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295</v>
      </c>
      <c r="G300">
        <v>4</v>
      </c>
      <c r="H300" t="s">
        <v>293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274</v>
      </c>
      <c r="G335">
        <v>1</v>
      </c>
      <c r="H335" t="s">
        <v>315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273</v>
      </c>
      <c r="G336">
        <v>5</v>
      </c>
      <c r="H336" t="s">
        <v>293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274</v>
      </c>
      <c r="G522">
        <v>1</v>
      </c>
      <c r="H522" t="s">
        <v>315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274</v>
      </c>
      <c r="G523">
        <v>1</v>
      </c>
      <c r="H523" t="s">
        <v>315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274</v>
      </c>
      <c r="G524">
        <v>4</v>
      </c>
      <c r="H524" t="s">
        <v>293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217</v>
      </c>
      <c r="B535" t="s">
        <v>9</v>
      </c>
      <c r="C535">
        <v>8</v>
      </c>
      <c r="D535">
        <v>2498</v>
      </c>
      <c r="E535">
        <v>2</v>
      </c>
      <c r="F535" t="s">
        <v>271</v>
      </c>
      <c r="G535">
        <v>3</v>
      </c>
      <c r="H535" t="s">
        <v>293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217</v>
      </c>
      <c r="B536" t="s">
        <v>9</v>
      </c>
      <c r="C536">
        <v>7</v>
      </c>
      <c r="D536">
        <v>2073</v>
      </c>
      <c r="E536">
        <v>0</v>
      </c>
      <c r="F536" t="s">
        <v>271</v>
      </c>
      <c r="G536">
        <v>1</v>
      </c>
      <c r="H536" t="s">
        <v>315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217</v>
      </c>
      <c r="B537" t="s">
        <v>9</v>
      </c>
      <c r="C537">
        <v>7</v>
      </c>
      <c r="D537">
        <v>2143</v>
      </c>
      <c r="E537">
        <v>0</v>
      </c>
      <c r="F537" t="s">
        <v>271</v>
      </c>
      <c r="G537">
        <v>3</v>
      </c>
      <c r="H537" t="s">
        <v>293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217</v>
      </c>
      <c r="B538" t="s">
        <v>9</v>
      </c>
      <c r="C538">
        <v>7</v>
      </c>
      <c r="D538">
        <v>1852</v>
      </c>
      <c r="E538">
        <v>1</v>
      </c>
      <c r="F538" t="s">
        <v>271</v>
      </c>
      <c r="G538">
        <v>1</v>
      </c>
      <c r="H538" t="s">
        <v>315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217</v>
      </c>
      <c r="B539" t="s">
        <v>9</v>
      </c>
      <c r="C539">
        <v>7</v>
      </c>
      <c r="D539">
        <v>2417</v>
      </c>
      <c r="E539">
        <v>0</v>
      </c>
      <c r="F539" t="s">
        <v>215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217</v>
      </c>
      <c r="B540" t="s">
        <v>9</v>
      </c>
      <c r="C540">
        <v>8</v>
      </c>
      <c r="D540">
        <v>2146</v>
      </c>
      <c r="E540">
        <v>0</v>
      </c>
      <c r="F540" t="s">
        <v>271</v>
      </c>
      <c r="G540">
        <v>2</v>
      </c>
      <c r="H540" t="s">
        <v>315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217</v>
      </c>
      <c r="B543" t="s">
        <v>9</v>
      </c>
      <c r="C543">
        <v>8</v>
      </c>
      <c r="D543">
        <v>2223</v>
      </c>
      <c r="E543">
        <v>1</v>
      </c>
      <c r="F543" t="s">
        <v>271</v>
      </c>
      <c r="G543">
        <v>5</v>
      </c>
      <c r="H543" t="s">
        <v>293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217</v>
      </c>
      <c r="B546" t="s">
        <v>9</v>
      </c>
      <c r="C546">
        <v>8</v>
      </c>
      <c r="D546">
        <v>2404</v>
      </c>
      <c r="E546">
        <v>1</v>
      </c>
      <c r="F546" t="s">
        <v>271</v>
      </c>
      <c r="G546">
        <v>4</v>
      </c>
      <c r="H546" t="s">
        <v>293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217</v>
      </c>
      <c r="B547" t="s">
        <v>9</v>
      </c>
      <c r="C547">
        <v>8</v>
      </c>
      <c r="D547">
        <v>3017</v>
      </c>
      <c r="E547">
        <v>1</v>
      </c>
      <c r="F547" t="s">
        <v>271</v>
      </c>
      <c r="G547">
        <v>4</v>
      </c>
      <c r="H547" t="s">
        <v>293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217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217</v>
      </c>
      <c r="B549" t="s">
        <v>9</v>
      </c>
      <c r="C549">
        <v>8</v>
      </c>
      <c r="D549">
        <v>2276</v>
      </c>
      <c r="E549">
        <v>0</v>
      </c>
      <c r="F549" t="s">
        <v>271</v>
      </c>
      <c r="G549">
        <v>4</v>
      </c>
      <c r="H549" t="s">
        <v>293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217</v>
      </c>
      <c r="B550" t="s">
        <v>9</v>
      </c>
      <c r="C550">
        <v>8</v>
      </c>
      <c r="D550">
        <v>2576</v>
      </c>
      <c r="E550">
        <v>3</v>
      </c>
      <c r="F550" t="s">
        <v>271</v>
      </c>
      <c r="G550">
        <v>4</v>
      </c>
      <c r="H550" t="s">
        <v>293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217</v>
      </c>
      <c r="B551" t="s">
        <v>9</v>
      </c>
      <c r="C551">
        <v>8</v>
      </c>
      <c r="D551">
        <v>2058</v>
      </c>
      <c r="E551">
        <v>1</v>
      </c>
      <c r="F551" t="s">
        <v>271</v>
      </c>
      <c r="G551">
        <v>5</v>
      </c>
      <c r="H551" t="s">
        <v>293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217</v>
      </c>
      <c r="B555" t="s">
        <v>9</v>
      </c>
      <c r="C555">
        <v>8</v>
      </c>
      <c r="D555">
        <v>2526</v>
      </c>
      <c r="E555">
        <v>0</v>
      </c>
      <c r="F555" t="s">
        <v>271</v>
      </c>
      <c r="G555">
        <v>1</v>
      </c>
      <c r="H555" t="s">
        <v>294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217</v>
      </c>
      <c r="B556" t="s">
        <v>9</v>
      </c>
      <c r="C556">
        <v>8</v>
      </c>
      <c r="D556">
        <v>2483</v>
      </c>
      <c r="E556">
        <v>3</v>
      </c>
      <c r="F556" t="s">
        <v>271</v>
      </c>
      <c r="G556">
        <v>1</v>
      </c>
      <c r="H556" t="s">
        <v>294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217</v>
      </c>
      <c r="B557" t="s">
        <v>9</v>
      </c>
      <c r="C557">
        <v>8</v>
      </c>
      <c r="D557">
        <v>2491</v>
      </c>
      <c r="E557">
        <v>0</v>
      </c>
      <c r="F557" t="s">
        <v>237</v>
      </c>
      <c r="G557" t="s">
        <v>313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217</v>
      </c>
      <c r="B559" t="s">
        <v>9</v>
      </c>
      <c r="C559">
        <v>8</v>
      </c>
      <c r="D559">
        <v>2671</v>
      </c>
      <c r="E559">
        <v>2</v>
      </c>
      <c r="F559" t="s">
        <v>271</v>
      </c>
      <c r="G559">
        <v>4</v>
      </c>
      <c r="H559" t="s">
        <v>293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217</v>
      </c>
      <c r="B560" t="s">
        <v>9</v>
      </c>
      <c r="C560">
        <v>8</v>
      </c>
      <c r="D560">
        <v>2186</v>
      </c>
      <c r="E560">
        <v>1</v>
      </c>
      <c r="F560" t="s">
        <v>216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217</v>
      </c>
      <c r="B561" t="s">
        <v>9</v>
      </c>
      <c r="C561">
        <v>8</v>
      </c>
      <c r="D561">
        <v>2316</v>
      </c>
      <c r="E561">
        <v>0</v>
      </c>
      <c r="F561" t="s">
        <v>271</v>
      </c>
      <c r="G561">
        <v>3</v>
      </c>
      <c r="H561" t="s">
        <v>293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217</v>
      </c>
      <c r="B562" t="s">
        <v>9</v>
      </c>
      <c r="C562">
        <v>8</v>
      </c>
      <c r="D562">
        <v>2046</v>
      </c>
      <c r="E562">
        <v>1</v>
      </c>
      <c r="F562" t="s">
        <v>271</v>
      </c>
      <c r="G562">
        <v>4</v>
      </c>
      <c r="H562" t="s">
        <v>293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217</v>
      </c>
      <c r="B563" t="s">
        <v>9</v>
      </c>
      <c r="C563">
        <v>8</v>
      </c>
      <c r="D563">
        <v>2303</v>
      </c>
      <c r="E563">
        <v>3</v>
      </c>
      <c r="F563" t="s">
        <v>271</v>
      </c>
      <c r="G563">
        <v>1</v>
      </c>
      <c r="H563" t="s">
        <v>315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217</v>
      </c>
      <c r="B564" t="s">
        <v>9</v>
      </c>
      <c r="C564">
        <v>8</v>
      </c>
      <c r="D564">
        <v>2396</v>
      </c>
      <c r="E564">
        <v>1</v>
      </c>
      <c r="F564" t="s">
        <v>271</v>
      </c>
      <c r="G564">
        <v>1</v>
      </c>
      <c r="H564" t="s">
        <v>315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217</v>
      </c>
      <c r="B565" t="s">
        <v>9</v>
      </c>
      <c r="C565">
        <v>8</v>
      </c>
      <c r="D565">
        <v>2325</v>
      </c>
      <c r="E565">
        <v>1</v>
      </c>
      <c r="F565" t="s">
        <v>271</v>
      </c>
      <c r="G565">
        <v>2</v>
      </c>
      <c r="H565" t="s">
        <v>294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217</v>
      </c>
      <c r="B566" t="s">
        <v>9</v>
      </c>
      <c r="C566">
        <v>8</v>
      </c>
      <c r="D566">
        <v>2398</v>
      </c>
      <c r="E566">
        <v>1</v>
      </c>
      <c r="F566" t="s">
        <v>271</v>
      </c>
      <c r="G566">
        <v>3</v>
      </c>
      <c r="H566" t="s">
        <v>293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217</v>
      </c>
      <c r="B567" t="s">
        <v>9</v>
      </c>
      <c r="C567">
        <v>8</v>
      </c>
      <c r="D567">
        <v>2668</v>
      </c>
      <c r="E567">
        <v>0</v>
      </c>
      <c r="F567" t="s">
        <v>271</v>
      </c>
      <c r="G567">
        <v>3</v>
      </c>
      <c r="H567" t="s">
        <v>294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274</v>
      </c>
      <c r="G568">
        <v>2</v>
      </c>
      <c r="H568" t="s">
        <v>315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274</v>
      </c>
      <c r="G569">
        <v>1</v>
      </c>
      <c r="H569" t="s">
        <v>315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274</v>
      </c>
      <c r="G570">
        <v>4</v>
      </c>
      <c r="H570" t="s">
        <v>293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274</v>
      </c>
      <c r="G571">
        <v>1</v>
      </c>
      <c r="H571" t="s">
        <v>315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274</v>
      </c>
      <c r="G572">
        <v>1</v>
      </c>
      <c r="H572" t="s">
        <v>315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274</v>
      </c>
      <c r="G573">
        <v>4</v>
      </c>
      <c r="H573" t="s">
        <v>293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274</v>
      </c>
      <c r="G574">
        <v>3</v>
      </c>
      <c r="H574" t="s">
        <v>315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274</v>
      </c>
      <c r="G575">
        <v>3</v>
      </c>
      <c r="H575" t="s">
        <v>315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274</v>
      </c>
      <c r="G576">
        <v>4</v>
      </c>
      <c r="H576" t="s">
        <v>293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274</v>
      </c>
      <c r="G577">
        <v>3</v>
      </c>
      <c r="H577" t="s">
        <v>293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271</v>
      </c>
      <c r="G578">
        <v>3</v>
      </c>
      <c r="H578" t="s">
        <v>293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274</v>
      </c>
      <c r="G579">
        <v>5</v>
      </c>
      <c r="H579" t="s">
        <v>293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274</v>
      </c>
      <c r="G582">
        <v>3</v>
      </c>
      <c r="H582" t="s">
        <v>293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274</v>
      </c>
      <c r="G583">
        <v>2</v>
      </c>
      <c r="H583" t="s">
        <v>294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281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274</v>
      </c>
      <c r="G655">
        <v>4</v>
      </c>
      <c r="H655" t="s">
        <v>293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274</v>
      </c>
      <c r="G656">
        <v>1</v>
      </c>
      <c r="H656" t="s">
        <v>294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274</v>
      </c>
      <c r="G657">
        <v>1</v>
      </c>
      <c r="H657" t="s">
        <v>315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271</v>
      </c>
      <c r="G658">
        <v>1</v>
      </c>
      <c r="H658" t="s">
        <v>315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274</v>
      </c>
      <c r="G660">
        <v>1</v>
      </c>
      <c r="H660" t="s">
        <v>315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274</v>
      </c>
      <c r="G662">
        <v>1</v>
      </c>
      <c r="H662" t="s">
        <v>315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274</v>
      </c>
      <c r="G663">
        <v>5</v>
      </c>
      <c r="H663" t="s">
        <v>293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274</v>
      </c>
      <c r="G664">
        <v>4</v>
      </c>
      <c r="H664" t="s">
        <v>293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274</v>
      </c>
      <c r="G665">
        <v>2</v>
      </c>
      <c r="H665" t="s">
        <v>315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274</v>
      </c>
      <c r="G666">
        <v>1</v>
      </c>
      <c r="H666" t="s">
        <v>315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274</v>
      </c>
      <c r="G667">
        <v>3</v>
      </c>
      <c r="H667" t="s">
        <v>293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272</v>
      </c>
      <c r="G668">
        <v>1</v>
      </c>
      <c r="H668" t="s">
        <v>315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272</v>
      </c>
      <c r="G669">
        <v>2</v>
      </c>
      <c r="H669" t="s">
        <v>315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274</v>
      </c>
      <c r="G670">
        <v>5</v>
      </c>
      <c r="H670" t="s">
        <v>293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274</v>
      </c>
      <c r="G672">
        <v>3</v>
      </c>
      <c r="H672" t="s">
        <v>293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274</v>
      </c>
      <c r="G673">
        <v>4</v>
      </c>
      <c r="H673" t="s">
        <v>293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272</v>
      </c>
      <c r="G674">
        <v>3</v>
      </c>
      <c r="H674" t="s">
        <v>315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274</v>
      </c>
      <c r="G675">
        <v>5</v>
      </c>
      <c r="H675" t="s">
        <v>293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294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274</v>
      </c>
      <c r="G677">
        <v>5</v>
      </c>
      <c r="H677" t="s">
        <v>293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272</v>
      </c>
      <c r="G678">
        <v>1</v>
      </c>
      <c r="H678" t="s">
        <v>315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281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274</v>
      </c>
      <c r="G690">
        <v>1</v>
      </c>
      <c r="H690" t="s">
        <v>315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274</v>
      </c>
      <c r="G691">
        <v>1</v>
      </c>
      <c r="H691" t="s">
        <v>294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274</v>
      </c>
      <c r="G692">
        <v>1</v>
      </c>
      <c r="H692" t="s">
        <v>315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272</v>
      </c>
      <c r="G693">
        <v>1</v>
      </c>
      <c r="H693" t="s">
        <v>315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274</v>
      </c>
      <c r="G694">
        <v>4</v>
      </c>
      <c r="H694" t="s">
        <v>293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294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274</v>
      </c>
      <c r="G696">
        <v>1</v>
      </c>
      <c r="H696" t="s">
        <v>315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274</v>
      </c>
      <c r="G697">
        <v>5</v>
      </c>
      <c r="H697" t="s">
        <v>293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274</v>
      </c>
      <c r="G698">
        <v>1</v>
      </c>
      <c r="H698" t="s">
        <v>294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274</v>
      </c>
      <c r="G699">
        <v>3</v>
      </c>
      <c r="H699" t="s">
        <v>293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274</v>
      </c>
      <c r="G701">
        <v>5</v>
      </c>
      <c r="H701" t="s">
        <v>293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274</v>
      </c>
      <c r="G702">
        <v>1</v>
      </c>
      <c r="H702" t="s">
        <v>315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274</v>
      </c>
      <c r="G703">
        <v>1</v>
      </c>
      <c r="H703" t="s">
        <v>294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274</v>
      </c>
      <c r="G704">
        <v>1</v>
      </c>
      <c r="H704" t="s">
        <v>315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274</v>
      </c>
      <c r="G706">
        <v>3</v>
      </c>
      <c r="H706" t="s">
        <v>293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274</v>
      </c>
      <c r="G707">
        <v>4</v>
      </c>
      <c r="H707" t="s">
        <v>293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273</v>
      </c>
      <c r="G708">
        <v>2</v>
      </c>
      <c r="H708" t="s">
        <v>315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273</v>
      </c>
      <c r="G710">
        <v>2</v>
      </c>
      <c r="H710" t="s">
        <v>315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273</v>
      </c>
      <c r="G711">
        <v>1</v>
      </c>
      <c r="H711" t="s">
        <v>315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273</v>
      </c>
      <c r="G712">
        <v>3</v>
      </c>
      <c r="H712" t="s">
        <v>315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273</v>
      </c>
      <c r="G713">
        <v>1</v>
      </c>
      <c r="H713" t="s">
        <v>315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273</v>
      </c>
      <c r="G714">
        <v>3</v>
      </c>
      <c r="H714" t="s">
        <v>294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273</v>
      </c>
      <c r="G715">
        <v>5</v>
      </c>
      <c r="H715" t="s">
        <v>293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273</v>
      </c>
      <c r="G716">
        <v>5</v>
      </c>
      <c r="H716" t="s">
        <v>293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274</v>
      </c>
      <c r="G717">
        <v>2</v>
      </c>
      <c r="H717" t="s">
        <v>294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274</v>
      </c>
      <c r="G718">
        <v>1</v>
      </c>
      <c r="H718" t="s">
        <v>315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274</v>
      </c>
      <c r="G719">
        <v>5</v>
      </c>
      <c r="H719" t="s">
        <v>293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274</v>
      </c>
      <c r="G720">
        <v>5</v>
      </c>
      <c r="H720" t="s">
        <v>293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274</v>
      </c>
      <c r="G721">
        <v>1</v>
      </c>
      <c r="H721" t="s">
        <v>315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274</v>
      </c>
      <c r="G722">
        <v>5</v>
      </c>
      <c r="H722" t="s">
        <v>293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274</v>
      </c>
      <c r="G723">
        <v>2</v>
      </c>
      <c r="H723" t="s">
        <v>315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274</v>
      </c>
      <c r="G724">
        <v>3</v>
      </c>
      <c r="H724" t="s">
        <v>293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281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214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274</v>
      </c>
      <c r="G728">
        <v>1</v>
      </c>
      <c r="H728" t="s">
        <v>294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274</v>
      </c>
      <c r="G730">
        <v>3</v>
      </c>
      <c r="H730" t="s">
        <v>315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271</v>
      </c>
      <c r="G731">
        <v>2</v>
      </c>
      <c r="H731" t="s">
        <v>315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271</v>
      </c>
      <c r="G732">
        <v>4</v>
      </c>
      <c r="H732" t="s">
        <v>293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274</v>
      </c>
      <c r="G733">
        <v>1</v>
      </c>
      <c r="H733" t="s">
        <v>294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281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274</v>
      </c>
      <c r="G756">
        <v>1</v>
      </c>
      <c r="H756" t="s">
        <v>315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274</v>
      </c>
      <c r="G757">
        <v>2</v>
      </c>
      <c r="H757" t="s">
        <v>315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274</v>
      </c>
      <c r="G758">
        <v>4</v>
      </c>
      <c r="H758" t="s">
        <v>293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274</v>
      </c>
      <c r="G759">
        <v>1</v>
      </c>
      <c r="H759" t="s">
        <v>294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285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285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293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285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315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285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285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285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315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285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214</v>
      </c>
    </row>
    <row r="768" spans="1:13">
      <c r="A768" t="s">
        <v>285</v>
      </c>
      <c r="B768" t="s">
        <v>9</v>
      </c>
      <c r="C768">
        <v>9</v>
      </c>
      <c r="D768">
        <v>2875</v>
      </c>
      <c r="E768">
        <v>0</v>
      </c>
      <c r="F768" t="s">
        <v>216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285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294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285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315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285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315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285</v>
      </c>
      <c r="B772" t="s">
        <v>9</v>
      </c>
      <c r="C772">
        <v>9</v>
      </c>
      <c r="D772">
        <v>2758</v>
      </c>
      <c r="E772">
        <v>0</v>
      </c>
      <c r="F772" t="s">
        <v>287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285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315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285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315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285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294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285</v>
      </c>
      <c r="B776" t="s">
        <v>9</v>
      </c>
      <c r="C776">
        <v>9</v>
      </c>
      <c r="D776">
        <v>2516</v>
      </c>
      <c r="E776">
        <v>1</v>
      </c>
      <c r="F776" t="s">
        <v>287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285</v>
      </c>
      <c r="B777" t="s">
        <v>9</v>
      </c>
      <c r="C777">
        <v>9</v>
      </c>
      <c r="D777">
        <v>2850</v>
      </c>
      <c r="E777">
        <v>2</v>
      </c>
      <c r="F777" t="s">
        <v>286</v>
      </c>
      <c r="G777">
        <v>3</v>
      </c>
      <c r="H777" t="s">
        <v>293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274</v>
      </c>
      <c r="G778">
        <v>3</v>
      </c>
      <c r="H778" t="s">
        <v>315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288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285</v>
      </c>
      <c r="B780" t="s">
        <v>9</v>
      </c>
      <c r="C780">
        <v>9</v>
      </c>
      <c r="D780">
        <v>2517</v>
      </c>
      <c r="E780">
        <v>0</v>
      </c>
      <c r="F780" t="s">
        <v>287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285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294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285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285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315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285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315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285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214</v>
      </c>
    </row>
    <row r="786" spans="1:13">
      <c r="A786" t="s">
        <v>285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315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285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315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285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293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285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293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285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293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287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285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281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287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281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289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281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281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281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217</v>
      </c>
      <c r="B821" t="s">
        <v>9</v>
      </c>
      <c r="C821">
        <v>9</v>
      </c>
      <c r="D821">
        <v>2924</v>
      </c>
      <c r="E821">
        <v>1</v>
      </c>
      <c r="F821" t="s">
        <v>271</v>
      </c>
      <c r="G821">
        <v>1</v>
      </c>
      <c r="H821" t="s">
        <v>315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217</v>
      </c>
      <c r="B822" t="s">
        <v>9</v>
      </c>
      <c r="C822">
        <v>9</v>
      </c>
      <c r="D822">
        <v>3192</v>
      </c>
      <c r="E822">
        <v>2</v>
      </c>
      <c r="F822" t="s">
        <v>271</v>
      </c>
      <c r="G822">
        <v>2</v>
      </c>
      <c r="H822" t="s">
        <v>315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217</v>
      </c>
      <c r="B823" t="s">
        <v>9</v>
      </c>
      <c r="C823">
        <v>9</v>
      </c>
      <c r="D823">
        <v>2967</v>
      </c>
      <c r="E823">
        <v>1</v>
      </c>
      <c r="F823" t="s">
        <v>271</v>
      </c>
      <c r="G823">
        <v>2</v>
      </c>
      <c r="H823" t="s">
        <v>315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217</v>
      </c>
      <c r="B824" t="s">
        <v>9</v>
      </c>
      <c r="C824">
        <v>9</v>
      </c>
      <c r="D824">
        <v>2926</v>
      </c>
      <c r="E824">
        <v>0</v>
      </c>
      <c r="F824" t="s">
        <v>271</v>
      </c>
      <c r="G824">
        <v>3</v>
      </c>
      <c r="H824" t="s">
        <v>293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217</v>
      </c>
      <c r="B825" t="s">
        <v>9</v>
      </c>
      <c r="C825">
        <v>9</v>
      </c>
      <c r="D825">
        <v>2801</v>
      </c>
      <c r="E825">
        <v>1</v>
      </c>
      <c r="F825" t="s">
        <v>271</v>
      </c>
      <c r="G825">
        <v>3</v>
      </c>
      <c r="H825" t="s">
        <v>293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217</v>
      </c>
      <c r="B826" t="s">
        <v>9</v>
      </c>
      <c r="C826">
        <v>9</v>
      </c>
      <c r="D826">
        <v>2800</v>
      </c>
      <c r="E826">
        <v>0</v>
      </c>
      <c r="F826" t="s">
        <v>237</v>
      </c>
      <c r="G826" t="s">
        <v>290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217</v>
      </c>
      <c r="B827" t="s">
        <v>9</v>
      </c>
      <c r="C827">
        <v>9</v>
      </c>
      <c r="D827">
        <v>2913</v>
      </c>
      <c r="E827">
        <v>0</v>
      </c>
      <c r="F827" t="s">
        <v>271</v>
      </c>
      <c r="G827">
        <v>1</v>
      </c>
      <c r="H827" t="s">
        <v>294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217</v>
      </c>
      <c r="B828" t="s">
        <v>9</v>
      </c>
      <c r="C828">
        <v>9</v>
      </c>
      <c r="D828">
        <v>2812</v>
      </c>
      <c r="E828">
        <v>1</v>
      </c>
      <c r="F828" t="s">
        <v>271</v>
      </c>
      <c r="G828">
        <v>1</v>
      </c>
      <c r="H828" t="s">
        <v>315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217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217</v>
      </c>
      <c r="B830" t="s">
        <v>9</v>
      </c>
      <c r="C830">
        <v>9</v>
      </c>
      <c r="D830">
        <v>2754</v>
      </c>
      <c r="E830">
        <v>1</v>
      </c>
      <c r="F830" t="s">
        <v>311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217</v>
      </c>
      <c r="B831" t="s">
        <v>9</v>
      </c>
      <c r="C831">
        <v>9</v>
      </c>
      <c r="D831">
        <v>2824</v>
      </c>
      <c r="E831">
        <v>1</v>
      </c>
      <c r="F831" t="s">
        <v>237</v>
      </c>
      <c r="G831" t="s">
        <v>291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217</v>
      </c>
      <c r="B832" t="s">
        <v>9</v>
      </c>
      <c r="C832">
        <v>9</v>
      </c>
      <c r="D832">
        <v>2980</v>
      </c>
      <c r="E832">
        <v>0</v>
      </c>
      <c r="F832" t="s">
        <v>271</v>
      </c>
      <c r="G832">
        <v>1</v>
      </c>
      <c r="H832" t="s">
        <v>315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217</v>
      </c>
      <c r="B833" t="s">
        <v>9</v>
      </c>
      <c r="C833">
        <v>9</v>
      </c>
      <c r="D833">
        <v>2957</v>
      </c>
      <c r="E833">
        <v>0</v>
      </c>
      <c r="F833" t="s">
        <v>216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217</v>
      </c>
      <c r="B835" t="s">
        <v>9</v>
      </c>
      <c r="C835">
        <v>9</v>
      </c>
      <c r="D835">
        <v>2671</v>
      </c>
      <c r="E835">
        <v>0</v>
      </c>
      <c r="F835" t="s">
        <v>271</v>
      </c>
      <c r="G835">
        <v>5</v>
      </c>
      <c r="H835" t="s">
        <v>293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217</v>
      </c>
      <c r="B836" t="s">
        <v>9</v>
      </c>
      <c r="C836">
        <v>9</v>
      </c>
      <c r="D836">
        <v>2947</v>
      </c>
      <c r="E836">
        <v>1</v>
      </c>
      <c r="F836" t="s">
        <v>271</v>
      </c>
      <c r="G836">
        <v>1</v>
      </c>
      <c r="H836" t="s">
        <v>294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217</v>
      </c>
      <c r="B838" t="s">
        <v>9</v>
      </c>
      <c r="C838">
        <v>9</v>
      </c>
      <c r="D838">
        <v>2184</v>
      </c>
      <c r="E838">
        <v>0</v>
      </c>
      <c r="F838" t="s">
        <v>271</v>
      </c>
      <c r="G838">
        <v>4</v>
      </c>
      <c r="H838" t="s">
        <v>293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217</v>
      </c>
      <c r="B839" t="s">
        <v>9</v>
      </c>
      <c r="C839">
        <v>9</v>
      </c>
      <c r="D839">
        <v>2654</v>
      </c>
      <c r="E839">
        <v>3</v>
      </c>
      <c r="F839" t="s">
        <v>271</v>
      </c>
      <c r="G839">
        <v>1</v>
      </c>
      <c r="H839" t="s">
        <v>315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217</v>
      </c>
      <c r="B840" t="s">
        <v>9</v>
      </c>
      <c r="C840">
        <v>9</v>
      </c>
      <c r="D840">
        <v>2592</v>
      </c>
      <c r="E840">
        <v>1</v>
      </c>
      <c r="F840" t="s">
        <v>271</v>
      </c>
      <c r="G840">
        <v>1</v>
      </c>
      <c r="H840" t="s">
        <v>315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217</v>
      </c>
      <c r="B841" t="s">
        <v>9</v>
      </c>
      <c r="C841">
        <v>9</v>
      </c>
      <c r="D841">
        <v>2625</v>
      </c>
      <c r="E841">
        <v>0</v>
      </c>
      <c r="F841" t="s">
        <v>271</v>
      </c>
      <c r="G841">
        <v>1</v>
      </c>
      <c r="H841" t="s">
        <v>294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217</v>
      </c>
      <c r="B842" t="s">
        <v>9</v>
      </c>
      <c r="C842">
        <v>9</v>
      </c>
      <c r="D842">
        <v>3029</v>
      </c>
      <c r="E842">
        <v>0</v>
      </c>
      <c r="F842" t="s">
        <v>271</v>
      </c>
      <c r="G842">
        <v>1</v>
      </c>
      <c r="H842" t="s">
        <v>315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217</v>
      </c>
      <c r="B843" t="s">
        <v>9</v>
      </c>
      <c r="C843">
        <v>9</v>
      </c>
      <c r="D843">
        <v>2865</v>
      </c>
      <c r="E843">
        <v>1</v>
      </c>
      <c r="F843" t="s">
        <v>271</v>
      </c>
      <c r="G843">
        <v>1</v>
      </c>
      <c r="H843" t="s">
        <v>315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217</v>
      </c>
      <c r="B844" t="s">
        <v>9</v>
      </c>
      <c r="C844">
        <v>9</v>
      </c>
      <c r="D844">
        <v>3075</v>
      </c>
      <c r="E844">
        <v>3</v>
      </c>
      <c r="F844" t="s">
        <v>271</v>
      </c>
      <c r="G844">
        <v>5</v>
      </c>
      <c r="H844" t="s">
        <v>293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217</v>
      </c>
      <c r="B845" t="s">
        <v>9</v>
      </c>
      <c r="C845">
        <v>9</v>
      </c>
      <c r="D845">
        <v>3767</v>
      </c>
      <c r="E845">
        <v>2</v>
      </c>
      <c r="F845" t="s">
        <v>271</v>
      </c>
      <c r="G845">
        <v>4</v>
      </c>
      <c r="H845" t="s">
        <v>293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217</v>
      </c>
      <c r="B846" t="s">
        <v>9</v>
      </c>
      <c r="C846">
        <v>9</v>
      </c>
      <c r="D846">
        <v>3007</v>
      </c>
      <c r="E846">
        <v>2</v>
      </c>
      <c r="F846" t="s">
        <v>271</v>
      </c>
      <c r="G846">
        <v>3</v>
      </c>
      <c r="H846" t="s">
        <v>315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217</v>
      </c>
      <c r="B847" t="s">
        <v>9</v>
      </c>
      <c r="C847">
        <v>9</v>
      </c>
      <c r="D847">
        <v>2942</v>
      </c>
      <c r="E847">
        <v>0</v>
      </c>
      <c r="F847" t="s">
        <v>271</v>
      </c>
      <c r="G847">
        <v>1</v>
      </c>
      <c r="H847" t="s">
        <v>315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217</v>
      </c>
      <c r="B848" t="s">
        <v>9</v>
      </c>
      <c r="C848">
        <v>9</v>
      </c>
      <c r="D848">
        <v>2701</v>
      </c>
      <c r="E848">
        <v>0</v>
      </c>
      <c r="F848" t="s">
        <v>271</v>
      </c>
      <c r="G848">
        <v>5</v>
      </c>
      <c r="H848" t="s">
        <v>293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217</v>
      </c>
      <c r="B849" t="s">
        <v>9</v>
      </c>
      <c r="C849">
        <v>9</v>
      </c>
      <c r="D849">
        <v>3320</v>
      </c>
      <c r="E849">
        <v>0</v>
      </c>
      <c r="F849" t="s">
        <v>271</v>
      </c>
      <c r="G849">
        <v>3</v>
      </c>
      <c r="H849" t="s">
        <v>294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217</v>
      </c>
      <c r="B850" t="s">
        <v>9</v>
      </c>
      <c r="C850">
        <v>9</v>
      </c>
      <c r="D850">
        <v>2890</v>
      </c>
      <c r="E850">
        <v>2</v>
      </c>
      <c r="F850" t="s">
        <v>271</v>
      </c>
      <c r="G850">
        <v>3</v>
      </c>
      <c r="H850" t="s">
        <v>293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217</v>
      </c>
      <c r="B851" t="s">
        <v>9</v>
      </c>
      <c r="C851">
        <v>9</v>
      </c>
      <c r="D851">
        <v>3274</v>
      </c>
      <c r="E851">
        <v>1</v>
      </c>
      <c r="F851" t="s">
        <v>271</v>
      </c>
      <c r="G851">
        <v>2</v>
      </c>
      <c r="H851" t="s">
        <v>294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217</v>
      </c>
      <c r="B852" t="s">
        <v>9</v>
      </c>
      <c r="C852">
        <v>9</v>
      </c>
      <c r="D852">
        <v>2847</v>
      </c>
      <c r="E852">
        <v>1</v>
      </c>
      <c r="F852" t="s">
        <v>271</v>
      </c>
      <c r="G852">
        <v>1</v>
      </c>
      <c r="H852" t="s">
        <v>294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217</v>
      </c>
      <c r="B853" t="s">
        <v>9</v>
      </c>
      <c r="C853">
        <v>9</v>
      </c>
      <c r="D853">
        <v>2602</v>
      </c>
      <c r="E853">
        <v>0</v>
      </c>
      <c r="F853" t="s">
        <v>271</v>
      </c>
      <c r="G853">
        <v>4</v>
      </c>
      <c r="H853" t="s">
        <v>293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217</v>
      </c>
      <c r="B854" t="s">
        <v>9</v>
      </c>
      <c r="C854">
        <v>9</v>
      </c>
      <c r="D854">
        <v>2901</v>
      </c>
      <c r="E854">
        <v>1</v>
      </c>
      <c r="F854" t="s">
        <v>237</v>
      </c>
      <c r="G854" t="s">
        <v>306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217</v>
      </c>
      <c r="B855" t="s">
        <v>9</v>
      </c>
      <c r="C855">
        <v>9</v>
      </c>
      <c r="D855">
        <v>2768</v>
      </c>
      <c r="E855">
        <v>0</v>
      </c>
      <c r="F855" t="s">
        <v>271</v>
      </c>
      <c r="G855">
        <v>5</v>
      </c>
      <c r="H855" t="s">
        <v>293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217</v>
      </c>
      <c r="B856" t="s">
        <v>9</v>
      </c>
      <c r="C856">
        <v>9</v>
      </c>
      <c r="D856">
        <v>2401</v>
      </c>
      <c r="E856">
        <v>1</v>
      </c>
      <c r="F856" t="s">
        <v>271</v>
      </c>
      <c r="G856">
        <v>1</v>
      </c>
      <c r="H856" t="s">
        <v>315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217</v>
      </c>
      <c r="B857" t="s">
        <v>9</v>
      </c>
      <c r="C857">
        <v>9</v>
      </c>
      <c r="D857">
        <v>2915</v>
      </c>
      <c r="E857">
        <v>0</v>
      </c>
      <c r="F857" t="s">
        <v>215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217</v>
      </c>
      <c r="B858" t="s">
        <v>9</v>
      </c>
      <c r="C858">
        <v>9</v>
      </c>
      <c r="D858">
        <v>2978</v>
      </c>
      <c r="E858">
        <v>0</v>
      </c>
      <c r="F858" t="s">
        <v>271</v>
      </c>
      <c r="G858">
        <v>4</v>
      </c>
      <c r="H858" t="s">
        <v>293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217</v>
      </c>
      <c r="B859" t="s">
        <v>9</v>
      </c>
      <c r="C859">
        <v>9</v>
      </c>
      <c r="D859">
        <v>2956</v>
      </c>
      <c r="E859">
        <v>0</v>
      </c>
      <c r="F859" t="s">
        <v>271</v>
      </c>
      <c r="G859">
        <v>5</v>
      </c>
      <c r="H859" t="s">
        <v>293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217</v>
      </c>
      <c r="B860" t="s">
        <v>9</v>
      </c>
      <c r="C860">
        <v>9</v>
      </c>
      <c r="D860">
        <v>2657</v>
      </c>
      <c r="E860">
        <v>1</v>
      </c>
      <c r="F860" t="s">
        <v>271</v>
      </c>
      <c r="G860">
        <v>5</v>
      </c>
      <c r="H860" t="s">
        <v>293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217</v>
      </c>
      <c r="B861" t="s">
        <v>9</v>
      </c>
      <c r="C861">
        <v>9</v>
      </c>
      <c r="D861">
        <v>2789</v>
      </c>
      <c r="E861">
        <v>0</v>
      </c>
      <c r="F861" t="s">
        <v>216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217</v>
      </c>
      <c r="B862" t="s">
        <v>9</v>
      </c>
      <c r="C862">
        <v>9</v>
      </c>
      <c r="D862">
        <v>2793</v>
      </c>
      <c r="E862">
        <v>1</v>
      </c>
      <c r="F862" t="s">
        <v>271</v>
      </c>
      <c r="G862">
        <v>5</v>
      </c>
      <c r="H862" t="s">
        <v>293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217</v>
      </c>
      <c r="B863" t="s">
        <v>9</v>
      </c>
      <c r="C863">
        <v>9</v>
      </c>
      <c r="D863">
        <v>2869</v>
      </c>
      <c r="E863">
        <v>2</v>
      </c>
      <c r="F863" t="s">
        <v>271</v>
      </c>
      <c r="G863">
        <v>4</v>
      </c>
      <c r="H863" t="s">
        <v>293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217</v>
      </c>
      <c r="B864" t="s">
        <v>9</v>
      </c>
      <c r="C864">
        <v>9</v>
      </c>
      <c r="D864">
        <v>2638</v>
      </c>
      <c r="E864">
        <v>1</v>
      </c>
      <c r="F864" t="s">
        <v>216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217</v>
      </c>
      <c r="B865" t="s">
        <v>9</v>
      </c>
      <c r="C865">
        <v>9</v>
      </c>
      <c r="D865">
        <v>2929</v>
      </c>
      <c r="E865">
        <v>1</v>
      </c>
      <c r="F865" t="s">
        <v>271</v>
      </c>
      <c r="G865">
        <v>1</v>
      </c>
      <c r="H865" t="s">
        <v>315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217</v>
      </c>
      <c r="B866" t="s">
        <v>9</v>
      </c>
      <c r="C866">
        <v>9</v>
      </c>
      <c r="D866">
        <v>2423</v>
      </c>
      <c r="E866">
        <v>1</v>
      </c>
      <c r="F866" t="s">
        <v>271</v>
      </c>
      <c r="G866">
        <v>3</v>
      </c>
      <c r="H866" t="s">
        <v>293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217</v>
      </c>
      <c r="B867" t="s">
        <v>9</v>
      </c>
      <c r="C867">
        <v>9</v>
      </c>
      <c r="D867">
        <v>2881</v>
      </c>
      <c r="E867">
        <v>0</v>
      </c>
      <c r="F867" t="s">
        <v>271</v>
      </c>
      <c r="G867">
        <v>5</v>
      </c>
      <c r="H867" t="s">
        <v>293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217</v>
      </c>
      <c r="B868" t="s">
        <v>9</v>
      </c>
      <c r="C868">
        <v>9</v>
      </c>
      <c r="D868">
        <v>3128</v>
      </c>
      <c r="E868">
        <v>1</v>
      </c>
      <c r="F868" t="s">
        <v>271</v>
      </c>
      <c r="G868">
        <v>4</v>
      </c>
      <c r="H868" t="s">
        <v>293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217</v>
      </c>
      <c r="B869" t="s">
        <v>9</v>
      </c>
      <c r="C869">
        <v>9</v>
      </c>
      <c r="D869">
        <v>3042</v>
      </c>
      <c r="E869">
        <v>0</v>
      </c>
      <c r="F869" t="s">
        <v>271</v>
      </c>
      <c r="G869">
        <v>3</v>
      </c>
      <c r="H869" t="s">
        <v>294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217</v>
      </c>
      <c r="B870" t="s">
        <v>9</v>
      </c>
      <c r="C870">
        <v>9</v>
      </c>
      <c r="D870">
        <v>2846</v>
      </c>
      <c r="E870">
        <v>1</v>
      </c>
      <c r="F870" t="s">
        <v>271</v>
      </c>
      <c r="G870">
        <v>1</v>
      </c>
      <c r="H870" t="s">
        <v>294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217</v>
      </c>
      <c r="B871" t="s">
        <v>9</v>
      </c>
      <c r="C871">
        <v>9</v>
      </c>
      <c r="D871">
        <v>3112</v>
      </c>
      <c r="E871">
        <v>1</v>
      </c>
      <c r="F871" t="s">
        <v>271</v>
      </c>
      <c r="G871">
        <v>1</v>
      </c>
      <c r="H871" t="s">
        <v>294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217</v>
      </c>
      <c r="B872" t="s">
        <v>9</v>
      </c>
      <c r="C872">
        <v>9</v>
      </c>
      <c r="D872">
        <v>2928</v>
      </c>
      <c r="E872">
        <v>1</v>
      </c>
      <c r="F872" t="s">
        <v>271</v>
      </c>
      <c r="G872">
        <v>4</v>
      </c>
      <c r="H872" t="s">
        <v>293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217</v>
      </c>
      <c r="B873" t="s">
        <v>9</v>
      </c>
      <c r="C873">
        <v>9</v>
      </c>
      <c r="D873">
        <v>2702</v>
      </c>
      <c r="E873">
        <v>1</v>
      </c>
      <c r="F873" t="s">
        <v>271</v>
      </c>
      <c r="G873">
        <v>2</v>
      </c>
      <c r="H873" t="s">
        <v>315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237</v>
      </c>
      <c r="B874" t="s">
        <v>9</v>
      </c>
      <c r="C874" t="s">
        <v>26</v>
      </c>
      <c r="D874">
        <v>6071</v>
      </c>
      <c r="E874">
        <v>0</v>
      </c>
      <c r="F874" t="s">
        <v>215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237</v>
      </c>
      <c r="B875" t="s">
        <v>9</v>
      </c>
      <c r="C875" t="s">
        <v>26</v>
      </c>
      <c r="D875">
        <v>5719</v>
      </c>
      <c r="E875">
        <v>0</v>
      </c>
      <c r="F875" t="s">
        <v>215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237</v>
      </c>
      <c r="B876" t="s">
        <v>9</v>
      </c>
      <c r="C876" t="s">
        <v>26</v>
      </c>
      <c r="D876">
        <v>5444</v>
      </c>
      <c r="E876">
        <v>0</v>
      </c>
      <c r="F876" t="s">
        <v>215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237</v>
      </c>
      <c r="B877" t="s">
        <v>9</v>
      </c>
      <c r="C877" t="s">
        <v>26</v>
      </c>
      <c r="D877">
        <v>5741</v>
      </c>
      <c r="E877">
        <v>0</v>
      </c>
      <c r="F877" t="s">
        <v>215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237</v>
      </c>
      <c r="B878" t="s">
        <v>9</v>
      </c>
      <c r="C878" t="s">
        <v>26</v>
      </c>
      <c r="D878">
        <v>6031</v>
      </c>
      <c r="E878">
        <v>0</v>
      </c>
      <c r="F878" t="s">
        <v>215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237</v>
      </c>
      <c r="B879" t="s">
        <v>9</v>
      </c>
      <c r="C879" t="s">
        <v>26</v>
      </c>
      <c r="D879">
        <v>5574</v>
      </c>
      <c r="E879">
        <v>0</v>
      </c>
      <c r="F879" t="s">
        <v>215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237</v>
      </c>
      <c r="B880" t="s">
        <v>9</v>
      </c>
      <c r="C880" t="s">
        <v>26</v>
      </c>
      <c r="D880">
        <v>6065</v>
      </c>
      <c r="E880">
        <v>0</v>
      </c>
      <c r="F880" t="s">
        <v>215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237</v>
      </c>
      <c r="B881" t="s">
        <v>9</v>
      </c>
      <c r="C881" t="s">
        <v>26</v>
      </c>
      <c r="D881">
        <v>5631</v>
      </c>
      <c r="E881">
        <v>0</v>
      </c>
      <c r="F881" t="s">
        <v>215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217</v>
      </c>
      <c r="B882" t="s">
        <v>9</v>
      </c>
      <c r="C882">
        <v>9</v>
      </c>
      <c r="D882">
        <v>2671</v>
      </c>
      <c r="E882">
        <v>0</v>
      </c>
      <c r="F882" t="s">
        <v>271</v>
      </c>
      <c r="G882">
        <v>1</v>
      </c>
      <c r="H882" t="s">
        <v>315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217</v>
      </c>
      <c r="B883" t="s">
        <v>9</v>
      </c>
      <c r="C883">
        <v>9</v>
      </c>
      <c r="D883">
        <v>2940</v>
      </c>
      <c r="E883">
        <v>0</v>
      </c>
      <c r="F883" t="s">
        <v>271</v>
      </c>
      <c r="G883">
        <v>1</v>
      </c>
      <c r="H883" t="s">
        <v>294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217</v>
      </c>
      <c r="B884" t="s">
        <v>9</v>
      </c>
      <c r="C884">
        <v>9</v>
      </c>
      <c r="D884">
        <v>2643</v>
      </c>
      <c r="E884">
        <v>2</v>
      </c>
      <c r="F884" t="s">
        <v>271</v>
      </c>
      <c r="G884">
        <v>1</v>
      </c>
      <c r="H884" t="s">
        <v>294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217</v>
      </c>
      <c r="B885" t="s">
        <v>9</v>
      </c>
      <c r="C885">
        <v>9</v>
      </c>
      <c r="D885">
        <v>2968</v>
      </c>
      <c r="E885">
        <v>0</v>
      </c>
      <c r="F885" t="s">
        <v>271</v>
      </c>
      <c r="G885">
        <v>3</v>
      </c>
      <c r="H885" t="s">
        <v>315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217</v>
      </c>
      <c r="B886" t="s">
        <v>9</v>
      </c>
      <c r="C886">
        <v>9</v>
      </c>
      <c r="D886">
        <v>2502</v>
      </c>
      <c r="E886">
        <v>2</v>
      </c>
      <c r="F886" t="s">
        <v>271</v>
      </c>
      <c r="G886">
        <v>2</v>
      </c>
      <c r="H886" t="s">
        <v>315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217</v>
      </c>
      <c r="B887" t="s">
        <v>9</v>
      </c>
      <c r="C887">
        <v>9</v>
      </c>
      <c r="D887">
        <v>2719</v>
      </c>
      <c r="E887">
        <v>3</v>
      </c>
      <c r="F887" t="s">
        <v>237</v>
      </c>
      <c r="G887" t="s">
        <v>307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217</v>
      </c>
      <c r="B888" t="s">
        <v>9</v>
      </c>
      <c r="C888">
        <v>9</v>
      </c>
      <c r="D888">
        <v>2733</v>
      </c>
      <c r="E888">
        <v>1</v>
      </c>
      <c r="F888" t="s">
        <v>271</v>
      </c>
      <c r="G888">
        <v>1</v>
      </c>
      <c r="H888" t="s">
        <v>315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217</v>
      </c>
      <c r="B889" t="s">
        <v>9</v>
      </c>
      <c r="C889">
        <v>9</v>
      </c>
      <c r="D889">
        <v>2917</v>
      </c>
      <c r="E889">
        <v>1</v>
      </c>
      <c r="F889" t="s">
        <v>271</v>
      </c>
      <c r="G889">
        <v>1</v>
      </c>
      <c r="H889" t="s">
        <v>315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217</v>
      </c>
      <c r="B890" t="s">
        <v>9</v>
      </c>
      <c r="C890">
        <v>9</v>
      </c>
      <c r="D890">
        <v>2662</v>
      </c>
      <c r="E890">
        <v>0</v>
      </c>
      <c r="F890" t="s">
        <v>271</v>
      </c>
      <c r="G890">
        <v>3</v>
      </c>
      <c r="H890" t="s">
        <v>294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217</v>
      </c>
      <c r="B891" t="s">
        <v>9</v>
      </c>
      <c r="C891">
        <v>9</v>
      </c>
      <c r="D891">
        <v>2980</v>
      </c>
      <c r="E891">
        <v>1</v>
      </c>
      <c r="F891" t="s">
        <v>271</v>
      </c>
      <c r="G891">
        <v>2</v>
      </c>
      <c r="H891" t="s">
        <v>315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217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217</v>
      </c>
      <c r="B894" t="s">
        <v>9</v>
      </c>
      <c r="C894">
        <v>9</v>
      </c>
      <c r="D894">
        <v>2705</v>
      </c>
      <c r="E894">
        <v>1</v>
      </c>
      <c r="F894" t="s">
        <v>271</v>
      </c>
      <c r="G894">
        <v>1</v>
      </c>
      <c r="H894" t="s">
        <v>294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217</v>
      </c>
      <c r="B895" t="s">
        <v>9</v>
      </c>
      <c r="C895">
        <v>9</v>
      </c>
      <c r="D895">
        <v>2769</v>
      </c>
      <c r="E895">
        <v>1</v>
      </c>
      <c r="F895" t="s">
        <v>271</v>
      </c>
      <c r="G895">
        <v>1</v>
      </c>
      <c r="H895" t="s">
        <v>294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274</v>
      </c>
      <c r="G896">
        <v>5</v>
      </c>
      <c r="H896" t="s">
        <v>293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308</v>
      </c>
      <c r="B897" t="s">
        <v>9</v>
      </c>
      <c r="C897">
        <v>9</v>
      </c>
      <c r="D897">
        <v>2838</v>
      </c>
      <c r="E897">
        <v>0</v>
      </c>
      <c r="F897" t="s">
        <v>272</v>
      </c>
      <c r="G897">
        <v>4</v>
      </c>
      <c r="H897" t="s">
        <v>293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308</v>
      </c>
      <c r="B898" t="s">
        <v>9</v>
      </c>
      <c r="C898">
        <v>9</v>
      </c>
      <c r="D898">
        <v>2427</v>
      </c>
      <c r="E898">
        <v>1</v>
      </c>
      <c r="F898" t="s">
        <v>287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308</v>
      </c>
      <c r="B899" t="s">
        <v>9</v>
      </c>
      <c r="C899">
        <v>9</v>
      </c>
      <c r="D899">
        <v>3047</v>
      </c>
      <c r="E899">
        <v>2</v>
      </c>
      <c r="F899" t="s">
        <v>272</v>
      </c>
      <c r="G899">
        <v>1</v>
      </c>
      <c r="H899" t="s">
        <v>315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308</v>
      </c>
      <c r="B900" t="s">
        <v>9</v>
      </c>
      <c r="C900">
        <v>9</v>
      </c>
      <c r="D900">
        <v>2866</v>
      </c>
      <c r="E900">
        <v>1</v>
      </c>
      <c r="F900" t="s">
        <v>216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308</v>
      </c>
      <c r="B901" t="s">
        <v>9</v>
      </c>
      <c r="C901">
        <v>9</v>
      </c>
      <c r="D901">
        <v>2763</v>
      </c>
      <c r="E901">
        <v>0</v>
      </c>
      <c r="F901" t="s">
        <v>287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308</v>
      </c>
      <c r="B902" t="s">
        <v>9</v>
      </c>
      <c r="C902">
        <v>9</v>
      </c>
      <c r="D902">
        <v>3056</v>
      </c>
      <c r="E902">
        <v>1</v>
      </c>
      <c r="F902" t="s">
        <v>287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308</v>
      </c>
      <c r="B903" t="s">
        <v>9</v>
      </c>
      <c r="C903">
        <v>9</v>
      </c>
      <c r="D903">
        <v>2719</v>
      </c>
      <c r="E903">
        <v>0</v>
      </c>
      <c r="F903" t="s">
        <v>272</v>
      </c>
      <c r="G903">
        <v>5</v>
      </c>
      <c r="H903" t="s">
        <v>293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308</v>
      </c>
      <c r="B904" t="s">
        <v>9</v>
      </c>
      <c r="C904">
        <v>9</v>
      </c>
      <c r="D904">
        <v>2911</v>
      </c>
      <c r="E904">
        <v>1</v>
      </c>
      <c r="F904" t="s">
        <v>272</v>
      </c>
      <c r="G904">
        <v>5</v>
      </c>
      <c r="H904" t="s">
        <v>293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308</v>
      </c>
      <c r="B905" t="s">
        <v>9</v>
      </c>
      <c r="C905">
        <v>9</v>
      </c>
      <c r="D905">
        <v>2858</v>
      </c>
      <c r="E905">
        <v>0</v>
      </c>
      <c r="F905" t="s">
        <v>272</v>
      </c>
      <c r="G905">
        <v>1</v>
      </c>
      <c r="H905" t="s">
        <v>315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308</v>
      </c>
      <c r="B906" t="s">
        <v>9</v>
      </c>
      <c r="C906">
        <v>9</v>
      </c>
      <c r="D906">
        <v>2965</v>
      </c>
      <c r="E906">
        <v>1</v>
      </c>
      <c r="F906" t="s">
        <v>272</v>
      </c>
      <c r="G906">
        <v>3</v>
      </c>
      <c r="H906" t="s">
        <v>315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308</v>
      </c>
      <c r="B907" t="s">
        <v>9</v>
      </c>
      <c r="C907">
        <v>9</v>
      </c>
      <c r="D907">
        <v>3486</v>
      </c>
      <c r="E907">
        <v>1</v>
      </c>
      <c r="F907" t="s">
        <v>216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308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308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308</v>
      </c>
      <c r="B910" t="s">
        <v>9</v>
      </c>
      <c r="C910">
        <v>9</v>
      </c>
      <c r="D910">
        <v>2744</v>
      </c>
      <c r="E910">
        <v>1</v>
      </c>
      <c r="F910" t="s">
        <v>272</v>
      </c>
      <c r="G910">
        <v>1</v>
      </c>
      <c r="H910" t="s">
        <v>294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308</v>
      </c>
      <c r="B911" t="s">
        <v>9</v>
      </c>
      <c r="C911">
        <v>9</v>
      </c>
      <c r="D911">
        <v>2564</v>
      </c>
      <c r="E911">
        <v>0</v>
      </c>
      <c r="F911" t="s">
        <v>272</v>
      </c>
      <c r="G911">
        <v>5</v>
      </c>
      <c r="H911" t="s">
        <v>293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308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308</v>
      </c>
      <c r="B913" t="s">
        <v>9</v>
      </c>
      <c r="C913">
        <v>9</v>
      </c>
      <c r="D913">
        <v>2779</v>
      </c>
      <c r="E913">
        <v>0</v>
      </c>
      <c r="F913" t="s">
        <v>287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274</v>
      </c>
      <c r="G914">
        <v>3</v>
      </c>
      <c r="H914" t="s">
        <v>315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308</v>
      </c>
      <c r="B915" t="s">
        <v>9</v>
      </c>
      <c r="C915">
        <v>9</v>
      </c>
      <c r="D915">
        <v>3032</v>
      </c>
      <c r="E915">
        <v>0</v>
      </c>
      <c r="F915" t="s">
        <v>272</v>
      </c>
      <c r="G915">
        <v>5</v>
      </c>
      <c r="H915" t="s">
        <v>293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308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308</v>
      </c>
      <c r="B917" t="s">
        <v>9</v>
      </c>
      <c r="C917">
        <v>9</v>
      </c>
      <c r="D917">
        <v>2891</v>
      </c>
      <c r="E917">
        <v>2</v>
      </c>
      <c r="F917" t="s">
        <v>272</v>
      </c>
      <c r="G917">
        <v>1</v>
      </c>
      <c r="H917" t="s">
        <v>315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308</v>
      </c>
      <c r="B918" t="s">
        <v>9</v>
      </c>
      <c r="C918">
        <v>9</v>
      </c>
      <c r="D918">
        <v>2799</v>
      </c>
      <c r="E918">
        <v>0</v>
      </c>
      <c r="F918" t="s">
        <v>272</v>
      </c>
      <c r="G918">
        <v>2</v>
      </c>
      <c r="H918" t="s">
        <v>315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308</v>
      </c>
      <c r="B919" t="s">
        <v>9</v>
      </c>
      <c r="C919">
        <v>9</v>
      </c>
      <c r="D919">
        <v>3197</v>
      </c>
      <c r="E919">
        <v>1</v>
      </c>
      <c r="F919" t="s">
        <v>272</v>
      </c>
      <c r="G919">
        <v>2</v>
      </c>
      <c r="H919" t="s">
        <v>315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308</v>
      </c>
      <c r="B920" t="s">
        <v>9</v>
      </c>
      <c r="C920">
        <v>9</v>
      </c>
      <c r="D920">
        <v>3013</v>
      </c>
      <c r="E920">
        <v>0</v>
      </c>
      <c r="F920" t="s">
        <v>272</v>
      </c>
      <c r="G920">
        <v>4</v>
      </c>
      <c r="H920" t="s">
        <v>293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308</v>
      </c>
      <c r="B921" t="s">
        <v>9</v>
      </c>
      <c r="C921">
        <v>9</v>
      </c>
      <c r="D921">
        <v>3393</v>
      </c>
      <c r="E921">
        <v>1</v>
      </c>
      <c r="F921" t="s">
        <v>272</v>
      </c>
      <c r="G921">
        <v>4</v>
      </c>
      <c r="H921" t="s">
        <v>293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308</v>
      </c>
      <c r="B922" t="s">
        <v>9</v>
      </c>
      <c r="C922">
        <v>9</v>
      </c>
      <c r="D922">
        <v>3290</v>
      </c>
      <c r="E922">
        <v>0</v>
      </c>
      <c r="F922" t="s">
        <v>311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309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308</v>
      </c>
      <c r="B924" t="s">
        <v>9</v>
      </c>
      <c r="C924">
        <v>9</v>
      </c>
      <c r="D924">
        <v>2551</v>
      </c>
      <c r="E924">
        <v>1</v>
      </c>
      <c r="F924" t="s">
        <v>237</v>
      </c>
      <c r="G924" t="s">
        <v>310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308</v>
      </c>
      <c r="B925" t="s">
        <v>9</v>
      </c>
      <c r="C925">
        <v>9</v>
      </c>
      <c r="D925">
        <v>2856</v>
      </c>
      <c r="E925">
        <v>0</v>
      </c>
      <c r="F925" t="s">
        <v>272</v>
      </c>
      <c r="G925">
        <v>1</v>
      </c>
      <c r="H925" t="s">
        <v>294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308</v>
      </c>
      <c r="B926" t="s">
        <v>9</v>
      </c>
      <c r="C926">
        <v>9</v>
      </c>
      <c r="D926">
        <v>2488</v>
      </c>
      <c r="E926">
        <v>1</v>
      </c>
      <c r="F926" t="s">
        <v>272</v>
      </c>
      <c r="G926">
        <v>3</v>
      </c>
      <c r="H926" t="s">
        <v>315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308</v>
      </c>
      <c r="B927" t="s">
        <v>9</v>
      </c>
      <c r="C927">
        <v>9</v>
      </c>
      <c r="D927">
        <v>2583</v>
      </c>
      <c r="E927">
        <v>0</v>
      </c>
      <c r="F927" t="s">
        <v>272</v>
      </c>
      <c r="G927">
        <v>5</v>
      </c>
      <c r="H927" t="s">
        <v>293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308</v>
      </c>
      <c r="B928" t="s">
        <v>9</v>
      </c>
      <c r="C928">
        <v>9</v>
      </c>
      <c r="D928">
        <v>2394</v>
      </c>
      <c r="E928">
        <v>0</v>
      </c>
      <c r="F928" t="s">
        <v>272</v>
      </c>
      <c r="G928">
        <v>4</v>
      </c>
      <c r="H928" t="s">
        <v>293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308</v>
      </c>
      <c r="B929" t="s">
        <v>9</v>
      </c>
      <c r="C929">
        <v>9</v>
      </c>
      <c r="D929">
        <v>2703</v>
      </c>
      <c r="E929">
        <v>0</v>
      </c>
      <c r="F929" t="s">
        <v>272</v>
      </c>
      <c r="G929">
        <v>1</v>
      </c>
      <c r="H929" t="s">
        <v>294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308</v>
      </c>
      <c r="B930" t="s">
        <v>9</v>
      </c>
      <c r="C930">
        <v>9</v>
      </c>
      <c r="D930">
        <v>2880</v>
      </c>
      <c r="E930">
        <v>1</v>
      </c>
      <c r="F930" t="s">
        <v>272</v>
      </c>
      <c r="G930">
        <v>4</v>
      </c>
      <c r="H930" t="s">
        <v>293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308</v>
      </c>
      <c r="B931" t="s">
        <v>9</v>
      </c>
      <c r="C931">
        <v>9</v>
      </c>
      <c r="D931">
        <v>2802</v>
      </c>
      <c r="E931">
        <v>0</v>
      </c>
      <c r="F931" t="s">
        <v>272</v>
      </c>
      <c r="G931">
        <v>3</v>
      </c>
      <c r="H931" t="s">
        <v>315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308</v>
      </c>
      <c r="B932" t="s">
        <v>9</v>
      </c>
      <c r="C932">
        <v>9</v>
      </c>
      <c r="D932">
        <v>2784</v>
      </c>
      <c r="E932">
        <v>2</v>
      </c>
      <c r="F932" t="s">
        <v>287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308</v>
      </c>
      <c r="B933" t="s">
        <v>9</v>
      </c>
      <c r="C933">
        <v>9</v>
      </c>
      <c r="D933">
        <v>2856</v>
      </c>
      <c r="E933">
        <v>0</v>
      </c>
      <c r="F933" t="s">
        <v>272</v>
      </c>
      <c r="G933">
        <v>3</v>
      </c>
      <c r="H933" t="s">
        <v>315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308</v>
      </c>
      <c r="B934" t="s">
        <v>9</v>
      </c>
      <c r="C934">
        <v>9</v>
      </c>
      <c r="D934">
        <v>3481</v>
      </c>
      <c r="E934">
        <v>0</v>
      </c>
      <c r="F934" t="s">
        <v>272</v>
      </c>
      <c r="G934">
        <v>4</v>
      </c>
      <c r="H934" t="s">
        <v>293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308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308</v>
      </c>
      <c r="B936" t="s">
        <v>9</v>
      </c>
      <c r="C936">
        <v>9</v>
      </c>
      <c r="D936">
        <v>2809</v>
      </c>
      <c r="E936">
        <v>1</v>
      </c>
      <c r="F936" t="s">
        <v>216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308</v>
      </c>
      <c r="B937" t="s">
        <v>9</v>
      </c>
      <c r="C937">
        <v>9</v>
      </c>
      <c r="D937">
        <v>2999</v>
      </c>
      <c r="E937">
        <v>0</v>
      </c>
      <c r="F937" t="s">
        <v>272</v>
      </c>
      <c r="G937">
        <v>5</v>
      </c>
      <c r="H937" t="s">
        <v>293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308</v>
      </c>
      <c r="B938" t="s">
        <v>9</v>
      </c>
      <c r="C938">
        <v>9</v>
      </c>
      <c r="D938">
        <v>2639</v>
      </c>
      <c r="E938">
        <v>1</v>
      </c>
      <c r="F938" t="s">
        <v>272</v>
      </c>
      <c r="G938">
        <v>2</v>
      </c>
      <c r="H938" t="s">
        <v>315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308</v>
      </c>
      <c r="B939" t="s">
        <v>9</v>
      </c>
      <c r="C939">
        <v>9</v>
      </c>
      <c r="D939">
        <v>2853</v>
      </c>
      <c r="E939">
        <v>0</v>
      </c>
      <c r="F939" t="s">
        <v>272</v>
      </c>
      <c r="G939">
        <v>2</v>
      </c>
      <c r="H939" t="s">
        <v>294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308</v>
      </c>
      <c r="B940" t="s">
        <v>9</v>
      </c>
      <c r="C940">
        <v>9</v>
      </c>
      <c r="D940">
        <v>3206</v>
      </c>
      <c r="E940">
        <v>1</v>
      </c>
      <c r="F940" t="s">
        <v>272</v>
      </c>
      <c r="G940">
        <v>4</v>
      </c>
      <c r="H940" t="s">
        <v>293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308</v>
      </c>
      <c r="B941" t="s">
        <v>9</v>
      </c>
      <c r="C941">
        <v>9</v>
      </c>
      <c r="D941">
        <v>3218</v>
      </c>
      <c r="E941">
        <v>0</v>
      </c>
      <c r="F941" t="s">
        <v>272</v>
      </c>
      <c r="G941">
        <v>3</v>
      </c>
      <c r="H941" t="s">
        <v>315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308</v>
      </c>
      <c r="B942" t="s">
        <v>9</v>
      </c>
      <c r="C942">
        <v>9</v>
      </c>
      <c r="D942">
        <v>2853</v>
      </c>
      <c r="E942">
        <v>2</v>
      </c>
      <c r="F942" t="s">
        <v>272</v>
      </c>
      <c r="G942">
        <v>3</v>
      </c>
      <c r="H942" t="s">
        <v>294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308</v>
      </c>
      <c r="B943" t="s">
        <v>9</v>
      </c>
      <c r="C943">
        <v>9</v>
      </c>
      <c r="D943">
        <v>2921</v>
      </c>
      <c r="E943">
        <v>0</v>
      </c>
      <c r="F943" t="s">
        <v>272</v>
      </c>
      <c r="G943">
        <v>1</v>
      </c>
      <c r="H943" t="s">
        <v>294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308</v>
      </c>
      <c r="B944" t="s">
        <v>9</v>
      </c>
      <c r="C944">
        <v>9</v>
      </c>
      <c r="D944">
        <v>2840</v>
      </c>
      <c r="E944">
        <v>0</v>
      </c>
      <c r="F944" t="s">
        <v>216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308</v>
      </c>
      <c r="B945" t="s">
        <v>9</v>
      </c>
      <c r="C945">
        <v>9</v>
      </c>
      <c r="D945">
        <v>3444</v>
      </c>
      <c r="E945">
        <v>0</v>
      </c>
      <c r="F945" t="s">
        <v>287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308</v>
      </c>
      <c r="B946" t="s">
        <v>9</v>
      </c>
      <c r="C946">
        <v>9</v>
      </c>
      <c r="D946">
        <v>2844</v>
      </c>
      <c r="E946">
        <v>0</v>
      </c>
      <c r="F946" t="s">
        <v>272</v>
      </c>
      <c r="G946">
        <v>2</v>
      </c>
      <c r="H946" t="s">
        <v>315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308</v>
      </c>
      <c r="B947" t="s">
        <v>9</v>
      </c>
      <c r="C947">
        <v>9</v>
      </c>
      <c r="D947">
        <v>2720</v>
      </c>
      <c r="E947">
        <v>0</v>
      </c>
      <c r="F947" t="s">
        <v>272</v>
      </c>
      <c r="G947">
        <v>4</v>
      </c>
      <c r="H947" t="s">
        <v>293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308</v>
      </c>
      <c r="B948" t="s">
        <v>9</v>
      </c>
      <c r="C948">
        <v>9</v>
      </c>
      <c r="D948">
        <v>2990</v>
      </c>
      <c r="E948">
        <v>1</v>
      </c>
      <c r="F948" t="s">
        <v>272</v>
      </c>
      <c r="G948">
        <v>4</v>
      </c>
      <c r="H948" t="s">
        <v>293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308</v>
      </c>
      <c r="B949" t="s">
        <v>9</v>
      </c>
      <c r="C949">
        <v>9</v>
      </c>
      <c r="D949">
        <v>2846</v>
      </c>
      <c r="E949">
        <v>4</v>
      </c>
      <c r="F949" t="s">
        <v>272</v>
      </c>
      <c r="G949">
        <v>1</v>
      </c>
      <c r="H949" t="s">
        <v>315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308</v>
      </c>
      <c r="B950" t="s">
        <v>9</v>
      </c>
      <c r="C950">
        <v>9</v>
      </c>
      <c r="D950">
        <v>2740</v>
      </c>
      <c r="E950">
        <v>1</v>
      </c>
      <c r="F950" t="s">
        <v>287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308</v>
      </c>
      <c r="B951" t="s">
        <v>9</v>
      </c>
      <c r="C951">
        <v>9</v>
      </c>
      <c r="D951">
        <v>2619</v>
      </c>
      <c r="E951">
        <v>2</v>
      </c>
      <c r="F951" t="s">
        <v>272</v>
      </c>
      <c r="G951">
        <v>1</v>
      </c>
      <c r="H951" t="s">
        <v>315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308</v>
      </c>
      <c r="B952" t="s">
        <v>9</v>
      </c>
      <c r="C952">
        <v>9</v>
      </c>
      <c r="D952">
        <v>3000</v>
      </c>
      <c r="E952">
        <v>1</v>
      </c>
      <c r="F952" t="s">
        <v>272</v>
      </c>
      <c r="G952">
        <v>2</v>
      </c>
      <c r="H952" t="s">
        <v>315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308</v>
      </c>
      <c r="B953" t="s">
        <v>9</v>
      </c>
      <c r="C953">
        <v>9</v>
      </c>
      <c r="D953">
        <v>2846</v>
      </c>
      <c r="E953">
        <v>3</v>
      </c>
      <c r="F953" t="s">
        <v>272</v>
      </c>
      <c r="G953">
        <v>4</v>
      </c>
      <c r="H953" t="s">
        <v>293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308</v>
      </c>
      <c r="B954" t="s">
        <v>9</v>
      </c>
      <c r="C954">
        <v>9</v>
      </c>
      <c r="D954">
        <v>2824</v>
      </c>
      <c r="E954">
        <v>2</v>
      </c>
      <c r="F954" t="s">
        <v>287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308</v>
      </c>
      <c r="B955" t="s">
        <v>9</v>
      </c>
      <c r="C955">
        <v>9</v>
      </c>
      <c r="D955">
        <v>3201</v>
      </c>
      <c r="E955">
        <v>0</v>
      </c>
      <c r="F955" t="s">
        <v>272</v>
      </c>
      <c r="G955">
        <v>5</v>
      </c>
      <c r="H955" t="s">
        <v>293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308</v>
      </c>
      <c r="B956" t="s">
        <v>9</v>
      </c>
      <c r="C956">
        <v>9</v>
      </c>
      <c r="D956">
        <v>2638</v>
      </c>
      <c r="E956">
        <v>0</v>
      </c>
      <c r="F956" t="s">
        <v>272</v>
      </c>
      <c r="G956">
        <v>3</v>
      </c>
      <c r="H956" t="s">
        <v>293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308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308</v>
      </c>
      <c r="B958" t="s">
        <v>9</v>
      </c>
      <c r="C958">
        <v>9</v>
      </c>
      <c r="D958">
        <v>2399</v>
      </c>
      <c r="E958">
        <v>0</v>
      </c>
      <c r="F958" t="s">
        <v>272</v>
      </c>
      <c r="G958">
        <v>3</v>
      </c>
      <c r="H958" t="s">
        <v>294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308</v>
      </c>
      <c r="B959" t="s">
        <v>9</v>
      </c>
      <c r="C959">
        <v>9</v>
      </c>
      <c r="D959">
        <v>3055</v>
      </c>
      <c r="E959">
        <v>1</v>
      </c>
      <c r="F959" t="s">
        <v>272</v>
      </c>
      <c r="G959">
        <v>1</v>
      </c>
      <c r="H959" t="s">
        <v>315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308</v>
      </c>
      <c r="B960" t="s">
        <v>9</v>
      </c>
      <c r="C960">
        <v>9</v>
      </c>
      <c r="D960">
        <v>2841</v>
      </c>
      <c r="E960">
        <v>0</v>
      </c>
      <c r="F960" t="s">
        <v>272</v>
      </c>
      <c r="G960">
        <v>5</v>
      </c>
      <c r="H960" t="s">
        <v>293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308</v>
      </c>
      <c r="B961" t="s">
        <v>9</v>
      </c>
      <c r="C961">
        <v>9</v>
      </c>
      <c r="D961">
        <v>2937</v>
      </c>
      <c r="E961">
        <v>0</v>
      </c>
      <c r="F961" t="s">
        <v>237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308</v>
      </c>
      <c r="B962" t="s">
        <v>9</v>
      </c>
      <c r="C962">
        <v>9</v>
      </c>
      <c r="D962">
        <v>2426</v>
      </c>
      <c r="E962">
        <v>0</v>
      </c>
      <c r="F962" t="s">
        <v>272</v>
      </c>
      <c r="G962">
        <v>1</v>
      </c>
      <c r="H962" t="s">
        <v>294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308</v>
      </c>
      <c r="B963" t="s">
        <v>9</v>
      </c>
      <c r="C963">
        <v>9</v>
      </c>
      <c r="D963">
        <v>2552</v>
      </c>
      <c r="E963">
        <v>1</v>
      </c>
      <c r="F963" t="s">
        <v>272</v>
      </c>
      <c r="G963">
        <v>3</v>
      </c>
      <c r="H963" t="s">
        <v>315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308</v>
      </c>
      <c r="B964" t="s">
        <v>9</v>
      </c>
      <c r="C964">
        <v>9</v>
      </c>
      <c r="D964">
        <v>2771</v>
      </c>
      <c r="E964">
        <v>2</v>
      </c>
      <c r="F964" t="s">
        <v>272</v>
      </c>
      <c r="G964">
        <v>1</v>
      </c>
      <c r="H964" t="s">
        <v>315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308</v>
      </c>
      <c r="B965" t="s">
        <v>9</v>
      </c>
      <c r="C965">
        <v>9</v>
      </c>
      <c r="D965">
        <v>2652</v>
      </c>
      <c r="E965">
        <v>2</v>
      </c>
      <c r="F965" t="s">
        <v>272</v>
      </c>
      <c r="G965">
        <v>4</v>
      </c>
      <c r="H965" t="s">
        <v>293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308</v>
      </c>
      <c r="B966" t="s">
        <v>9</v>
      </c>
      <c r="C966">
        <v>9</v>
      </c>
      <c r="D966">
        <v>2708</v>
      </c>
      <c r="E966">
        <v>0</v>
      </c>
      <c r="F966" t="s">
        <v>272</v>
      </c>
      <c r="G966">
        <v>1</v>
      </c>
      <c r="H966" t="s">
        <v>294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308</v>
      </c>
      <c r="B967" t="s">
        <v>9</v>
      </c>
      <c r="C967">
        <v>9</v>
      </c>
      <c r="D967">
        <v>2684</v>
      </c>
      <c r="E967">
        <v>1</v>
      </c>
      <c r="F967" t="s">
        <v>272</v>
      </c>
      <c r="G967">
        <v>1</v>
      </c>
      <c r="H967" t="s">
        <v>294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308</v>
      </c>
      <c r="B968" t="s">
        <v>9</v>
      </c>
      <c r="C968">
        <v>9</v>
      </c>
      <c r="D968">
        <v>3108</v>
      </c>
      <c r="E968">
        <v>3</v>
      </c>
      <c r="F968" t="s">
        <v>272</v>
      </c>
      <c r="G968">
        <v>4</v>
      </c>
      <c r="H968" t="s">
        <v>293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308</v>
      </c>
      <c r="B969" t="s">
        <v>9</v>
      </c>
      <c r="C969">
        <v>9</v>
      </c>
      <c r="D969">
        <v>2839</v>
      </c>
      <c r="E969">
        <v>1</v>
      </c>
      <c r="F969" t="s">
        <v>272</v>
      </c>
      <c r="G969">
        <v>1</v>
      </c>
      <c r="H969" t="s">
        <v>294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274</v>
      </c>
      <c r="G989">
        <v>5</v>
      </c>
      <c r="H989" t="s">
        <v>293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281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281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281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281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314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314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281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281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314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281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281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281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281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314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281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281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314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314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314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281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1725</v>
      </c>
      <c r="L1017" s="49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314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281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11500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281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281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281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281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281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281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314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314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  <c r="M1039" t="s">
        <v>214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314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314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281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281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281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281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281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314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281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314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281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281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281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314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281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341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281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309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309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309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309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309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309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309</v>
      </c>
      <c r="B1071" t="s">
        <v>32</v>
      </c>
      <c r="C1071">
        <v>5</v>
      </c>
      <c r="D1071">
        <v>1020</v>
      </c>
      <c r="E1071">
        <v>1</v>
      </c>
      <c r="F1071" t="s">
        <v>287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309</v>
      </c>
      <c r="B1072" t="s">
        <v>32</v>
      </c>
      <c r="C1072">
        <v>5</v>
      </c>
      <c r="D1072">
        <v>1937</v>
      </c>
      <c r="E1072">
        <v>1</v>
      </c>
      <c r="F1072" t="s">
        <v>287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309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309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309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309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11500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342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342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342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342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342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342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342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342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309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309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309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309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309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309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309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309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309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309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309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309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309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tabSelected="1" topLeftCell="A10" zoomScale="85" zoomScaleNormal="85" workbookViewId="0">
      <selection activeCell="D28" sqref="D26:D28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63" t="s">
        <v>242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5"/>
    </row>
    <row r="3" spans="1:16" ht="15">
      <c r="A3" s="37" t="s">
        <v>220</v>
      </c>
      <c r="B3" s="36" t="s">
        <v>235</v>
      </c>
      <c r="C3" s="36" t="s">
        <v>241</v>
      </c>
      <c r="D3" s="36" t="s">
        <v>225</v>
      </c>
      <c r="E3" s="36" t="s">
        <v>235</v>
      </c>
      <c r="F3" s="36" t="s">
        <v>241</v>
      </c>
      <c r="G3" s="36" t="s">
        <v>230</v>
      </c>
      <c r="H3" s="36" t="s">
        <v>235</v>
      </c>
      <c r="I3" s="36" t="s">
        <v>241</v>
      </c>
      <c r="J3" s="57"/>
      <c r="K3" s="36" t="s">
        <v>235</v>
      </c>
      <c r="L3" s="58" t="s">
        <v>241</v>
      </c>
    </row>
    <row r="4" spans="1:16">
      <c r="A4" s="5" t="s">
        <v>223</v>
      </c>
      <c r="B4" s="6" t="s">
        <v>236</v>
      </c>
      <c r="C4" s="6" t="s">
        <v>214</v>
      </c>
      <c r="D4" s="6" t="s">
        <v>226</v>
      </c>
      <c r="E4" s="6" t="s">
        <v>236</v>
      </c>
      <c r="F4" s="6"/>
      <c r="G4" s="6" t="s">
        <v>231</v>
      </c>
      <c r="H4" s="6" t="s">
        <v>236</v>
      </c>
      <c r="I4" s="62" t="s">
        <v>214</v>
      </c>
      <c r="J4" s="59" t="s">
        <v>239</v>
      </c>
      <c r="K4" s="59" t="s">
        <v>34</v>
      </c>
      <c r="L4" s="60" t="s">
        <v>214</v>
      </c>
    </row>
    <row r="5" spans="1:16">
      <c r="A5" s="5" t="s">
        <v>222</v>
      </c>
      <c r="B5" s="6" t="s">
        <v>237</v>
      </c>
      <c r="C5" s="6" t="s">
        <v>214</v>
      </c>
      <c r="D5" s="6" t="s">
        <v>227</v>
      </c>
      <c r="E5" s="6" t="s">
        <v>237</v>
      </c>
      <c r="F5" s="62" t="s">
        <v>214</v>
      </c>
      <c r="G5" s="6" t="s">
        <v>232</v>
      </c>
      <c r="H5" s="6" t="s">
        <v>34</v>
      </c>
      <c r="I5" s="6" t="s">
        <v>214</v>
      </c>
      <c r="J5" s="6"/>
      <c r="K5" s="6"/>
      <c r="L5" s="61"/>
    </row>
    <row r="6" spans="1:16">
      <c r="A6" s="5" t="s">
        <v>221</v>
      </c>
      <c r="B6" s="6" t="s">
        <v>237</v>
      </c>
      <c r="C6" s="62" t="s">
        <v>214</v>
      </c>
      <c r="D6" s="6" t="s">
        <v>228</v>
      </c>
      <c r="E6" s="6" t="s">
        <v>237</v>
      </c>
      <c r="F6" s="6" t="s">
        <v>214</v>
      </c>
      <c r="G6" s="6" t="s">
        <v>233</v>
      </c>
      <c r="H6" s="6" t="s">
        <v>236</v>
      </c>
      <c r="I6" s="62" t="s">
        <v>214</v>
      </c>
      <c r="J6" s="6"/>
      <c r="K6" s="6"/>
      <c r="L6" s="61"/>
    </row>
    <row r="7" spans="1:16" ht="15" thickBot="1">
      <c r="A7" s="7" t="s">
        <v>224</v>
      </c>
      <c r="B7" s="8" t="s">
        <v>240</v>
      </c>
      <c r="C7" s="8" t="s">
        <v>214</v>
      </c>
      <c r="D7" s="8" t="s">
        <v>229</v>
      </c>
      <c r="E7" s="8" t="s">
        <v>238</v>
      </c>
      <c r="F7" s="8" t="s">
        <v>214</v>
      </c>
      <c r="G7" s="8" t="s">
        <v>234</v>
      </c>
      <c r="H7" s="8" t="s">
        <v>238</v>
      </c>
      <c r="I7" s="8" t="s">
        <v>214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6" t="s">
        <v>243</v>
      </c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8"/>
    </row>
    <row r="10" spans="1:16" ht="15">
      <c r="A10" s="37" t="s">
        <v>244</v>
      </c>
      <c r="B10" s="36" t="s">
        <v>235</v>
      </c>
      <c r="C10" s="36" t="s">
        <v>241</v>
      </c>
      <c r="D10" s="72" t="s">
        <v>245</v>
      </c>
      <c r="E10" s="71" t="s">
        <v>235</v>
      </c>
      <c r="F10" s="71" t="s">
        <v>241</v>
      </c>
      <c r="G10" s="71" t="s">
        <v>246</v>
      </c>
      <c r="H10" s="71" t="s">
        <v>235</v>
      </c>
      <c r="I10" s="71" t="s">
        <v>241</v>
      </c>
      <c r="J10" s="71" t="s">
        <v>191</v>
      </c>
      <c r="K10" s="71"/>
      <c r="L10" s="71" t="s">
        <v>235</v>
      </c>
      <c r="M10" s="71" t="s">
        <v>241</v>
      </c>
      <c r="N10" s="65"/>
      <c r="O10" s="71" t="s">
        <v>235</v>
      </c>
      <c r="P10" s="73" t="s">
        <v>241</v>
      </c>
    </row>
    <row r="11" spans="1:16">
      <c r="A11" s="5" t="s">
        <v>260</v>
      </c>
      <c r="B11" s="6" t="s">
        <v>237</v>
      </c>
      <c r="C11" s="74" t="s">
        <v>214</v>
      </c>
      <c r="D11" s="69" t="s">
        <v>247</v>
      </c>
      <c r="E11" s="65" t="s">
        <v>237</v>
      </c>
      <c r="F11" s="65" t="s">
        <v>214</v>
      </c>
      <c r="G11" s="65" t="s">
        <v>251</v>
      </c>
      <c r="H11" s="65" t="s">
        <v>34</v>
      </c>
      <c r="I11" s="65" t="s">
        <v>214</v>
      </c>
      <c r="J11" s="65" t="s">
        <v>255</v>
      </c>
      <c r="K11" s="65"/>
      <c r="L11" s="65" t="s">
        <v>34</v>
      </c>
      <c r="M11" s="65"/>
      <c r="N11" s="65" t="s">
        <v>259</v>
      </c>
      <c r="O11" s="65"/>
      <c r="P11" s="66" t="s">
        <v>214</v>
      </c>
    </row>
    <row r="12" spans="1:16">
      <c r="A12" s="5" t="s">
        <v>261</v>
      </c>
      <c r="B12" s="6" t="s">
        <v>34</v>
      </c>
      <c r="C12" s="74" t="s">
        <v>214</v>
      </c>
      <c r="D12" s="69" t="s">
        <v>248</v>
      </c>
      <c r="E12" s="65" t="s">
        <v>34</v>
      </c>
      <c r="F12" s="65" t="s">
        <v>214</v>
      </c>
      <c r="G12" s="65" t="s">
        <v>252</v>
      </c>
      <c r="H12" s="65" t="s">
        <v>236</v>
      </c>
      <c r="I12" s="65" t="s">
        <v>214</v>
      </c>
      <c r="J12" s="65" t="s">
        <v>256</v>
      </c>
      <c r="K12" s="65"/>
      <c r="L12" s="65" t="s">
        <v>236</v>
      </c>
      <c r="M12" s="65" t="s">
        <v>214</v>
      </c>
      <c r="N12" s="65"/>
      <c r="O12" s="65"/>
      <c r="P12" s="66"/>
    </row>
    <row r="13" spans="1:16">
      <c r="A13" s="5" t="s">
        <v>262</v>
      </c>
      <c r="B13" s="6" t="s">
        <v>237</v>
      </c>
      <c r="C13" s="74" t="s">
        <v>214</v>
      </c>
      <c r="D13" s="69" t="s">
        <v>249</v>
      </c>
      <c r="E13" s="65" t="s">
        <v>237</v>
      </c>
      <c r="F13" s="65" t="s">
        <v>214</v>
      </c>
      <c r="G13" s="65" t="s">
        <v>253</v>
      </c>
      <c r="H13" s="65" t="s">
        <v>237</v>
      </c>
      <c r="I13" s="65" t="s">
        <v>214</v>
      </c>
      <c r="J13" s="65" t="s">
        <v>257</v>
      </c>
      <c r="K13" s="65"/>
      <c r="L13" s="65" t="s">
        <v>236</v>
      </c>
      <c r="M13" s="65" t="s">
        <v>214</v>
      </c>
      <c r="N13" s="65"/>
      <c r="O13" s="65"/>
      <c r="P13" s="66"/>
    </row>
    <row r="14" spans="1:16" ht="15" thickBot="1">
      <c r="A14" s="7" t="s">
        <v>263</v>
      </c>
      <c r="B14" s="8" t="s">
        <v>236</v>
      </c>
      <c r="C14" s="75" t="s">
        <v>214</v>
      </c>
      <c r="D14" s="70" t="s">
        <v>250</v>
      </c>
      <c r="E14" s="67" t="s">
        <v>264</v>
      </c>
      <c r="F14" s="67" t="s">
        <v>214</v>
      </c>
      <c r="G14" s="67" t="s">
        <v>254</v>
      </c>
      <c r="H14" s="67" t="s">
        <v>264</v>
      </c>
      <c r="I14" s="67" t="s">
        <v>214</v>
      </c>
      <c r="J14" s="67" t="s">
        <v>258</v>
      </c>
      <c r="K14" s="67"/>
      <c r="L14" s="67" t="s">
        <v>264</v>
      </c>
      <c r="M14" s="67" t="s">
        <v>214</v>
      </c>
      <c r="N14" s="67"/>
      <c r="O14" s="67"/>
      <c r="P14" s="68"/>
    </row>
    <row r="17" spans="1:20" ht="15" thickBot="1"/>
    <row r="18" spans="1:20" ht="15" thickBot="1">
      <c r="F18" s="169" t="s">
        <v>271</v>
      </c>
      <c r="G18" s="170"/>
      <c r="H18" s="171"/>
      <c r="I18" s="172" t="s">
        <v>272</v>
      </c>
      <c r="J18" s="173"/>
      <c r="K18" s="174"/>
      <c r="L18" s="175" t="s">
        <v>18</v>
      </c>
      <c r="M18" s="176"/>
      <c r="N18" s="177"/>
      <c r="O18" s="178" t="s">
        <v>274</v>
      </c>
      <c r="P18" s="179"/>
      <c r="Q18" s="180"/>
      <c r="R18" s="160" t="s">
        <v>273</v>
      </c>
      <c r="S18" s="161"/>
      <c r="T18" s="162"/>
    </row>
    <row r="19" spans="1:20" ht="15.75" thickBot="1">
      <c r="C19" s="37" t="s">
        <v>267</v>
      </c>
      <c r="D19" s="36" t="s">
        <v>268</v>
      </c>
      <c r="E19" s="58" t="s">
        <v>269</v>
      </c>
      <c r="F19" s="91" t="s">
        <v>275</v>
      </c>
      <c r="G19" s="92" t="s">
        <v>316</v>
      </c>
      <c r="H19" s="93" t="s">
        <v>276</v>
      </c>
      <c r="I19" s="99" t="s">
        <v>275</v>
      </c>
      <c r="J19" s="100" t="s">
        <v>316</v>
      </c>
      <c r="K19" s="101" t="s">
        <v>276</v>
      </c>
      <c r="L19" s="107" t="s">
        <v>275</v>
      </c>
      <c r="M19" s="108" t="s">
        <v>316</v>
      </c>
      <c r="N19" s="109" t="s">
        <v>276</v>
      </c>
      <c r="O19" s="125" t="s">
        <v>275</v>
      </c>
      <c r="P19" s="126" t="s">
        <v>316</v>
      </c>
      <c r="Q19" s="127" t="s">
        <v>276</v>
      </c>
      <c r="R19" s="115" t="s">
        <v>275</v>
      </c>
      <c r="S19" s="116" t="s">
        <v>316</v>
      </c>
      <c r="T19" s="117" t="s">
        <v>276</v>
      </c>
    </row>
    <row r="20" spans="1:20" ht="15">
      <c r="A20" s="76" t="s">
        <v>270</v>
      </c>
      <c r="B20" s="81" t="s">
        <v>245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270</v>
      </c>
      <c r="B21" s="82" t="s">
        <v>247</v>
      </c>
      <c r="C21" s="5" t="s">
        <v>214</v>
      </c>
      <c r="D21" s="69" t="s">
        <v>350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270</v>
      </c>
      <c r="B22" s="82" t="s">
        <v>248</v>
      </c>
      <c r="C22" s="5" t="s">
        <v>214</v>
      </c>
      <c r="D22" s="69" t="s">
        <v>350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270</v>
      </c>
      <c r="B23" s="82" t="s">
        <v>249</v>
      </c>
      <c r="C23" s="5" t="s">
        <v>214</v>
      </c>
      <c r="D23" s="82" t="s">
        <v>351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270</v>
      </c>
      <c r="B24" s="83" t="s">
        <v>250</v>
      </c>
      <c r="C24" s="5" t="s">
        <v>214</v>
      </c>
      <c r="D24" s="69" t="s">
        <v>350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270</v>
      </c>
      <c r="B25" s="81" t="s">
        <v>246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270</v>
      </c>
      <c r="B26" s="82" t="s">
        <v>251</v>
      </c>
      <c r="C26" s="5" t="s">
        <v>214</v>
      </c>
      <c r="D26" s="82" t="s">
        <v>279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270</v>
      </c>
      <c r="B27" s="82" t="s">
        <v>252</v>
      </c>
      <c r="C27" s="5" t="s">
        <v>214</v>
      </c>
      <c r="D27" s="82" t="s">
        <v>279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270</v>
      </c>
      <c r="B28" s="82" t="s">
        <v>253</v>
      </c>
      <c r="C28" s="5" t="s">
        <v>214</v>
      </c>
      <c r="D28" s="82" t="s">
        <v>279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270</v>
      </c>
      <c r="B29" s="83" t="s">
        <v>254</v>
      </c>
      <c r="C29" s="5" t="s">
        <v>214</v>
      </c>
      <c r="D29" s="69" t="s">
        <v>350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270</v>
      </c>
      <c r="B30" s="81" t="s">
        <v>191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270</v>
      </c>
      <c r="B31" s="148" t="s">
        <v>255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270</v>
      </c>
      <c r="B32" s="82" t="s">
        <v>256</v>
      </c>
      <c r="C32" s="5" t="s">
        <v>214</v>
      </c>
      <c r="D32" s="82" t="s">
        <v>279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270</v>
      </c>
      <c r="B33" s="82" t="s">
        <v>257</v>
      </c>
      <c r="C33" s="5" t="s">
        <v>214</v>
      </c>
      <c r="D33" s="82" t="s">
        <v>279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270</v>
      </c>
      <c r="B34" s="83" t="s">
        <v>258</v>
      </c>
      <c r="C34" s="5" t="s">
        <v>214</v>
      </c>
      <c r="D34" s="69" t="s">
        <v>350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270</v>
      </c>
      <c r="B35" s="84" t="s">
        <v>259</v>
      </c>
      <c r="C35" s="7" t="s">
        <v>214</v>
      </c>
      <c r="D35" s="70" t="s">
        <v>350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277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278</v>
      </c>
      <c r="F37" s="95">
        <v>267</v>
      </c>
      <c r="G37" s="95">
        <v>65</v>
      </c>
      <c r="H37" s="95">
        <v>27</v>
      </c>
      <c r="I37" s="103">
        <v>121</v>
      </c>
      <c r="J37" s="103">
        <v>66</v>
      </c>
      <c r="K37" s="103">
        <v>37</v>
      </c>
      <c r="L37" s="111">
        <v>120</v>
      </c>
      <c r="M37" s="111">
        <v>63</v>
      </c>
      <c r="N37" s="111">
        <v>29</v>
      </c>
      <c r="O37" s="129">
        <v>187</v>
      </c>
      <c r="P37" s="129">
        <v>28</v>
      </c>
      <c r="Q37" s="129">
        <v>25</v>
      </c>
      <c r="R37" s="119">
        <v>19</v>
      </c>
      <c r="S37" s="119">
        <v>16</v>
      </c>
      <c r="T37" s="120">
        <v>6</v>
      </c>
    </row>
    <row r="38" spans="1:21" ht="15.75" thickBot="1">
      <c r="E38" s="86" t="s">
        <v>123</v>
      </c>
      <c r="F38" s="98">
        <f>MAXA(F36-F37,0)</f>
        <v>0</v>
      </c>
      <c r="G38" s="98">
        <f t="shared" ref="G38:T38" si="1">MAXA(G36-G37,0)</f>
        <v>0</v>
      </c>
      <c r="H38" s="98">
        <f t="shared" si="1"/>
        <v>0</v>
      </c>
      <c r="I38" s="106">
        <f t="shared" si="1"/>
        <v>0</v>
      </c>
      <c r="J38" s="106">
        <f t="shared" si="1"/>
        <v>0</v>
      </c>
      <c r="K38" s="106">
        <f t="shared" si="1"/>
        <v>0</v>
      </c>
      <c r="L38" s="114">
        <f t="shared" si="1"/>
        <v>0</v>
      </c>
      <c r="M38" s="114">
        <f t="shared" si="1"/>
        <v>2</v>
      </c>
      <c r="N38" s="114">
        <f t="shared" si="1"/>
        <v>0</v>
      </c>
      <c r="O38" s="132">
        <f t="shared" si="1"/>
        <v>0</v>
      </c>
      <c r="P38" s="132">
        <f t="shared" si="1"/>
        <v>104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8" t="s">
        <v>304</v>
      </c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9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0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0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3.5820895522388061</v>
      </c>
      <c r="N40" s="136">
        <f>N$38/VLOOKUP(N$19,Tabela11[#All],6,FALSE)</f>
        <v>0</v>
      </c>
      <c r="O40" s="136">
        <f>O$38/VLOOKUP(O$19,Tabela11[#All],6,FALSE)</f>
        <v>0</v>
      </c>
      <c r="P40" s="136">
        <f>P$38/VLOOKUP(P$19,Tabela11[#All],6,FALSE)</f>
        <v>186.26865671641789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0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0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9.1428571428571423</v>
      </c>
      <c r="N41" s="136">
        <f>N$38/VLOOKUP(N$19,Tabela11[#All],5,FALSE)</f>
        <v>0</v>
      </c>
      <c r="O41" s="136">
        <f>O$38/VLOOKUP(O$19,Tabela11[#All],5,FALSE)</f>
        <v>0</v>
      </c>
      <c r="P41" s="136">
        <f>P$38/VLOOKUP(P$19,Tabela11[#All],5,FALSE)</f>
        <v>475.42857142857144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0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0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3.6216216216216215</v>
      </c>
      <c r="N42" s="138">
        <f>N$38/VLOOKUP(N$19,Tabela11[#All],4,FALSE)</f>
        <v>0</v>
      </c>
      <c r="O42" s="138">
        <f>O$38/VLOOKUP(O$19,Tabela11[#All],4,FALSE)</f>
        <v>0</v>
      </c>
      <c r="P42" s="138">
        <f>P$38/VLOOKUP(P$19,Tabela11[#All],4,FALSE)</f>
        <v>188.32432432432432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55" t="s">
        <v>303</v>
      </c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7"/>
      <c r="U44" s="140" t="s">
        <v>305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0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0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22.280597014925373</v>
      </c>
      <c r="N45" s="144">
        <f>N$38/VLOOKUP(N$19,Tabela11[#All],6,FALSE)*(7-12*0.065)</f>
        <v>0</v>
      </c>
      <c r="O45" s="144">
        <f>O$38/VLOOKUP(O$19,Tabela11[#All],6,FALSE)*(7-12*0.065)</f>
        <v>0</v>
      </c>
      <c r="P45" s="144">
        <f>P$38/VLOOKUP(P$19,Tabela11[#All],6,FALSE)*(7-12*0.065)</f>
        <v>1158.5910447761194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1180.8716417910448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0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0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56.868571428571421</v>
      </c>
      <c r="N46" s="144">
        <f>N$38/VLOOKUP(N$19,Tabela11[#All],5,FALSE)*(7-12*0.065)</f>
        <v>0</v>
      </c>
      <c r="O46" s="144">
        <f>O$38/VLOOKUP(O$19,Tabela11[#All],5,FALSE)*(7-12*0.065)</f>
        <v>0</v>
      </c>
      <c r="P46" s="144">
        <f>P$38/VLOOKUP(P$19,Tabela11[#All],5,FALSE)*(7-12*0.065)</f>
        <v>2957.1657142857143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3014.0342857142859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0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0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18.904864864864862</v>
      </c>
      <c r="N47" s="146">
        <f>N$38/VLOOKUP(N$19,Tabela11[#All],4,FALSE)*(6-12*0.065)</f>
        <v>0</v>
      </c>
      <c r="O47" s="146">
        <f>O$38/VLOOKUP(O$19,Tabela11[#All],4,FALSE)*(6-12*0.065)</f>
        <v>0</v>
      </c>
      <c r="P47" s="146">
        <f>P$38/VLOOKUP(P$19,Tabela11[#All],4,FALSE)*(6-12*0.065)</f>
        <v>983.05297297297295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1001.9578378378378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183</v>
      </c>
      <c r="J1" s="85" t="s">
        <v>22</v>
      </c>
      <c r="K1" s="85" t="s">
        <v>56</v>
      </c>
      <c r="L1" s="85" t="s">
        <v>55</v>
      </c>
      <c r="M1" s="85" t="s">
        <v>187</v>
      </c>
      <c r="N1" s="85" t="s">
        <v>184</v>
      </c>
      <c r="O1" s="85" t="s">
        <v>189</v>
      </c>
      <c r="P1" s="85" t="s">
        <v>24</v>
      </c>
      <c r="Q1" s="85" t="s">
        <v>265</v>
      </c>
      <c r="R1" s="85" t="s">
        <v>280</v>
      </c>
      <c r="S1" s="85" t="s">
        <v>137</v>
      </c>
      <c r="T1" s="85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6">
        <f>LocFeatures[[#This Row],[Drop worth gain]]/(LocFeatures[[#This Row],[E. Cost]]-LocFeatures[[#This Row],[Energy gain]])</f>
        <v>1304.141304347826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1360.1739130434783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342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6">
        <f>AVERAGEIFS(DropAnalityka[Exp Gain],DropAnalityka[Location],LocFeatures[[#This Row],[Location]],DropAnalityka[LVL],LocFeatures[[#This Row],[LVL]],DropAnalityka[Stage],LocFeatures[[#This Row],[Stage]])</f>
        <v>0</v>
      </c>
      <c r="N3" s="56">
        <f>LocFeatures[[#This Row],[Drop worth gain]]/(LocFeatures[[#This Row],[E. Cost]]-LocFeatures[[#This Row],[Energy gain]])</f>
        <v>1138.4000000000001</v>
      </c>
      <c r="O3" s="56">
        <f>LocFeatures[[#This Row],[XP Train Gain]]/(LocFeatures[[#This Row],[E. Cost]]-LocFeatures[[#This Row],[Energy gain]])</f>
        <v>1097.28</v>
      </c>
      <c r="P3" s="56">
        <f>(LocFeatures[[#This Row],[XP Train Gain]]+LocFeatures[[#This Row],[XP drop]])/(LocFeatures[[#This Row],[E. Cost]]-LocFeatures[[#This Row],[Energy gain]])</f>
        <v>1097.28</v>
      </c>
      <c r="Q3" s="49">
        <f>COUNTIFS(DropAnalityka[Location],LocFeatures[[#This Row],[Location]],DropAnalityka[LVL],LocFeatures[[#This Row],[LVL]],DropAnalityka[Stage],LocFeatures[[#This Row],[Stage]])</f>
        <v>8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6">
        <f>AVERAGEIFS(DropAnalityka[Exp Gain],DropAnalityka[Location],LocFeatures[[#This Row],[Location]],DropAnalityka[LVL],LocFeatures[[#This Row],[LVL]],DropAnalityka[Stage],LocFeatures[[#This Row],[Stage]])</f>
        <v>175</v>
      </c>
      <c r="N4" s="56">
        <f>LocFeatures[[#This Row],[Drop worth gain]]/(LocFeatures[[#This Row],[E. Cost]]-LocFeatures[[#This Row],[Energy gain]])</f>
        <v>1585.3940886699506</v>
      </c>
      <c r="O4" s="56">
        <f>LocFeatures[[#This Row],[XP Train Gain]]/(LocFeatures[[#This Row],[E. Cost]]-LocFeatures[[#This Row],[Energy gain]])</f>
        <v>1133.5566502463053</v>
      </c>
      <c r="P4" s="56">
        <f>(LocFeatures[[#This Row],[XP Train Gain]]+LocFeatures[[#This Row],[XP drop]])/(LocFeatures[[#This Row],[E. Cost]]-LocFeatures[[#This Row],[Energy gain]])</f>
        <v>1216.3152709359606</v>
      </c>
      <c r="Q4" s="53">
        <f>COUNTIFS(DropAnalityka[Location],LocFeatures[[#This Row],[Location]],DropAnalityka[LVL],LocFeatures[[#This Row],[LVL]],DropAnalityka[Stage],LocFeatures[[#This Row],[Stage]])</f>
        <v>96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6">
        <f>LocFeatures[[#This Row],[Drop worth gain]]/(LocFeatures[[#This Row],[E. Cost]]-LocFeatures[[#This Row],[Energy gain]])</f>
        <v>1353.124060150376</v>
      </c>
      <c r="O5" s="56">
        <f>LocFeatures[[#This Row],[XP Train Gain]]/(LocFeatures[[#This Row],[E. Cost]]-LocFeatures[[#This Row],[Energy gain]])</f>
        <v>1252.015037593985</v>
      </c>
      <c r="P5" s="56">
        <f>(LocFeatures[[#This Row],[XP Train Gain]]+LocFeatures[[#This Row],[XP drop]])/(LocFeatures[[#This Row],[E. Cost]]-LocFeatures[[#This Row],[Energy gain]])</f>
        <v>1494.9548872180453</v>
      </c>
      <c r="Q5" s="49">
        <f>COUNTIFS(DropAnalityka[Location],LocFeatures[[#This Row],[Location]],DropAnalityka[LVL],LocFeatures[[#This Row],[LVL]],DropAnalityka[Stage],LocFeatures[[#This Row],[Stage]])</f>
        <v>87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266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6">
        <f>AVERAGEIFS(DropAnalityka[Exp Gain],DropAnalityka[Location],LocFeatures[[#This Row],[Location]],DropAnalityka[LVL],LocFeatures[[#This Row],[LVL]],DropAnalityka[Stage],LocFeatures[[#This Row],[Stage]])</f>
        <v>0</v>
      </c>
      <c r="N6" s="56">
        <f>LocFeatures[[#This Row],[Drop worth gain]]/(LocFeatures[[#This Row],[E. Cost]]-LocFeatures[[#This Row],[Energy gain]])</f>
        <v>1130.6666666666667</v>
      </c>
      <c r="O6" s="56">
        <f>LocFeatures[[#This Row],[XP Train Gain]]/(LocFeatures[[#This Row],[E. Cost]]-LocFeatures[[#This Row],[Energy gain]])</f>
        <v>804</v>
      </c>
      <c r="P6" s="56">
        <f>(LocFeatures[[#This Row],[XP Train Gain]]+LocFeatures[[#This Row],[XP drop]])/(LocFeatures[[#This Row],[E. Cost]]-LocFeatures[[#This Row],[Energy gain]])</f>
        <v>804</v>
      </c>
      <c r="Q6" s="53">
        <f>COUNTIFS(DropAnalityka[Location],LocFeatures[[#This Row],[Location]],DropAnalityka[LVL],LocFeatures[[#This Row],[LVL]],DropAnalityka[Stage],LocFeatures[[#This Row],[Stage]])</f>
        <v>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6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6">
        <f>LocFeatures[[#This Row],[Drop worth gain]]/(LocFeatures[[#This Row],[E. Cost]]-LocFeatures[[#This Row],[Energy gain]])</f>
        <v>1251.0058139534883</v>
      </c>
      <c r="O7" s="56">
        <f>LocFeatures[[#This Row],[XP Train Gain]]/(LocFeatures[[#This Row],[E. Cost]]-LocFeatures[[#This Row],[Energy gain]])</f>
        <v>1068.0697674418604</v>
      </c>
      <c r="P7" s="56">
        <f>(LocFeatures[[#This Row],[XP Train Gain]]+LocFeatures[[#This Row],[XP drop]])/(LocFeatures[[#This Row],[E. Cost]]-LocFeatures[[#This Row],[Energy gain]])</f>
        <v>1175.0465116279067</v>
      </c>
      <c r="Q7" s="53">
        <f>COUNTIFS(DropAnalityka[Location],LocFeatures[[#This Row],[Location]],DropAnalityka[LVL],LocFeatures[[#This Row],[LVL]],DropAnalityka[Stage],LocFeatures[[#This Row],[Stage]])</f>
        <v>81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6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6">
        <f>LocFeatures[[#This Row],[Drop worth gain]]/(LocFeatures[[#This Row],[E. Cost]]-LocFeatures[[#This Row],[Energy gain]])</f>
        <v>1594.1376811594205</v>
      </c>
      <c r="O8" s="56">
        <f>LocFeatures[[#This Row],[XP Train Gain]]/(LocFeatures[[#This Row],[E. Cost]]-LocFeatures[[#This Row],[Energy gain]])</f>
        <v>1192.7826086956522</v>
      </c>
      <c r="P8" s="56">
        <f>(LocFeatures[[#This Row],[XP Train Gain]]+LocFeatures[[#This Row],[XP drop]])/(LocFeatures[[#This Row],[E. Cost]]-LocFeatures[[#This Row],[Energy gain]])</f>
        <v>1521.9275362318842</v>
      </c>
      <c r="Q8" s="53">
        <f>COUNTIFS(DropAnalityka[Location],LocFeatures[[#This Row],[Location]],DropAnalityka[LVL],LocFeatures[[#This Row],[LVL]],DropAnalityka[Stage],LocFeatures[[#This Row],[Stage]])</f>
        <v>43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988</v>
      </c>
      <c r="O9" s="56">
        <f>LocFeatures[[#This Row],[XP Train Gain]]/(LocFeatures[[#This Row],[E. Cost]]-LocFeatures[[#This Row],[Energy gain]])</f>
        <v>804</v>
      </c>
      <c r="P9" s="56">
        <f>(LocFeatures[[#This Row],[XP Train Gain]]+LocFeatures[[#This Row],[XP drop]])/(LocFeatures[[#This Row],[E. Cost]]-LocFeatures[[#This Row],[Energy gain]])</f>
        <v>804</v>
      </c>
      <c r="Q9" s="53">
        <f>COUNTIFS(DropAnalityka[Location],LocFeatures[[#This Row],[Location]],DropAnalityka[LVL],LocFeatures[[#This Row],[LVL]],DropAnalityka[Stage],LocFeatures[[#This Row],[Stage]])</f>
        <v>2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6">
        <f>AVERAGEIFS(DropAnalityka[Exp Gain],DropAnalityka[Location],LocFeatures[[#This Row],[Location]],DropAnalityka[LVL],LocFeatures[[#This Row],[LVL]],DropAnalityka[Stage],LocFeatures[[#This Row],[Stage]])</f>
        <v>947.822</v>
      </c>
      <c r="N10" s="56">
        <f>LocFeatures[[#This Row],[Drop worth gain]]/(LocFeatures[[#This Row],[E. Cost]]-LocFeatures[[#This Row],[Energy gain]])</f>
        <v>1215.4489795918366</v>
      </c>
      <c r="O10" s="56">
        <f>LocFeatures[[#This Row],[XP Train Gain]]/(LocFeatures[[#This Row],[E. Cost]]-LocFeatures[[#This Row],[Energy gain]])</f>
        <v>0</v>
      </c>
      <c r="P10" s="56">
        <f>(LocFeatures[[#This Row],[XP Train Gain]]+LocFeatures[[#This Row],[XP drop]])/(LocFeatures[[#This Row],[E. Cost]]-LocFeatures[[#This Row],[Energy gain]])</f>
        <v>193.43306122448979</v>
      </c>
      <c r="Q10" s="53">
        <f>COUNTIFS(DropAnalityka[Location],LocFeatures[[#This Row],[Location]],DropAnalityka[LVL],LocFeatures[[#This Row],[LVL]],DropAnalityka[Stage],LocFeatures[[#This Row],[Stage]])</f>
        <v>50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237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6">
        <f>LocFeatures[[#This Row],[Drop worth gain]]/(LocFeatures[[#This Row],[E. Cost]]-LocFeatures[[#This Row],[Energy gain]])</f>
        <v>1846.9</v>
      </c>
      <c r="O11" s="56">
        <f>LocFeatures[[#This Row],[XP Train Gain]]/(LocFeatures[[#This Row],[E. Cost]]-LocFeatures[[#This Row],[Energy gain]])</f>
        <v>0</v>
      </c>
      <c r="P11" s="56">
        <f>(LocFeatures[[#This Row],[XP Train Gain]]+LocFeatures[[#This Row],[XP drop]])/(LocFeatures[[#This Row],[E. Cost]]-LocFeatures[[#This Row],[Energy gain]])</f>
        <v>716.44</v>
      </c>
      <c r="Q11" s="49">
        <f>COUNTIFS(DropAnalityka[Location],LocFeatures[[#This Row],[Location]],DropAnalityka[LVL],LocFeatures[[#This Row],[LVL]],DropAnalityka[Stage],LocFeatures[[#This Row],[Stage]])</f>
        <v>8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309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732.01886792452831</v>
      </c>
      <c r="O12" s="56">
        <f>LocFeatures[[#This Row],[XP Train Gain]]/(LocFeatures[[#This Row],[E. Cost]]-LocFeatures[[#This Row],[Energy gain]])</f>
        <v>1324.5283018867926</v>
      </c>
      <c r="P12" s="56">
        <f>(LocFeatures[[#This Row],[XP Train Gain]]+LocFeatures[[#This Row],[XP drop]])/(LocFeatures[[#This Row],[E. Cost]]-LocFeatures[[#This Row],[Energy gain]])</f>
        <v>1324.5283018867926</v>
      </c>
      <c r="Q12" s="49">
        <f>COUNTIFS(DropAnalityka[Location],LocFeatures[[#This Row],[Location]],DropAnalityka[LVL],LocFeatures[[#This Row],[LVL]],DropAnalityka[Stage],LocFeatures[[#This Row],[Stage]])</f>
        <v>26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6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6">
        <f>LocFeatures[[#This Row],[Drop worth gain]]/(LocFeatures[[#This Row],[E. Cost]]-LocFeatures[[#This Row],[Energy gain]])</f>
        <v>1120.7743362831859</v>
      </c>
      <c r="O13" s="56">
        <f>LocFeatures[[#This Row],[XP Train Gain]]/(LocFeatures[[#This Row],[E. Cost]]-LocFeatures[[#This Row],[Energy gain]])</f>
        <v>0</v>
      </c>
      <c r="P13" s="56">
        <f>(LocFeatures[[#This Row],[XP Train Gain]]+LocFeatures[[#This Row],[XP drop]])/(LocFeatures[[#This Row],[E. Cost]]-LocFeatures[[#This Row],[Energy gain]])</f>
        <v>134.51327433628319</v>
      </c>
      <c r="Q13" s="49">
        <f>COUNTIFS(DropAnalityka[Location],LocFeatures[[#This Row],[Location]],DropAnalityka[LVL],LocFeatures[[#This Row],[LVL]],DropAnalityka[Stage],LocFeatures[[#This Row],[Stage]])</f>
        <v>37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6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6">
        <f>LocFeatures[[#This Row],[Drop worth gain]]/(LocFeatures[[#This Row],[E. Cost]]-LocFeatures[[#This Row],[Energy gain]])</f>
        <v>896.89792663476874</v>
      </c>
      <c r="O14" s="56">
        <f>LocFeatures[[#This Row],[XP Train Gain]]/(LocFeatures[[#This Row],[E. Cost]]-LocFeatures[[#This Row],[Energy gain]])</f>
        <v>1343.5406698564593</v>
      </c>
      <c r="P14" s="56">
        <f>(LocFeatures[[#This Row],[XP Train Gain]]+LocFeatures[[#This Row],[XP drop]])/(LocFeatures[[#This Row],[E. Cost]]-LocFeatures[[#This Row],[Energy gain]])</f>
        <v>1595.3205741626793</v>
      </c>
      <c r="Q14" s="53">
        <f>COUNTIFS(DropAnalityka[Location],LocFeatures[[#This Row],[Location]],DropAnalityka[LVL],LocFeatures[[#This Row],[LVL]],DropAnalityka[Stage],LocFeatures[[#This Row],[Stage]])</f>
        <v>156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6">
        <f>AVERAGEIFS(DropAnalityka[Exp Gain],DropAnalityka[Location],LocFeatures[[#This Row],[Location]],DropAnalityka[LVL],LocFeatures[[#This Row],[LVL]],DropAnalityka[Stage],LocFeatures[[#This Row],[Stage]])</f>
        <v>400</v>
      </c>
      <c r="N15" s="56">
        <f>LocFeatures[[#This Row],[Drop worth gain]]/(LocFeatures[[#This Row],[E. Cost]]-LocFeatures[[#This Row],[Energy gain]])</f>
        <v>676.54666666666662</v>
      </c>
      <c r="O15" s="56">
        <f>LocFeatures[[#This Row],[XP Train Gain]]/(LocFeatures[[#This Row],[E. Cost]]-LocFeatures[[#This Row],[Energy gain]])</f>
        <v>1296</v>
      </c>
      <c r="P15" s="56">
        <f>(LocFeatures[[#This Row],[XP Train Gain]]+LocFeatures[[#This Row],[XP drop]])/(LocFeatures[[#This Row],[E. Cost]]-LocFeatures[[#This Row],[Energy gain]])</f>
        <v>1392</v>
      </c>
      <c r="Q15" s="53">
        <f>COUNTIFS(DropAnalityka[Location],LocFeatures[[#This Row],[Location]],DropAnalityka[LVL],LocFeatures[[#This Row],[LVL]],DropAnalityka[Stage],LocFeatures[[#This Row],[Stage]])</f>
        <v>18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6">
        <f>LocFeatures[[#This Row],[Drop worth gain]]/(LocFeatures[[#This Row],[E. Cost]]-LocFeatures[[#This Row],[Energy gain]])</f>
        <v>1082.2247191011234</v>
      </c>
      <c r="O16" s="56">
        <f>LocFeatures[[#This Row],[XP Train Gain]]/(LocFeatures[[#This Row],[E. Cost]]-LocFeatures[[#This Row],[Energy gain]])</f>
        <v>887.25842696629206</v>
      </c>
      <c r="P16" s="56">
        <f>(LocFeatures[[#This Row],[XP Train Gain]]+LocFeatures[[#This Row],[XP drop]])/(LocFeatures[[#This Row],[E. Cost]]-LocFeatures[[#This Row],[Energy gain]])</f>
        <v>968.15730337078639</v>
      </c>
      <c r="Q16" s="49">
        <f>COUNTIFS(DropAnalityka[Location],LocFeatures[[#This Row],[Location]],DropAnalityka[LVL],LocFeatures[[#This Row],[LVL]],DropAnalityka[Stage],LocFeatures[[#This Row],[Stage]])</f>
        <v>41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6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6">
        <f>LocFeatures[[#This Row],[Drop worth gain]]/(LocFeatures[[#This Row],[E. Cost]]-LocFeatures[[#This Row],[Energy gain]])</f>
        <v>987.00602409638554</v>
      </c>
      <c r="O17" s="56">
        <f>LocFeatures[[#This Row],[XP Train Gain]]/(LocFeatures[[#This Row],[E. Cost]]-LocFeatures[[#This Row],[Energy gain]])</f>
        <v>1051.698795180723</v>
      </c>
      <c r="P17" s="56">
        <f>(LocFeatures[[#This Row],[XP Train Gain]]+LocFeatures[[#This Row],[XP drop]])/(LocFeatures[[#This Row],[E. Cost]]-LocFeatures[[#This Row],[Energy gain]])</f>
        <v>1186.6385542168675</v>
      </c>
      <c r="Q17" s="53">
        <f>COUNTIFS(DropAnalityka[Location],LocFeatures[[#This Row],[Location]],DropAnalityka[LVL],LocFeatures[[#This Row],[LVL]],DropAnalityka[Stage],LocFeatures[[#This Row],[Stage]])</f>
        <v>53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663</v>
      </c>
      <c r="O18" s="56">
        <f>LocFeatures[[#This Row],[XP Train Gain]]/(LocFeatures[[#This Row],[E. Cost]]-LocFeatures[[#This Row],[Energy gain]])</f>
        <v>837</v>
      </c>
      <c r="P18" s="56">
        <f>(LocFeatures[[#This Row],[XP Train Gain]]+LocFeatures[[#This Row],[XP drop]])/(LocFeatures[[#This Row],[E. Cost]]-LocFeatures[[#This Row],[Energy gain]])</f>
        <v>837</v>
      </c>
      <c r="Q18" s="53">
        <f>COUNTIFS(DropAnalityka[Location],LocFeatures[[#This Row],[Location]],DropAnalityka[LVL],LocFeatures[[#This Row],[LVL]],DropAnalityka[Stage],LocFeatures[[#This Row],[Stage]])</f>
        <v>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6">
        <f>LocFeatures[[#This Row],[Drop worth gain]]/(LocFeatures[[#This Row],[E. Cost]]-LocFeatures[[#This Row],[Energy gain]])</f>
        <v>1082.2247191011234</v>
      </c>
      <c r="O19" s="56">
        <f>LocFeatures[[#This Row],[XP Train Gain]]/(LocFeatures[[#This Row],[E. Cost]]-LocFeatures[[#This Row],[Energy gain]])</f>
        <v>0</v>
      </c>
      <c r="P19" s="56">
        <f>(LocFeatures[[#This Row],[XP Train Gain]]+LocFeatures[[#This Row],[XP drop]])/(LocFeatures[[#This Row],[E. Cost]]-LocFeatures[[#This Row],[Energy gain]])</f>
        <v>80.898876404494388</v>
      </c>
      <c r="Q19" s="49">
        <f>COUNTIFS(DropAnalityka[Location],LocFeatures[[#This Row],[Location]],DropAnalityka[LVL],LocFeatures[[#This Row],[LVL]],DropAnalityka[Stage],LocFeatures[[#This Row],[Stage]])</f>
        <v>41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308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6">
        <f>LocFeatures[[#This Row],[Drop worth gain]]/(LocFeatures[[#This Row],[E. Cost]]-LocFeatures[[#This Row],[Energy gain]])</f>
        <v>1144.2895442359252</v>
      </c>
      <c r="O20" s="56">
        <f>LocFeatures[[#This Row],[XP Train Gain]]/(LocFeatures[[#This Row],[E. Cost]]-LocFeatures[[#This Row],[Energy gain]])</f>
        <v>366.61126005361933</v>
      </c>
      <c r="P20" s="56">
        <f>(LocFeatures[[#This Row],[XP Train Gain]]+LocFeatures[[#This Row],[XP drop]])/(LocFeatures[[#This Row],[E. Cost]]-LocFeatures[[#This Row],[Energy gain]])</f>
        <v>1335.0080428954425</v>
      </c>
      <c r="Q20" s="49">
        <f>COUNTIFS(DropAnalityka[Location],LocFeatures[[#This Row],[Location]],DropAnalityka[LVL],LocFeatures[[#This Row],[LVL]],DropAnalityka[Stage],LocFeatures[[#This Row],[Stage]])</f>
        <v>71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6">
        <f>AVERAGEIFS(DropAnalityka[Exp Gain],DropAnalityka[Location],LocFeatures[[#This Row],[Location]],DropAnalityka[LVL],LocFeatures[[#This Row],[LVL]],DropAnalityka[Stage],LocFeatures[[#This Row],[Stage]])</f>
        <v>0</v>
      </c>
      <c r="N21" s="56">
        <f>LocFeatures[[#This Row],[Drop worth gain]]/(LocFeatures[[#This Row],[E. Cost]]-LocFeatures[[#This Row],[Energy gain]])</f>
        <v>3173</v>
      </c>
      <c r="O21" s="56">
        <f>LocFeatures[[#This Row],[XP Train Gain]]/(LocFeatures[[#This Row],[E. Cost]]-LocFeatures[[#This Row],[Energy gain]])</f>
        <v>1125</v>
      </c>
      <c r="P21" s="56">
        <f>(LocFeatures[[#This Row],[XP Train Gain]]+LocFeatures[[#This Row],[XP drop]])/(LocFeatures[[#This Row],[E. Cost]]-LocFeatures[[#This Row],[Energy gain]])</f>
        <v>1125</v>
      </c>
      <c r="Q21" s="53">
        <f>COUNTIFS(DropAnalityka[Location],LocFeatures[[#This Row],[Location]],DropAnalityka[LVL],LocFeatures[[#This Row],[LVL]],DropAnalityka[Stage],LocFeatures[[#This Row],[Stage]])</f>
        <v>1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6">
        <f>LocFeatures[[#This Row],[Drop worth gain]]/(LocFeatures[[#This Row],[E. Cost]]-LocFeatures[[#This Row],[Energy gain]])</f>
        <v>860.14268585131879</v>
      </c>
      <c r="O22" s="56">
        <f>LocFeatures[[#This Row],[XP Train Gain]]/(LocFeatures[[#This Row],[E. Cost]]-LocFeatures[[#This Row],[Energy gain]])</f>
        <v>309.45323741007195</v>
      </c>
      <c r="P22" s="56">
        <f>(LocFeatures[[#This Row],[XP Train Gain]]+LocFeatures[[#This Row],[XP drop]])/(LocFeatures[[#This Row],[E. Cost]]-LocFeatures[[#This Row],[Energy gain]])</f>
        <v>623.81930455635484</v>
      </c>
      <c r="Q22" s="49">
        <f>COUNTIFS(DropAnalityka[Location],LocFeatures[[#This Row],[Location]],DropAnalityka[LVL],LocFeatures[[#This Row],[LVL]],DropAnalityka[Stage],LocFeatures[[#This Row],[Stage]])</f>
        <v>67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6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6">
        <f>LocFeatures[[#This Row],[Drop worth gain]]/(LocFeatures[[#This Row],[E. Cost]]-LocFeatures[[#This Row],[Energy gain]])</f>
        <v>462.31250000000006</v>
      </c>
      <c r="O23" s="56">
        <f>LocFeatures[[#This Row],[XP Train Gain]]/(LocFeatures[[#This Row],[E. Cost]]-LocFeatures[[#This Row],[Energy gain]])</f>
        <v>341</v>
      </c>
      <c r="P23" s="56">
        <f>(LocFeatures[[#This Row],[XP Train Gain]]+LocFeatures[[#This Row],[XP drop]])/(LocFeatures[[#This Row],[E. Cost]]-LocFeatures[[#This Row],[Energy gain]])</f>
        <v>398.14285714285717</v>
      </c>
      <c r="Q23" s="53">
        <f>COUNTIFS(DropAnalityka[Location],LocFeatures[[#This Row],[Location]],DropAnalityka[LVL],LocFeatures[[#This Row],[LVL]],DropAnalityka[Stage],LocFeatures[[#This Row],[Stage]])</f>
        <v>62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285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6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6">
        <f>LocFeatures[[#This Row],[Drop worth gain]]/(LocFeatures[[#This Row],[E. Cost]]-LocFeatures[[#This Row],[Energy gain]])</f>
        <v>549.60465116279067</v>
      </c>
      <c r="O24" s="56">
        <f>LocFeatures[[#This Row],[XP Train Gain]]/(LocFeatures[[#This Row],[E. Cost]]-LocFeatures[[#This Row],[Energy gain]])</f>
        <v>302.33720930232556</v>
      </c>
      <c r="P24" s="56">
        <f>(LocFeatures[[#This Row],[XP Train Gain]]+LocFeatures[[#This Row],[XP drop]])/(LocFeatures[[#This Row],[E. Cost]]-LocFeatures[[#This Row],[Energy gain]])</f>
        <v>320.94186046511629</v>
      </c>
      <c r="Q24" s="49">
        <f>COUNTIFS(DropAnalityka[Location],LocFeatures[[#This Row],[Location]],DropAnalityka[LVL],LocFeatures[[#This Row],[LVL]],DropAnalityka[Stage],LocFeatures[[#This Row],[Stage]])</f>
        <v>27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6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6">
        <f>LocFeatures[[#This Row],[Drop worth gain]]/(LocFeatures[[#This Row],[E. Cost]]-LocFeatures[[#This Row],[Energy gain]])</f>
        <v>399.31034482758622</v>
      </c>
      <c r="O25" s="56">
        <f>LocFeatures[[#This Row],[XP Train Gain]]/(LocFeatures[[#This Row],[E. Cost]]-LocFeatures[[#This Row],[Energy gain]])</f>
        <v>321</v>
      </c>
      <c r="P25" s="56">
        <f>(LocFeatures[[#This Row],[XP Train Gain]]+LocFeatures[[#This Row],[XP drop]])/(LocFeatures[[#This Row],[E. Cost]]-LocFeatures[[#This Row],[Energy gain]])</f>
        <v>472.72413793103448</v>
      </c>
      <c r="Q25" s="49">
        <f>COUNTIFS(DropAnalityka[Location],LocFeatures[[#This Row],[Location]],DropAnalityka[LVL],LocFeatures[[#This Row],[LVL]],DropAnalityka[Stage],LocFeatures[[#This Row],[Stage]])</f>
        <v>29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6">
        <f>AVERAGEIFS(DropAnalityka[Exp Gain],DropAnalityka[Location],LocFeatures[[#This Row],[Location]],DropAnalityka[LVL],LocFeatures[[#This Row],[LVL]],DropAnalityka[Stage],LocFeatures[[#This Row],[Stage]])</f>
        <v>128</v>
      </c>
      <c r="N26" s="56">
        <f>LocFeatures[[#This Row],[Drop worth gain]]/(LocFeatures[[#This Row],[E. Cost]]-LocFeatures[[#This Row],[Energy gain]])</f>
        <v>582.84868421052624</v>
      </c>
      <c r="O26" s="56">
        <f>LocFeatures[[#This Row],[XP Train Gain]]/(LocFeatures[[#This Row],[E. Cost]]-LocFeatures[[#This Row],[Energy gain]])</f>
        <v>0</v>
      </c>
      <c r="P26" s="56">
        <f>(LocFeatures[[#This Row],[XP Train Gain]]+LocFeatures[[#This Row],[XP drop]])/(LocFeatures[[#This Row],[E. Cost]]-LocFeatures[[#This Row],[Energy gain]])</f>
        <v>21.05263157894737</v>
      </c>
      <c r="Q26" s="49">
        <f>COUNTIFS(DropAnalityka[Location],LocFeatures[[#This Row],[Location]],DropAnalityka[LVL],LocFeatures[[#This Row],[LVL]],DropAnalityka[Stage],LocFeatures[[#This Row],[Stage]])</f>
        <v>25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6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6">
        <f>LocFeatures[[#This Row],[Drop worth gain]]/(LocFeatures[[#This Row],[E. Cost]]-LocFeatures[[#This Row],[Energy gain]])</f>
        <v>295.8</v>
      </c>
      <c r="O27" s="56">
        <f>LocFeatures[[#This Row],[XP Train Gain]]/(LocFeatures[[#This Row],[E. Cost]]-LocFeatures[[#This Row],[Energy gain]])</f>
        <v>307.3</v>
      </c>
      <c r="P27" s="56">
        <f>(LocFeatures[[#This Row],[XP Train Gain]]+LocFeatures[[#This Row],[XP drop]])/(LocFeatures[[#This Row],[E. Cost]]-LocFeatures[[#This Row],[Energy gain]])</f>
        <v>573.9666666666667</v>
      </c>
      <c r="Q27" s="53">
        <f>COUNTIFS(DropAnalityka[Location],LocFeatures[[#This Row],[Location]],DropAnalityka[LVL],LocFeatures[[#This Row],[LVL]],DropAnalityka[Stage],LocFeatures[[#This Row],[Stage]])</f>
        <v>7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6">
        <f>AVERAGEIFS(DropAnalityka[Exp Gain],DropAnalityka[Location],LocFeatures[[#This Row],[Location]],DropAnalityka[LVL],LocFeatures[[#This Row],[LVL]],DropAnalityka[Stage],LocFeatures[[#This Row],[Stage]])</f>
        <v>0</v>
      </c>
      <c r="N28" s="56">
        <f>LocFeatures[[#This Row],[Drop worth gain]]/(LocFeatures[[#This Row],[E. Cost]]-LocFeatures[[#This Row],[Energy gain]])</f>
        <v>263.25</v>
      </c>
      <c r="O28" s="56">
        <f>LocFeatures[[#This Row],[XP Train Gain]]/(LocFeatures[[#This Row],[E. Cost]]-LocFeatures[[#This Row],[Energy gain]])</f>
        <v>361.125</v>
      </c>
      <c r="P28" s="56">
        <f>(LocFeatures[[#This Row],[XP Train Gain]]+LocFeatures[[#This Row],[XP drop]])/(LocFeatures[[#This Row],[E. Cost]]-LocFeatures[[#This Row],[Energy gain]])</f>
        <v>361.125</v>
      </c>
      <c r="Q28" s="49">
        <f>COUNTIFS(DropAnalityka[Location],LocFeatures[[#This Row],[Location]],DropAnalityka[LVL],LocFeatures[[#This Row],[LVL]],DropAnalityka[Stage],LocFeatures[[#This Row],[Stage]])</f>
        <v>3</v>
      </c>
      <c r="R2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D9" sqref="D9"/>
    </sheetView>
  </sheetViews>
  <sheetFormatPr defaultRowHeight="14.25"/>
  <cols>
    <col min="1" max="1" width="17" customWidth="1"/>
    <col min="2" max="2" width="18.25" customWidth="1"/>
    <col min="3" max="3" width="1.875" bestFit="1" customWidth="1"/>
    <col min="4" max="5" width="2.875" bestFit="1" customWidth="1"/>
    <col min="6" max="6" width="14.125" bestFit="1" customWidth="1"/>
    <col min="7" max="7" width="14.125" customWidth="1"/>
    <col min="8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2.625" customWidth="1"/>
    <col min="15" max="15" width="7.125" customWidth="1"/>
    <col min="16" max="16" width="14.125" bestFit="1" customWidth="1"/>
  </cols>
  <sheetData>
    <row r="1" spans="1:6">
      <c r="A1" s="11" t="s">
        <v>7</v>
      </c>
      <c r="B1" t="s">
        <v>179</v>
      </c>
    </row>
    <row r="2" spans="1:6">
      <c r="A2" s="11" t="s">
        <v>11</v>
      </c>
      <c r="B2" t="s">
        <v>292</v>
      </c>
    </row>
    <row r="4" spans="1:6">
      <c r="A4" s="11" t="s">
        <v>283</v>
      </c>
      <c r="B4" s="11" t="s">
        <v>149</v>
      </c>
    </row>
    <row r="5" spans="1:6">
      <c r="A5" s="11" t="s">
        <v>65</v>
      </c>
      <c r="B5">
        <v>5</v>
      </c>
      <c r="C5">
        <v>6</v>
      </c>
      <c r="D5">
        <v>7</v>
      </c>
      <c r="E5">
        <v>8</v>
      </c>
      <c r="F5" t="s">
        <v>67</v>
      </c>
    </row>
    <row r="6" spans="1:6">
      <c r="A6" s="12" t="s">
        <v>17</v>
      </c>
      <c r="B6" s="49">
        <v>5</v>
      </c>
      <c r="C6" s="49">
        <v>3</v>
      </c>
      <c r="D6" s="49">
        <v>17</v>
      </c>
      <c r="E6" s="49">
        <v>8</v>
      </c>
      <c r="F6" s="49">
        <v>33</v>
      </c>
    </row>
    <row r="7" spans="1:6">
      <c r="A7" s="12" t="s">
        <v>26</v>
      </c>
      <c r="B7" s="49"/>
      <c r="C7" s="49"/>
      <c r="D7" s="49">
        <v>2</v>
      </c>
      <c r="E7" s="49"/>
      <c r="F7" s="49">
        <v>2</v>
      </c>
    </row>
    <row r="8" spans="1:6">
      <c r="A8" s="12" t="s">
        <v>27</v>
      </c>
      <c r="B8" s="49"/>
      <c r="C8" s="49">
        <v>1</v>
      </c>
      <c r="D8" s="49">
        <v>23</v>
      </c>
      <c r="E8" s="49">
        <v>16</v>
      </c>
      <c r="F8" s="49">
        <v>40</v>
      </c>
    </row>
    <row r="9" spans="1:6">
      <c r="A9" s="12" t="s">
        <v>28</v>
      </c>
      <c r="B9" s="49"/>
      <c r="C9" s="49"/>
      <c r="D9" s="49">
        <v>5</v>
      </c>
      <c r="E9" s="49">
        <v>11</v>
      </c>
      <c r="F9" s="49">
        <v>16</v>
      </c>
    </row>
    <row r="10" spans="1:6">
      <c r="A10" s="12" t="s">
        <v>67</v>
      </c>
      <c r="B10" s="49">
        <v>5</v>
      </c>
      <c r="C10" s="49">
        <v>4</v>
      </c>
      <c r="D10" s="49">
        <v>47</v>
      </c>
      <c r="E10" s="49">
        <v>35</v>
      </c>
      <c r="F10" s="49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292</v>
      </c>
    </row>
    <row r="2" spans="1:23">
      <c r="R2" s="181" t="s">
        <v>296</v>
      </c>
      <c r="S2" s="181"/>
      <c r="T2" s="181"/>
      <c r="U2" s="181"/>
      <c r="V2" s="181"/>
      <c r="W2" s="181"/>
    </row>
    <row r="3" spans="1:23" ht="15" thickBot="1">
      <c r="B3" s="11" t="s">
        <v>69</v>
      </c>
      <c r="G3" s="11" t="s">
        <v>282</v>
      </c>
      <c r="H3" s="11" t="s">
        <v>149</v>
      </c>
      <c r="Q3" s="6" t="s">
        <v>33</v>
      </c>
      <c r="R3" s="133" t="s">
        <v>297</v>
      </c>
      <c r="S3" s="134" t="s">
        <v>298</v>
      </c>
      <c r="T3" s="134" t="s">
        <v>299</v>
      </c>
      <c r="U3" s="134" t="s">
        <v>300</v>
      </c>
      <c r="V3" s="134" t="s">
        <v>301</v>
      </c>
      <c r="W3" s="135" t="s">
        <v>302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7" t="str">
        <f>G5</f>
        <v>high</v>
      </c>
      <c r="R4" s="90">
        <f>GETPIVOTDATA("Quality/Quantity",$G$3,"Stage",4,"Grade","high")/GETPIVOTDATA("LVL",$G$15,"Stage",4)</f>
        <v>0</v>
      </c>
      <c r="S4" s="88">
        <f>GETPIVOTDATA("Quality/Quantity",$G$3,"Stage",5,"Grade","high")/GETPIVOTDATA("LVL",$G$15,"Stage",5)</f>
        <v>0</v>
      </c>
      <c r="T4" s="88">
        <f>GETPIVOTDATA("Quality/Quantity",$G$3,"Stage",7,"Grade","high")/GETPIVOTDATA("LVL",$G$15,"Stage",7)</f>
        <v>0.13432835820895522</v>
      </c>
      <c r="U4" s="88">
        <f>GETPIVOTDATA("Quality/Quantity",$G$3,"Stage",8,"Grade","high")/GETPIVOTDATA("LVL",$G$15,"Stage",8)</f>
        <v>0.21875</v>
      </c>
      <c r="V4" s="88">
        <f>GETPIVOTDATA("Quality/Quantity",$G$3,"Stage",9,"Grade","high")/GETPIVOTDATA("LVL",$G$15,"Stage",9)</f>
        <v>0.26666666666666666</v>
      </c>
      <c r="W4" s="89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9">
        <v>38</v>
      </c>
      <c r="G5" s="12" t="s">
        <v>294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GETPIVOTDATA("Quality/Quantity",$G$3,"Stage",4,"Grade","low")/GETPIVOTDATA("LVL",$G$15,"Stage",4)</f>
        <v>0.5714285714285714</v>
      </c>
      <c r="S5" s="88">
        <f>GETPIVOTDATA("Quality/Quantity",$G$3,"Stage",5,"Grade","low")/GETPIVOTDATA("LVL",$G$15,"Stage",5)</f>
        <v>1.2</v>
      </c>
      <c r="T5" s="88">
        <f>GETPIVOTDATA("Quality/Quantity",$G$3,"Stage",7,"Grade","low")/GETPIVOTDATA("LVL",$G$15,"Stage",7)</f>
        <v>1.4179104477611941</v>
      </c>
      <c r="U5" s="88">
        <f>GETPIVOTDATA("Quality/Quantity",$G$3,"Stage",8,"Grade","low")/GETPIVOTDATA("LVL",$G$15,"Stage",8)</f>
        <v>1.34375</v>
      </c>
      <c r="V5" s="88">
        <f>GETPIVOTDATA("Quality/Quantity",$G$3,"Stage",9,"Grade","low")/GETPIVOTDATA("LVL",$G$15,"Stage",9)</f>
        <v>1.1166666666666667</v>
      </c>
      <c r="W5" s="89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9">
        <v>8</v>
      </c>
      <c r="G6" s="12" t="s">
        <v>293</v>
      </c>
      <c r="H6" s="49">
        <v>4</v>
      </c>
      <c r="I6" s="49">
        <v>24</v>
      </c>
      <c r="J6" s="49">
        <v>95</v>
      </c>
      <c r="K6" s="49">
        <v>43</v>
      </c>
      <c r="L6" s="49">
        <v>134</v>
      </c>
      <c r="M6" s="49">
        <v>10</v>
      </c>
      <c r="N6" s="49">
        <v>310</v>
      </c>
      <c r="Q6" s="6" t="str">
        <f>G7</f>
        <v>mid</v>
      </c>
      <c r="R6" s="90">
        <f>GETPIVOTDATA("Quality/Quantity",$G$3,"Stage",4,"Grade","mid")/GETPIVOTDATA("LVL",$G$15,"Stage",4)</f>
        <v>0.14285714285714285</v>
      </c>
      <c r="S6" s="88">
        <f>GETPIVOTDATA("Quality/Quantity",$G$3,"Stage",5,"Grade","mid")/GETPIVOTDATA("LVL",$G$15,"Stage",5)</f>
        <v>0.5</v>
      </c>
      <c r="T6" s="88">
        <f>GETPIVOTDATA("Quality/Quantity",$G$3,"Stage",7,"Grade","mid")/GETPIVOTDATA("LVL",$G$15,"Stage",7)</f>
        <v>0.55223880597014929</v>
      </c>
      <c r="U6" s="88">
        <f>GETPIVOTDATA("Quality/Quantity",$G$3,"Stage",8,"Grade","mid")/GETPIVOTDATA("LVL",$G$15,"Stage",8)</f>
        <v>0.21875</v>
      </c>
      <c r="V6" s="88">
        <f>GETPIVOTDATA("Quality/Quantity",$G$3,"Stage",9,"Grade","mid")/GETPIVOTDATA("LVL",$G$15,"Stage",9)</f>
        <v>0.55833333333333335</v>
      </c>
      <c r="W6" s="89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315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9">
        <v>8</v>
      </c>
      <c r="G8" s="12" t="s">
        <v>67</v>
      </c>
      <c r="H8" s="49">
        <v>5</v>
      </c>
      <c r="I8" s="49">
        <v>34</v>
      </c>
      <c r="J8" s="49">
        <v>141</v>
      </c>
      <c r="K8" s="49">
        <v>57</v>
      </c>
      <c r="L8" s="49">
        <v>233</v>
      </c>
      <c r="M8" s="49">
        <v>15</v>
      </c>
      <c r="N8" s="49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9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9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  <c r="G15" s="11" t="s">
        <v>283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9">
        <v>25</v>
      </c>
      <c r="G17" s="12" t="s">
        <v>180</v>
      </c>
      <c r="H17" s="49"/>
      <c r="I17" s="49">
        <v>1</v>
      </c>
      <c r="J17" s="49">
        <v>1</v>
      </c>
      <c r="K17" s="49">
        <v>3</v>
      </c>
      <c r="L17" s="49">
        <v>1</v>
      </c>
      <c r="M17" s="49">
        <v>4</v>
      </c>
      <c r="N17" s="49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2" t="s">
        <v>146</v>
      </c>
      <c r="H18" s="49"/>
      <c r="I18" s="49">
        <v>16</v>
      </c>
      <c r="J18" s="49"/>
      <c r="K18" s="49"/>
      <c r="L18" s="49"/>
      <c r="M18" s="49"/>
      <c r="N18" s="49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37</v>
      </c>
      <c r="H19" s="49">
        <v>7</v>
      </c>
      <c r="I19" s="49">
        <v>3</v>
      </c>
      <c r="J19" s="49">
        <v>62</v>
      </c>
      <c r="K19" s="49"/>
      <c r="L19" s="49">
        <v>25</v>
      </c>
      <c r="M19" s="49"/>
      <c r="N19" s="49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217</v>
      </c>
      <c r="H20" s="49"/>
      <c r="I20" s="49"/>
      <c r="J20" s="49">
        <v>4</v>
      </c>
      <c r="K20" s="49">
        <v>29</v>
      </c>
      <c r="L20" s="49">
        <v>67</v>
      </c>
      <c r="M20" s="49"/>
      <c r="N20" s="49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9"/>
      <c r="G21" s="12" t="s">
        <v>285</v>
      </c>
      <c r="H21" s="49"/>
      <c r="I21" s="49"/>
      <c r="J21" s="49"/>
      <c r="K21" s="49"/>
      <c r="L21" s="49">
        <v>27</v>
      </c>
      <c r="M21" s="49">
        <v>2</v>
      </c>
      <c r="N21" s="49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67</v>
      </c>
      <c r="H22" s="49">
        <v>7</v>
      </c>
      <c r="I22" s="49">
        <v>20</v>
      </c>
      <c r="J22" s="49">
        <v>67</v>
      </c>
      <c r="K22" s="49">
        <v>32</v>
      </c>
      <c r="L22" s="49">
        <v>120</v>
      </c>
      <c r="M22" s="49">
        <v>6</v>
      </c>
      <c r="N22" s="49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9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9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9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9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9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9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9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9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AN45"/>
  <sheetViews>
    <sheetView topLeftCell="Q1" zoomScale="85" zoomScaleNormal="85" workbookViewId="0">
      <selection activeCell="I3" sqref="I3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51" t="s">
        <v>119</v>
      </c>
      <c r="B1" s="42" t="s">
        <v>118</v>
      </c>
      <c r="C1" s="150" t="s">
        <v>323</v>
      </c>
      <c r="D1" s="150" t="s">
        <v>324</v>
      </c>
      <c r="E1" s="150" t="s">
        <v>325</v>
      </c>
      <c r="F1" s="42" t="s">
        <v>117</v>
      </c>
      <c r="G1" s="42" t="s">
        <v>116</v>
      </c>
      <c r="H1" s="42" t="s">
        <v>115</v>
      </c>
      <c r="I1" s="42" t="s">
        <v>114</v>
      </c>
      <c r="J1" s="42" t="s">
        <v>113</v>
      </c>
      <c r="K1" s="42" t="s">
        <v>112</v>
      </c>
      <c r="L1" s="42" t="s">
        <v>111</v>
      </c>
      <c r="M1" s="40" t="s">
        <v>110</v>
      </c>
      <c r="N1" s="42" t="s">
        <v>109</v>
      </c>
      <c r="O1" s="42" t="s">
        <v>108</v>
      </c>
      <c r="P1" s="42" t="s">
        <v>107</v>
      </c>
      <c r="Q1" s="42" t="s">
        <v>106</v>
      </c>
      <c r="R1" s="150" t="s">
        <v>326</v>
      </c>
      <c r="S1" s="42" t="s">
        <v>105</v>
      </c>
      <c r="T1" s="41" t="s">
        <v>104</v>
      </c>
      <c r="U1" s="40" t="s">
        <v>103</v>
      </c>
      <c r="V1" s="39"/>
      <c r="W1" s="39"/>
      <c r="X1" s="149" t="s">
        <v>320</v>
      </c>
      <c r="Y1" s="149" t="s">
        <v>317</v>
      </c>
      <c r="Z1" s="149" t="s">
        <v>318</v>
      </c>
      <c r="AA1" s="149" t="s">
        <v>319</v>
      </c>
      <c r="AB1" s="39"/>
      <c r="AC1" s="39"/>
      <c r="AD1" s="39"/>
      <c r="AE1" s="39" t="s">
        <v>5</v>
      </c>
      <c r="AF1" t="s">
        <v>102</v>
      </c>
      <c r="AG1" t="s">
        <v>101</v>
      </c>
      <c r="AH1" t="s">
        <v>84</v>
      </c>
      <c r="AJ1" s="149" t="s">
        <v>211</v>
      </c>
      <c r="AK1" s="149" t="s">
        <v>5</v>
      </c>
      <c r="AL1" t="s">
        <v>102</v>
      </c>
      <c r="AM1" t="s">
        <v>101</v>
      </c>
      <c r="AN1" t="s">
        <v>84</v>
      </c>
    </row>
    <row r="2" spans="1:40" ht="15" thickBot="1">
      <c r="A2" s="152" t="s">
        <v>100</v>
      </c>
      <c r="B2" s="22" t="s">
        <v>99</v>
      </c>
      <c r="C2" s="22"/>
      <c r="D2" s="22"/>
      <c r="E2" s="22"/>
      <c r="F2" s="21">
        <v>1</v>
      </c>
      <c r="G2" s="21">
        <v>1.5</v>
      </c>
      <c r="H2" s="21">
        <v>0</v>
      </c>
      <c r="I2" s="21">
        <v>0</v>
      </c>
      <c r="J2" s="21">
        <v>0</v>
      </c>
      <c r="K2" s="23"/>
      <c r="L2" s="23"/>
      <c r="M2" s="23"/>
      <c r="N2" s="20">
        <v>700</v>
      </c>
      <c r="O2" s="20">
        <v>2100</v>
      </c>
      <c r="P2" s="20">
        <f t="shared" ref="P2:P16" si="0">O2*G2</f>
        <v>3150</v>
      </c>
      <c r="Q2" s="21">
        <v>0.15</v>
      </c>
      <c r="R2" s="21">
        <f t="shared" ref="R2:R7" si="1">MINA(Q2+M2*$AN$2+0.12*E2+J2, 1)</f>
        <v>0.15</v>
      </c>
      <c r="S2" s="20">
        <f t="shared" ref="S2:S7" si="2">R2*P2+(1-R2)*O2</f>
        <v>2257.5</v>
      </c>
      <c r="T2" s="19">
        <v>2257.5</v>
      </c>
      <c r="U2" s="18">
        <f>S2/T2-1</f>
        <v>0</v>
      </c>
      <c r="V2" s="18"/>
      <c r="W2" s="18"/>
      <c r="X2" s="18" t="s">
        <v>88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52" t="s">
        <v>98</v>
      </c>
      <c r="B3" s="22" t="s">
        <v>90</v>
      </c>
      <c r="C3" s="22"/>
      <c r="D3" s="22"/>
      <c r="E3" s="22"/>
      <c r="F3" s="21">
        <f>$F$2+H3+K3*$AF$2+C3*0.35</f>
        <v>1.96</v>
      </c>
      <c r="G3" s="21">
        <f>$G$2+I3+L3*$AG$2+D3*0.4</f>
        <v>1.5</v>
      </c>
      <c r="H3" s="21">
        <v>0</v>
      </c>
      <c r="I3" s="21">
        <v>0</v>
      </c>
      <c r="J3" s="21">
        <v>0.15</v>
      </c>
      <c r="K3" s="23">
        <v>3</v>
      </c>
      <c r="L3" s="23"/>
      <c r="M3" s="23"/>
      <c r="N3" s="20">
        <f>N$2*$F3</f>
        <v>1372</v>
      </c>
      <c r="O3" s="20">
        <f t="shared" ref="O3:O16" si="3">O$2*$F3</f>
        <v>4116</v>
      </c>
      <c r="P3" s="20">
        <f t="shared" si="0"/>
        <v>6174</v>
      </c>
      <c r="Q3" s="21">
        <v>0.15</v>
      </c>
      <c r="R3" s="21">
        <f t="shared" si="1"/>
        <v>0.3</v>
      </c>
      <c r="S3" s="20">
        <f t="shared" si="2"/>
        <v>4733.3999999999996</v>
      </c>
      <c r="T3" s="19">
        <v>4424.7</v>
      </c>
      <c r="U3" s="18">
        <f t="shared" ref="U3:U16" si="4">S3/T3-1</f>
        <v>6.9767441860465018E-2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53" t="s">
        <v>98</v>
      </c>
      <c r="B4" s="25" t="s">
        <v>89</v>
      </c>
      <c r="C4" s="25"/>
      <c r="D4" s="25"/>
      <c r="E4" s="25"/>
      <c r="F4" s="24">
        <f>$F$2+H4+K4*$AF$2+IF(OR(A4 = "Fatal", A4 = "Fatal+Blade"), 0.35,0)</f>
        <v>1.6400000000000001</v>
      </c>
      <c r="G4" s="21">
        <f>$G$2+I4+L4*$AG$2+IF(OR(A4 = "Rage", A4 = "Rage+Blade"), 0.4, 0)</f>
        <v>1.92</v>
      </c>
      <c r="H4" s="24">
        <f>H3</f>
        <v>0</v>
      </c>
      <c r="I4" s="24">
        <f t="shared" ref="I4:J5" si="5">I3</f>
        <v>0</v>
      </c>
      <c r="J4" s="24">
        <f>J3</f>
        <v>0.15</v>
      </c>
      <c r="K4" s="26">
        <v>2</v>
      </c>
      <c r="L4" s="26">
        <v>1</v>
      </c>
      <c r="M4" s="26"/>
      <c r="N4" s="20">
        <f t="shared" ref="N4:N16" si="6">N$2*$F4</f>
        <v>1148</v>
      </c>
      <c r="O4" s="43">
        <f t="shared" si="3"/>
        <v>3444.0000000000005</v>
      </c>
      <c r="P4" s="43">
        <f t="shared" si="0"/>
        <v>6612.4800000000005</v>
      </c>
      <c r="Q4" s="24">
        <f>Q3</f>
        <v>0.15</v>
      </c>
      <c r="R4" s="21">
        <f t="shared" si="1"/>
        <v>0.3</v>
      </c>
      <c r="S4" s="43">
        <f t="shared" si="2"/>
        <v>4394.5439999999999</v>
      </c>
      <c r="T4" s="19">
        <v>3919.2719999999999</v>
      </c>
      <c r="U4" s="18">
        <f t="shared" si="4"/>
        <v>0.12126537785588742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6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53" t="s">
        <v>98</v>
      </c>
      <c r="B5" s="25" t="s">
        <v>85</v>
      </c>
      <c r="C5" s="25"/>
      <c r="D5" s="25"/>
      <c r="E5" s="25"/>
      <c r="F5" s="24">
        <f>$F$2+H5+K5*$AF$2+IF(OR(A5 = "Fatal", A5 = "Fatal+Blade"), 0.35,0)</f>
        <v>1.6400000000000001</v>
      </c>
      <c r="G5" s="21">
        <f>$G$2+I5+L5*$AG$2+IF(OR(A5 = "Rage", A5 = "Rage+Blade"), 0.4, 0)</f>
        <v>1.5</v>
      </c>
      <c r="H5" s="24">
        <f>H4</f>
        <v>0</v>
      </c>
      <c r="I5" s="24">
        <f t="shared" si="5"/>
        <v>0</v>
      </c>
      <c r="J5" s="24">
        <f t="shared" si="5"/>
        <v>0.15</v>
      </c>
      <c r="K5" s="26">
        <v>2</v>
      </c>
      <c r="L5" s="26"/>
      <c r="M5" s="26">
        <v>1</v>
      </c>
      <c r="N5" s="20">
        <f t="shared" si="6"/>
        <v>1148</v>
      </c>
      <c r="O5" s="43">
        <f t="shared" si="3"/>
        <v>3444.0000000000005</v>
      </c>
      <c r="P5" s="43">
        <f t="shared" si="0"/>
        <v>5166.0000000000009</v>
      </c>
      <c r="Q5" s="24">
        <f>Q4</f>
        <v>0.15</v>
      </c>
      <c r="R5" s="21">
        <f t="shared" si="1"/>
        <v>0.61</v>
      </c>
      <c r="S5" s="43">
        <f t="shared" si="2"/>
        <v>4494.420000000001</v>
      </c>
      <c r="T5" s="19">
        <v>4236.1200000000008</v>
      </c>
      <c r="U5" s="18">
        <f t="shared" si="4"/>
        <v>6.0975609756097615E-2</v>
      </c>
      <c r="V5" s="18"/>
      <c r="W5" s="18"/>
      <c r="X5" s="18"/>
      <c r="Y5" s="18"/>
      <c r="Z5" s="18"/>
      <c r="AA5" s="18"/>
      <c r="AB5" s="18"/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53" t="s">
        <v>88</v>
      </c>
      <c r="B6" s="25" t="s">
        <v>90</v>
      </c>
      <c r="C6" s="25">
        <v>1</v>
      </c>
      <c r="D6" s="25"/>
      <c r="E6" s="25"/>
      <c r="F6" s="24">
        <f t="shared" ref="F6:F7" si="7">$F$2+H6+K6*$AF$2+IF(OR(A6 = "Fatal", A6 = "Fatal+Blade"), 0.35,0)</f>
        <v>2.31</v>
      </c>
      <c r="G6" s="21">
        <f t="shared" ref="G6:G7" si="8">$G$2+I6+L6*$AG$2+IF(OR(A6 = "Rage", A6 = "Rage+Blade"), 0.4, 0)</f>
        <v>1.5</v>
      </c>
      <c r="H6" s="24">
        <f t="shared" ref="H6:J7" si="9">H5</f>
        <v>0</v>
      </c>
      <c r="I6" s="24">
        <f t="shared" si="9"/>
        <v>0</v>
      </c>
      <c r="J6" s="24">
        <f t="shared" si="9"/>
        <v>0.15</v>
      </c>
      <c r="K6" s="26">
        <v>3</v>
      </c>
      <c r="L6" s="26"/>
      <c r="M6" s="26"/>
      <c r="N6" s="20">
        <f t="shared" si="6"/>
        <v>1617</v>
      </c>
      <c r="O6" s="43">
        <f t="shared" si="3"/>
        <v>4851</v>
      </c>
      <c r="P6" s="43">
        <f t="shared" si="0"/>
        <v>7276.5</v>
      </c>
      <c r="Q6" s="24">
        <f>Q4</f>
        <v>0.15</v>
      </c>
      <c r="R6" s="21">
        <f t="shared" si="1"/>
        <v>0.3</v>
      </c>
      <c r="S6" s="43">
        <f t="shared" si="2"/>
        <v>5578.65</v>
      </c>
      <c r="T6" s="19">
        <v>5214.8249999999989</v>
      </c>
      <c r="U6" s="18">
        <f t="shared" si="4"/>
        <v>6.976744186046524E-2</v>
      </c>
      <c r="V6" s="18"/>
      <c r="W6" s="18"/>
      <c r="X6" s="18"/>
      <c r="Y6" s="18"/>
      <c r="Z6" s="18"/>
      <c r="AA6" s="18"/>
      <c r="AB6" s="18"/>
      <c r="AC6" s="18"/>
      <c r="AD6" t="s">
        <v>211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53" t="s">
        <v>87</v>
      </c>
      <c r="B7" s="25" t="s">
        <v>90</v>
      </c>
      <c r="C7" s="25"/>
      <c r="D7" s="25">
        <v>1</v>
      </c>
      <c r="E7" s="25"/>
      <c r="F7" s="24">
        <f t="shared" si="7"/>
        <v>1.96</v>
      </c>
      <c r="G7" s="21">
        <f t="shared" si="8"/>
        <v>1.9</v>
      </c>
      <c r="H7" s="24">
        <f t="shared" si="9"/>
        <v>0</v>
      </c>
      <c r="I7" s="24">
        <f t="shared" si="9"/>
        <v>0</v>
      </c>
      <c r="J7" s="24">
        <f t="shared" si="9"/>
        <v>0.15</v>
      </c>
      <c r="K7" s="26">
        <v>3</v>
      </c>
      <c r="L7" s="26"/>
      <c r="M7" s="26"/>
      <c r="N7" s="20">
        <f t="shared" si="6"/>
        <v>1372</v>
      </c>
      <c r="O7" s="43">
        <f t="shared" si="3"/>
        <v>4116</v>
      </c>
      <c r="P7" s="43">
        <f t="shared" si="0"/>
        <v>7820.4</v>
      </c>
      <c r="Q7" s="24">
        <f t="shared" ref="Q7:Q16" si="10">Q6</f>
        <v>0.15</v>
      </c>
      <c r="R7" s="21">
        <f t="shared" si="1"/>
        <v>0.3</v>
      </c>
      <c r="S7" s="43">
        <f t="shared" si="2"/>
        <v>5227.32</v>
      </c>
      <c r="T7" s="19">
        <v>4671.66</v>
      </c>
      <c r="U7" s="18">
        <f t="shared" si="4"/>
        <v>0.11894273127753308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321</v>
      </c>
      <c r="AF7" s="1">
        <v>4</v>
      </c>
      <c r="AG7" s="1">
        <v>4</v>
      </c>
      <c r="AH7" s="1">
        <v>3</v>
      </c>
    </row>
    <row r="8" spans="1:40" ht="15" thickBot="1">
      <c r="A8" s="153" t="s">
        <v>92</v>
      </c>
      <c r="B8" s="25" t="s">
        <v>90</v>
      </c>
      <c r="C8" s="25"/>
      <c r="D8" s="25"/>
      <c r="E8" s="25">
        <v>3</v>
      </c>
      <c r="F8" s="24">
        <f t="shared" ref="F8:F16" si="11">$F$2+H8+K8*$AF$2+IF(OR(A8 = "Fatal", A8 = "Fatal+Blade"), 0.35,0)</f>
        <v>1.96</v>
      </c>
      <c r="G8" s="21">
        <f t="shared" ref="G8:G16" si="12">$G$2+I8+L8*$AG$2+IF(OR(A8 = "Rage", A8 = "Rage+Blade"), 0.4, 0)</f>
        <v>1.5</v>
      </c>
      <c r="H8" s="24">
        <f t="shared" ref="H8:H16" si="13">H7</f>
        <v>0</v>
      </c>
      <c r="I8" s="24">
        <f t="shared" ref="I8:I16" si="14">I7</f>
        <v>0</v>
      </c>
      <c r="J8" s="24">
        <f t="shared" ref="J8:J16" si="15">J7</f>
        <v>0.15</v>
      </c>
      <c r="K8" s="26">
        <v>3</v>
      </c>
      <c r="L8" s="26"/>
      <c r="M8" s="26"/>
      <c r="N8" s="20">
        <f t="shared" si="6"/>
        <v>1372</v>
      </c>
      <c r="O8" s="43">
        <f t="shared" si="3"/>
        <v>4116</v>
      </c>
      <c r="P8" s="43">
        <f t="shared" si="0"/>
        <v>6174</v>
      </c>
      <c r="Q8" s="24">
        <f t="shared" si="10"/>
        <v>0.15</v>
      </c>
      <c r="R8" s="21">
        <f t="shared" ref="R8:R16" si="16">MINA(Q8+M8*$AN$2+0.12*E8+J8, 1)</f>
        <v>0.66</v>
      </c>
      <c r="S8" s="43">
        <f t="shared" ref="S8:S16" si="17">R8*P8+(1-R8)*O8</f>
        <v>5474.28</v>
      </c>
      <c r="T8" s="19">
        <v>5165.58</v>
      </c>
      <c r="U8" s="18">
        <f t="shared" si="4"/>
        <v>5.9760956175298752E-2</v>
      </c>
      <c r="V8" s="18"/>
      <c r="W8" s="18"/>
      <c r="X8" s="18"/>
      <c r="Y8" s="18"/>
      <c r="Z8" t="s">
        <v>97</v>
      </c>
      <c r="AD8" t="s">
        <v>26</v>
      </c>
      <c r="AE8" t="s">
        <v>322</v>
      </c>
      <c r="AF8" s="1">
        <v>2</v>
      </c>
      <c r="AG8" s="1">
        <v>2.25</v>
      </c>
      <c r="AH8" s="1">
        <v>2</v>
      </c>
    </row>
    <row r="9" spans="1:40" ht="15.75" thickBot="1">
      <c r="A9" s="153" t="s">
        <v>91</v>
      </c>
      <c r="B9" s="25" t="s">
        <v>90</v>
      </c>
      <c r="C9" s="25">
        <v>1</v>
      </c>
      <c r="D9" s="25"/>
      <c r="E9" s="25">
        <v>1</v>
      </c>
      <c r="F9" s="24">
        <f t="shared" si="11"/>
        <v>2.31</v>
      </c>
      <c r="G9" s="21">
        <f t="shared" si="12"/>
        <v>1.5</v>
      </c>
      <c r="H9" s="24">
        <f t="shared" si="13"/>
        <v>0</v>
      </c>
      <c r="I9" s="24">
        <f t="shared" si="14"/>
        <v>0</v>
      </c>
      <c r="J9" s="24">
        <f t="shared" si="15"/>
        <v>0.15</v>
      </c>
      <c r="K9" s="26">
        <v>3</v>
      </c>
      <c r="L9" s="26"/>
      <c r="M9" s="26"/>
      <c r="N9" s="20">
        <f t="shared" si="6"/>
        <v>1617</v>
      </c>
      <c r="O9" s="43">
        <f t="shared" si="3"/>
        <v>4851</v>
      </c>
      <c r="P9" s="43">
        <f t="shared" si="0"/>
        <v>7276.5</v>
      </c>
      <c r="Q9" s="24">
        <f t="shared" si="10"/>
        <v>0.15</v>
      </c>
      <c r="R9" s="21">
        <f t="shared" si="16"/>
        <v>0.42000000000000004</v>
      </c>
      <c r="S9" s="43">
        <f t="shared" si="17"/>
        <v>5869.71</v>
      </c>
      <c r="T9" s="19">
        <v>5505.8850000000002</v>
      </c>
      <c r="U9" s="18">
        <f t="shared" si="4"/>
        <v>6.6079295154185091E-2</v>
      </c>
      <c r="V9" s="18"/>
      <c r="W9" s="18"/>
      <c r="X9" s="18" t="s">
        <v>121</v>
      </c>
      <c r="Y9" s="38" t="s">
        <v>96</v>
      </c>
      <c r="Z9" s="37" t="s">
        <v>95</v>
      </c>
      <c r="AA9" s="36" t="s">
        <v>94</v>
      </c>
      <c r="AB9" s="35" t="s">
        <v>93</v>
      </c>
    </row>
    <row r="10" spans="1:40" ht="15" thickBot="1">
      <c r="A10" s="153" t="s">
        <v>120</v>
      </c>
      <c r="B10" s="25" t="s">
        <v>90</v>
      </c>
      <c r="C10" s="25"/>
      <c r="D10" s="25">
        <v>1</v>
      </c>
      <c r="E10" s="25">
        <v>1</v>
      </c>
      <c r="F10" s="24">
        <f t="shared" si="11"/>
        <v>1.96</v>
      </c>
      <c r="G10" s="21">
        <f t="shared" si="12"/>
        <v>1.9</v>
      </c>
      <c r="H10" s="24">
        <f t="shared" si="13"/>
        <v>0</v>
      </c>
      <c r="I10" s="24">
        <f t="shared" si="14"/>
        <v>0</v>
      </c>
      <c r="J10" s="24">
        <f t="shared" si="15"/>
        <v>0.15</v>
      </c>
      <c r="K10" s="26">
        <v>3</v>
      </c>
      <c r="L10" s="26"/>
      <c r="M10" s="26"/>
      <c r="N10" s="20">
        <f t="shared" si="6"/>
        <v>1372</v>
      </c>
      <c r="O10" s="43">
        <f t="shared" si="3"/>
        <v>4116</v>
      </c>
      <c r="P10" s="43">
        <f t="shared" si="0"/>
        <v>7820.4</v>
      </c>
      <c r="Q10" s="24">
        <f t="shared" si="10"/>
        <v>0.15</v>
      </c>
      <c r="R10" s="21">
        <f t="shared" si="16"/>
        <v>0.42000000000000004</v>
      </c>
      <c r="S10" s="43">
        <f t="shared" si="17"/>
        <v>5671.848</v>
      </c>
      <c r="T10" s="19">
        <v>5116.1880000000001</v>
      </c>
      <c r="U10" s="18">
        <f t="shared" si="4"/>
        <v>0.10860820595333864</v>
      </c>
      <c r="V10" s="18"/>
      <c r="W10" s="18"/>
      <c r="X10" s="18" t="s">
        <v>122</v>
      </c>
      <c r="Y10" s="34">
        <v>0.15</v>
      </c>
      <c r="Z10" s="33">
        <v>0.1</v>
      </c>
      <c r="AA10" s="32">
        <v>0.12</v>
      </c>
      <c r="AB10" s="31">
        <v>0.2</v>
      </c>
      <c r="AD10" t="s">
        <v>27</v>
      </c>
      <c r="AE10" t="s">
        <v>321</v>
      </c>
      <c r="AF10">
        <v>5</v>
      </c>
      <c r="AG10">
        <v>6</v>
      </c>
      <c r="AH10">
        <v>4</v>
      </c>
    </row>
    <row r="11" spans="1:40" ht="15" thickBot="1">
      <c r="A11" s="153" t="s">
        <v>92</v>
      </c>
      <c r="B11" s="25" t="s">
        <v>90</v>
      </c>
      <c r="C11" s="25"/>
      <c r="D11" s="25"/>
      <c r="E11" s="25">
        <v>3</v>
      </c>
      <c r="F11" s="24">
        <f t="shared" si="11"/>
        <v>1.6400000000000001</v>
      </c>
      <c r="G11" s="21">
        <f t="shared" si="12"/>
        <v>1.92</v>
      </c>
      <c r="H11" s="24">
        <f t="shared" si="13"/>
        <v>0</v>
      </c>
      <c r="I11" s="24">
        <f t="shared" si="14"/>
        <v>0</v>
      </c>
      <c r="J11" s="24">
        <f t="shared" si="15"/>
        <v>0.15</v>
      </c>
      <c r="K11" s="26">
        <v>2</v>
      </c>
      <c r="L11" s="26">
        <v>1</v>
      </c>
      <c r="M11" s="26"/>
      <c r="N11" s="20">
        <f t="shared" si="6"/>
        <v>1148</v>
      </c>
      <c r="O11" s="43">
        <f t="shared" si="3"/>
        <v>3444.0000000000005</v>
      </c>
      <c r="P11" s="43">
        <f t="shared" si="0"/>
        <v>6612.4800000000005</v>
      </c>
      <c r="Q11" s="24">
        <f t="shared" si="10"/>
        <v>0.15</v>
      </c>
      <c r="R11" s="21">
        <f t="shared" si="16"/>
        <v>0.66</v>
      </c>
      <c r="S11" s="43">
        <f t="shared" si="17"/>
        <v>5535.1968000000006</v>
      </c>
      <c r="T11" s="19">
        <v>5059.9248000000007</v>
      </c>
      <c r="U11" s="18">
        <f t="shared" si="4"/>
        <v>9.392866866321814E-2</v>
      </c>
      <c r="V11" s="18"/>
      <c r="W11" s="18"/>
      <c r="X11" s="18" t="s">
        <v>122</v>
      </c>
      <c r="Y11" s="34">
        <v>0.3</v>
      </c>
      <c r="Z11" s="33">
        <v>0.1</v>
      </c>
      <c r="AA11" s="32">
        <v>0.12</v>
      </c>
      <c r="AB11" s="31">
        <v>0.15</v>
      </c>
      <c r="AD11" t="s">
        <v>27</v>
      </c>
      <c r="AE11" t="s">
        <v>322</v>
      </c>
      <c r="AF11">
        <v>2.25</v>
      </c>
      <c r="AG11">
        <v>3</v>
      </c>
      <c r="AH11">
        <v>2.25</v>
      </c>
    </row>
    <row r="12" spans="1:40" ht="15" thickBot="1">
      <c r="A12" s="153" t="s">
        <v>91</v>
      </c>
      <c r="B12" s="25" t="s">
        <v>90</v>
      </c>
      <c r="C12" s="25">
        <v>1</v>
      </c>
      <c r="D12" s="25"/>
      <c r="E12" s="25">
        <v>1</v>
      </c>
      <c r="F12" s="24">
        <f t="shared" si="11"/>
        <v>1.9900000000000002</v>
      </c>
      <c r="G12" s="21">
        <f t="shared" si="12"/>
        <v>1.92</v>
      </c>
      <c r="H12" s="24">
        <f t="shared" si="13"/>
        <v>0</v>
      </c>
      <c r="I12" s="24">
        <f t="shared" si="14"/>
        <v>0</v>
      </c>
      <c r="J12" s="24">
        <f t="shared" si="15"/>
        <v>0.15</v>
      </c>
      <c r="K12" s="26">
        <v>2</v>
      </c>
      <c r="L12" s="26">
        <v>1</v>
      </c>
      <c r="M12" s="26"/>
      <c r="N12" s="20">
        <f t="shared" si="6"/>
        <v>1393.0000000000002</v>
      </c>
      <c r="O12" s="43">
        <f t="shared" si="3"/>
        <v>4179</v>
      </c>
      <c r="P12" s="43">
        <f t="shared" si="0"/>
        <v>8023.6799999999994</v>
      </c>
      <c r="Q12" s="24">
        <f t="shared" si="10"/>
        <v>0.15</v>
      </c>
      <c r="R12" s="21">
        <f t="shared" si="16"/>
        <v>0.42000000000000004</v>
      </c>
      <c r="S12" s="43">
        <f t="shared" si="17"/>
        <v>5793.7655999999997</v>
      </c>
      <c r="T12" s="19">
        <v>5217.0635999999995</v>
      </c>
      <c r="U12" s="18">
        <f t="shared" si="4"/>
        <v>0.11054149311118233</v>
      </c>
      <c r="V12" s="18"/>
      <c r="W12" s="18"/>
      <c r="X12" s="18" t="s">
        <v>122</v>
      </c>
      <c r="Y12" s="34">
        <v>0.5</v>
      </c>
      <c r="Z12" s="33">
        <v>0.1</v>
      </c>
      <c r="AA12" s="32">
        <v>0.12</v>
      </c>
      <c r="AB12" s="31">
        <v>0.11</v>
      </c>
    </row>
    <row r="13" spans="1:40" ht="15" thickBot="1">
      <c r="A13" s="153" t="s">
        <v>120</v>
      </c>
      <c r="B13" s="25" t="s">
        <v>90</v>
      </c>
      <c r="C13" s="25"/>
      <c r="D13" s="25">
        <v>1</v>
      </c>
      <c r="E13" s="25">
        <v>1</v>
      </c>
      <c r="F13" s="24">
        <f t="shared" si="11"/>
        <v>1.6400000000000001</v>
      </c>
      <c r="G13" s="21">
        <f t="shared" si="12"/>
        <v>2.3199999999999998</v>
      </c>
      <c r="H13" s="24">
        <f t="shared" si="13"/>
        <v>0</v>
      </c>
      <c r="I13" s="24">
        <f t="shared" si="14"/>
        <v>0</v>
      </c>
      <c r="J13" s="24">
        <f t="shared" si="15"/>
        <v>0.15</v>
      </c>
      <c r="K13" s="26">
        <v>2</v>
      </c>
      <c r="L13" s="26">
        <v>1</v>
      </c>
      <c r="M13" s="26"/>
      <c r="N13" s="20">
        <f t="shared" si="6"/>
        <v>1148</v>
      </c>
      <c r="O13" s="43">
        <f t="shared" si="3"/>
        <v>3444.0000000000005</v>
      </c>
      <c r="P13" s="43">
        <f t="shared" si="0"/>
        <v>7990.0800000000008</v>
      </c>
      <c r="Q13" s="24">
        <f t="shared" si="10"/>
        <v>0.15</v>
      </c>
      <c r="R13" s="21">
        <f t="shared" si="16"/>
        <v>0.42000000000000004</v>
      </c>
      <c r="S13" s="43">
        <f t="shared" si="17"/>
        <v>5353.3536000000013</v>
      </c>
      <c r="T13" s="19">
        <v>4671.4416000000001</v>
      </c>
      <c r="U13" s="18">
        <f t="shared" si="4"/>
        <v>0.14597463874963168</v>
      </c>
      <c r="V13" s="18"/>
      <c r="W13" s="18"/>
      <c r="X13" s="18"/>
      <c r="Y13" s="34"/>
      <c r="Z13" s="33"/>
      <c r="AA13" s="32"/>
      <c r="AB13" s="31"/>
      <c r="AD13" t="s">
        <v>28</v>
      </c>
      <c r="AE13" t="s">
        <v>321</v>
      </c>
      <c r="AF13">
        <v>8</v>
      </c>
      <c r="AG13">
        <v>8</v>
      </c>
      <c r="AH13">
        <v>5</v>
      </c>
    </row>
    <row r="14" spans="1:40" ht="15" thickBot="1">
      <c r="A14" s="153" t="s">
        <v>92</v>
      </c>
      <c r="B14" s="25" t="s">
        <v>90</v>
      </c>
      <c r="C14" s="25"/>
      <c r="D14" s="25"/>
      <c r="E14" s="25">
        <v>3</v>
      </c>
      <c r="F14" s="24">
        <f t="shared" si="11"/>
        <v>1.6400000000000001</v>
      </c>
      <c r="G14" s="21">
        <f t="shared" si="12"/>
        <v>1.5</v>
      </c>
      <c r="H14" s="24">
        <f t="shared" si="13"/>
        <v>0</v>
      </c>
      <c r="I14" s="24">
        <f t="shared" si="14"/>
        <v>0</v>
      </c>
      <c r="J14" s="24">
        <f t="shared" si="15"/>
        <v>0.15</v>
      </c>
      <c r="K14" s="26">
        <v>2</v>
      </c>
      <c r="L14" s="26"/>
      <c r="M14" s="26">
        <v>1</v>
      </c>
      <c r="N14" s="20">
        <f t="shared" si="6"/>
        <v>1148</v>
      </c>
      <c r="O14" s="43">
        <f t="shared" si="3"/>
        <v>3444.0000000000005</v>
      </c>
      <c r="P14" s="43">
        <f t="shared" si="0"/>
        <v>5166.0000000000009</v>
      </c>
      <c r="Q14" s="24">
        <f t="shared" si="10"/>
        <v>0.15</v>
      </c>
      <c r="R14" s="21">
        <f t="shared" si="16"/>
        <v>0.97</v>
      </c>
      <c r="S14" s="43">
        <f t="shared" si="17"/>
        <v>5114.34</v>
      </c>
      <c r="T14" s="19">
        <v>4856.0400000000009</v>
      </c>
      <c r="U14" s="18">
        <f t="shared" si="4"/>
        <v>5.3191489361702038E-2</v>
      </c>
      <c r="V14" s="18"/>
      <c r="W14" s="18"/>
      <c r="X14" s="18"/>
      <c r="Y14" s="34"/>
      <c r="Z14" s="33"/>
      <c r="AA14" s="32"/>
      <c r="AB14" s="31"/>
      <c r="AD14" t="s">
        <v>28</v>
      </c>
      <c r="AE14" t="s">
        <v>322</v>
      </c>
      <c r="AF14">
        <v>2.25</v>
      </c>
      <c r="AG14">
        <v>3.33</v>
      </c>
      <c r="AH14">
        <v>2.5</v>
      </c>
    </row>
    <row r="15" spans="1:40" ht="15" thickBot="1">
      <c r="A15" s="153" t="s">
        <v>91</v>
      </c>
      <c r="B15" s="25" t="s">
        <v>90</v>
      </c>
      <c r="C15" s="25">
        <v>1</v>
      </c>
      <c r="D15" s="25"/>
      <c r="E15" s="25">
        <v>1</v>
      </c>
      <c r="F15" s="24">
        <f t="shared" si="11"/>
        <v>1.9900000000000002</v>
      </c>
      <c r="G15" s="21">
        <f t="shared" si="12"/>
        <v>1.5</v>
      </c>
      <c r="H15" s="24">
        <f t="shared" si="13"/>
        <v>0</v>
      </c>
      <c r="I15" s="24">
        <f t="shared" si="14"/>
        <v>0</v>
      </c>
      <c r="J15" s="24">
        <f t="shared" si="15"/>
        <v>0.15</v>
      </c>
      <c r="K15" s="26">
        <v>2</v>
      </c>
      <c r="L15" s="26"/>
      <c r="M15" s="26">
        <v>1</v>
      </c>
      <c r="N15" s="20">
        <f t="shared" si="6"/>
        <v>1393.0000000000002</v>
      </c>
      <c r="O15" s="43">
        <f t="shared" si="3"/>
        <v>4179</v>
      </c>
      <c r="P15" s="43">
        <f t="shared" si="0"/>
        <v>6268.5</v>
      </c>
      <c r="Q15" s="24">
        <f t="shared" si="10"/>
        <v>0.15</v>
      </c>
      <c r="R15" s="21">
        <f t="shared" si="16"/>
        <v>0.73</v>
      </c>
      <c r="S15" s="43">
        <f t="shared" si="17"/>
        <v>5704.335</v>
      </c>
      <c r="T15" s="19">
        <v>5390.91</v>
      </c>
      <c r="U15" s="18">
        <f t="shared" si="4"/>
        <v>5.8139534883721034E-2</v>
      </c>
      <c r="V15" s="18"/>
      <c r="W15" s="18"/>
      <c r="X15" s="18"/>
      <c r="Y15" s="34"/>
      <c r="Z15" s="33"/>
      <c r="AA15" s="32"/>
      <c r="AB15" s="31"/>
    </row>
    <row r="16" spans="1:40" ht="15" thickBot="1">
      <c r="A16" s="153" t="s">
        <v>120</v>
      </c>
      <c r="B16" s="25" t="s">
        <v>90</v>
      </c>
      <c r="C16" s="25"/>
      <c r="D16" s="25">
        <v>1</v>
      </c>
      <c r="E16" s="25">
        <v>1</v>
      </c>
      <c r="F16" s="24">
        <f t="shared" si="11"/>
        <v>1.6400000000000001</v>
      </c>
      <c r="G16" s="21">
        <f t="shared" si="12"/>
        <v>1.9</v>
      </c>
      <c r="H16" s="24">
        <f t="shared" si="13"/>
        <v>0</v>
      </c>
      <c r="I16" s="24">
        <f t="shared" si="14"/>
        <v>0</v>
      </c>
      <c r="J16" s="24">
        <f t="shared" si="15"/>
        <v>0.15</v>
      </c>
      <c r="K16" s="26">
        <v>2</v>
      </c>
      <c r="L16" s="26"/>
      <c r="M16" s="26">
        <v>1</v>
      </c>
      <c r="N16" s="20">
        <f t="shared" si="6"/>
        <v>1148</v>
      </c>
      <c r="O16" s="43">
        <f t="shared" si="3"/>
        <v>3444.0000000000005</v>
      </c>
      <c r="P16" s="43">
        <f t="shared" si="0"/>
        <v>6543.6</v>
      </c>
      <c r="Q16" s="24">
        <f t="shared" si="10"/>
        <v>0.15</v>
      </c>
      <c r="R16" s="21">
        <f t="shared" si="16"/>
        <v>0.73</v>
      </c>
      <c r="S16" s="43">
        <f t="shared" si="17"/>
        <v>5706.7080000000005</v>
      </c>
      <c r="T16" s="19">
        <v>5241.768</v>
      </c>
      <c r="U16" s="18">
        <f t="shared" si="4"/>
        <v>8.869908015768746E-2</v>
      </c>
      <c r="V16" s="18"/>
      <c r="W16" s="18"/>
      <c r="X16" s="18"/>
      <c r="Y16" s="34"/>
      <c r="Z16" s="33"/>
      <c r="AA16" s="32"/>
      <c r="AB16" s="31"/>
      <c r="AD16" t="s">
        <v>29</v>
      </c>
      <c r="AE16" t="s">
        <v>321</v>
      </c>
      <c r="AF16">
        <v>11</v>
      </c>
      <c r="AG16">
        <v>11</v>
      </c>
      <c r="AH16">
        <v>7</v>
      </c>
    </row>
    <row r="17" spans="1:34" ht="15" thickBot="1">
      <c r="A17" s="153"/>
      <c r="B17" s="25"/>
      <c r="C17" s="25"/>
      <c r="D17" s="25"/>
      <c r="E17" s="25"/>
      <c r="F17" s="24"/>
      <c r="G17" s="21"/>
      <c r="H17" s="24"/>
      <c r="I17" s="24"/>
      <c r="J17" s="24"/>
      <c r="K17" s="26"/>
      <c r="L17" s="26"/>
      <c r="M17" s="26"/>
      <c r="N17" s="20"/>
      <c r="O17" s="43"/>
      <c r="P17" s="43"/>
      <c r="Q17" s="24"/>
      <c r="R17" s="21"/>
      <c r="S17" s="43"/>
      <c r="T17" s="19"/>
      <c r="U17" s="18"/>
      <c r="V17" s="18"/>
      <c r="W17" s="18"/>
      <c r="X17" s="18"/>
      <c r="Y17" s="30"/>
      <c r="Z17" s="29"/>
      <c r="AA17" s="28"/>
      <c r="AB17" s="27"/>
      <c r="AC17" s="18"/>
      <c r="AD17" t="s">
        <v>29</v>
      </c>
      <c r="AE17" t="s">
        <v>322</v>
      </c>
      <c r="AF17">
        <v>3</v>
      </c>
      <c r="AG17">
        <v>4</v>
      </c>
      <c r="AH17">
        <v>3</v>
      </c>
    </row>
    <row r="18" spans="1:34" ht="15" thickBot="1">
      <c r="A18" s="153"/>
      <c r="B18" s="25"/>
      <c r="C18" s="25"/>
      <c r="D18" s="25"/>
      <c r="E18" s="25"/>
      <c r="F18" s="24"/>
      <c r="G18" s="21"/>
      <c r="H18" s="24"/>
      <c r="I18" s="24"/>
      <c r="J18" s="24"/>
      <c r="K18" s="26"/>
      <c r="L18" s="26"/>
      <c r="M18" s="26"/>
      <c r="N18" s="20"/>
      <c r="O18" s="43"/>
      <c r="P18" s="43"/>
      <c r="Q18" s="24"/>
      <c r="R18" s="21"/>
      <c r="S18" s="43"/>
      <c r="T18" s="19"/>
      <c r="U18" s="18"/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53"/>
      <c r="B19" s="25"/>
      <c r="C19" s="25"/>
      <c r="D19" s="25"/>
      <c r="E19" s="25"/>
      <c r="F19" s="24"/>
      <c r="G19" s="21"/>
      <c r="H19" s="24"/>
      <c r="I19" s="24"/>
      <c r="J19" s="24"/>
      <c r="K19" s="26"/>
      <c r="L19" s="26"/>
      <c r="M19" s="26"/>
      <c r="N19" s="20"/>
      <c r="O19" s="43"/>
      <c r="P19" s="43"/>
      <c r="Q19" s="24"/>
      <c r="R19" s="21"/>
      <c r="S19" s="43"/>
      <c r="T19" s="19"/>
      <c r="U19" s="18"/>
      <c r="V19" s="18"/>
      <c r="W19" s="182" t="s">
        <v>338</v>
      </c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4" ht="15" thickBot="1">
      <c r="A20" s="153"/>
      <c r="B20" s="25"/>
      <c r="C20" s="25"/>
      <c r="D20" s="25"/>
      <c r="E20" s="25"/>
      <c r="F20" s="24"/>
      <c r="G20" s="21"/>
      <c r="H20" s="24"/>
      <c r="I20" s="24"/>
      <c r="J20" s="24"/>
      <c r="K20" s="26"/>
      <c r="L20" s="26"/>
      <c r="M20" s="26"/>
      <c r="N20" s="20"/>
      <c r="O20" s="43"/>
      <c r="P20" s="43"/>
      <c r="Q20" s="24"/>
      <c r="R20" s="21"/>
      <c r="S20" s="43"/>
      <c r="T20" s="19"/>
      <c r="U20" s="18"/>
      <c r="V20" s="18"/>
      <c r="W20" s="18" t="s">
        <v>84</v>
      </c>
      <c r="X20" s="18" t="s">
        <v>83</v>
      </c>
      <c r="Y20" s="18" t="s">
        <v>82</v>
      </c>
      <c r="Z20" s="18" t="s">
        <v>331</v>
      </c>
      <c r="AA20" s="18" t="s">
        <v>332</v>
      </c>
      <c r="AB20" s="18" t="s">
        <v>333</v>
      </c>
      <c r="AC20" s="18" t="s">
        <v>334</v>
      </c>
      <c r="AD20" s="18" t="s">
        <v>335</v>
      </c>
      <c r="AE20" s="18" t="s">
        <v>336</v>
      </c>
      <c r="AF20" t="s">
        <v>337</v>
      </c>
    </row>
    <row r="21" spans="1:34" ht="15" thickBot="1">
      <c r="A21" s="153"/>
      <c r="B21" s="25"/>
      <c r="C21" s="25"/>
      <c r="D21" s="25"/>
      <c r="E21" s="25"/>
      <c r="F21" s="24"/>
      <c r="G21" s="24"/>
      <c r="H21" s="24"/>
      <c r="I21" s="24"/>
      <c r="J21" s="24"/>
      <c r="K21" s="26"/>
      <c r="L21" s="26"/>
      <c r="M21" s="10"/>
      <c r="N21" s="25"/>
      <c r="O21" s="25"/>
      <c r="P21" s="25"/>
      <c r="Q21" s="24"/>
      <c r="R21" s="24"/>
      <c r="S21" s="20"/>
      <c r="T21" s="19"/>
      <c r="U21" s="18"/>
      <c r="V21" s="18"/>
      <c r="W21" s="18" t="s">
        <v>328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327</v>
      </c>
      <c r="AC21">
        <v>3</v>
      </c>
      <c r="AD21" s="18"/>
      <c r="AF21">
        <v>1</v>
      </c>
    </row>
    <row r="22" spans="1:34" ht="15" thickBot="1">
      <c r="A22" s="152"/>
      <c r="B22" s="22"/>
      <c r="C22" s="22"/>
      <c r="D22" s="22"/>
      <c r="E22" s="22"/>
      <c r="F22" s="21"/>
      <c r="G22" s="21"/>
      <c r="H22" s="21"/>
      <c r="I22" s="21"/>
      <c r="J22" s="21"/>
      <c r="K22" s="23"/>
      <c r="L22" s="23"/>
      <c r="N22" s="22"/>
      <c r="O22" s="22"/>
      <c r="P22" s="22"/>
      <c r="Q22" s="21"/>
      <c r="R22" s="21"/>
      <c r="S22" s="20"/>
      <c r="T22" s="19"/>
      <c r="U22" s="18"/>
      <c r="V22" s="18"/>
      <c r="W22" s="18" t="s">
        <v>329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327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52"/>
      <c r="B23" s="22"/>
      <c r="C23" s="22"/>
      <c r="D23" s="22"/>
      <c r="E23" s="22"/>
      <c r="F23" s="21"/>
      <c r="G23" s="21"/>
      <c r="H23" s="21"/>
      <c r="I23" s="21"/>
      <c r="J23" s="21"/>
      <c r="K23" s="23"/>
      <c r="L23" s="23"/>
      <c r="N23" s="22"/>
      <c r="O23" s="22"/>
      <c r="P23" s="22"/>
      <c r="Q23" s="21"/>
      <c r="R23" s="21"/>
      <c r="S23" s="20"/>
      <c r="T23" s="19"/>
      <c r="U23" s="18"/>
      <c r="V23" s="18"/>
      <c r="W23" s="18" t="s">
        <v>330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327</v>
      </c>
      <c r="AC23">
        <v>3</v>
      </c>
      <c r="AD23" s="18"/>
      <c r="AF23">
        <v>3</v>
      </c>
    </row>
    <row r="24" spans="1:34" ht="15" thickBot="1">
      <c r="A24" s="152"/>
      <c r="B24" s="22"/>
      <c r="C24" s="22"/>
      <c r="D24" s="22"/>
      <c r="E24" s="22"/>
      <c r="F24" s="21"/>
      <c r="G24" s="21"/>
      <c r="H24" s="21"/>
      <c r="I24" s="21"/>
      <c r="J24" s="21"/>
      <c r="K24" s="23"/>
      <c r="L24" s="23"/>
      <c r="N24" s="22"/>
      <c r="O24" s="22"/>
      <c r="P24" s="22"/>
      <c r="Q24" s="21"/>
      <c r="R24" s="21"/>
      <c r="S24" s="20"/>
      <c r="T24" s="19"/>
      <c r="U24" s="18"/>
      <c r="V24" s="18"/>
      <c r="W24" s="18" t="s">
        <v>330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327</v>
      </c>
      <c r="AC24">
        <v>3</v>
      </c>
      <c r="AD24" s="18"/>
      <c r="AF24">
        <v>2</v>
      </c>
    </row>
    <row r="25" spans="1:34" ht="15" thickBot="1">
      <c r="A25" s="152"/>
      <c r="B25" s="22"/>
      <c r="C25" s="22"/>
      <c r="D25" s="22"/>
      <c r="E25" s="22"/>
      <c r="F25" s="21"/>
      <c r="G25" s="21"/>
      <c r="H25" s="21"/>
      <c r="I25" s="21"/>
      <c r="J25" s="21"/>
      <c r="K25" s="23"/>
      <c r="L25" s="23"/>
      <c r="N25" s="22"/>
      <c r="O25" s="22"/>
      <c r="P25" s="22"/>
      <c r="Q25" s="21"/>
      <c r="R25" s="21"/>
      <c r="S25" s="20"/>
      <c r="T25" s="19"/>
      <c r="U25" s="18"/>
      <c r="V25" s="18"/>
      <c r="W25" s="18" t="s">
        <v>330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327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52"/>
      <c r="B26" s="22"/>
      <c r="C26" s="22"/>
      <c r="D26" s="22"/>
      <c r="E26" s="22"/>
      <c r="F26" s="21"/>
      <c r="G26" s="21"/>
      <c r="H26" s="21"/>
      <c r="I26" s="21"/>
      <c r="J26" s="21"/>
      <c r="K26" s="23"/>
      <c r="L26" s="23"/>
      <c r="N26" s="22"/>
      <c r="O26" s="22"/>
      <c r="P26" s="22"/>
      <c r="Q26" s="21"/>
      <c r="R26" s="21"/>
      <c r="S26" s="20"/>
      <c r="T26" s="19"/>
      <c r="U26" s="18"/>
      <c r="V26" s="18"/>
      <c r="W26" s="18" t="s">
        <v>328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327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52"/>
      <c r="B27" s="22"/>
      <c r="C27" s="22"/>
      <c r="D27" s="22"/>
      <c r="E27" s="22"/>
      <c r="F27" s="21"/>
      <c r="G27" s="21"/>
      <c r="H27" s="21"/>
      <c r="I27" s="21"/>
      <c r="J27" s="21"/>
      <c r="K27" s="23"/>
      <c r="L27" s="23"/>
      <c r="N27" s="22"/>
      <c r="O27" s="22"/>
      <c r="P27" s="22"/>
      <c r="Q27" s="21"/>
      <c r="R27" s="21"/>
      <c r="S27" s="20"/>
      <c r="T27" s="19"/>
      <c r="U27" s="18"/>
      <c r="V27" s="18"/>
      <c r="W27" s="18" t="s">
        <v>329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327</v>
      </c>
      <c r="AC27">
        <v>3</v>
      </c>
      <c r="AD27" s="18"/>
      <c r="AF27">
        <v>1</v>
      </c>
    </row>
    <row r="28" spans="1:34" ht="15" thickBot="1">
      <c r="A28" s="152"/>
      <c r="B28" s="22"/>
      <c r="C28" s="22"/>
      <c r="D28" s="22"/>
      <c r="E28" s="22"/>
      <c r="F28" s="21"/>
      <c r="G28" s="21"/>
      <c r="H28" s="21"/>
      <c r="I28" s="21"/>
      <c r="J28" s="21"/>
      <c r="K28" s="23"/>
      <c r="L28" s="23"/>
      <c r="N28" s="22"/>
      <c r="O28" s="22"/>
      <c r="P28" s="22"/>
      <c r="Q28" s="21"/>
      <c r="R28" s="21"/>
      <c r="S28" s="20"/>
      <c r="T28" s="19"/>
      <c r="U28" s="18"/>
      <c r="V28" s="18"/>
      <c r="W28" s="18" t="s">
        <v>329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327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52"/>
      <c r="B29" s="22"/>
      <c r="C29" s="22"/>
      <c r="D29" s="22"/>
      <c r="E29" s="22"/>
      <c r="F29" s="21"/>
      <c r="G29" s="21"/>
      <c r="H29" s="21"/>
      <c r="I29" s="21"/>
      <c r="J29" s="21"/>
      <c r="K29" s="23"/>
      <c r="L29" s="23"/>
      <c r="N29" s="22"/>
      <c r="O29" s="22"/>
      <c r="P29" s="22"/>
      <c r="Q29" s="21"/>
      <c r="R29" s="21"/>
      <c r="S29" s="20"/>
      <c r="T29" s="19"/>
      <c r="U29" s="18"/>
      <c r="V29" s="18"/>
      <c r="W29" s="18" t="s">
        <v>329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327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52"/>
      <c r="B30" s="22"/>
      <c r="C30" s="22"/>
      <c r="D30" s="22"/>
      <c r="E30" s="22"/>
      <c r="F30" s="21"/>
      <c r="G30" s="21"/>
      <c r="H30" s="21"/>
      <c r="I30" s="21"/>
      <c r="J30" s="21"/>
      <c r="K30" s="23"/>
      <c r="L30" s="23"/>
      <c r="N30" s="22"/>
      <c r="O30" s="22"/>
      <c r="P30" s="22"/>
      <c r="Q30" s="21"/>
      <c r="R30" s="21"/>
      <c r="S30" s="20"/>
      <c r="T30" s="19"/>
      <c r="U30" s="18"/>
      <c r="V30" s="18"/>
      <c r="W30" s="18" t="s">
        <v>330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327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52"/>
      <c r="B31" s="22"/>
      <c r="C31" s="22"/>
      <c r="D31" s="22"/>
      <c r="E31" s="22"/>
      <c r="F31" s="21"/>
      <c r="G31" s="21"/>
      <c r="H31" s="21"/>
      <c r="I31" s="21"/>
      <c r="J31" s="21"/>
      <c r="K31" s="23"/>
      <c r="L31" s="23"/>
      <c r="N31" s="22"/>
      <c r="O31" s="22"/>
      <c r="P31" s="22"/>
      <c r="Q31" s="21"/>
      <c r="R31" s="21"/>
      <c r="S31" s="20"/>
      <c r="T31" s="19"/>
      <c r="U31" s="18"/>
      <c r="V31" s="18"/>
      <c r="W31" s="154" t="s">
        <v>328</v>
      </c>
      <c r="X31" s="154">
        <v>0.2</v>
      </c>
      <c r="Y31" s="154">
        <v>0.2</v>
      </c>
      <c r="Z31" s="18" t="s">
        <v>88</v>
      </c>
      <c r="AA31" s="18" t="s">
        <v>86</v>
      </c>
      <c r="AB31" s="18" t="s">
        <v>327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52"/>
      <c r="B32" s="22"/>
      <c r="C32" s="22"/>
      <c r="D32" s="22"/>
      <c r="E32" s="22"/>
      <c r="F32" s="21"/>
      <c r="G32" s="21"/>
      <c r="H32" s="21"/>
      <c r="I32" s="21"/>
      <c r="J32" s="21"/>
      <c r="K32" s="23"/>
      <c r="L32" s="23"/>
      <c r="N32" s="22"/>
      <c r="O32" s="22"/>
      <c r="P32" s="22"/>
      <c r="Q32" s="21"/>
      <c r="R32" s="21"/>
      <c r="S32" s="20"/>
      <c r="T32" s="19"/>
      <c r="U32" s="18"/>
      <c r="V32" s="18"/>
      <c r="W32" s="154" t="s">
        <v>328</v>
      </c>
      <c r="X32" s="154">
        <v>0.2</v>
      </c>
      <c r="Y32" s="154">
        <v>0.2</v>
      </c>
      <c r="Z32" s="18" t="s">
        <v>87</v>
      </c>
      <c r="AA32" s="18" t="s">
        <v>86</v>
      </c>
      <c r="AB32" s="18" t="s">
        <v>327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52"/>
      <c r="B33" s="22"/>
      <c r="C33" s="22"/>
      <c r="D33" s="22"/>
      <c r="E33" s="22"/>
      <c r="F33" s="21"/>
      <c r="G33" s="21"/>
      <c r="H33" s="21"/>
      <c r="I33" s="21"/>
      <c r="J33" s="21"/>
      <c r="K33" s="23"/>
      <c r="L33" s="23"/>
      <c r="N33" s="22"/>
      <c r="O33" s="22"/>
      <c r="P33" s="22"/>
      <c r="Q33" s="21"/>
      <c r="R33" s="21"/>
      <c r="S33" s="20"/>
      <c r="T33" s="19"/>
      <c r="U33" s="18"/>
      <c r="V33" s="18"/>
      <c r="W33" s="18" t="s">
        <v>339</v>
      </c>
      <c r="X33" s="154">
        <v>0.2</v>
      </c>
      <c r="Y33" s="154">
        <v>0.2</v>
      </c>
      <c r="Z33" s="18" t="s">
        <v>87</v>
      </c>
      <c r="AA33" s="18" t="s">
        <v>86</v>
      </c>
      <c r="AB33" s="18" t="s">
        <v>327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52"/>
      <c r="B34" s="22"/>
      <c r="C34" s="22"/>
      <c r="D34" s="22"/>
      <c r="E34" s="22"/>
      <c r="F34" s="21"/>
      <c r="G34" s="21"/>
      <c r="H34" s="21"/>
      <c r="I34" s="21"/>
      <c r="J34" s="21"/>
      <c r="K34" s="23"/>
      <c r="L34" s="23"/>
      <c r="N34" s="22"/>
      <c r="O34" s="22"/>
      <c r="P34" s="22"/>
      <c r="Q34" s="21"/>
      <c r="R34" s="21"/>
      <c r="S34" s="20"/>
      <c r="T34" s="19"/>
      <c r="U34" s="18"/>
      <c r="V34" s="18"/>
      <c r="W34" s="18" t="s">
        <v>339</v>
      </c>
      <c r="X34" s="154">
        <v>0.2</v>
      </c>
      <c r="Y34" s="154">
        <v>0.2</v>
      </c>
      <c r="Z34" s="18" t="s">
        <v>88</v>
      </c>
      <c r="AA34" s="18" t="s">
        <v>86</v>
      </c>
      <c r="AB34" s="18" t="s">
        <v>327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52"/>
      <c r="B35" s="22"/>
      <c r="C35" s="22"/>
      <c r="D35" s="22"/>
      <c r="E35" s="22"/>
      <c r="F35" s="21"/>
      <c r="G35" s="21"/>
      <c r="H35" s="21"/>
      <c r="I35" s="21"/>
      <c r="J35" s="21"/>
      <c r="K35" s="23"/>
      <c r="L35" s="23"/>
      <c r="N35" s="22"/>
      <c r="O35" s="22"/>
      <c r="P35" s="22"/>
      <c r="Q35" s="21"/>
      <c r="R35" s="21"/>
      <c r="S35" s="20"/>
      <c r="T35" s="19"/>
      <c r="U35" s="18"/>
      <c r="V35" s="18"/>
      <c r="W35" s="18" t="s">
        <v>340</v>
      </c>
      <c r="X35" s="154">
        <v>0.2</v>
      </c>
      <c r="Y35" s="154">
        <v>0.2</v>
      </c>
      <c r="Z35" s="18" t="s">
        <v>88</v>
      </c>
      <c r="AA35" s="18" t="s">
        <v>86</v>
      </c>
      <c r="AB35" s="18" t="s">
        <v>327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52"/>
      <c r="B36" s="22"/>
      <c r="C36" s="22"/>
      <c r="D36" s="22"/>
      <c r="E36" s="22"/>
      <c r="F36" s="21"/>
      <c r="G36" s="21"/>
      <c r="H36" s="21"/>
      <c r="I36" s="21"/>
      <c r="J36" s="21"/>
      <c r="K36" s="23"/>
      <c r="L36" s="23"/>
      <c r="N36" s="22"/>
      <c r="O36" s="22"/>
      <c r="P36" s="22"/>
      <c r="Q36" s="21"/>
      <c r="R36" s="21"/>
      <c r="S36" s="20"/>
      <c r="T36" s="19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52"/>
      <c r="B37" s="22"/>
      <c r="C37" s="22"/>
      <c r="D37" s="22"/>
      <c r="E37" s="22"/>
      <c r="F37" s="21"/>
      <c r="G37" s="21"/>
      <c r="H37" s="21"/>
      <c r="I37" s="21"/>
      <c r="J37" s="21"/>
      <c r="K37" s="23"/>
      <c r="L37" s="23"/>
      <c r="N37" s="22"/>
      <c r="O37" s="22"/>
      <c r="P37" s="22"/>
      <c r="Q37" s="21"/>
      <c r="R37" s="21"/>
      <c r="S37" s="20"/>
      <c r="T37" s="19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52"/>
      <c r="B38" s="22"/>
      <c r="C38" s="22"/>
      <c r="D38" s="22"/>
      <c r="E38" s="22"/>
      <c r="F38" s="21"/>
      <c r="G38" s="21"/>
      <c r="H38" s="21"/>
      <c r="I38" s="21"/>
      <c r="J38" s="21"/>
      <c r="K38" s="23"/>
      <c r="L38" s="23"/>
      <c r="N38" s="22"/>
      <c r="O38" s="22"/>
      <c r="P38" s="22"/>
      <c r="Q38" s="21"/>
      <c r="R38" s="21"/>
      <c r="S38" s="20"/>
      <c r="T38" s="19"/>
      <c r="U38" s="18"/>
      <c r="V38" s="18"/>
      <c r="W38" s="154"/>
      <c r="X38" s="154"/>
      <c r="Y38" s="154"/>
      <c r="Z38" s="154"/>
      <c r="AA38" s="154"/>
      <c r="AB38" s="154"/>
      <c r="AC38" s="154"/>
      <c r="AD38" s="154"/>
      <c r="AE38" s="6"/>
      <c r="AF38" s="6"/>
    </row>
    <row r="39" spans="1:32"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54"/>
      <c r="X42" s="154"/>
      <c r="Y42" s="154"/>
      <c r="Z42" s="154"/>
      <c r="AA42" s="154"/>
      <c r="AB42" s="154"/>
      <c r="AC42" s="154"/>
      <c r="AD42" s="154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199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199</v>
      </c>
    </row>
    <row r="10" spans="1:6">
      <c r="A10" t="s">
        <v>218</v>
      </c>
      <c r="B10" t="s">
        <v>160</v>
      </c>
      <c r="C10" t="s">
        <v>86</v>
      </c>
    </row>
    <row r="11" spans="1:6">
      <c r="A11" t="s">
        <v>219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200</v>
      </c>
      <c r="B1" t="s">
        <v>211</v>
      </c>
      <c r="C1" t="s">
        <v>201</v>
      </c>
      <c r="D1" t="s">
        <v>202</v>
      </c>
      <c r="E1" t="s">
        <v>203</v>
      </c>
      <c r="F1" t="s">
        <v>204</v>
      </c>
      <c r="G1" t="s">
        <v>166</v>
      </c>
      <c r="H1" t="s">
        <v>205</v>
      </c>
      <c r="I1" t="s">
        <v>206</v>
      </c>
      <c r="J1" t="s">
        <v>207</v>
      </c>
      <c r="K1" t="s">
        <v>210</v>
      </c>
      <c r="L1" t="s">
        <v>212</v>
      </c>
      <c r="M1" t="s">
        <v>213</v>
      </c>
    </row>
    <row r="2" spans="1:13">
      <c r="A2" t="s">
        <v>208</v>
      </c>
      <c r="C2">
        <v>1</v>
      </c>
      <c r="D2">
        <v>4</v>
      </c>
      <c r="G2">
        <v>3</v>
      </c>
      <c r="J2">
        <v>7</v>
      </c>
    </row>
    <row r="3" spans="1:13">
      <c r="A3" t="s">
        <v>208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209</v>
      </c>
      <c r="C4">
        <v>1</v>
      </c>
      <c r="E4">
        <v>119</v>
      </c>
      <c r="G4">
        <v>3</v>
      </c>
      <c r="H4">
        <v>5</v>
      </c>
      <c r="J4">
        <v>10</v>
      </c>
      <c r="M4" t="s">
        <v>214</v>
      </c>
    </row>
    <row r="5" spans="1:13">
      <c r="A5" t="s">
        <v>208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214</v>
      </c>
    </row>
    <row r="6" spans="1:13">
      <c r="A6" t="s">
        <v>209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208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208</v>
      </c>
      <c r="C8">
        <v>4</v>
      </c>
      <c r="G8">
        <v>6</v>
      </c>
      <c r="H8">
        <v>6</v>
      </c>
    </row>
    <row r="9" spans="1:13">
      <c r="A9" t="s">
        <v>209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208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6"/>
      <c r="B1" s="47" t="s">
        <v>130</v>
      </c>
      <c r="C1" s="47" t="s">
        <v>131</v>
      </c>
      <c r="D1" s="48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349</v>
      </c>
      <c r="B6" t="s">
        <v>3</v>
      </c>
      <c r="C6" t="s">
        <v>2</v>
      </c>
      <c r="D6" t="s">
        <v>346</v>
      </c>
      <c r="E6" t="s">
        <v>345</v>
      </c>
      <c r="F6" t="s">
        <v>347</v>
      </c>
      <c r="G6" t="s">
        <v>348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54">
        <f>Tabela16[[#This Row],[Ene refill to XP]]/30*Tabela16[[#This Row],[Energy pool]]+Tabela16[[#This Row],[Ene to XP]]</f>
        <v>500</v>
      </c>
      <c r="K7" s="54">
        <f>Tabela16[[#This Row],[Ener refill no XP]]/30*Tabela16[[#This Row],[Energy pool]]+Tabela16[[#This Row],[Ene no XP]]</f>
        <v>0</v>
      </c>
      <c r="L7" s="50" t="s">
        <v>8</v>
      </c>
      <c r="M7" s="50" t="s">
        <v>30</v>
      </c>
      <c r="N7" s="50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54">
        <f>Tabela16[[#This Row],[Ene refill to XP]]/30*Tabela16[[#This Row],[Energy pool]]+Tabela16[[#This Row],[Ene to XP]]</f>
        <v>500</v>
      </c>
      <c r="K8" s="54">
        <f>Tabela16[[#This Row],[Ener refill no XP]]/30*Tabela16[[#This Row],[Energy pool]]+Tabela16[[#This Row],[Ene no XP]]</f>
        <v>0</v>
      </c>
      <c r="L8" s="50" t="s">
        <v>8</v>
      </c>
      <c r="M8" s="50" t="s">
        <v>30</v>
      </c>
      <c r="N8" s="50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54">
        <f>Tabela16[[#This Row],[Ene refill to XP]]/30*Tabela16[[#This Row],[Energy pool]]+Tabela16[[#This Row],[Ene to XP]]</f>
        <v>0</v>
      </c>
      <c r="K9" s="54">
        <f>Tabela16[[#This Row],[Ener refill no XP]]/30*Tabela16[[#This Row],[Energy pool]]+Tabela16[[#This Row],[Ene no XP]]</f>
        <v>0</v>
      </c>
      <c r="L9" s="50" t="s">
        <v>8</v>
      </c>
      <c r="M9" s="50" t="s">
        <v>30</v>
      </c>
      <c r="N9" s="50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54">
        <f>Tabela16[[#This Row],[Ene refill to XP]]/30*Tabela16[[#This Row],[Energy pool]]+Tabela16[[#This Row],[Ene to XP]]</f>
        <v>0</v>
      </c>
      <c r="K10" s="54">
        <f>Tabela16[[#This Row],[Ener refill no XP]]/30*Tabela16[[#This Row],[Energy pool]]+Tabela16[[#This Row],[Ene no XP]]</f>
        <v>0</v>
      </c>
      <c r="L10" s="50" t="s">
        <v>8</v>
      </c>
      <c r="M10" s="50" t="s">
        <v>30</v>
      </c>
      <c r="N10" s="50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54">
        <f>Tabela16[[#This Row],[Ene refill to XP]]/30*Tabela16[[#This Row],[Energy pool]]+Tabela16[[#This Row],[Ene to XP]]</f>
        <v>500</v>
      </c>
      <c r="K11" s="54">
        <f>Tabela16[[#This Row],[Ener refill no XP]]/30*Tabela16[[#This Row],[Energy pool]]+Tabela16[[#This Row],[Ene no XP]]</f>
        <v>0</v>
      </c>
      <c r="L11" s="50" t="s">
        <v>31</v>
      </c>
      <c r="M11" s="50" t="s">
        <v>9</v>
      </c>
      <c r="N11" s="50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54">
        <f>Tabela16[[#This Row],[Ene refill to XP]]/30*Tabela16[[#This Row],[Energy pool]]+Tabela16[[#This Row],[Ene to XP]]</f>
        <v>500</v>
      </c>
      <c r="K12" s="54">
        <f>Tabela16[[#This Row],[Ener refill no XP]]/30*Tabela16[[#This Row],[Energy pool]]+Tabela16[[#This Row],[Ene no XP]]</f>
        <v>0</v>
      </c>
      <c r="L12" s="50" t="s">
        <v>31</v>
      </c>
      <c r="M12" s="50" t="s">
        <v>9</v>
      </c>
      <c r="N12" s="50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54">
        <f>Tabela16[[#This Row],[Ene refill to XP]]/30*Tabela16[[#This Row],[Energy pool]]+Tabela16[[#This Row],[Ene to XP]]</f>
        <v>0</v>
      </c>
      <c r="K13" s="54">
        <f>Tabela16[[#This Row],[Ener refill no XP]]/30*Tabela16[[#This Row],[Energy pool]]+Tabela16[[#This Row],[Ene no XP]]</f>
        <v>0</v>
      </c>
      <c r="L13" s="50" t="s">
        <v>31</v>
      </c>
      <c r="M13" s="50" t="s">
        <v>9</v>
      </c>
      <c r="N13" s="50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54">
        <f>Tabela16[[#This Row],[Ene refill to XP]]/30*Tabela16[[#This Row],[Energy pool]]+Tabela16[[#This Row],[Ene to XP]]</f>
        <v>0</v>
      </c>
      <c r="K14" s="54">
        <f>Tabela16[[#This Row],[Ener refill no XP]]/30*Tabela16[[#This Row],[Energy pool]]+Tabela16[[#This Row],[Ene no XP]]</f>
        <v>0</v>
      </c>
      <c r="L14" s="50" t="s">
        <v>31</v>
      </c>
      <c r="M14" s="50" t="s">
        <v>9</v>
      </c>
      <c r="N14" s="50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54">
        <f>Tabela16[[#This Row],[Ene refill to XP]]/30*Tabela16[[#This Row],[Energy pool]]+Tabela16[[#This Row],[Ene to XP]]</f>
        <v>500</v>
      </c>
      <c r="K15" s="54">
        <f>Tabela16[[#This Row],[Ener refill no XP]]/30*Tabela16[[#This Row],[Energy pool]]+Tabela16[[#This Row],[Ene no XP]]</f>
        <v>0</v>
      </c>
      <c r="L15" s="50" t="s">
        <v>8</v>
      </c>
      <c r="M15" s="51" t="s">
        <v>32</v>
      </c>
      <c r="N15" s="50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54">
        <f>Tabela16[[#This Row],[Ene refill to XP]]/30*Tabela16[[#This Row],[Energy pool]]+Tabela16[[#This Row],[Ene to XP]]</f>
        <v>500</v>
      </c>
      <c r="K16" s="54">
        <f>Tabela16[[#This Row],[Ener refill no XP]]/30*Tabela16[[#This Row],[Energy pool]]+Tabela16[[#This Row],[Ene no XP]]</f>
        <v>0</v>
      </c>
      <c r="L16" s="50" t="s">
        <v>8</v>
      </c>
      <c r="M16" s="51" t="s">
        <v>32</v>
      </c>
      <c r="N16" s="50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54">
        <f>Tabela16[[#This Row],[Ene refill to XP]]/30*Tabela16[[#This Row],[Energy pool]]+Tabela16[[#This Row],[Ene to XP]]</f>
        <v>0</v>
      </c>
      <c r="K17" s="54">
        <f>Tabela16[[#This Row],[Ener refill no XP]]/30*Tabela16[[#This Row],[Energy pool]]+Tabela16[[#This Row],[Ene no XP]]</f>
        <v>0</v>
      </c>
      <c r="L17" s="50" t="s">
        <v>8</v>
      </c>
      <c r="M17" s="51" t="s">
        <v>32</v>
      </c>
      <c r="N17" s="50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54">
        <f>Tabela16[[#This Row],[Ene refill to XP]]/30*Tabela16[[#This Row],[Energy pool]]+Tabela16[[#This Row],[Ene to XP]]</f>
        <v>0</v>
      </c>
      <c r="K18" s="54">
        <f>Tabela16[[#This Row],[Ener refill no XP]]/30*Tabela16[[#This Row],[Energy pool]]+Tabela16[[#This Row],[Ene no XP]]</f>
        <v>0</v>
      </c>
      <c r="L18" s="50" t="s">
        <v>8</v>
      </c>
      <c r="M18" s="51" t="s">
        <v>32</v>
      </c>
      <c r="N18" s="50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54">
        <f>Tabela16[[#This Row],[Ene refill to XP]]/30*Tabela16[[#This Row],[Energy pool]]+Tabela16[[#This Row],[Ene to XP]]</f>
        <v>0</v>
      </c>
      <c r="K19" s="54">
        <f>Tabela16[[#This Row],[Ener refill no XP]]/30*Tabela16[[#This Row],[Energy pool]]+Tabela16[[#This Row],[Ene no XP]]</f>
        <v>0</v>
      </c>
      <c r="L19" s="50" t="s">
        <v>8</v>
      </c>
      <c r="M19" s="51" t="s">
        <v>32</v>
      </c>
      <c r="N19" s="50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54">
        <f>Tabela16[[#This Row],[Ene refill to XP]]/30*Tabela16[[#This Row],[Energy pool]]+Tabela16[[#This Row],[Ene to XP]]</f>
        <v>0</v>
      </c>
      <c r="K20" s="54">
        <f>Tabela16[[#This Row],[Ener refill no XP]]/30*Tabela16[[#This Row],[Energy pool]]+Tabela16[[#This Row],[Ene no XP]]</f>
        <v>0</v>
      </c>
      <c r="L20" s="50" t="s">
        <v>8</v>
      </c>
      <c r="M20" s="51" t="s">
        <v>32</v>
      </c>
      <c r="N20" s="50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54">
        <f>Tabela16[[#This Row],[Ene refill to XP]]/30*Tabela16[[#This Row],[Energy pool]]+Tabela16[[#This Row],[Ene to XP]]</f>
        <v>0</v>
      </c>
      <c r="K21" s="54">
        <f>Tabela16[[#This Row],[Ener refill no XP]]/30*Tabela16[[#This Row],[Energy pool]]+Tabela16[[#This Row],[Ene no XP]]</f>
        <v>0</v>
      </c>
      <c r="L21" s="50" t="s">
        <v>8</v>
      </c>
      <c r="M21" s="51" t="s">
        <v>32</v>
      </c>
      <c r="N21" s="50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54">
        <f>Tabela16[[#This Row],[Ene refill to XP]]/30*Tabela16[[#This Row],[Energy pool]]+Tabela16[[#This Row],[Ene to XP]]</f>
        <v>0</v>
      </c>
      <c r="K22" s="54">
        <f>Tabela16[[#This Row],[Ener refill no XP]]/30*Tabela16[[#This Row],[Energy pool]]+Tabela16[[#This Row],[Ene no XP]]</f>
        <v>0</v>
      </c>
      <c r="L22" s="50" t="s">
        <v>61</v>
      </c>
      <c r="M22" s="50" t="s">
        <v>9</v>
      </c>
      <c r="N22" s="50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54">
        <f>Tabela16[[#This Row],[Ene refill to XP]]/30*Tabela16[[#This Row],[Energy pool]]+Tabela16[[#This Row],[Ene to XP]]</f>
        <v>0</v>
      </c>
      <c r="K23" s="54">
        <f>Tabela16[[#This Row],[Ener refill no XP]]/30*Tabela16[[#This Row],[Energy pool]]+Tabela16[[#This Row],[Ene no XP]]</f>
        <v>0</v>
      </c>
      <c r="L23" s="50" t="s">
        <v>61</v>
      </c>
      <c r="M23" s="50" t="s">
        <v>9</v>
      </c>
      <c r="N23" s="50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54">
        <f>Tabela16[[#This Row],[Ene refill to XP]]/30*Tabela16[[#This Row],[Energy pool]]+Tabela16[[#This Row],[Ene to XP]]</f>
        <v>0</v>
      </c>
      <c r="K24" s="54">
        <f>Tabela16[[#This Row],[Ener refill no XP]]/30*Tabela16[[#This Row],[Energy pool]]+Tabela16[[#This Row],[Ene no XP]]</f>
        <v>0</v>
      </c>
      <c r="L24" s="50" t="s">
        <v>61</v>
      </c>
      <c r="M24" s="50" t="s">
        <v>9</v>
      </c>
      <c r="N24" s="50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54">
        <f>Tabela16[[#This Row],[Ene refill to XP]]/30*Tabela16[[#This Row],[Energy pool]]+Tabela16[[#This Row],[Ene to XP]]</f>
        <v>0</v>
      </c>
      <c r="K25" s="54">
        <f>Tabela16[[#This Row],[Ener refill no XP]]/30*Tabela16[[#This Row],[Energy pool]]+Tabela16[[#This Row],[Ene no XP]]</f>
        <v>0</v>
      </c>
      <c r="L25" s="50" t="s">
        <v>31</v>
      </c>
      <c r="M25" s="50" t="s">
        <v>9</v>
      </c>
      <c r="N25" s="50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54">
        <f>Tabela16[[#This Row],[Ene refill to XP]]/30*Tabela16[[#This Row],[Energy pool]]+Tabela16[[#This Row],[Ene to XP]]</f>
        <v>0</v>
      </c>
      <c r="K26" s="54">
        <f>Tabela16[[#This Row],[Ener refill no XP]]/30*Tabela16[[#This Row],[Energy pool]]+Tabela16[[#This Row],[Ene no XP]]</f>
        <v>0</v>
      </c>
      <c r="L26" s="50" t="s">
        <v>31</v>
      </c>
      <c r="M26" s="50" t="s">
        <v>9</v>
      </c>
      <c r="N26" s="50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54">
        <f>Tabela16[[#This Row],[Ene refill to XP]]/30*Tabela16[[#This Row],[Energy pool]]+Tabela16[[#This Row],[Ene to XP]]</f>
        <v>0</v>
      </c>
      <c r="K27" s="54">
        <f>Tabela16[[#This Row],[Ener refill no XP]]/30*Tabela16[[#This Row],[Energy pool]]+Tabela16[[#This Row],[Ene no XP]]</f>
        <v>0</v>
      </c>
      <c r="L27" s="50" t="s">
        <v>31</v>
      </c>
      <c r="M27" s="50" t="s">
        <v>9</v>
      </c>
      <c r="N27" s="50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54">
        <f>Tabela16[[#This Row],[Ene refill to XP]]/30*Tabela16[[#This Row],[Energy pool]]+Tabela16[[#This Row],[Ene to XP]]</f>
        <v>0</v>
      </c>
      <c r="K28" s="54">
        <f>Tabela16[[#This Row],[Ener refill no XP]]/30*Tabela16[[#This Row],[Energy pool]]+Tabela16[[#This Row],[Ene no XP]]</f>
        <v>0</v>
      </c>
      <c r="L28" s="50" t="s">
        <v>31</v>
      </c>
      <c r="M28" s="50" t="s">
        <v>9</v>
      </c>
      <c r="N28" s="50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54">
        <f>Tabela16[[#This Row],[Ene refill to XP]]/30*Tabela16[[#This Row],[Energy pool]]+Tabela16[[#This Row],[Ene to XP]]</f>
        <v>225</v>
      </c>
      <c r="K29" s="54">
        <f>Tabela16[[#This Row],[Ener refill no XP]]/30*Tabela16[[#This Row],[Energy pool]]+Tabela16[[#This Row],[Ene no XP]]</f>
        <v>0</v>
      </c>
      <c r="L29" s="50" t="s">
        <v>31</v>
      </c>
      <c r="M29" s="50" t="s">
        <v>9</v>
      </c>
      <c r="N29" s="50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54">
        <f>Tabela16[[#This Row],[Ene refill to XP]]/30*Tabela16[[#This Row],[Energy pool]]+Tabela16[[#This Row],[Ene to XP]]</f>
        <v>225</v>
      </c>
      <c r="K30" s="54">
        <f>Tabela16[[#This Row],[Ener refill no XP]]/30*Tabela16[[#This Row],[Energy pool]]+Tabela16[[#This Row],[Ene no XP]]</f>
        <v>0</v>
      </c>
      <c r="L30" s="50" t="s">
        <v>31</v>
      </c>
      <c r="M30" s="50" t="s">
        <v>9</v>
      </c>
      <c r="N30" s="50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54">
        <f>Tabela16[[#This Row],[Ene refill to XP]]/30*Tabela16[[#This Row],[Energy pool]]+Tabela16[[#This Row],[Ene to XP]]</f>
        <v>0</v>
      </c>
      <c r="K31" s="54">
        <f>Tabela16[[#This Row],[Ener refill no XP]]/30*Tabela16[[#This Row],[Energy pool]]+Tabela16[[#This Row],[Ene no XP]]</f>
        <v>0</v>
      </c>
      <c r="L31" s="50" t="s">
        <v>8</v>
      </c>
      <c r="M31" s="51" t="s">
        <v>32</v>
      </c>
      <c r="N31" s="50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54">
        <f>Tabela16[[#This Row],[Ene refill to XP]]/30*Tabela16[[#This Row],[Energy pool]]+Tabela16[[#This Row],[Ene to XP]]</f>
        <v>225</v>
      </c>
      <c r="K32" s="54">
        <f>Tabela16[[#This Row],[Ener refill no XP]]/30*Tabela16[[#This Row],[Energy pool]]+Tabela16[[#This Row],[Ene no XP]]</f>
        <v>0</v>
      </c>
      <c r="L32" s="50" t="s">
        <v>8</v>
      </c>
      <c r="M32" s="51" t="s">
        <v>32</v>
      </c>
      <c r="N32" s="50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54">
        <f>Tabela16[[#This Row],[Ene refill to XP]]/30*Tabela16[[#This Row],[Energy pool]]+Tabela16[[#This Row],[Ene to XP]]</f>
        <v>0</v>
      </c>
      <c r="K33" s="54">
        <f>Tabela16[[#This Row],[Ener refill no XP]]/30*Tabela16[[#This Row],[Energy pool]]+Tabela16[[#This Row],[Ene no XP]]</f>
        <v>0</v>
      </c>
      <c r="L33" s="50" t="s">
        <v>31</v>
      </c>
      <c r="M33" s="51" t="s">
        <v>30</v>
      </c>
      <c r="N33" s="50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54">
        <f>Tabela16[[#This Row],[Ene refill to XP]]/30*Tabela16[[#This Row],[Energy pool]]+Tabela16[[#This Row],[Ene to XP]]</f>
        <v>225</v>
      </c>
      <c r="K34" s="54">
        <f>Tabela16[[#This Row],[Ener refill no XP]]/30*Tabela16[[#This Row],[Energy pool]]+Tabela16[[#This Row],[Ene no XP]]</f>
        <v>0</v>
      </c>
      <c r="L34" s="50" t="s">
        <v>31</v>
      </c>
      <c r="M34" s="51" t="s">
        <v>30</v>
      </c>
      <c r="N34" s="50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344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54">
        <f>Tabela16[[#This Row],[Ene refill to XP]]/30*Tabela16[[#This Row],[Energy pool]]+Tabela16[[#This Row],[Ene to XP]]</f>
        <v>2214</v>
      </c>
      <c r="K35" s="54">
        <f>Tabela16[[#This Row],[Ener refill no XP]]/30*Tabela16[[#This Row],[Energy pool]]+Tabela16[[#This Row],[Ene no XP]]</f>
        <v>1107</v>
      </c>
      <c r="L35" s="50" t="s">
        <v>31</v>
      </c>
      <c r="M35" s="51" t="s">
        <v>30</v>
      </c>
      <c r="N35" s="50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344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54">
        <f>Tabela16[[#This Row],[Ene refill to XP]]/30*Tabela16[[#This Row],[Energy pool]]+Tabela16[[#This Row],[Ene to XP]]</f>
        <v>1107</v>
      </c>
      <c r="K36" s="54">
        <f>Tabela16[[#This Row],[Ener refill no XP]]/30*Tabela16[[#This Row],[Energy pool]]+Tabela16[[#This Row],[Ene no XP]]</f>
        <v>2464</v>
      </c>
      <c r="L36" s="50" t="s">
        <v>31</v>
      </c>
      <c r="M36" s="51" t="s">
        <v>30</v>
      </c>
      <c r="N36" s="50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343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54">
        <f>Tabela16[[#This Row],[Ene refill to XP]]/30*Tabela16[[#This Row],[Energy pool]]+Tabela16[[#This Row],[Ene to XP]]</f>
        <v>3321</v>
      </c>
      <c r="K37" s="54">
        <f>Tabela16[[#This Row],[Ener refill no XP]]/30*Tabela16[[#This Row],[Energy pool]]+Tabela16[[#This Row],[Ene no XP]]</f>
        <v>0</v>
      </c>
      <c r="L37" s="50" t="s">
        <v>31</v>
      </c>
      <c r="M37" s="51" t="s">
        <v>30</v>
      </c>
      <c r="N37" s="50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54">
        <f>Tabela16[[#This Row],[Ene refill to XP]]/30*Tabela16[[#This Row],[Energy pool]]+Tabela16[[#This Row],[Ene to XP]]</f>
        <v>0</v>
      </c>
      <c r="K38" s="54">
        <f>Tabela16[[#This Row],[Ener refill no XP]]/30*Tabela16[[#This Row],[Energy pool]]+Tabela16[[#This Row],[Ene no XP]]</f>
        <v>3821</v>
      </c>
      <c r="L38" s="50" t="s">
        <v>31</v>
      </c>
      <c r="M38" s="51" t="s">
        <v>30</v>
      </c>
      <c r="N38" s="50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EXP lvls</vt:lpstr>
      <vt:lpstr>Drop analityka</vt:lpstr>
      <vt:lpstr>Fusion</vt:lpstr>
      <vt:lpstr>Location features</vt:lpstr>
      <vt:lpstr>TP_GiantRunes</vt:lpstr>
      <vt:lpstr>TabPrz</vt:lpstr>
      <vt:lpstr>Runes for DPS</vt:lpstr>
      <vt:lpstr>Runes to mobs</vt:lpstr>
      <vt:lpstr>Runes</vt:lpstr>
      <vt:lpstr>Summary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2015-10-30T15:41:27Z</dcterms:modified>
</cp:coreProperties>
</file>