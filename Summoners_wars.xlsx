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showPivotChartFilter="1" defaultThemeVersion="124226"/>
  <bookViews>
    <workbookView xWindow="240" yWindow="90" windowWidth="1554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25725"/>
  <pivotCaches>
    <pivotCache cacheId="0" r:id="rId16"/>
    <pivotCache cacheId="1" r:id="rId17"/>
    <pivotCache cacheId="13" r:id="rId18"/>
  </pivotCaches>
</workbook>
</file>

<file path=xl/calcChain.xml><?xml version="1.0" encoding="utf-8"?>
<calcChain xmlns="http://schemas.openxmlformats.org/spreadsheetml/2006/main">
  <c r="Q6" i="3"/>
  <c r="Q30" i="4" l="1"/>
  <c r="L30"/>
  <c r="K30"/>
  <c r="J30"/>
  <c r="O30" l="1"/>
  <c r="R30" s="1"/>
  <c r="P9" i="14"/>
  <c r="O9"/>
  <c r="O6"/>
  <c r="P6"/>
  <c r="M3" i="1"/>
  <c r="Q29" i="4" l="1"/>
  <c r="L29"/>
  <c r="K29"/>
  <c r="J29"/>
  <c r="O29" l="1"/>
  <c r="R29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6" i="14" l="1"/>
  <c r="G15"/>
  <c r="G14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T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8" i="14"/>
  <c r="G17"/>
  <c r="G6"/>
  <c r="G7"/>
  <c r="G9"/>
  <c r="G10"/>
  <c r="G11"/>
  <c r="G12"/>
  <c r="G13"/>
  <c r="G2"/>
  <c r="J4" i="6"/>
  <c r="R4" s="1"/>
  <c r="H4"/>
  <c r="F4" s="1"/>
  <c r="I4"/>
  <c r="G4" s="1"/>
  <c r="C18" i="14"/>
  <c r="C13"/>
  <c r="C17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R1174" i="6" l="1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0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J55"/>
  <c r="R55" s="1"/>
  <c r="I55"/>
  <c r="G55" s="1"/>
  <c r="H55"/>
  <c r="J46"/>
  <c r="R46" s="1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U6" i="5"/>
  <c r="R6"/>
  <c r="T6"/>
  <c r="S6"/>
  <c r="W6"/>
  <c r="V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0" i="4" l="1"/>
  <c r="N30" s="1"/>
  <c r="M30"/>
  <c r="P30" s="1"/>
  <c r="L1115" i="3"/>
  <c r="M29" i="4" s="1"/>
  <c r="P29" s="1"/>
  <c r="I29"/>
  <c r="N29" s="1"/>
  <c r="AT16" i="6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L12"/>
  <c r="AT17" i="6" l="1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T5" i="5"/>
  <c r="T4"/>
  <c r="R5"/>
  <c r="W5"/>
  <c r="S5"/>
  <c r="U4"/>
  <c r="W4"/>
  <c r="V5"/>
  <c r="S4"/>
  <c r="U5"/>
  <c r="V4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R57" s="1"/>
  <c r="Q24"/>
  <c r="P24"/>
  <c r="O24"/>
  <c r="N24"/>
  <c r="M24"/>
  <c r="L24"/>
  <c r="K24"/>
  <c r="J24"/>
  <c r="I24"/>
  <c r="H24"/>
  <c r="H26" s="1"/>
  <c r="G24"/>
  <c r="G26" s="1"/>
  <c r="F24"/>
  <c r="F26" s="1"/>
  <c r="R89" l="1"/>
  <c r="R58"/>
  <c r="R26"/>
  <c r="R29" s="1"/>
  <c r="R90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M28"/>
  <c r="L34"/>
  <c r="T35"/>
  <c r="T28"/>
  <c r="T33"/>
  <c r="T29"/>
  <c r="T34"/>
  <c r="T30"/>
  <c r="J34"/>
  <c r="J28"/>
  <c r="N34"/>
  <c r="N29"/>
  <c r="N35"/>
  <c r="N30"/>
  <c r="R35"/>
  <c r="R28"/>
  <c r="R34"/>
  <c r="R30"/>
  <c r="P34"/>
  <c r="P35"/>
  <c r="P30"/>
  <c r="P33"/>
  <c r="K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15" i="4"/>
  <c r="L15"/>
  <c r="K15"/>
  <c r="J15"/>
  <c r="R60" i="9" l="1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Q4" s="1"/>
  <c r="S2" i="6"/>
  <c r="U2" s="1"/>
  <c r="J6"/>
  <c r="J7" s="1"/>
  <c r="J8" s="1"/>
  <c r="J9" s="1"/>
  <c r="Q5"/>
  <c r="W3" i="1"/>
  <c r="X3" s="1"/>
  <c r="W2"/>
  <c r="O5" l="1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Q7" s="1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N32" i="1" l="1"/>
  <c r="M32" s="1"/>
  <c r="M31"/>
  <c r="O8"/>
  <c r="M9"/>
  <c r="Q9" s="1"/>
  <c r="M8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O31" i="1" l="1"/>
  <c r="N33"/>
  <c r="O33" s="1"/>
  <c r="O9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<sst xmlns="http://schemas.openxmlformats.org/spreadsheetml/2006/main" count="6551" uniqueCount="854">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</sst>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7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3">
    <dxf>
      <numFmt numFmtId="4" formatCode="#,##0.00"/>
    </dxf>
    <dxf>
      <numFmt numFmtId="4" formatCode="#,##0.00"/>
    </dxf>
    <dxf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75E-2"/>
          <c:w val="0.72971464242649164"/>
          <c:h val="0.89097169207608506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06488192"/>
        <c:axId val="106489728"/>
      </c:lineChart>
      <c:catAx>
        <c:axId val="106488192"/>
        <c:scaling>
          <c:orientation val="minMax"/>
        </c:scaling>
        <c:axPos val="b"/>
        <c:tickLblPos val="nextTo"/>
        <c:crossAx val="106489728"/>
        <c:crosses val="autoZero"/>
        <c:auto val="1"/>
        <c:lblAlgn val="ctr"/>
        <c:lblOffset val="100"/>
      </c:catAx>
      <c:valAx>
        <c:axId val="106489728"/>
        <c:scaling>
          <c:orientation val="minMax"/>
        </c:scaling>
        <c:axPos val="l"/>
        <c:majorGridlines/>
        <c:numFmt formatCode="General" sourceLinked="1"/>
        <c:tickLblPos val="nextTo"/>
        <c:crossAx val="106488192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1.67548923611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</sharedItems>
    </cacheField>
    <cacheField name="Quality/Quantity" numFmtId="0">
      <sharedItems containsBlank="1" containsMixedTypes="1" containsNumber="1" containsInteger="1" minValue="0" maxValue="5" count="15">
        <m/>
        <n v="1"/>
        <n v="2"/>
        <n v="3"/>
        <n v="4"/>
        <n v="5"/>
        <s v="Bearman"/>
        <n v="0"/>
        <s v="Vagabond"/>
        <s v="Pixie"/>
        <s v="Golem"/>
        <s v="Serpent"/>
        <s v="Yeti"/>
        <s v="2*"/>
        <s v="1*"/>
      </sharedItems>
    </cacheField>
    <cacheField name="Grade" numFmtId="0">
      <sharedItems containsBlank="1" containsMixedTypes="1" containsNumber="1" containsInteger="1" minValue="1" maxValue="1" count="11">
        <m/>
        <s v="2*"/>
        <s v="1*"/>
        <s v="low"/>
        <s v="mid"/>
        <s v="3*"/>
        <s v="high"/>
        <s v="4*"/>
        <s v="5*"/>
        <s v="6*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x v="0"/>
    <x v="0"/>
    <n v="912"/>
    <n v="912"/>
    <n v="0"/>
    <n v="0"/>
    <m/>
  </r>
  <r>
    <x v="0"/>
    <x v="0"/>
    <x v="1"/>
    <n v="1255"/>
    <n v="0"/>
    <x v="0"/>
    <x v="0"/>
    <x v="0"/>
    <n v="325"/>
    <n v="325"/>
    <n v="0"/>
    <n v="0"/>
    <m/>
  </r>
  <r>
    <x v="0"/>
    <x v="0"/>
    <x v="1"/>
    <n v="1668"/>
    <n v="1"/>
    <x v="1"/>
    <x v="1"/>
    <x v="1"/>
    <n v="0"/>
    <n v="0"/>
    <n v="11500"/>
    <n v="0"/>
    <m/>
  </r>
  <r>
    <x v="0"/>
    <x v="0"/>
    <x v="1"/>
    <n v="1008"/>
    <n v="0"/>
    <x v="0"/>
    <x v="0"/>
    <x v="0"/>
    <n v="325"/>
    <n v="325"/>
    <n v="0"/>
    <n v="0"/>
    <m/>
  </r>
  <r>
    <x v="0"/>
    <x v="0"/>
    <x v="1"/>
    <n v="1619"/>
    <n v="1"/>
    <x v="0"/>
    <x v="0"/>
    <x v="0"/>
    <n v="325"/>
    <n v="325"/>
    <n v="0"/>
    <n v="0"/>
    <m/>
  </r>
  <r>
    <x v="0"/>
    <x v="0"/>
    <x v="1"/>
    <n v="1152"/>
    <n v="1"/>
    <x v="0"/>
    <x v="0"/>
    <x v="0"/>
    <n v="720"/>
    <n v="720"/>
    <n v="0"/>
    <n v="0"/>
    <m/>
  </r>
  <r>
    <x v="0"/>
    <x v="0"/>
    <x v="1"/>
    <n v="1007"/>
    <n v="0"/>
    <x v="2"/>
    <x v="1"/>
    <x v="2"/>
    <n v="0"/>
    <n v="2000"/>
    <n v="0"/>
    <n v="800"/>
    <m/>
  </r>
  <r>
    <x v="0"/>
    <x v="0"/>
    <x v="1"/>
    <n v="1401"/>
    <n v="0"/>
    <x v="1"/>
    <x v="1"/>
    <x v="1"/>
    <n v="0"/>
    <n v="0"/>
    <n v="11500"/>
    <n v="0"/>
    <m/>
  </r>
  <r>
    <x v="0"/>
    <x v="0"/>
    <x v="1"/>
    <n v="1705"/>
    <n v="1"/>
    <x v="2"/>
    <x v="1"/>
    <x v="2"/>
    <n v="0"/>
    <n v="2000"/>
    <n v="0"/>
    <n v="800"/>
    <m/>
  </r>
  <r>
    <x v="0"/>
    <x v="0"/>
    <x v="1"/>
    <n v="1033"/>
    <n v="0"/>
    <x v="0"/>
    <x v="0"/>
    <x v="0"/>
    <n v="720"/>
    <n v="720"/>
    <n v="0"/>
    <n v="0"/>
    <m/>
  </r>
  <r>
    <x v="0"/>
    <x v="0"/>
    <x v="1"/>
    <n v="645"/>
    <n v="0"/>
    <x v="1"/>
    <x v="1"/>
    <x v="1"/>
    <n v="0"/>
    <n v="0"/>
    <n v="11500"/>
    <n v="0"/>
    <m/>
  </r>
  <r>
    <x v="0"/>
    <x v="0"/>
    <x v="1"/>
    <n v="1091"/>
    <n v="4"/>
    <x v="0"/>
    <x v="0"/>
    <x v="0"/>
    <n v="325"/>
    <n v="325"/>
    <n v="0"/>
    <n v="0"/>
    <m/>
  </r>
  <r>
    <x v="0"/>
    <x v="0"/>
    <x v="1"/>
    <n v="519"/>
    <n v="2"/>
    <x v="0"/>
    <x v="0"/>
    <x v="0"/>
    <n v="487"/>
    <n v="487"/>
    <n v="0"/>
    <n v="0"/>
    <m/>
  </r>
  <r>
    <x v="0"/>
    <x v="0"/>
    <x v="1"/>
    <n v="1378"/>
    <n v="1"/>
    <x v="0"/>
    <x v="0"/>
    <x v="0"/>
    <n v="325"/>
    <n v="325"/>
    <n v="0"/>
    <n v="0"/>
    <m/>
  </r>
  <r>
    <x v="0"/>
    <x v="0"/>
    <x v="1"/>
    <n v="1455"/>
    <n v="1"/>
    <x v="0"/>
    <x v="0"/>
    <x v="0"/>
    <n v="325"/>
    <n v="325"/>
    <n v="0"/>
    <n v="0"/>
    <m/>
  </r>
  <r>
    <x v="0"/>
    <x v="0"/>
    <x v="1"/>
    <n v="790"/>
    <n v="2"/>
    <x v="1"/>
    <x v="1"/>
    <x v="2"/>
    <n v="0"/>
    <n v="0"/>
    <n v="0"/>
    <n v="0"/>
    <m/>
  </r>
  <r>
    <x v="0"/>
    <x v="0"/>
    <x v="1"/>
    <n v="1881"/>
    <n v="2"/>
    <x v="2"/>
    <x v="1"/>
    <x v="2"/>
    <n v="0"/>
    <n v="2000"/>
    <n v="0"/>
    <n v="800"/>
    <m/>
  </r>
  <r>
    <x v="0"/>
    <x v="0"/>
    <x v="1"/>
    <n v="1508"/>
    <n v="0"/>
    <x v="0"/>
    <x v="0"/>
    <x v="0"/>
    <n v="325"/>
    <n v="325"/>
    <n v="0"/>
    <n v="0"/>
    <m/>
  </r>
  <r>
    <x v="0"/>
    <x v="0"/>
    <x v="1"/>
    <n v="970"/>
    <n v="0"/>
    <x v="0"/>
    <x v="0"/>
    <x v="0"/>
    <n v="433"/>
    <n v="433"/>
    <n v="0"/>
    <n v="0"/>
    <m/>
  </r>
  <r>
    <x v="0"/>
    <x v="0"/>
    <x v="1"/>
    <n v="1863"/>
    <n v="0"/>
    <x v="0"/>
    <x v="0"/>
    <x v="0"/>
    <n v="379"/>
    <n v="379"/>
    <n v="0"/>
    <n v="0"/>
    <m/>
  </r>
  <r>
    <x v="0"/>
    <x v="0"/>
    <x v="1"/>
    <n v="1298"/>
    <n v="1"/>
    <x v="1"/>
    <x v="1"/>
    <x v="2"/>
    <n v="0"/>
    <n v="0"/>
    <n v="0"/>
    <n v="0"/>
    <m/>
  </r>
  <r>
    <x v="0"/>
    <x v="0"/>
    <x v="1"/>
    <n v="867"/>
    <n v="2"/>
    <x v="0"/>
    <x v="0"/>
    <x v="0"/>
    <n v="325"/>
    <n v="325"/>
    <n v="0"/>
    <n v="0"/>
    <m/>
  </r>
  <r>
    <x v="0"/>
    <x v="0"/>
    <x v="1"/>
    <n v="1453"/>
    <n v="1"/>
    <x v="0"/>
    <x v="0"/>
    <x v="0"/>
    <n v="325"/>
    <n v="325"/>
    <n v="0"/>
    <n v="0"/>
    <m/>
  </r>
  <r>
    <x v="0"/>
    <x v="0"/>
    <x v="1"/>
    <n v="1293"/>
    <n v="0"/>
    <x v="2"/>
    <x v="1"/>
    <x v="2"/>
    <n v="0"/>
    <n v="2000"/>
    <n v="0"/>
    <n v="800"/>
    <m/>
  </r>
  <r>
    <x v="0"/>
    <x v="0"/>
    <x v="1"/>
    <n v="1406"/>
    <n v="0"/>
    <x v="0"/>
    <x v="0"/>
    <x v="0"/>
    <n v="325"/>
    <n v="325"/>
    <n v="0"/>
    <n v="0"/>
    <m/>
  </r>
  <r>
    <x v="0"/>
    <x v="0"/>
    <x v="1"/>
    <n v="1172"/>
    <n v="1"/>
    <x v="2"/>
    <x v="1"/>
    <x v="2"/>
    <n v="0"/>
    <n v="2000"/>
    <n v="0"/>
    <n v="800"/>
    <m/>
  </r>
  <r>
    <x v="0"/>
    <x v="0"/>
    <x v="1"/>
    <n v="1517"/>
    <n v="2"/>
    <x v="0"/>
    <x v="0"/>
    <x v="0"/>
    <n v="325"/>
    <n v="325"/>
    <n v="0"/>
    <n v="0"/>
    <m/>
  </r>
  <r>
    <x v="0"/>
    <x v="0"/>
    <x v="1"/>
    <n v="679"/>
    <n v="0"/>
    <x v="0"/>
    <x v="0"/>
    <x v="0"/>
    <n v="379"/>
    <n v="379"/>
    <n v="0"/>
    <n v="0"/>
    <m/>
  </r>
  <r>
    <x v="0"/>
    <x v="0"/>
    <x v="1"/>
    <n v="1263"/>
    <n v="0"/>
    <x v="0"/>
    <x v="0"/>
    <x v="0"/>
    <n v="487"/>
    <n v="487"/>
    <n v="0"/>
    <n v="0"/>
    <m/>
  </r>
  <r>
    <x v="0"/>
    <x v="0"/>
    <x v="1"/>
    <n v="497"/>
    <n v="1"/>
    <x v="2"/>
    <x v="1"/>
    <x v="2"/>
    <n v="0"/>
    <n v="2000"/>
    <n v="0"/>
    <n v="800"/>
    <m/>
  </r>
  <r>
    <x v="0"/>
    <x v="0"/>
    <x v="1"/>
    <n v="621"/>
    <n v="1"/>
    <x v="0"/>
    <x v="0"/>
    <x v="0"/>
    <n v="720"/>
    <n v="720"/>
    <n v="0"/>
    <n v="0"/>
    <m/>
  </r>
  <r>
    <x v="0"/>
    <x v="0"/>
    <x v="1"/>
    <n v="1165"/>
    <n v="1"/>
    <x v="0"/>
    <x v="0"/>
    <x v="0"/>
    <n v="325"/>
    <n v="325"/>
    <n v="0"/>
    <n v="0"/>
    <m/>
  </r>
  <r>
    <x v="0"/>
    <x v="0"/>
    <x v="1"/>
    <n v="1390"/>
    <n v="1"/>
    <x v="2"/>
    <x v="1"/>
    <x v="2"/>
    <n v="0"/>
    <n v="2000"/>
    <n v="0"/>
    <n v="800"/>
    <m/>
  </r>
  <r>
    <x v="0"/>
    <x v="0"/>
    <x v="1"/>
    <n v="999"/>
    <n v="1"/>
    <x v="2"/>
    <x v="1"/>
    <x v="2"/>
    <n v="0"/>
    <n v="2000"/>
    <n v="0"/>
    <n v="800"/>
    <m/>
  </r>
  <r>
    <x v="0"/>
    <x v="0"/>
    <x v="1"/>
    <n v="1117"/>
    <n v="2"/>
    <x v="0"/>
    <x v="0"/>
    <x v="0"/>
    <n v="325"/>
    <n v="325"/>
    <n v="0"/>
    <n v="0"/>
    <m/>
  </r>
  <r>
    <x v="0"/>
    <x v="0"/>
    <x v="1"/>
    <n v="794"/>
    <n v="1"/>
    <x v="0"/>
    <x v="0"/>
    <x v="0"/>
    <n v="325"/>
    <n v="325"/>
    <n v="0"/>
    <n v="0"/>
    <m/>
  </r>
  <r>
    <x v="0"/>
    <x v="0"/>
    <x v="1"/>
    <n v="1432"/>
    <n v="1"/>
    <x v="0"/>
    <x v="0"/>
    <x v="0"/>
    <n v="325"/>
    <n v="325"/>
    <n v="0"/>
    <n v="0"/>
    <m/>
  </r>
  <r>
    <x v="0"/>
    <x v="0"/>
    <x v="1"/>
    <n v="1485"/>
    <n v="0"/>
    <x v="0"/>
    <x v="0"/>
    <x v="0"/>
    <n v="433"/>
    <n v="433"/>
    <n v="0"/>
    <n v="0"/>
    <m/>
  </r>
  <r>
    <x v="0"/>
    <x v="0"/>
    <x v="1"/>
    <n v="1301"/>
    <n v="1"/>
    <x v="0"/>
    <x v="0"/>
    <x v="0"/>
    <n v="379"/>
    <n v="379"/>
    <n v="0"/>
    <n v="0"/>
    <m/>
  </r>
  <r>
    <x v="0"/>
    <x v="0"/>
    <x v="1"/>
    <n v="1501"/>
    <n v="0"/>
    <x v="0"/>
    <x v="0"/>
    <x v="0"/>
    <n v="720"/>
    <n v="720"/>
    <n v="0"/>
    <n v="0"/>
    <m/>
  </r>
  <r>
    <x v="0"/>
    <x v="1"/>
    <x v="1"/>
    <n v="1470"/>
    <n v="0"/>
    <x v="0"/>
    <x v="0"/>
    <x v="0"/>
    <n v="1080"/>
    <n v="1080"/>
    <n v="0"/>
    <n v="0"/>
    <m/>
  </r>
  <r>
    <x v="0"/>
    <x v="1"/>
    <x v="1"/>
    <n v="1058"/>
    <n v="1"/>
    <x v="2"/>
    <x v="2"/>
    <x v="2"/>
    <n v="0"/>
    <n v="4000"/>
    <n v="0"/>
    <n v="1600"/>
    <m/>
  </r>
  <r>
    <x v="1"/>
    <x v="0"/>
    <x v="0"/>
    <n v="1552"/>
    <n v="2"/>
    <x v="0"/>
    <x v="0"/>
    <x v="0"/>
    <n v="2128"/>
    <n v="2128"/>
    <n v="0"/>
    <n v="0"/>
    <m/>
  </r>
  <r>
    <x v="1"/>
    <x v="0"/>
    <x v="0"/>
    <n v="1468"/>
    <n v="1"/>
    <x v="2"/>
    <x v="1"/>
    <x v="2"/>
    <n v="0"/>
    <n v="2000"/>
    <n v="0"/>
    <n v="800"/>
    <m/>
  </r>
  <r>
    <x v="1"/>
    <x v="0"/>
    <x v="0"/>
    <n v="1481"/>
    <n v="1"/>
    <x v="0"/>
    <x v="0"/>
    <x v="0"/>
    <n v="0"/>
    <n v="0"/>
    <n v="0"/>
    <n v="0"/>
    <m/>
  </r>
  <r>
    <x v="1"/>
    <x v="0"/>
    <x v="0"/>
    <n v="1928"/>
    <n v="1"/>
    <x v="0"/>
    <x v="0"/>
    <x v="0"/>
    <n v="1824"/>
    <n v="1824"/>
    <n v="0"/>
    <n v="0"/>
    <m/>
  </r>
  <r>
    <x v="1"/>
    <x v="0"/>
    <x v="0"/>
    <n v="1273"/>
    <n v="1"/>
    <x v="0"/>
    <x v="0"/>
    <x v="0"/>
    <n v="0"/>
    <n v="0"/>
    <n v="0"/>
    <n v="0"/>
    <m/>
  </r>
  <r>
    <x v="1"/>
    <x v="0"/>
    <x v="0"/>
    <n v="698"/>
    <n v="2"/>
    <x v="0"/>
    <x v="0"/>
    <x v="0"/>
    <n v="892"/>
    <n v="892"/>
    <n v="0"/>
    <n v="0"/>
    <m/>
  </r>
  <r>
    <x v="1"/>
    <x v="0"/>
    <x v="0"/>
    <n v="1500"/>
    <n v="1"/>
    <x v="0"/>
    <x v="0"/>
    <x v="0"/>
    <n v="2128"/>
    <n v="2128"/>
    <n v="0"/>
    <n v="0"/>
    <m/>
  </r>
  <r>
    <x v="1"/>
    <x v="0"/>
    <x v="0"/>
    <n v="310"/>
    <n v="1"/>
    <x v="2"/>
    <x v="1"/>
    <x v="2"/>
    <n v="0"/>
    <n v="2000"/>
    <n v="0"/>
    <n v="800"/>
    <m/>
  </r>
  <r>
    <x v="1"/>
    <x v="0"/>
    <x v="0"/>
    <n v="1386"/>
    <n v="0"/>
    <x v="0"/>
    <x v="0"/>
    <x v="0"/>
    <n v="823"/>
    <n v="823"/>
    <n v="0"/>
    <n v="0"/>
    <m/>
  </r>
  <r>
    <x v="1"/>
    <x v="0"/>
    <x v="0"/>
    <n v="1353"/>
    <n v="1"/>
    <x v="0"/>
    <x v="0"/>
    <x v="0"/>
    <n v="1824"/>
    <n v="1824"/>
    <n v="0"/>
    <n v="0"/>
    <m/>
  </r>
  <r>
    <x v="1"/>
    <x v="0"/>
    <x v="0"/>
    <n v="1480"/>
    <n v="1"/>
    <x v="2"/>
    <x v="1"/>
    <x v="2"/>
    <n v="0"/>
    <n v="2000"/>
    <n v="0"/>
    <n v="800"/>
    <m/>
  </r>
  <r>
    <x v="1"/>
    <x v="0"/>
    <x v="0"/>
    <n v="1618"/>
    <n v="1"/>
    <x v="2"/>
    <x v="1"/>
    <x v="2"/>
    <n v="0"/>
    <n v="2000"/>
    <n v="0"/>
    <n v="800"/>
    <m/>
  </r>
  <r>
    <x v="1"/>
    <x v="0"/>
    <x v="0"/>
    <n v="1145"/>
    <n v="3"/>
    <x v="0"/>
    <x v="0"/>
    <x v="0"/>
    <n v="1824"/>
    <n v="1824"/>
    <n v="0"/>
    <n v="0"/>
    <m/>
  </r>
  <r>
    <x v="1"/>
    <x v="0"/>
    <x v="0"/>
    <n v="1164"/>
    <n v="0"/>
    <x v="0"/>
    <x v="0"/>
    <x v="0"/>
    <n v="823"/>
    <n v="823"/>
    <n v="0"/>
    <n v="0"/>
    <m/>
  </r>
  <r>
    <x v="0"/>
    <x v="1"/>
    <x v="2"/>
    <n v="1500"/>
    <n v="1"/>
    <x v="0"/>
    <x v="0"/>
    <x v="0"/>
    <n v="1152"/>
    <n v="1152"/>
    <n v="0"/>
    <n v="0"/>
    <m/>
  </r>
  <r>
    <x v="1"/>
    <x v="0"/>
    <x v="0"/>
    <n v="1215"/>
    <n v="1"/>
    <x v="0"/>
    <x v="0"/>
    <x v="0"/>
    <n v="823"/>
    <n v="823"/>
    <n v="0"/>
    <n v="0"/>
    <m/>
  </r>
  <r>
    <x v="1"/>
    <x v="0"/>
    <x v="0"/>
    <n v="1268"/>
    <n v="2"/>
    <x v="0"/>
    <x v="0"/>
    <x v="0"/>
    <n v="1824"/>
    <n v="1824"/>
    <n v="0"/>
    <n v="0"/>
    <m/>
  </r>
  <r>
    <x v="1"/>
    <x v="0"/>
    <x v="0"/>
    <n v="1694"/>
    <n v="0"/>
    <x v="0"/>
    <x v="0"/>
    <x v="0"/>
    <n v="960"/>
    <n v="960"/>
    <n v="0"/>
    <n v="0"/>
    <m/>
  </r>
  <r>
    <x v="1"/>
    <x v="0"/>
    <x v="0"/>
    <n v="1722"/>
    <n v="1"/>
    <x v="0"/>
    <x v="0"/>
    <x v="0"/>
    <n v="1824"/>
    <n v="1824"/>
    <n v="0"/>
    <n v="0"/>
    <m/>
  </r>
  <r>
    <x v="1"/>
    <x v="0"/>
    <x v="0"/>
    <n v="852"/>
    <n v="0"/>
    <x v="0"/>
    <x v="0"/>
    <x v="0"/>
    <n v="823"/>
    <n v="823"/>
    <n v="0"/>
    <n v="0"/>
    <m/>
  </r>
  <r>
    <x v="1"/>
    <x v="0"/>
    <x v="0"/>
    <n v="1720"/>
    <n v="1"/>
    <x v="0"/>
    <x v="0"/>
    <x v="0"/>
    <n v="892"/>
    <n v="892"/>
    <n v="0"/>
    <n v="0"/>
    <m/>
  </r>
  <r>
    <x v="1"/>
    <x v="0"/>
    <x v="0"/>
    <n v="1162"/>
    <n v="1"/>
    <x v="0"/>
    <x v="0"/>
    <x v="0"/>
    <n v="823"/>
    <n v="823"/>
    <n v="0"/>
    <n v="0"/>
    <m/>
  </r>
  <r>
    <x v="1"/>
    <x v="0"/>
    <x v="0"/>
    <n v="1888"/>
    <n v="2"/>
    <x v="2"/>
    <x v="1"/>
    <x v="2"/>
    <n v="0"/>
    <n v="2000"/>
    <n v="0"/>
    <n v="800"/>
    <m/>
  </r>
  <r>
    <x v="1"/>
    <x v="0"/>
    <x v="0"/>
    <n v="703"/>
    <n v="0"/>
    <x v="0"/>
    <x v="0"/>
    <x v="0"/>
    <n v="960"/>
    <n v="960"/>
    <n v="0"/>
    <n v="0"/>
    <m/>
  </r>
  <r>
    <x v="1"/>
    <x v="0"/>
    <x v="0"/>
    <n v="1958"/>
    <n v="2"/>
    <x v="2"/>
    <x v="1"/>
    <x v="2"/>
    <n v="0"/>
    <n v="2000"/>
    <n v="0"/>
    <n v="800"/>
    <m/>
  </r>
  <r>
    <x v="1"/>
    <x v="0"/>
    <x v="0"/>
    <n v="1380"/>
    <n v="1"/>
    <x v="0"/>
    <x v="0"/>
    <x v="0"/>
    <n v="823"/>
    <n v="823"/>
    <n v="0"/>
    <n v="0"/>
    <m/>
  </r>
  <r>
    <x v="0"/>
    <x v="1"/>
    <x v="1"/>
    <n v="1241"/>
    <n v="0"/>
    <x v="0"/>
    <x v="0"/>
    <x v="0"/>
    <n v="720"/>
    <n v="720"/>
    <n v="0"/>
    <n v="0"/>
    <m/>
  </r>
  <r>
    <x v="0"/>
    <x v="1"/>
    <x v="1"/>
    <n v="2522"/>
    <n v="2"/>
    <x v="1"/>
    <x v="1"/>
    <x v="1"/>
    <n v="0"/>
    <n v="0"/>
    <n v="11500"/>
    <n v="0"/>
    <m/>
  </r>
  <r>
    <x v="0"/>
    <x v="1"/>
    <x v="1"/>
    <n v="1714"/>
    <n v="0"/>
    <x v="0"/>
    <x v="0"/>
    <x v="0"/>
    <n v="720"/>
    <n v="720"/>
    <n v="0"/>
    <n v="0"/>
    <m/>
  </r>
  <r>
    <x v="0"/>
    <x v="1"/>
    <x v="1"/>
    <n v="1068"/>
    <n v="0"/>
    <x v="0"/>
    <x v="0"/>
    <x v="0"/>
    <n v="720"/>
    <n v="720"/>
    <n v="0"/>
    <n v="0"/>
    <m/>
  </r>
  <r>
    <x v="0"/>
    <x v="1"/>
    <x v="1"/>
    <n v="1616"/>
    <n v="0"/>
    <x v="0"/>
    <x v="0"/>
    <x v="0"/>
    <n v="720"/>
    <n v="720"/>
    <n v="0"/>
    <n v="0"/>
    <m/>
  </r>
  <r>
    <x v="0"/>
    <x v="1"/>
    <x v="1"/>
    <n v="1019"/>
    <n v="2"/>
    <x v="1"/>
    <x v="1"/>
    <x v="1"/>
    <n v="0"/>
    <n v="0"/>
    <n v="11500"/>
    <n v="0"/>
    <m/>
  </r>
  <r>
    <x v="0"/>
    <x v="1"/>
    <x v="1"/>
    <n v="1705"/>
    <n v="1"/>
    <x v="0"/>
    <x v="0"/>
    <x v="0"/>
    <n v="1159"/>
    <n v="1159"/>
    <n v="0"/>
    <n v="0"/>
    <m/>
  </r>
  <r>
    <x v="0"/>
    <x v="1"/>
    <x v="1"/>
    <n v="1196"/>
    <n v="1"/>
    <x v="2"/>
    <x v="2"/>
    <x v="2"/>
    <n v="0"/>
    <n v="4000"/>
    <n v="0"/>
    <n v="1600"/>
    <m/>
  </r>
  <r>
    <x v="0"/>
    <x v="1"/>
    <x v="1"/>
    <n v="780"/>
    <n v="1"/>
    <x v="0"/>
    <x v="0"/>
    <x v="0"/>
    <n v="720"/>
    <n v="720"/>
    <n v="0"/>
    <n v="0"/>
    <m/>
  </r>
  <r>
    <x v="0"/>
    <x v="1"/>
    <x v="1"/>
    <n v="1258"/>
    <n v="0"/>
    <x v="0"/>
    <x v="0"/>
    <x v="0"/>
    <n v="720"/>
    <n v="720"/>
    <n v="0"/>
    <n v="0"/>
    <m/>
  </r>
  <r>
    <x v="0"/>
    <x v="0"/>
    <x v="1"/>
    <n v="2183"/>
    <n v="1"/>
    <x v="2"/>
    <x v="1"/>
    <x v="2"/>
    <n v="0"/>
    <n v="2000"/>
    <n v="0"/>
    <n v="800"/>
    <m/>
  </r>
  <r>
    <x v="0"/>
    <x v="0"/>
    <x v="1"/>
    <n v="985"/>
    <n v="0"/>
    <x v="0"/>
    <x v="0"/>
    <x v="0"/>
    <n v="720"/>
    <n v="720"/>
    <n v="0"/>
    <n v="0"/>
    <m/>
  </r>
  <r>
    <x v="0"/>
    <x v="1"/>
    <x v="1"/>
    <n v="1518"/>
    <n v="0"/>
    <x v="0"/>
    <x v="0"/>
    <x v="0"/>
    <n v="960"/>
    <n v="960"/>
    <n v="0"/>
    <n v="0"/>
    <m/>
  </r>
  <r>
    <x v="0"/>
    <x v="1"/>
    <x v="1"/>
    <n v="1785"/>
    <n v="3"/>
    <x v="0"/>
    <x v="0"/>
    <x v="0"/>
    <n v="1159"/>
    <n v="1159"/>
    <n v="0"/>
    <n v="0"/>
    <m/>
  </r>
  <r>
    <x v="0"/>
    <x v="1"/>
    <x v="1"/>
    <n v="1866"/>
    <n v="3"/>
    <x v="2"/>
    <x v="2"/>
    <x v="2"/>
    <n v="0"/>
    <n v="4000"/>
    <n v="0"/>
    <n v="1600"/>
    <m/>
  </r>
  <r>
    <x v="0"/>
    <x v="1"/>
    <x v="1"/>
    <n v="1249"/>
    <n v="1"/>
    <x v="0"/>
    <x v="0"/>
    <x v="0"/>
    <n v="1546"/>
    <n v="1546"/>
    <n v="0"/>
    <n v="0"/>
    <m/>
  </r>
  <r>
    <x v="0"/>
    <x v="1"/>
    <x v="1"/>
    <n v="904"/>
    <n v="0"/>
    <x v="0"/>
    <x v="0"/>
    <x v="0"/>
    <n v="1159"/>
    <n v="1159"/>
    <n v="0"/>
    <n v="0"/>
    <m/>
  </r>
  <r>
    <x v="0"/>
    <x v="1"/>
    <x v="1"/>
    <n v="1447"/>
    <n v="0"/>
    <x v="2"/>
    <x v="2"/>
    <x v="2"/>
    <n v="0"/>
    <n v="4000"/>
    <n v="0"/>
    <n v="1600"/>
    <m/>
  </r>
  <r>
    <x v="0"/>
    <x v="1"/>
    <x v="1"/>
    <n v="1756"/>
    <n v="2"/>
    <x v="0"/>
    <x v="0"/>
    <x v="0"/>
    <n v="720"/>
    <n v="720"/>
    <n v="0"/>
    <n v="0"/>
    <m/>
  </r>
  <r>
    <x v="0"/>
    <x v="1"/>
    <x v="1"/>
    <n v="1070"/>
    <n v="0"/>
    <x v="0"/>
    <x v="0"/>
    <x v="0"/>
    <n v="840"/>
    <n v="840"/>
    <n v="0"/>
    <n v="0"/>
    <m/>
  </r>
  <r>
    <x v="0"/>
    <x v="1"/>
    <x v="1"/>
    <n v="1710"/>
    <n v="0"/>
    <x v="2"/>
    <x v="2"/>
    <x v="2"/>
    <n v="0"/>
    <n v="4000"/>
    <n v="0"/>
    <n v="1600"/>
    <m/>
  </r>
  <r>
    <x v="0"/>
    <x v="1"/>
    <x v="1"/>
    <n v="1226"/>
    <n v="0"/>
    <x v="0"/>
    <x v="0"/>
    <x v="0"/>
    <n v="1159"/>
    <n v="1159"/>
    <n v="0"/>
    <n v="0"/>
    <m/>
  </r>
  <r>
    <x v="0"/>
    <x v="1"/>
    <x v="1"/>
    <n v="1124"/>
    <n v="0"/>
    <x v="0"/>
    <x v="0"/>
    <x v="0"/>
    <n v="1159"/>
    <n v="1159"/>
    <n v="0"/>
    <n v="0"/>
    <m/>
  </r>
  <r>
    <x v="0"/>
    <x v="1"/>
    <x v="1"/>
    <n v="1725"/>
    <n v="2"/>
    <x v="2"/>
    <x v="2"/>
    <x v="2"/>
    <n v="0"/>
    <n v="4000"/>
    <n v="0"/>
    <n v="1600"/>
    <m/>
  </r>
  <r>
    <x v="0"/>
    <x v="1"/>
    <x v="1"/>
    <n v="1933"/>
    <n v="1"/>
    <x v="0"/>
    <x v="0"/>
    <x v="0"/>
    <n v="720"/>
    <n v="720"/>
    <n v="0"/>
    <n v="0"/>
    <m/>
  </r>
  <r>
    <x v="0"/>
    <x v="1"/>
    <x v="1"/>
    <n v="1398"/>
    <n v="2"/>
    <x v="2"/>
    <x v="2"/>
    <x v="2"/>
    <n v="0"/>
    <n v="4000"/>
    <n v="0"/>
    <n v="1600"/>
    <m/>
  </r>
  <r>
    <x v="0"/>
    <x v="1"/>
    <x v="1"/>
    <n v="1984"/>
    <n v="1"/>
    <x v="0"/>
    <x v="0"/>
    <x v="0"/>
    <n v="720"/>
    <n v="720"/>
    <n v="0"/>
    <n v="0"/>
    <m/>
  </r>
  <r>
    <x v="0"/>
    <x v="1"/>
    <x v="1"/>
    <n v="1093"/>
    <n v="0"/>
    <x v="0"/>
    <x v="0"/>
    <x v="0"/>
    <n v="720"/>
    <n v="720"/>
    <n v="0"/>
    <n v="0"/>
    <m/>
  </r>
  <r>
    <x v="0"/>
    <x v="1"/>
    <x v="1"/>
    <n v="1133"/>
    <n v="2"/>
    <x v="0"/>
    <x v="0"/>
    <x v="0"/>
    <n v="1159"/>
    <n v="1159"/>
    <n v="0"/>
    <n v="0"/>
    <m/>
  </r>
  <r>
    <x v="0"/>
    <x v="1"/>
    <x v="1"/>
    <n v="1193"/>
    <n v="2"/>
    <x v="0"/>
    <x v="0"/>
    <x v="0"/>
    <n v="1546"/>
    <n v="1546"/>
    <n v="0"/>
    <n v="0"/>
    <m/>
  </r>
  <r>
    <x v="0"/>
    <x v="1"/>
    <x v="1"/>
    <n v="1346"/>
    <n v="1"/>
    <x v="2"/>
    <x v="2"/>
    <x v="2"/>
    <n v="0"/>
    <n v="4000"/>
    <n v="0"/>
    <n v="1600"/>
    <m/>
  </r>
  <r>
    <x v="1"/>
    <x v="0"/>
    <x v="0"/>
    <n v="1167"/>
    <n v="1"/>
    <x v="0"/>
    <x v="0"/>
    <x v="0"/>
    <n v="2128"/>
    <n v="2128"/>
    <n v="0"/>
    <n v="0"/>
    <m/>
  </r>
  <r>
    <x v="1"/>
    <x v="0"/>
    <x v="0"/>
    <n v="1005"/>
    <n v="0"/>
    <x v="0"/>
    <x v="0"/>
    <x v="0"/>
    <n v="1976"/>
    <n v="1976"/>
    <n v="0"/>
    <n v="0"/>
    <m/>
  </r>
  <r>
    <x v="1"/>
    <x v="0"/>
    <x v="0"/>
    <n v="1738"/>
    <n v="0"/>
    <x v="0"/>
    <x v="0"/>
    <x v="0"/>
    <n v="1824"/>
    <n v="1824"/>
    <n v="0"/>
    <n v="0"/>
    <m/>
  </r>
  <r>
    <x v="1"/>
    <x v="0"/>
    <x v="0"/>
    <n v="1440"/>
    <n v="0"/>
    <x v="0"/>
    <x v="0"/>
    <x v="0"/>
    <n v="823"/>
    <n v="823"/>
    <n v="0"/>
    <n v="0"/>
    <m/>
  </r>
  <r>
    <x v="1"/>
    <x v="0"/>
    <x v="0"/>
    <n v="632"/>
    <n v="0"/>
    <x v="0"/>
    <x v="0"/>
    <x v="0"/>
    <n v="1824"/>
    <n v="1824"/>
    <n v="0"/>
    <n v="0"/>
    <m/>
  </r>
  <r>
    <x v="1"/>
    <x v="0"/>
    <x v="0"/>
    <n v="2032"/>
    <n v="1"/>
    <x v="0"/>
    <x v="0"/>
    <x v="0"/>
    <n v="2128"/>
    <n v="2128"/>
    <n v="0"/>
    <n v="0"/>
    <m/>
  </r>
  <r>
    <x v="1"/>
    <x v="0"/>
    <x v="0"/>
    <n v="559"/>
    <n v="0"/>
    <x v="0"/>
    <x v="0"/>
    <x v="0"/>
    <n v="823"/>
    <n v="823"/>
    <n v="0"/>
    <n v="0"/>
    <m/>
  </r>
  <r>
    <x v="1"/>
    <x v="0"/>
    <x v="0"/>
    <n v="1582"/>
    <n v="0"/>
    <x v="0"/>
    <x v="0"/>
    <x v="0"/>
    <n v="1824"/>
    <n v="1824"/>
    <n v="0"/>
    <n v="0"/>
    <m/>
  </r>
  <r>
    <x v="1"/>
    <x v="0"/>
    <x v="0"/>
    <n v="1981"/>
    <n v="1"/>
    <x v="2"/>
    <x v="1"/>
    <x v="2"/>
    <n v="0"/>
    <n v="2000"/>
    <n v="0"/>
    <n v="800"/>
    <m/>
  </r>
  <r>
    <x v="1"/>
    <x v="0"/>
    <x v="0"/>
    <n v="859"/>
    <n v="2"/>
    <x v="0"/>
    <x v="0"/>
    <x v="0"/>
    <n v="1824"/>
    <n v="1824"/>
    <n v="0"/>
    <n v="0"/>
    <m/>
  </r>
  <r>
    <x v="1"/>
    <x v="0"/>
    <x v="0"/>
    <n v="874"/>
    <n v="0"/>
    <x v="0"/>
    <x v="0"/>
    <x v="0"/>
    <n v="1824"/>
    <n v="1824"/>
    <n v="0"/>
    <n v="0"/>
    <m/>
  </r>
  <r>
    <x v="1"/>
    <x v="0"/>
    <x v="0"/>
    <n v="1505"/>
    <n v="0"/>
    <x v="0"/>
    <x v="0"/>
    <x v="0"/>
    <n v="960"/>
    <n v="960"/>
    <n v="0"/>
    <n v="0"/>
    <m/>
  </r>
  <r>
    <x v="1"/>
    <x v="0"/>
    <x v="0"/>
    <n v="1971"/>
    <n v="2"/>
    <x v="0"/>
    <x v="0"/>
    <x v="0"/>
    <n v="823"/>
    <n v="823"/>
    <n v="0"/>
    <n v="0"/>
    <m/>
  </r>
  <r>
    <x v="1"/>
    <x v="0"/>
    <x v="0"/>
    <n v="991"/>
    <n v="0"/>
    <x v="2"/>
    <x v="1"/>
    <x v="2"/>
    <n v="0"/>
    <n v="2000"/>
    <n v="0"/>
    <n v="800"/>
    <m/>
  </r>
  <r>
    <x v="1"/>
    <x v="0"/>
    <x v="0"/>
    <n v="1762"/>
    <n v="1"/>
    <x v="0"/>
    <x v="0"/>
    <x v="0"/>
    <n v="1824"/>
    <n v="1824"/>
    <n v="0"/>
    <n v="0"/>
    <m/>
  </r>
  <r>
    <x v="1"/>
    <x v="0"/>
    <x v="0"/>
    <n v="1178"/>
    <n v="1"/>
    <x v="0"/>
    <x v="0"/>
    <x v="0"/>
    <n v="892"/>
    <n v="892"/>
    <n v="0"/>
    <n v="0"/>
    <m/>
  </r>
  <r>
    <x v="1"/>
    <x v="0"/>
    <x v="0"/>
    <n v="1010"/>
    <n v="0"/>
    <x v="2"/>
    <x v="1"/>
    <x v="2"/>
    <n v="0"/>
    <n v="2000"/>
    <n v="0"/>
    <n v="800"/>
    <m/>
  </r>
  <r>
    <x v="0"/>
    <x v="1"/>
    <x v="1"/>
    <n v="961"/>
    <n v="0"/>
    <x v="0"/>
    <x v="0"/>
    <x v="0"/>
    <n v="1159"/>
    <n v="1159"/>
    <n v="0"/>
    <n v="0"/>
    <m/>
  </r>
  <r>
    <x v="2"/>
    <x v="0"/>
    <x v="1"/>
    <n v="1603"/>
    <n v="1"/>
    <x v="0"/>
    <x v="0"/>
    <x v="0"/>
    <n v="1752"/>
    <n v="1752"/>
    <n v="0"/>
    <n v="0"/>
    <m/>
  </r>
  <r>
    <x v="3"/>
    <x v="0"/>
    <x v="3"/>
    <n v="1712"/>
    <n v="2"/>
    <x v="3"/>
    <x v="2"/>
    <x v="3"/>
    <n v="0"/>
    <n v="0"/>
    <n v="0"/>
    <n v="0"/>
    <m/>
  </r>
  <r>
    <x v="0"/>
    <x v="1"/>
    <x v="1"/>
    <n v="532"/>
    <n v="2"/>
    <x v="0"/>
    <x v="0"/>
    <x v="0"/>
    <n v="720"/>
    <n v="720"/>
    <n v="0"/>
    <n v="0"/>
    <m/>
  </r>
  <r>
    <x v="0"/>
    <x v="1"/>
    <x v="1"/>
    <n v="1301"/>
    <n v="0"/>
    <x v="0"/>
    <x v="0"/>
    <x v="0"/>
    <n v="1739"/>
    <n v="1739"/>
    <n v="0"/>
    <n v="0"/>
    <m/>
  </r>
  <r>
    <x v="0"/>
    <x v="1"/>
    <x v="1"/>
    <n v="1244"/>
    <n v="0"/>
    <x v="0"/>
    <x v="0"/>
    <x v="0"/>
    <n v="840"/>
    <n v="840"/>
    <n v="0"/>
    <n v="0"/>
    <m/>
  </r>
  <r>
    <x v="0"/>
    <x v="1"/>
    <x v="1"/>
    <n v="1900"/>
    <n v="0"/>
    <x v="2"/>
    <x v="2"/>
    <x v="2"/>
    <n v="0"/>
    <n v="4000"/>
    <n v="0"/>
    <n v="1600"/>
    <m/>
  </r>
  <r>
    <x v="0"/>
    <x v="1"/>
    <x v="1"/>
    <n v="621"/>
    <n v="1"/>
    <x v="2"/>
    <x v="2"/>
    <x v="2"/>
    <n v="0"/>
    <n v="4000"/>
    <n v="0"/>
    <n v="1600"/>
    <m/>
  </r>
  <r>
    <x v="0"/>
    <x v="1"/>
    <x v="1"/>
    <n v="1299"/>
    <n v="0"/>
    <x v="0"/>
    <x v="0"/>
    <x v="0"/>
    <n v="1159"/>
    <n v="1159"/>
    <n v="0"/>
    <n v="0"/>
    <m/>
  </r>
  <r>
    <x v="0"/>
    <x v="1"/>
    <x v="1"/>
    <n v="1187"/>
    <n v="1"/>
    <x v="0"/>
    <x v="0"/>
    <x v="0"/>
    <n v="1159"/>
    <n v="1159"/>
    <n v="0"/>
    <n v="0"/>
    <m/>
  </r>
  <r>
    <x v="0"/>
    <x v="1"/>
    <x v="1"/>
    <n v="1395"/>
    <n v="1"/>
    <x v="0"/>
    <x v="0"/>
    <x v="0"/>
    <n v="1352"/>
    <n v="1352"/>
    <n v="0"/>
    <n v="0"/>
    <m/>
  </r>
  <r>
    <x v="0"/>
    <x v="1"/>
    <x v="1"/>
    <n v="1797"/>
    <n v="2"/>
    <x v="1"/>
    <x v="1"/>
    <x v="1"/>
    <n v="0"/>
    <n v="0"/>
    <n v="11500"/>
    <n v="0"/>
    <m/>
  </r>
  <r>
    <x v="0"/>
    <x v="1"/>
    <x v="1"/>
    <n v="1295"/>
    <n v="0"/>
    <x v="2"/>
    <x v="2"/>
    <x v="2"/>
    <n v="0"/>
    <n v="4000"/>
    <n v="0"/>
    <n v="1600"/>
    <m/>
  </r>
  <r>
    <x v="0"/>
    <x v="1"/>
    <x v="1"/>
    <n v="2244"/>
    <n v="2"/>
    <x v="4"/>
    <x v="1"/>
    <x v="1"/>
    <n v="0"/>
    <n v="0"/>
    <n v="11500"/>
    <n v="35822"/>
    <m/>
  </r>
  <r>
    <x v="0"/>
    <x v="1"/>
    <x v="1"/>
    <n v="1719"/>
    <n v="1"/>
    <x v="1"/>
    <x v="1"/>
    <x v="2"/>
    <n v="0"/>
    <n v="0"/>
    <n v="0"/>
    <n v="0"/>
    <m/>
  </r>
  <r>
    <x v="1"/>
    <x v="0"/>
    <x v="0"/>
    <n v="677"/>
    <n v="0"/>
    <x v="1"/>
    <x v="1"/>
    <x v="1"/>
    <n v="0"/>
    <n v="0"/>
    <n v="11500"/>
    <n v="0"/>
    <m/>
  </r>
  <r>
    <x v="1"/>
    <x v="0"/>
    <x v="0"/>
    <n v="1098"/>
    <n v="2"/>
    <x v="0"/>
    <x v="0"/>
    <x v="0"/>
    <n v="823"/>
    <n v="823"/>
    <n v="0"/>
    <n v="0"/>
    <m/>
  </r>
  <r>
    <x v="1"/>
    <x v="0"/>
    <x v="0"/>
    <n v="1357"/>
    <n v="1"/>
    <x v="2"/>
    <x v="1"/>
    <x v="2"/>
    <n v="0"/>
    <n v="2000"/>
    <n v="0"/>
    <n v="800"/>
    <m/>
  </r>
  <r>
    <x v="1"/>
    <x v="0"/>
    <x v="0"/>
    <n v="871"/>
    <n v="0"/>
    <x v="0"/>
    <x v="0"/>
    <x v="0"/>
    <n v="823"/>
    <n v="823"/>
    <n v="0"/>
    <n v="0"/>
    <m/>
  </r>
  <r>
    <x v="1"/>
    <x v="0"/>
    <x v="0"/>
    <n v="1258"/>
    <n v="0"/>
    <x v="1"/>
    <x v="1"/>
    <x v="1"/>
    <n v="0"/>
    <n v="0"/>
    <n v="11500"/>
    <n v="0"/>
    <m/>
  </r>
  <r>
    <x v="1"/>
    <x v="0"/>
    <x v="0"/>
    <n v="1950"/>
    <n v="1"/>
    <x v="0"/>
    <x v="0"/>
    <x v="0"/>
    <n v="823"/>
    <n v="823"/>
    <n v="0"/>
    <n v="0"/>
    <m/>
  </r>
  <r>
    <x v="1"/>
    <x v="0"/>
    <x v="0"/>
    <n v="1467"/>
    <n v="2"/>
    <x v="0"/>
    <x v="0"/>
    <x v="0"/>
    <n v="823"/>
    <n v="823"/>
    <n v="0"/>
    <n v="0"/>
    <m/>
  </r>
  <r>
    <x v="1"/>
    <x v="0"/>
    <x v="0"/>
    <n v="2122"/>
    <n v="3"/>
    <x v="2"/>
    <x v="1"/>
    <x v="2"/>
    <n v="0"/>
    <n v="2000"/>
    <n v="0"/>
    <n v="800"/>
    <m/>
  </r>
  <r>
    <x v="1"/>
    <x v="0"/>
    <x v="0"/>
    <n v="1756"/>
    <n v="0"/>
    <x v="0"/>
    <x v="0"/>
    <x v="0"/>
    <n v="1824"/>
    <n v="1824"/>
    <n v="0"/>
    <n v="0"/>
    <m/>
  </r>
  <r>
    <x v="1"/>
    <x v="0"/>
    <x v="0"/>
    <n v="1403"/>
    <n v="2"/>
    <x v="0"/>
    <x v="0"/>
    <x v="0"/>
    <n v="960"/>
    <n v="960"/>
    <n v="0"/>
    <n v="0"/>
    <m/>
  </r>
  <r>
    <x v="1"/>
    <x v="0"/>
    <x v="0"/>
    <n v="1242"/>
    <n v="0"/>
    <x v="0"/>
    <x v="0"/>
    <x v="0"/>
    <n v="823"/>
    <n v="823"/>
    <n v="0"/>
    <n v="0"/>
    <m/>
  </r>
  <r>
    <x v="1"/>
    <x v="0"/>
    <x v="0"/>
    <n v="1482"/>
    <n v="1"/>
    <x v="0"/>
    <x v="0"/>
    <x v="0"/>
    <n v="892"/>
    <n v="892"/>
    <n v="0"/>
    <n v="0"/>
    <m/>
  </r>
  <r>
    <x v="1"/>
    <x v="0"/>
    <x v="0"/>
    <n v="908"/>
    <n v="3"/>
    <x v="2"/>
    <x v="1"/>
    <x v="2"/>
    <n v="0"/>
    <n v="2000"/>
    <n v="0"/>
    <n v="800"/>
    <m/>
  </r>
  <r>
    <x v="1"/>
    <x v="0"/>
    <x v="0"/>
    <n v="1969"/>
    <n v="0"/>
    <x v="0"/>
    <x v="0"/>
    <x v="0"/>
    <n v="823"/>
    <n v="823"/>
    <n v="0"/>
    <n v="0"/>
    <m/>
  </r>
  <r>
    <x v="1"/>
    <x v="0"/>
    <x v="0"/>
    <n v="1354"/>
    <n v="0"/>
    <x v="0"/>
    <x v="0"/>
    <x v="0"/>
    <n v="1824"/>
    <n v="1824"/>
    <n v="0"/>
    <n v="0"/>
    <m/>
  </r>
  <r>
    <x v="1"/>
    <x v="0"/>
    <x v="0"/>
    <n v="1568"/>
    <n v="0"/>
    <x v="0"/>
    <x v="0"/>
    <x v="0"/>
    <n v="823"/>
    <n v="823"/>
    <n v="0"/>
    <n v="0"/>
    <m/>
  </r>
  <r>
    <x v="1"/>
    <x v="0"/>
    <x v="0"/>
    <n v="1520"/>
    <n v="0"/>
    <x v="0"/>
    <x v="0"/>
    <x v="0"/>
    <n v="823"/>
    <n v="823"/>
    <n v="0"/>
    <n v="0"/>
    <m/>
  </r>
  <r>
    <x v="1"/>
    <x v="0"/>
    <x v="0"/>
    <n v="1605"/>
    <n v="0"/>
    <x v="2"/>
    <x v="1"/>
    <x v="2"/>
    <n v="0"/>
    <n v="2000"/>
    <n v="0"/>
    <n v="800"/>
    <m/>
  </r>
  <r>
    <x v="1"/>
    <x v="0"/>
    <x v="0"/>
    <n v="1979"/>
    <n v="1"/>
    <x v="0"/>
    <x v="0"/>
    <x v="0"/>
    <n v="1824"/>
    <n v="1824"/>
    <n v="0"/>
    <n v="0"/>
    <m/>
  </r>
  <r>
    <x v="1"/>
    <x v="0"/>
    <x v="0"/>
    <n v="1846"/>
    <n v="1"/>
    <x v="2"/>
    <x v="1"/>
    <x v="2"/>
    <n v="0"/>
    <n v="2000"/>
    <n v="0"/>
    <n v="800"/>
    <m/>
  </r>
  <r>
    <x v="1"/>
    <x v="0"/>
    <x v="0"/>
    <n v="1861"/>
    <n v="1"/>
    <x v="0"/>
    <x v="0"/>
    <x v="0"/>
    <n v="823"/>
    <n v="823"/>
    <n v="0"/>
    <n v="0"/>
    <m/>
  </r>
  <r>
    <x v="1"/>
    <x v="0"/>
    <x v="0"/>
    <n v="1519"/>
    <n v="3"/>
    <x v="2"/>
    <x v="1"/>
    <x v="2"/>
    <n v="0"/>
    <n v="2000"/>
    <n v="0"/>
    <n v="800"/>
    <m/>
  </r>
  <r>
    <x v="1"/>
    <x v="0"/>
    <x v="0"/>
    <n v="1049"/>
    <n v="1"/>
    <x v="0"/>
    <x v="0"/>
    <x v="0"/>
    <n v="960"/>
    <n v="960"/>
    <n v="0"/>
    <n v="0"/>
    <m/>
  </r>
  <r>
    <x v="1"/>
    <x v="0"/>
    <x v="0"/>
    <n v="992"/>
    <n v="1"/>
    <x v="0"/>
    <x v="0"/>
    <x v="0"/>
    <n v="2128"/>
    <n v="2128"/>
    <n v="0"/>
    <n v="0"/>
    <m/>
  </r>
  <r>
    <x v="1"/>
    <x v="0"/>
    <x v="0"/>
    <n v="1441"/>
    <n v="1"/>
    <x v="2"/>
    <x v="1"/>
    <x v="2"/>
    <n v="0"/>
    <n v="2000"/>
    <n v="0"/>
    <n v="800"/>
    <m/>
  </r>
  <r>
    <x v="1"/>
    <x v="0"/>
    <x v="0"/>
    <n v="1549"/>
    <n v="1"/>
    <x v="0"/>
    <x v="0"/>
    <x v="0"/>
    <n v="823"/>
    <n v="823"/>
    <n v="0"/>
    <n v="0"/>
    <m/>
  </r>
  <r>
    <x v="1"/>
    <x v="0"/>
    <x v="0"/>
    <n v="1078"/>
    <n v="0"/>
    <x v="0"/>
    <x v="0"/>
    <x v="0"/>
    <n v="1824"/>
    <n v="1824"/>
    <n v="0"/>
    <n v="0"/>
    <m/>
  </r>
  <r>
    <x v="1"/>
    <x v="0"/>
    <x v="0"/>
    <n v="1900"/>
    <n v="1"/>
    <x v="2"/>
    <x v="1"/>
    <x v="2"/>
    <n v="0"/>
    <n v="2000"/>
    <n v="0"/>
    <n v="800"/>
    <m/>
  </r>
  <r>
    <x v="1"/>
    <x v="0"/>
    <x v="0"/>
    <n v="1954"/>
    <n v="1"/>
    <x v="2"/>
    <x v="1"/>
    <x v="2"/>
    <n v="0"/>
    <n v="2000"/>
    <n v="0"/>
    <n v="800"/>
    <m/>
  </r>
  <r>
    <x v="1"/>
    <x v="0"/>
    <x v="0"/>
    <n v="1261"/>
    <n v="1"/>
    <x v="2"/>
    <x v="1"/>
    <x v="2"/>
    <n v="0"/>
    <n v="2000"/>
    <n v="0"/>
    <n v="800"/>
    <m/>
  </r>
  <r>
    <x v="1"/>
    <x v="0"/>
    <x v="0"/>
    <n v="1559"/>
    <n v="1"/>
    <x v="1"/>
    <x v="1"/>
    <x v="1"/>
    <n v="0"/>
    <n v="0"/>
    <n v="11500"/>
    <n v="0"/>
    <m/>
  </r>
  <r>
    <x v="1"/>
    <x v="0"/>
    <x v="0"/>
    <n v="1232"/>
    <n v="0"/>
    <x v="0"/>
    <x v="0"/>
    <x v="0"/>
    <n v="892"/>
    <n v="892"/>
    <n v="0"/>
    <n v="0"/>
    <m/>
  </r>
  <r>
    <x v="1"/>
    <x v="0"/>
    <x v="0"/>
    <n v="1417"/>
    <n v="0"/>
    <x v="0"/>
    <x v="0"/>
    <x v="0"/>
    <n v="823"/>
    <n v="823"/>
    <n v="0"/>
    <n v="0"/>
    <m/>
  </r>
  <r>
    <x v="1"/>
    <x v="0"/>
    <x v="0"/>
    <n v="1648"/>
    <n v="2"/>
    <x v="2"/>
    <x v="1"/>
    <x v="2"/>
    <n v="0"/>
    <n v="2000"/>
    <n v="0"/>
    <n v="800"/>
    <m/>
  </r>
  <r>
    <x v="1"/>
    <x v="0"/>
    <x v="0"/>
    <n v="1770"/>
    <n v="2"/>
    <x v="2"/>
    <x v="1"/>
    <x v="2"/>
    <n v="0"/>
    <n v="2000"/>
    <n v="0"/>
    <n v="800"/>
    <m/>
  </r>
  <r>
    <x v="1"/>
    <x v="0"/>
    <x v="0"/>
    <n v="1391"/>
    <n v="1"/>
    <x v="0"/>
    <x v="0"/>
    <x v="0"/>
    <n v="823"/>
    <n v="823"/>
    <n v="0"/>
    <n v="0"/>
    <m/>
  </r>
  <r>
    <x v="1"/>
    <x v="0"/>
    <x v="0"/>
    <n v="1192"/>
    <n v="0"/>
    <x v="2"/>
    <x v="1"/>
    <x v="2"/>
    <n v="0"/>
    <n v="2000"/>
    <n v="0"/>
    <n v="800"/>
    <m/>
  </r>
  <r>
    <x v="3"/>
    <x v="0"/>
    <x v="4"/>
    <n v="1346"/>
    <n v="1"/>
    <x v="3"/>
    <x v="2"/>
    <x v="3"/>
    <n v="0"/>
    <n v="0"/>
    <n v="0"/>
    <n v="0"/>
    <m/>
  </r>
  <r>
    <x v="3"/>
    <x v="0"/>
    <x v="4"/>
    <n v="1240"/>
    <n v="0"/>
    <x v="2"/>
    <x v="2"/>
    <x v="2"/>
    <n v="0"/>
    <n v="4000"/>
    <n v="0"/>
    <n v="1600"/>
    <m/>
  </r>
  <r>
    <x v="3"/>
    <x v="0"/>
    <x v="4"/>
    <n v="1238"/>
    <n v="0"/>
    <x v="2"/>
    <x v="3"/>
    <x v="2"/>
    <n v="0"/>
    <n v="6000"/>
    <n v="0"/>
    <n v="2400"/>
    <m/>
  </r>
  <r>
    <x v="3"/>
    <x v="0"/>
    <x v="4"/>
    <n v="1236"/>
    <n v="1"/>
    <x v="2"/>
    <x v="2"/>
    <x v="2"/>
    <n v="0"/>
    <n v="4000"/>
    <n v="0"/>
    <n v="1600"/>
    <m/>
  </r>
  <r>
    <x v="3"/>
    <x v="0"/>
    <x v="4"/>
    <n v="1365"/>
    <n v="1"/>
    <x v="3"/>
    <x v="1"/>
    <x v="4"/>
    <n v="0"/>
    <n v="0"/>
    <n v="0"/>
    <n v="0"/>
    <m/>
  </r>
  <r>
    <x v="3"/>
    <x v="0"/>
    <x v="4"/>
    <n v="1240"/>
    <n v="1"/>
    <x v="2"/>
    <x v="3"/>
    <x v="2"/>
    <n v="0"/>
    <n v="6000"/>
    <n v="0"/>
    <n v="2400"/>
    <m/>
  </r>
  <r>
    <x v="3"/>
    <x v="0"/>
    <x v="4"/>
    <n v="1209"/>
    <n v="1"/>
    <x v="5"/>
    <x v="2"/>
    <x v="3"/>
    <n v="0"/>
    <n v="0"/>
    <n v="0"/>
    <n v="0"/>
    <m/>
  </r>
  <r>
    <x v="0"/>
    <x v="1"/>
    <x v="1"/>
    <n v="1206"/>
    <n v="0"/>
    <x v="0"/>
    <x v="0"/>
    <x v="0"/>
    <m/>
    <n v="0"/>
    <n v="0"/>
    <n v="0"/>
    <m/>
  </r>
  <r>
    <x v="4"/>
    <x v="2"/>
    <x v="5"/>
    <n v="1192"/>
    <n v="1"/>
    <x v="4"/>
    <x v="1"/>
    <x v="1"/>
    <n v="0"/>
    <n v="0"/>
    <n v="11500"/>
    <n v="35822"/>
    <m/>
  </r>
  <r>
    <x v="0"/>
    <x v="1"/>
    <x v="1"/>
    <n v="1212"/>
    <n v="2"/>
    <x v="0"/>
    <x v="0"/>
    <x v="0"/>
    <n v="1352"/>
    <n v="1352"/>
    <n v="0"/>
    <n v="0"/>
    <m/>
  </r>
  <r>
    <x v="0"/>
    <x v="1"/>
    <x v="1"/>
    <n v="564"/>
    <n v="0"/>
    <x v="1"/>
    <x v="1"/>
    <x v="1"/>
    <n v="0"/>
    <n v="0"/>
    <n v="11500"/>
    <n v="0"/>
    <m/>
  </r>
  <r>
    <x v="0"/>
    <x v="1"/>
    <x v="1"/>
    <n v="2224"/>
    <n v="2"/>
    <x v="2"/>
    <x v="2"/>
    <x v="2"/>
    <n v="0"/>
    <n v="4000"/>
    <n v="0"/>
    <n v="1600"/>
    <m/>
  </r>
  <r>
    <x v="0"/>
    <x v="1"/>
    <x v="1"/>
    <n v="1341"/>
    <n v="1"/>
    <x v="1"/>
    <x v="1"/>
    <x v="2"/>
    <n v="0"/>
    <n v="0"/>
    <n v="0"/>
    <n v="0"/>
    <m/>
  </r>
  <r>
    <x v="0"/>
    <x v="1"/>
    <x v="1"/>
    <n v="1482"/>
    <n v="0"/>
    <x v="0"/>
    <x v="0"/>
    <x v="0"/>
    <n v="720"/>
    <n v="720"/>
    <n v="0"/>
    <n v="0"/>
    <m/>
  </r>
  <r>
    <x v="0"/>
    <x v="1"/>
    <x v="1"/>
    <n v="1565"/>
    <n v="0"/>
    <x v="0"/>
    <x v="0"/>
    <x v="0"/>
    <n v="720"/>
    <n v="720"/>
    <n v="0"/>
    <n v="0"/>
    <m/>
  </r>
  <r>
    <x v="0"/>
    <x v="1"/>
    <x v="1"/>
    <n v="1627"/>
    <n v="0"/>
    <x v="2"/>
    <x v="2"/>
    <x v="2"/>
    <n v="0"/>
    <n v="4000"/>
    <n v="0"/>
    <n v="1600"/>
    <m/>
  </r>
  <r>
    <x v="0"/>
    <x v="2"/>
    <x v="1"/>
    <n v="1597"/>
    <n v="1"/>
    <x v="0"/>
    <x v="0"/>
    <x v="0"/>
    <n v="2067"/>
    <n v="2067"/>
    <n v="0"/>
    <n v="0"/>
    <m/>
  </r>
  <r>
    <x v="0"/>
    <x v="2"/>
    <x v="1"/>
    <n v="1772"/>
    <n v="1"/>
    <x v="0"/>
    <x v="0"/>
    <x v="0"/>
    <n v="1159"/>
    <n v="1159"/>
    <n v="0"/>
    <n v="0"/>
    <m/>
  </r>
  <r>
    <x v="5"/>
    <x v="0"/>
    <x v="0"/>
    <n v="1111"/>
    <n v="1"/>
    <x v="0"/>
    <x v="0"/>
    <x v="0"/>
    <n v="1824"/>
    <n v="1824"/>
    <n v="0"/>
    <n v="0"/>
    <m/>
  </r>
  <r>
    <x v="5"/>
    <x v="0"/>
    <x v="5"/>
    <n v="2526"/>
    <n v="0"/>
    <x v="0"/>
    <x v="0"/>
    <x v="0"/>
    <n v="866"/>
    <n v="866"/>
    <n v="0"/>
    <n v="0"/>
    <m/>
  </r>
  <r>
    <x v="5"/>
    <x v="0"/>
    <x v="1"/>
    <n v="1458"/>
    <n v="0"/>
    <x v="0"/>
    <x v="0"/>
    <x v="0"/>
    <n v="1440"/>
    <n v="1440"/>
    <n v="0"/>
    <n v="0"/>
    <m/>
  </r>
  <r>
    <x v="5"/>
    <x v="0"/>
    <x v="1"/>
    <n v="1590"/>
    <n v="0"/>
    <x v="0"/>
    <x v="0"/>
    <x v="0"/>
    <n v="1440"/>
    <n v="1440"/>
    <n v="0"/>
    <n v="0"/>
    <m/>
  </r>
  <r>
    <x v="5"/>
    <x v="0"/>
    <x v="0"/>
    <n v="1062"/>
    <n v="0"/>
    <x v="0"/>
    <x v="0"/>
    <x v="0"/>
    <n v="823"/>
    <n v="823"/>
    <n v="0"/>
    <n v="0"/>
    <m/>
  </r>
  <r>
    <x v="5"/>
    <x v="0"/>
    <x v="0"/>
    <n v="1492"/>
    <n v="1"/>
    <x v="0"/>
    <x v="0"/>
    <x v="0"/>
    <n v="1976"/>
    <n v="1976"/>
    <n v="0"/>
    <n v="0"/>
    <m/>
  </r>
  <r>
    <x v="5"/>
    <x v="0"/>
    <x v="0"/>
    <n v="1482"/>
    <n v="1"/>
    <x v="0"/>
    <x v="0"/>
    <x v="0"/>
    <n v="823"/>
    <n v="823"/>
    <n v="0"/>
    <n v="0"/>
    <m/>
  </r>
  <r>
    <x v="5"/>
    <x v="0"/>
    <x v="0"/>
    <n v="1762"/>
    <n v="0"/>
    <x v="0"/>
    <x v="0"/>
    <x v="0"/>
    <n v="823"/>
    <n v="823"/>
    <n v="0"/>
    <n v="0"/>
    <m/>
  </r>
  <r>
    <x v="5"/>
    <x v="0"/>
    <x v="0"/>
    <n v="1391"/>
    <n v="1"/>
    <x v="0"/>
    <x v="0"/>
    <x v="0"/>
    <n v="2128"/>
    <n v="2128"/>
    <n v="0"/>
    <n v="0"/>
    <m/>
  </r>
  <r>
    <x v="5"/>
    <x v="0"/>
    <x v="0"/>
    <n v="1281"/>
    <n v="1"/>
    <x v="2"/>
    <x v="1"/>
    <x v="2"/>
    <n v="0"/>
    <n v="2000"/>
    <n v="0"/>
    <n v="800"/>
    <m/>
  </r>
  <r>
    <x v="5"/>
    <x v="0"/>
    <x v="0"/>
    <n v="1169"/>
    <n v="0"/>
    <x v="0"/>
    <x v="0"/>
    <x v="0"/>
    <n v="823"/>
    <n v="823"/>
    <n v="0"/>
    <n v="0"/>
    <m/>
  </r>
  <r>
    <x v="5"/>
    <x v="0"/>
    <x v="0"/>
    <n v="1657"/>
    <n v="2"/>
    <x v="0"/>
    <x v="0"/>
    <x v="0"/>
    <n v="892"/>
    <n v="892"/>
    <n v="0"/>
    <n v="0"/>
    <m/>
  </r>
  <r>
    <x v="5"/>
    <x v="0"/>
    <x v="0"/>
    <n v="1214"/>
    <n v="0"/>
    <x v="2"/>
    <x v="1"/>
    <x v="2"/>
    <n v="0"/>
    <n v="2000"/>
    <n v="0"/>
    <n v="800"/>
    <m/>
  </r>
  <r>
    <x v="5"/>
    <x v="0"/>
    <x v="0"/>
    <n v="1156"/>
    <n v="0"/>
    <x v="2"/>
    <x v="1"/>
    <x v="2"/>
    <n v="0"/>
    <n v="2000"/>
    <n v="0"/>
    <n v="800"/>
    <m/>
  </r>
  <r>
    <x v="5"/>
    <x v="0"/>
    <x v="0"/>
    <n v="1190"/>
    <n v="2"/>
    <x v="0"/>
    <x v="0"/>
    <x v="0"/>
    <n v="823"/>
    <n v="823"/>
    <n v="0"/>
    <n v="0"/>
    <m/>
  </r>
  <r>
    <x v="5"/>
    <x v="0"/>
    <x v="0"/>
    <n v="2017"/>
    <n v="0"/>
    <x v="0"/>
    <x v="0"/>
    <x v="0"/>
    <n v="960"/>
    <n v="960"/>
    <n v="0"/>
    <n v="0"/>
    <m/>
  </r>
  <r>
    <x v="5"/>
    <x v="0"/>
    <x v="0"/>
    <n v="1407"/>
    <n v="0"/>
    <x v="0"/>
    <x v="0"/>
    <x v="0"/>
    <n v="2128"/>
    <n v="2128"/>
    <n v="0"/>
    <n v="0"/>
    <m/>
  </r>
  <r>
    <x v="5"/>
    <x v="0"/>
    <x v="0"/>
    <n v="710"/>
    <n v="1"/>
    <x v="0"/>
    <x v="0"/>
    <x v="0"/>
    <n v="892"/>
    <n v="892"/>
    <n v="0"/>
    <n v="0"/>
    <m/>
  </r>
  <r>
    <x v="5"/>
    <x v="0"/>
    <x v="0"/>
    <n v="1242"/>
    <n v="4"/>
    <x v="0"/>
    <x v="0"/>
    <x v="0"/>
    <n v="960"/>
    <n v="960"/>
    <n v="0"/>
    <n v="0"/>
    <m/>
  </r>
  <r>
    <x v="5"/>
    <x v="0"/>
    <x v="0"/>
    <n v="1757"/>
    <n v="3"/>
    <x v="0"/>
    <x v="0"/>
    <x v="0"/>
    <n v="2280"/>
    <n v="2280"/>
    <n v="0"/>
    <n v="0"/>
    <m/>
  </r>
  <r>
    <x v="5"/>
    <x v="0"/>
    <x v="0"/>
    <n v="1460"/>
    <n v="1"/>
    <x v="0"/>
    <x v="0"/>
    <x v="0"/>
    <n v="823"/>
    <n v="823"/>
    <n v="0"/>
    <n v="0"/>
    <m/>
  </r>
  <r>
    <x v="5"/>
    <x v="0"/>
    <x v="0"/>
    <n v="1307"/>
    <n v="1"/>
    <x v="0"/>
    <x v="0"/>
    <x v="0"/>
    <n v="823"/>
    <n v="823"/>
    <n v="0"/>
    <n v="0"/>
    <m/>
  </r>
  <r>
    <x v="5"/>
    <x v="0"/>
    <x v="0"/>
    <n v="1260"/>
    <n v="1"/>
    <x v="0"/>
    <x v="0"/>
    <x v="0"/>
    <n v="892"/>
    <n v="892"/>
    <n v="0"/>
    <n v="0"/>
    <m/>
  </r>
  <r>
    <x v="5"/>
    <x v="0"/>
    <x v="0"/>
    <n v="1859"/>
    <n v="1"/>
    <x v="0"/>
    <x v="0"/>
    <x v="0"/>
    <n v="823"/>
    <n v="823"/>
    <n v="0"/>
    <n v="0"/>
    <m/>
  </r>
  <r>
    <x v="5"/>
    <x v="0"/>
    <x v="0"/>
    <n v="1744"/>
    <n v="0"/>
    <x v="0"/>
    <x v="0"/>
    <x v="0"/>
    <n v="823"/>
    <n v="823"/>
    <n v="0"/>
    <n v="0"/>
    <m/>
  </r>
  <r>
    <x v="5"/>
    <x v="0"/>
    <x v="0"/>
    <n v="1711"/>
    <n v="1"/>
    <x v="0"/>
    <x v="0"/>
    <x v="0"/>
    <n v="2280"/>
    <n v="2280"/>
    <n v="0"/>
    <n v="0"/>
    <m/>
  </r>
  <r>
    <x v="5"/>
    <x v="0"/>
    <x v="0"/>
    <n v="693"/>
    <n v="1"/>
    <x v="0"/>
    <x v="0"/>
    <x v="0"/>
    <n v="2128"/>
    <n v="2128"/>
    <n v="0"/>
    <n v="0"/>
    <m/>
  </r>
  <r>
    <x v="5"/>
    <x v="0"/>
    <x v="0"/>
    <n v="1404"/>
    <n v="0"/>
    <x v="1"/>
    <x v="1"/>
    <x v="1"/>
    <n v="0"/>
    <n v="0"/>
    <n v="11500"/>
    <n v="0"/>
    <m/>
  </r>
  <r>
    <x v="5"/>
    <x v="0"/>
    <x v="0"/>
    <n v="1291"/>
    <n v="1"/>
    <x v="2"/>
    <x v="1"/>
    <x v="2"/>
    <n v="0"/>
    <n v="2000"/>
    <n v="0"/>
    <n v="800"/>
    <m/>
  </r>
  <r>
    <x v="5"/>
    <x v="0"/>
    <x v="0"/>
    <n v="1391"/>
    <n v="2"/>
    <x v="1"/>
    <x v="1"/>
    <x v="1"/>
    <n v="0"/>
    <n v="0"/>
    <n v="11500"/>
    <n v="0"/>
    <m/>
  </r>
  <r>
    <x v="5"/>
    <x v="0"/>
    <x v="0"/>
    <n v="2322"/>
    <n v="1"/>
    <x v="0"/>
    <x v="0"/>
    <x v="0"/>
    <n v="892"/>
    <n v="892"/>
    <n v="0"/>
    <n v="0"/>
    <m/>
  </r>
  <r>
    <x v="5"/>
    <x v="0"/>
    <x v="0"/>
    <n v="1538"/>
    <n v="2"/>
    <x v="0"/>
    <x v="0"/>
    <x v="0"/>
    <n v="823"/>
    <n v="823"/>
    <n v="0"/>
    <n v="0"/>
    <m/>
  </r>
  <r>
    <x v="5"/>
    <x v="0"/>
    <x v="0"/>
    <n v="686"/>
    <n v="0"/>
    <x v="0"/>
    <x v="0"/>
    <x v="0"/>
    <n v="823"/>
    <n v="823"/>
    <n v="0"/>
    <n v="0"/>
    <m/>
  </r>
  <r>
    <x v="5"/>
    <x v="0"/>
    <x v="0"/>
    <n v="1437"/>
    <n v="1"/>
    <x v="2"/>
    <x v="1"/>
    <x v="2"/>
    <n v="0"/>
    <n v="2000"/>
    <n v="0"/>
    <n v="800"/>
    <m/>
  </r>
  <r>
    <x v="5"/>
    <x v="0"/>
    <x v="0"/>
    <n v="1376"/>
    <n v="1"/>
    <x v="1"/>
    <x v="1"/>
    <x v="1"/>
    <n v="0"/>
    <n v="0"/>
    <n v="11500"/>
    <n v="0"/>
    <m/>
  </r>
  <r>
    <x v="5"/>
    <x v="0"/>
    <x v="0"/>
    <n v="1953"/>
    <n v="1"/>
    <x v="0"/>
    <x v="0"/>
    <x v="0"/>
    <n v="823"/>
    <n v="823"/>
    <n v="0"/>
    <n v="0"/>
    <m/>
  </r>
  <r>
    <x v="5"/>
    <x v="0"/>
    <x v="0"/>
    <n v="1294"/>
    <n v="0"/>
    <x v="0"/>
    <x v="0"/>
    <x v="0"/>
    <n v="823"/>
    <n v="823"/>
    <n v="0"/>
    <n v="0"/>
    <m/>
  </r>
  <r>
    <x v="5"/>
    <x v="0"/>
    <x v="0"/>
    <n v="1130"/>
    <n v="2"/>
    <x v="1"/>
    <x v="1"/>
    <x v="1"/>
    <n v="0"/>
    <n v="0"/>
    <n v="11500"/>
    <n v="0"/>
    <m/>
  </r>
  <r>
    <x v="5"/>
    <x v="0"/>
    <x v="0"/>
    <n v="2414"/>
    <n v="0"/>
    <x v="1"/>
    <x v="1"/>
    <x v="1"/>
    <n v="0"/>
    <n v="0"/>
    <n v="11500"/>
    <n v="0"/>
    <m/>
  </r>
  <r>
    <x v="5"/>
    <x v="0"/>
    <x v="0"/>
    <n v="1779"/>
    <n v="1"/>
    <x v="1"/>
    <x v="1"/>
    <x v="1"/>
    <n v="0"/>
    <n v="0"/>
    <n v="11500"/>
    <n v="0"/>
    <m/>
  </r>
  <r>
    <x v="5"/>
    <x v="0"/>
    <x v="0"/>
    <n v="979"/>
    <n v="1"/>
    <x v="0"/>
    <x v="0"/>
    <x v="0"/>
    <n v="823"/>
    <n v="823"/>
    <n v="0"/>
    <n v="0"/>
    <m/>
  </r>
  <r>
    <x v="5"/>
    <x v="0"/>
    <x v="0"/>
    <n v="1775"/>
    <n v="1"/>
    <x v="0"/>
    <x v="0"/>
    <x v="0"/>
    <n v="1824"/>
    <n v="1824"/>
    <n v="0"/>
    <n v="0"/>
    <m/>
  </r>
  <r>
    <x v="5"/>
    <x v="0"/>
    <x v="0"/>
    <n v="2068"/>
    <n v="2"/>
    <x v="1"/>
    <x v="1"/>
    <x v="1"/>
    <n v="0"/>
    <n v="0"/>
    <n v="11500"/>
    <n v="0"/>
    <m/>
  </r>
  <r>
    <x v="5"/>
    <x v="0"/>
    <x v="0"/>
    <n v="1735"/>
    <n v="1"/>
    <x v="0"/>
    <x v="0"/>
    <x v="0"/>
    <n v="823"/>
    <n v="823"/>
    <n v="0"/>
    <n v="0"/>
    <m/>
  </r>
  <r>
    <x v="5"/>
    <x v="0"/>
    <x v="0"/>
    <n v="2104"/>
    <n v="4"/>
    <x v="2"/>
    <x v="1"/>
    <x v="2"/>
    <n v="0"/>
    <n v="2000"/>
    <n v="0"/>
    <n v="800"/>
    <m/>
  </r>
  <r>
    <x v="5"/>
    <x v="0"/>
    <x v="0"/>
    <n v="1385"/>
    <n v="0"/>
    <x v="2"/>
    <x v="1"/>
    <x v="2"/>
    <n v="0"/>
    <n v="2000"/>
    <n v="0"/>
    <n v="800"/>
    <m/>
  </r>
  <r>
    <x v="5"/>
    <x v="0"/>
    <x v="0"/>
    <n v="1562"/>
    <n v="1"/>
    <x v="2"/>
    <x v="1"/>
    <x v="2"/>
    <n v="0"/>
    <n v="2000"/>
    <n v="0"/>
    <n v="800"/>
    <m/>
  </r>
  <r>
    <x v="5"/>
    <x v="0"/>
    <x v="0"/>
    <n v="1650"/>
    <n v="0"/>
    <x v="0"/>
    <x v="0"/>
    <x v="0"/>
    <n v="823"/>
    <n v="823"/>
    <n v="0"/>
    <n v="0"/>
    <m/>
  </r>
  <r>
    <x v="5"/>
    <x v="0"/>
    <x v="0"/>
    <n v="1498"/>
    <n v="1"/>
    <x v="0"/>
    <x v="0"/>
    <x v="0"/>
    <n v="0"/>
    <n v="0"/>
    <n v="0"/>
    <n v="0"/>
    <m/>
  </r>
  <r>
    <x v="5"/>
    <x v="0"/>
    <x v="0"/>
    <n v="1387"/>
    <n v="1"/>
    <x v="0"/>
    <x v="0"/>
    <x v="0"/>
    <n v="823"/>
    <n v="823"/>
    <n v="0"/>
    <n v="0"/>
    <m/>
  </r>
  <r>
    <x v="5"/>
    <x v="0"/>
    <x v="0"/>
    <n v="2065"/>
    <n v="3"/>
    <x v="0"/>
    <x v="0"/>
    <x v="0"/>
    <n v="823"/>
    <n v="823"/>
    <n v="0"/>
    <n v="0"/>
    <m/>
  </r>
  <r>
    <x v="5"/>
    <x v="0"/>
    <x v="0"/>
    <n v="1270"/>
    <n v="1"/>
    <x v="0"/>
    <x v="0"/>
    <x v="0"/>
    <n v="1824"/>
    <n v="1824"/>
    <n v="0"/>
    <n v="0"/>
    <m/>
  </r>
  <r>
    <x v="5"/>
    <x v="0"/>
    <x v="0"/>
    <n v="805"/>
    <n v="2"/>
    <x v="2"/>
    <x v="1"/>
    <x v="2"/>
    <n v="0"/>
    <n v="2000"/>
    <n v="0"/>
    <n v="800"/>
    <m/>
  </r>
  <r>
    <x v="5"/>
    <x v="0"/>
    <x v="0"/>
    <n v="1426"/>
    <n v="1"/>
    <x v="0"/>
    <x v="0"/>
    <x v="0"/>
    <n v="0"/>
    <n v="0"/>
    <n v="0"/>
    <n v="0"/>
    <m/>
  </r>
  <r>
    <x v="5"/>
    <x v="0"/>
    <x v="0"/>
    <n v="1985"/>
    <n v="0"/>
    <x v="0"/>
    <x v="0"/>
    <x v="0"/>
    <n v="1824"/>
    <n v="1824"/>
    <n v="0"/>
    <n v="0"/>
    <m/>
  </r>
  <r>
    <x v="5"/>
    <x v="0"/>
    <x v="0"/>
    <n v="534"/>
    <n v="0"/>
    <x v="0"/>
    <x v="0"/>
    <x v="0"/>
    <n v="960"/>
    <n v="960"/>
    <n v="0"/>
    <n v="0"/>
    <m/>
  </r>
  <r>
    <x v="5"/>
    <x v="0"/>
    <x v="0"/>
    <n v="1771"/>
    <n v="0"/>
    <x v="0"/>
    <x v="0"/>
    <x v="0"/>
    <n v="823"/>
    <n v="823"/>
    <n v="0"/>
    <n v="0"/>
    <m/>
  </r>
  <r>
    <x v="5"/>
    <x v="0"/>
    <x v="0"/>
    <n v="1455"/>
    <n v="0"/>
    <x v="1"/>
    <x v="1"/>
    <x v="1"/>
    <n v="0"/>
    <n v="0"/>
    <n v="11500"/>
    <n v="0"/>
    <m/>
  </r>
  <r>
    <x v="5"/>
    <x v="0"/>
    <x v="0"/>
    <n v="1687"/>
    <n v="0"/>
    <x v="0"/>
    <x v="0"/>
    <x v="0"/>
    <n v="823"/>
    <n v="823"/>
    <n v="0"/>
    <n v="0"/>
    <m/>
  </r>
  <r>
    <x v="5"/>
    <x v="0"/>
    <x v="0"/>
    <n v="1486"/>
    <n v="1"/>
    <x v="0"/>
    <x v="0"/>
    <x v="0"/>
    <n v="823"/>
    <n v="823"/>
    <n v="0"/>
    <n v="0"/>
    <m/>
  </r>
  <r>
    <x v="5"/>
    <x v="0"/>
    <x v="0"/>
    <n v="1799"/>
    <n v="1"/>
    <x v="2"/>
    <x v="1"/>
    <x v="2"/>
    <n v="0"/>
    <n v="2000"/>
    <n v="0"/>
    <n v="800"/>
    <m/>
  </r>
  <r>
    <x v="5"/>
    <x v="0"/>
    <x v="0"/>
    <n v="1437"/>
    <n v="0"/>
    <x v="2"/>
    <x v="1"/>
    <x v="2"/>
    <n v="0"/>
    <n v="2000"/>
    <n v="0"/>
    <n v="800"/>
    <m/>
  </r>
  <r>
    <x v="5"/>
    <x v="0"/>
    <x v="0"/>
    <n v="1653"/>
    <n v="1"/>
    <x v="0"/>
    <x v="0"/>
    <x v="0"/>
    <n v="1824"/>
    <n v="1824"/>
    <n v="0"/>
    <n v="0"/>
    <m/>
  </r>
  <r>
    <x v="5"/>
    <x v="0"/>
    <x v="0"/>
    <n v="1162"/>
    <n v="1"/>
    <x v="0"/>
    <x v="0"/>
    <x v="0"/>
    <n v="823"/>
    <n v="823"/>
    <n v="0"/>
    <n v="0"/>
    <m/>
  </r>
  <r>
    <x v="5"/>
    <x v="0"/>
    <x v="0"/>
    <n v="1535"/>
    <n v="0"/>
    <x v="2"/>
    <x v="1"/>
    <x v="2"/>
    <n v="0"/>
    <n v="2000"/>
    <n v="0"/>
    <n v="800"/>
    <m/>
  </r>
  <r>
    <x v="5"/>
    <x v="0"/>
    <x v="0"/>
    <n v="1913"/>
    <n v="1"/>
    <x v="2"/>
    <x v="1"/>
    <x v="2"/>
    <n v="0"/>
    <n v="2000"/>
    <n v="0"/>
    <n v="800"/>
    <m/>
  </r>
  <r>
    <x v="5"/>
    <x v="0"/>
    <x v="0"/>
    <n v="2320"/>
    <n v="1"/>
    <x v="0"/>
    <x v="0"/>
    <x v="0"/>
    <n v="823"/>
    <n v="823"/>
    <n v="0"/>
    <n v="0"/>
    <m/>
  </r>
  <r>
    <x v="5"/>
    <x v="0"/>
    <x v="0"/>
    <n v="1826"/>
    <n v="1"/>
    <x v="0"/>
    <x v="0"/>
    <x v="0"/>
    <n v="823"/>
    <n v="823"/>
    <n v="0"/>
    <n v="0"/>
    <m/>
  </r>
  <r>
    <x v="5"/>
    <x v="0"/>
    <x v="0"/>
    <n v="1600"/>
    <n v="0"/>
    <x v="0"/>
    <x v="0"/>
    <x v="0"/>
    <n v="2128"/>
    <n v="2128"/>
    <n v="0"/>
    <n v="0"/>
    <m/>
  </r>
  <r>
    <x v="5"/>
    <x v="0"/>
    <x v="0"/>
    <n v="1293"/>
    <n v="1"/>
    <x v="0"/>
    <x v="0"/>
    <x v="0"/>
    <n v="892"/>
    <n v="892"/>
    <n v="0"/>
    <n v="0"/>
    <m/>
  </r>
  <r>
    <x v="5"/>
    <x v="0"/>
    <x v="0"/>
    <n v="1136"/>
    <n v="0"/>
    <x v="0"/>
    <x v="0"/>
    <x v="0"/>
    <n v="823"/>
    <n v="823"/>
    <n v="0"/>
    <n v="0"/>
    <m/>
  </r>
  <r>
    <x v="5"/>
    <x v="0"/>
    <x v="0"/>
    <n v="2791"/>
    <n v="0"/>
    <x v="0"/>
    <x v="0"/>
    <x v="0"/>
    <n v="823"/>
    <n v="823"/>
    <n v="0"/>
    <n v="0"/>
    <m/>
  </r>
  <r>
    <x v="5"/>
    <x v="0"/>
    <x v="0"/>
    <n v="3389"/>
    <n v="1"/>
    <x v="0"/>
    <x v="0"/>
    <x v="0"/>
    <n v="1976"/>
    <n v="1976"/>
    <n v="0"/>
    <n v="0"/>
    <m/>
  </r>
  <r>
    <x v="5"/>
    <x v="0"/>
    <x v="0"/>
    <n v="1297"/>
    <n v="3"/>
    <x v="0"/>
    <x v="0"/>
    <x v="0"/>
    <n v="823"/>
    <n v="823"/>
    <n v="0"/>
    <n v="0"/>
    <m/>
  </r>
  <r>
    <x v="5"/>
    <x v="0"/>
    <x v="0"/>
    <n v="1726"/>
    <n v="1"/>
    <x v="0"/>
    <x v="0"/>
    <x v="0"/>
    <n v="1824"/>
    <n v="1824"/>
    <n v="0"/>
    <n v="0"/>
    <m/>
  </r>
  <r>
    <x v="0"/>
    <x v="2"/>
    <x v="1"/>
    <n v="1484"/>
    <n v="2"/>
    <x v="0"/>
    <x v="0"/>
    <x v="0"/>
    <n v="1159"/>
    <n v="1159"/>
    <n v="0"/>
    <n v="0"/>
    <m/>
  </r>
  <r>
    <x v="0"/>
    <x v="2"/>
    <x v="1"/>
    <n v="1202"/>
    <n v="2"/>
    <x v="0"/>
    <x v="0"/>
    <x v="0"/>
    <n v="1159"/>
    <n v="1159"/>
    <n v="0"/>
    <n v="0"/>
    <m/>
  </r>
  <r>
    <x v="5"/>
    <x v="0"/>
    <x v="0"/>
    <n v="562"/>
    <n v="0"/>
    <x v="0"/>
    <x v="0"/>
    <x v="0"/>
    <n v="1824"/>
    <n v="1824"/>
    <n v="0"/>
    <n v="0"/>
    <m/>
  </r>
  <r>
    <x v="5"/>
    <x v="0"/>
    <x v="0"/>
    <n v="649"/>
    <n v="1"/>
    <x v="0"/>
    <x v="0"/>
    <x v="0"/>
    <n v="823"/>
    <n v="823"/>
    <n v="0"/>
    <n v="0"/>
    <m/>
  </r>
  <r>
    <x v="5"/>
    <x v="0"/>
    <x v="0"/>
    <n v="1241"/>
    <n v="1"/>
    <x v="2"/>
    <x v="1"/>
    <x v="2"/>
    <n v="0"/>
    <n v="2000"/>
    <n v="0"/>
    <n v="800"/>
    <m/>
  </r>
  <r>
    <x v="5"/>
    <x v="0"/>
    <x v="0"/>
    <n v="1560"/>
    <n v="0"/>
    <x v="0"/>
    <x v="0"/>
    <x v="0"/>
    <n v="823"/>
    <n v="823"/>
    <n v="0"/>
    <n v="0"/>
    <d v="1899-12-30T07:56:20"/>
  </r>
  <r>
    <x v="5"/>
    <x v="0"/>
    <x v="0"/>
    <n v="1231"/>
    <n v="1"/>
    <x v="2"/>
    <x v="1"/>
    <x v="2"/>
    <n v="0"/>
    <n v="2000"/>
    <n v="0"/>
    <n v="800"/>
    <d v="1899-12-30T07:59:05"/>
  </r>
  <r>
    <x v="5"/>
    <x v="0"/>
    <x v="0"/>
    <n v="566"/>
    <n v="1"/>
    <x v="0"/>
    <x v="0"/>
    <x v="0"/>
    <n v="823"/>
    <n v="823"/>
    <n v="0"/>
    <n v="0"/>
    <m/>
  </r>
  <r>
    <x v="5"/>
    <x v="0"/>
    <x v="0"/>
    <n v="723"/>
    <n v="1"/>
    <x v="2"/>
    <x v="1"/>
    <x v="2"/>
    <n v="0"/>
    <n v="2000"/>
    <n v="0"/>
    <n v="800"/>
    <m/>
  </r>
  <r>
    <x v="5"/>
    <x v="0"/>
    <x v="0"/>
    <n v="1626"/>
    <n v="1"/>
    <x v="0"/>
    <x v="0"/>
    <x v="0"/>
    <n v="1824"/>
    <n v="1824"/>
    <n v="0"/>
    <n v="0"/>
    <m/>
  </r>
  <r>
    <x v="5"/>
    <x v="0"/>
    <x v="0"/>
    <n v="2033"/>
    <n v="2"/>
    <x v="2"/>
    <x v="1"/>
    <x v="2"/>
    <n v="0"/>
    <n v="2000"/>
    <n v="0"/>
    <n v="800"/>
    <m/>
  </r>
  <r>
    <x v="5"/>
    <x v="0"/>
    <x v="0"/>
    <n v="1600"/>
    <n v="1"/>
    <x v="0"/>
    <x v="0"/>
    <x v="0"/>
    <n v="1824"/>
    <n v="1824"/>
    <n v="0"/>
    <n v="0"/>
    <d v="1899-12-30T08:13:20"/>
  </r>
  <r>
    <x v="5"/>
    <x v="0"/>
    <x v="0"/>
    <n v="702"/>
    <n v="0"/>
    <x v="0"/>
    <x v="0"/>
    <x v="0"/>
    <n v="1824"/>
    <n v="1824"/>
    <n v="0"/>
    <n v="0"/>
    <m/>
  </r>
  <r>
    <x v="5"/>
    <x v="0"/>
    <x v="0"/>
    <n v="1330"/>
    <n v="0"/>
    <x v="2"/>
    <x v="1"/>
    <x v="2"/>
    <n v="0"/>
    <n v="2000"/>
    <n v="0"/>
    <n v="800"/>
    <m/>
  </r>
  <r>
    <x v="5"/>
    <x v="0"/>
    <x v="0"/>
    <n v="1054"/>
    <n v="0"/>
    <x v="1"/>
    <x v="1"/>
    <x v="1"/>
    <n v="0"/>
    <n v="0"/>
    <n v="11500"/>
    <n v="0"/>
    <m/>
  </r>
  <r>
    <x v="5"/>
    <x v="0"/>
    <x v="0"/>
    <n v="1391"/>
    <n v="0"/>
    <x v="0"/>
    <x v="0"/>
    <x v="0"/>
    <n v="1824"/>
    <n v="1824"/>
    <n v="0"/>
    <n v="0"/>
    <m/>
  </r>
  <r>
    <x v="5"/>
    <x v="0"/>
    <x v="0"/>
    <n v="1603"/>
    <n v="2"/>
    <x v="0"/>
    <x v="0"/>
    <x v="0"/>
    <n v="1824"/>
    <n v="1824"/>
    <n v="0"/>
    <n v="0"/>
    <m/>
  </r>
  <r>
    <x v="5"/>
    <x v="0"/>
    <x v="0"/>
    <n v="1415"/>
    <n v="0"/>
    <x v="0"/>
    <x v="0"/>
    <x v="0"/>
    <n v="960"/>
    <n v="960"/>
    <n v="0"/>
    <n v="0"/>
    <m/>
  </r>
  <r>
    <x v="5"/>
    <x v="0"/>
    <x v="0"/>
    <n v="1206"/>
    <n v="1"/>
    <x v="0"/>
    <x v="0"/>
    <x v="0"/>
    <n v="823"/>
    <n v="823"/>
    <n v="0"/>
    <n v="0"/>
    <d v="1899-12-30T08:31:40"/>
  </r>
  <r>
    <x v="1"/>
    <x v="0"/>
    <x v="0"/>
    <n v="1840"/>
    <n v="1"/>
    <x v="0"/>
    <x v="0"/>
    <x v="0"/>
    <n v="823"/>
    <n v="823"/>
    <n v="0"/>
    <n v="0"/>
    <d v="1899-12-30T08:32:00"/>
  </r>
  <r>
    <x v="1"/>
    <x v="0"/>
    <x v="0"/>
    <n v="1042"/>
    <n v="0"/>
    <x v="2"/>
    <x v="1"/>
    <x v="2"/>
    <n v="0"/>
    <n v="2000"/>
    <n v="0"/>
    <n v="800"/>
    <m/>
  </r>
  <r>
    <x v="3"/>
    <x v="0"/>
    <x v="3"/>
    <n v="1500"/>
    <n v="0"/>
    <x v="3"/>
    <x v="4"/>
    <x v="3"/>
    <n v="0"/>
    <n v="0"/>
    <n v="0"/>
    <n v="0"/>
    <m/>
  </r>
  <r>
    <x v="6"/>
    <x v="0"/>
    <x v="3"/>
    <n v="1500"/>
    <n v="0"/>
    <x v="6"/>
    <x v="3"/>
    <x v="3"/>
    <n v="0"/>
    <n v="0"/>
    <n v="0"/>
    <n v="0"/>
    <m/>
  </r>
  <r>
    <x v="6"/>
    <x v="0"/>
    <x v="3"/>
    <n v="1782"/>
    <n v="0"/>
    <x v="6"/>
    <x v="2"/>
    <x v="3"/>
    <n v="0"/>
    <n v="0"/>
    <n v="0"/>
    <n v="0"/>
    <m/>
  </r>
  <r>
    <x v="6"/>
    <x v="0"/>
    <x v="3"/>
    <n v="1666"/>
    <n v="1"/>
    <x v="6"/>
    <x v="1"/>
    <x v="4"/>
    <n v="0"/>
    <n v="0"/>
    <n v="0"/>
    <n v="0"/>
    <m/>
  </r>
  <r>
    <x v="6"/>
    <x v="0"/>
    <x v="3"/>
    <n v="1556"/>
    <n v="0"/>
    <x v="6"/>
    <x v="2"/>
    <x v="3"/>
    <n v="0"/>
    <n v="0"/>
    <n v="0"/>
    <n v="0"/>
    <m/>
  </r>
  <r>
    <x v="6"/>
    <x v="0"/>
    <x v="3"/>
    <n v="2860"/>
    <n v="0"/>
    <x v="6"/>
    <x v="1"/>
    <x v="4"/>
    <n v="0"/>
    <n v="0"/>
    <n v="0"/>
    <n v="0"/>
    <m/>
  </r>
  <r>
    <x v="6"/>
    <x v="0"/>
    <x v="3"/>
    <n v="2986"/>
    <n v="0"/>
    <x v="6"/>
    <x v="2"/>
    <x v="3"/>
    <n v="0"/>
    <n v="0"/>
    <n v="0"/>
    <n v="0"/>
    <m/>
  </r>
  <r>
    <x v="6"/>
    <x v="0"/>
    <x v="3"/>
    <n v="3172"/>
    <n v="1"/>
    <x v="7"/>
    <x v="1"/>
    <x v="1"/>
    <n v="0"/>
    <n v="0"/>
    <n v="0"/>
    <n v="0"/>
    <m/>
  </r>
  <r>
    <x v="6"/>
    <x v="0"/>
    <x v="3"/>
    <n v="1420"/>
    <n v="0"/>
    <x v="6"/>
    <x v="2"/>
    <x v="4"/>
    <n v="0"/>
    <n v="0"/>
    <n v="0"/>
    <n v="0"/>
    <m/>
  </r>
  <r>
    <x v="6"/>
    <x v="0"/>
    <x v="3"/>
    <n v="1352"/>
    <n v="0"/>
    <x v="6"/>
    <x v="1"/>
    <x v="4"/>
    <n v="0"/>
    <n v="0"/>
    <n v="0"/>
    <n v="0"/>
    <m/>
  </r>
  <r>
    <x v="6"/>
    <x v="0"/>
    <x v="3"/>
    <n v="1362"/>
    <n v="0"/>
    <x v="2"/>
    <x v="4"/>
    <x v="2"/>
    <n v="0"/>
    <n v="8000"/>
    <n v="0"/>
    <n v="3200"/>
    <m/>
  </r>
  <r>
    <x v="6"/>
    <x v="0"/>
    <x v="3"/>
    <n v="1428"/>
    <n v="1"/>
    <x v="8"/>
    <x v="3"/>
    <x v="5"/>
    <n v="0"/>
    <n v="0"/>
    <n v="2587.5"/>
    <n v="2686.6499999999996"/>
    <m/>
  </r>
  <r>
    <x v="6"/>
    <x v="0"/>
    <x v="3"/>
    <n v="1500"/>
    <n v="4"/>
    <x v="2"/>
    <x v="2"/>
    <x v="2"/>
    <n v="0"/>
    <n v="4000"/>
    <n v="0"/>
    <n v="1600"/>
    <m/>
  </r>
  <r>
    <x v="6"/>
    <x v="0"/>
    <x v="3"/>
    <n v="1559"/>
    <n v="0"/>
    <x v="6"/>
    <x v="1"/>
    <x v="4"/>
    <n v="0"/>
    <n v="0"/>
    <n v="0"/>
    <n v="0"/>
    <m/>
  </r>
  <r>
    <x v="6"/>
    <x v="0"/>
    <x v="3"/>
    <n v="1600"/>
    <n v="0"/>
    <x v="6"/>
    <x v="3"/>
    <x v="4"/>
    <n v="0"/>
    <n v="0"/>
    <n v="0"/>
    <n v="0"/>
    <m/>
  </r>
  <r>
    <x v="6"/>
    <x v="0"/>
    <x v="3"/>
    <n v="1480"/>
    <n v="1"/>
    <x v="2"/>
    <x v="2"/>
    <x v="2"/>
    <n v="0"/>
    <n v="4000"/>
    <n v="0"/>
    <n v="1600"/>
    <m/>
  </r>
  <r>
    <x v="6"/>
    <x v="0"/>
    <x v="3"/>
    <n v="1389"/>
    <n v="0"/>
    <x v="6"/>
    <x v="4"/>
    <x v="3"/>
    <n v="0"/>
    <n v="0"/>
    <n v="0"/>
    <n v="0"/>
    <m/>
  </r>
  <r>
    <x v="1"/>
    <x v="1"/>
    <x v="0"/>
    <n v="1617"/>
    <n v="1"/>
    <x v="0"/>
    <x v="0"/>
    <x v="0"/>
    <n v="1824"/>
    <n v="1824"/>
    <n v="0"/>
    <n v="0"/>
    <m/>
  </r>
  <r>
    <x v="1"/>
    <x v="1"/>
    <x v="0"/>
    <n v="1347"/>
    <n v="1"/>
    <x v="1"/>
    <x v="1"/>
    <x v="1"/>
    <n v="0"/>
    <n v="0"/>
    <n v="11500"/>
    <n v="0"/>
    <m/>
  </r>
  <r>
    <x v="1"/>
    <x v="1"/>
    <x v="0"/>
    <n v="2050"/>
    <n v="0"/>
    <x v="0"/>
    <x v="0"/>
    <x v="0"/>
    <n v="3182"/>
    <n v="3182"/>
    <n v="0"/>
    <n v="0"/>
    <m/>
  </r>
  <r>
    <x v="1"/>
    <x v="1"/>
    <x v="0"/>
    <n v="999"/>
    <n v="2"/>
    <x v="0"/>
    <x v="0"/>
    <x v="0"/>
    <n v="2937"/>
    <n v="2937"/>
    <n v="0"/>
    <n v="0"/>
    <m/>
  </r>
  <r>
    <x v="1"/>
    <x v="1"/>
    <x v="0"/>
    <n v="1097"/>
    <n v="1"/>
    <x v="0"/>
    <x v="0"/>
    <x v="0"/>
    <n v="2937"/>
    <n v="2937"/>
    <n v="0"/>
    <n v="0"/>
    <m/>
  </r>
  <r>
    <x v="1"/>
    <x v="1"/>
    <x v="0"/>
    <n v="1283"/>
    <n v="1"/>
    <x v="0"/>
    <x v="0"/>
    <x v="0"/>
    <n v="1824"/>
    <n v="1824"/>
    <n v="0"/>
    <n v="0"/>
    <m/>
  </r>
  <r>
    <x v="1"/>
    <x v="1"/>
    <x v="0"/>
    <n v="1407"/>
    <n v="0"/>
    <x v="2"/>
    <x v="2"/>
    <x v="2"/>
    <n v="0"/>
    <n v="4000"/>
    <n v="0"/>
    <n v="1600"/>
    <m/>
  </r>
  <r>
    <x v="1"/>
    <x v="1"/>
    <x v="0"/>
    <n v="1280"/>
    <n v="0"/>
    <x v="0"/>
    <x v="0"/>
    <x v="0"/>
    <n v="3182"/>
    <n v="3182"/>
    <n v="0"/>
    <n v="0"/>
    <m/>
  </r>
  <r>
    <x v="1"/>
    <x v="1"/>
    <x v="0"/>
    <n v="1506"/>
    <n v="1"/>
    <x v="9"/>
    <x v="1"/>
    <x v="0"/>
    <n v="0"/>
    <n v="0"/>
    <n v="0"/>
    <n v="0"/>
    <m/>
  </r>
  <r>
    <x v="1"/>
    <x v="1"/>
    <x v="0"/>
    <n v="1513"/>
    <n v="0"/>
    <x v="1"/>
    <x v="1"/>
    <x v="5"/>
    <n v="0"/>
    <n v="0"/>
    <n v="34500"/>
    <n v="35822"/>
    <m/>
  </r>
  <r>
    <x v="1"/>
    <x v="1"/>
    <x v="0"/>
    <n v="1334"/>
    <n v="0"/>
    <x v="0"/>
    <x v="0"/>
    <x v="0"/>
    <n v="1824"/>
    <n v="1824"/>
    <n v="0"/>
    <n v="0"/>
    <m/>
  </r>
  <r>
    <x v="1"/>
    <x v="1"/>
    <x v="0"/>
    <n v="1572"/>
    <n v="0"/>
    <x v="4"/>
    <x v="1"/>
    <x v="1"/>
    <n v="0"/>
    <n v="0"/>
    <n v="11500"/>
    <n v="35822"/>
    <m/>
  </r>
  <r>
    <x v="1"/>
    <x v="1"/>
    <x v="0"/>
    <n v="1645"/>
    <n v="1"/>
    <x v="0"/>
    <x v="0"/>
    <x v="0"/>
    <n v="1824"/>
    <n v="1824"/>
    <n v="0"/>
    <n v="0"/>
    <m/>
  </r>
  <r>
    <x v="1"/>
    <x v="1"/>
    <x v="0"/>
    <n v="2042"/>
    <n v="0"/>
    <x v="2"/>
    <x v="2"/>
    <x v="2"/>
    <n v="0"/>
    <n v="4000"/>
    <n v="0"/>
    <n v="1600"/>
    <m/>
  </r>
  <r>
    <x v="1"/>
    <x v="1"/>
    <x v="0"/>
    <n v="1221"/>
    <n v="1"/>
    <x v="0"/>
    <x v="0"/>
    <x v="0"/>
    <n v="2937"/>
    <n v="2937"/>
    <n v="0"/>
    <n v="0"/>
    <m/>
  </r>
  <r>
    <x v="1"/>
    <x v="1"/>
    <x v="0"/>
    <n v="1320"/>
    <n v="1"/>
    <x v="0"/>
    <x v="0"/>
    <x v="0"/>
    <n v="1824"/>
    <n v="1824"/>
    <n v="0"/>
    <n v="0"/>
    <m/>
  </r>
  <r>
    <x v="1"/>
    <x v="1"/>
    <x v="0"/>
    <n v="1157"/>
    <n v="1"/>
    <x v="0"/>
    <x v="0"/>
    <x v="0"/>
    <n v="1824"/>
    <n v="1824"/>
    <n v="0"/>
    <n v="0"/>
    <m/>
  </r>
  <r>
    <x v="1"/>
    <x v="1"/>
    <x v="0"/>
    <n v="1815"/>
    <n v="0"/>
    <x v="0"/>
    <x v="0"/>
    <x v="0"/>
    <n v="2937"/>
    <n v="2937"/>
    <n v="0"/>
    <n v="0"/>
    <m/>
  </r>
  <r>
    <x v="1"/>
    <x v="1"/>
    <x v="0"/>
    <n v="1800"/>
    <n v="0"/>
    <x v="2"/>
    <x v="2"/>
    <x v="2"/>
    <n v="0"/>
    <n v="4000"/>
    <n v="0"/>
    <n v="1600"/>
    <m/>
  </r>
  <r>
    <x v="1"/>
    <x v="1"/>
    <x v="0"/>
    <n v="2178"/>
    <n v="4"/>
    <x v="0"/>
    <x v="0"/>
    <x v="0"/>
    <n v="2128"/>
    <n v="2128"/>
    <n v="0"/>
    <n v="0"/>
    <m/>
  </r>
  <r>
    <x v="1"/>
    <x v="1"/>
    <x v="0"/>
    <n v="1708"/>
    <n v="1"/>
    <x v="0"/>
    <x v="0"/>
    <x v="0"/>
    <n v="1824"/>
    <n v="1824"/>
    <n v="0"/>
    <n v="0"/>
    <m/>
  </r>
  <r>
    <x v="1"/>
    <x v="1"/>
    <x v="0"/>
    <n v="1277"/>
    <n v="2"/>
    <x v="0"/>
    <x v="0"/>
    <x v="0"/>
    <n v="1824"/>
    <n v="1824"/>
    <n v="0"/>
    <n v="0"/>
    <m/>
  </r>
  <r>
    <x v="1"/>
    <x v="1"/>
    <x v="0"/>
    <n v="2156"/>
    <n v="1"/>
    <x v="0"/>
    <x v="0"/>
    <x v="0"/>
    <n v="2937"/>
    <n v="2937"/>
    <n v="0"/>
    <n v="0"/>
    <m/>
  </r>
  <r>
    <x v="1"/>
    <x v="1"/>
    <x v="0"/>
    <n v="1698"/>
    <n v="0"/>
    <x v="2"/>
    <x v="2"/>
    <x v="2"/>
    <n v="0"/>
    <n v="4000"/>
    <n v="0"/>
    <n v="1600"/>
    <m/>
  </r>
  <r>
    <x v="1"/>
    <x v="1"/>
    <x v="0"/>
    <n v="783"/>
    <n v="0"/>
    <x v="0"/>
    <x v="0"/>
    <x v="0"/>
    <n v="1834"/>
    <n v="1834"/>
    <n v="0"/>
    <n v="0"/>
    <m/>
  </r>
  <r>
    <x v="1"/>
    <x v="1"/>
    <x v="0"/>
    <n v="1255"/>
    <n v="0"/>
    <x v="0"/>
    <x v="0"/>
    <x v="0"/>
    <n v="1834"/>
    <n v="1834"/>
    <n v="0"/>
    <n v="0"/>
    <m/>
  </r>
  <r>
    <x v="1"/>
    <x v="1"/>
    <x v="0"/>
    <n v="1504"/>
    <n v="1"/>
    <x v="0"/>
    <x v="0"/>
    <x v="0"/>
    <n v="2937"/>
    <n v="2937"/>
    <n v="0"/>
    <n v="0"/>
    <m/>
  </r>
  <r>
    <x v="1"/>
    <x v="1"/>
    <x v="0"/>
    <n v="1439"/>
    <n v="0"/>
    <x v="0"/>
    <x v="0"/>
    <x v="0"/>
    <n v="1834"/>
    <n v="1834"/>
    <n v="0"/>
    <n v="0"/>
    <m/>
  </r>
  <r>
    <x v="1"/>
    <x v="1"/>
    <x v="0"/>
    <n v="1508"/>
    <n v="1"/>
    <x v="1"/>
    <x v="1"/>
    <x v="1"/>
    <n v="0"/>
    <n v="0"/>
    <n v="11500"/>
    <n v="0"/>
    <m/>
  </r>
  <r>
    <x v="1"/>
    <x v="1"/>
    <x v="0"/>
    <n v="2502"/>
    <n v="2"/>
    <x v="1"/>
    <x v="1"/>
    <x v="1"/>
    <n v="0"/>
    <n v="0"/>
    <n v="11500"/>
    <n v="0"/>
    <m/>
  </r>
  <r>
    <x v="1"/>
    <x v="1"/>
    <x v="0"/>
    <n v="1786"/>
    <n v="1"/>
    <x v="0"/>
    <x v="0"/>
    <x v="0"/>
    <n v="1834"/>
    <n v="1834"/>
    <n v="0"/>
    <n v="0"/>
    <m/>
  </r>
  <r>
    <x v="1"/>
    <x v="1"/>
    <x v="0"/>
    <n v="1673"/>
    <n v="3"/>
    <x v="0"/>
    <x v="0"/>
    <x v="0"/>
    <n v="2280"/>
    <n v="2280"/>
    <n v="0"/>
    <n v="0"/>
    <m/>
  </r>
  <r>
    <x v="1"/>
    <x v="1"/>
    <x v="5"/>
    <n v="1387"/>
    <n v="1"/>
    <x v="0"/>
    <x v="0"/>
    <x v="0"/>
    <n v="2080"/>
    <n v="2080"/>
    <n v="0"/>
    <n v="0"/>
    <m/>
  </r>
  <r>
    <x v="2"/>
    <x v="0"/>
    <x v="4"/>
    <n v="1657"/>
    <n v="2"/>
    <x v="0"/>
    <x v="0"/>
    <x v="0"/>
    <n v="3168"/>
    <n v="3168"/>
    <n v="0"/>
    <n v="0"/>
    <m/>
  </r>
  <r>
    <x v="3"/>
    <x v="0"/>
    <x v="3"/>
    <n v="1000"/>
    <n v="0"/>
    <x v="3"/>
    <x v="1"/>
    <x v="4"/>
    <n v="0"/>
    <n v="0"/>
    <n v="0"/>
    <n v="0"/>
    <m/>
  </r>
  <r>
    <x v="7"/>
    <x v="0"/>
    <x v="3"/>
    <n v="1000"/>
    <n v="0"/>
    <x v="10"/>
    <x v="5"/>
    <x v="3"/>
    <n v="0"/>
    <n v="0"/>
    <n v="0"/>
    <n v="0"/>
    <m/>
  </r>
  <r>
    <x v="0"/>
    <x v="2"/>
    <x v="1"/>
    <n v="1659"/>
    <n v="4"/>
    <x v="0"/>
    <x v="0"/>
    <x v="0"/>
    <n v="2067"/>
    <n v="2067"/>
    <n v="0"/>
    <n v="0"/>
    <m/>
  </r>
  <r>
    <x v="0"/>
    <x v="2"/>
    <x v="1"/>
    <n v="1881"/>
    <n v="1"/>
    <x v="0"/>
    <x v="0"/>
    <x v="0"/>
    <n v="1159"/>
    <n v="1159"/>
    <n v="0"/>
    <n v="0"/>
    <m/>
  </r>
  <r>
    <x v="0"/>
    <x v="2"/>
    <x v="1"/>
    <n v="2446"/>
    <n v="1"/>
    <x v="0"/>
    <x v="0"/>
    <x v="0"/>
    <n v="1159"/>
    <n v="1159"/>
    <n v="0"/>
    <n v="0"/>
    <m/>
  </r>
  <r>
    <x v="0"/>
    <x v="2"/>
    <x v="1"/>
    <n v="1899"/>
    <n v="0"/>
    <x v="0"/>
    <x v="0"/>
    <x v="0"/>
    <n v="1352"/>
    <n v="1352"/>
    <n v="0"/>
    <n v="0"/>
    <m/>
  </r>
  <r>
    <x v="0"/>
    <x v="2"/>
    <x v="1"/>
    <n v="1480"/>
    <n v="1"/>
    <x v="0"/>
    <x v="0"/>
    <x v="0"/>
    <n v="1159"/>
    <n v="1159"/>
    <n v="0"/>
    <n v="0"/>
    <m/>
  </r>
  <r>
    <x v="0"/>
    <x v="2"/>
    <x v="1"/>
    <n v="1725"/>
    <n v="2"/>
    <x v="0"/>
    <x v="0"/>
    <x v="0"/>
    <n v="1159"/>
    <n v="1159"/>
    <n v="0"/>
    <n v="0"/>
    <m/>
  </r>
  <r>
    <x v="0"/>
    <x v="2"/>
    <x v="1"/>
    <n v="1343"/>
    <n v="0"/>
    <x v="2"/>
    <x v="3"/>
    <x v="2"/>
    <n v="0"/>
    <n v="6000"/>
    <n v="0"/>
    <n v="2400"/>
    <m/>
  </r>
  <r>
    <x v="0"/>
    <x v="2"/>
    <x v="1"/>
    <n v="2733"/>
    <n v="0"/>
    <x v="0"/>
    <x v="0"/>
    <x v="0"/>
    <n v="1159"/>
    <n v="1159"/>
    <n v="0"/>
    <n v="0"/>
    <m/>
  </r>
  <r>
    <x v="0"/>
    <x v="2"/>
    <x v="1"/>
    <n v="2196"/>
    <n v="0"/>
    <x v="0"/>
    <x v="0"/>
    <x v="0"/>
    <n v="1159"/>
    <n v="1159"/>
    <n v="0"/>
    <n v="0"/>
    <m/>
  </r>
  <r>
    <x v="0"/>
    <x v="2"/>
    <x v="1"/>
    <n v="1326"/>
    <n v="0"/>
    <x v="0"/>
    <x v="0"/>
    <x v="0"/>
    <n v="1159"/>
    <n v="1159"/>
    <n v="0"/>
    <n v="0"/>
    <m/>
  </r>
  <r>
    <x v="0"/>
    <x v="2"/>
    <x v="1"/>
    <n v="2012"/>
    <n v="0"/>
    <x v="9"/>
    <x v="0"/>
    <x v="0"/>
    <n v="0"/>
    <n v="0"/>
    <n v="0"/>
    <n v="0"/>
    <m/>
  </r>
  <r>
    <x v="0"/>
    <x v="2"/>
    <x v="1"/>
    <n v="1970"/>
    <n v="1"/>
    <x v="0"/>
    <x v="0"/>
    <x v="0"/>
    <n v="1546"/>
    <n v="1546"/>
    <n v="0"/>
    <n v="0"/>
    <m/>
  </r>
  <r>
    <x v="0"/>
    <x v="2"/>
    <x v="1"/>
    <n v="779"/>
    <n v="1"/>
    <x v="2"/>
    <x v="3"/>
    <x v="2"/>
    <n v="0"/>
    <n v="6000"/>
    <n v="0"/>
    <n v="2400"/>
    <m/>
  </r>
  <r>
    <x v="0"/>
    <x v="2"/>
    <x v="1"/>
    <n v="2074"/>
    <n v="1"/>
    <x v="0"/>
    <x v="0"/>
    <x v="0"/>
    <n v="1159"/>
    <n v="1159"/>
    <n v="0"/>
    <n v="0"/>
    <m/>
  </r>
  <r>
    <x v="0"/>
    <x v="2"/>
    <x v="1"/>
    <n v="1672"/>
    <n v="0"/>
    <x v="0"/>
    <x v="0"/>
    <x v="0"/>
    <n v="1159"/>
    <n v="1159"/>
    <n v="0"/>
    <n v="0"/>
    <m/>
  </r>
  <r>
    <x v="0"/>
    <x v="2"/>
    <x v="1"/>
    <n v="823"/>
    <n v="0"/>
    <x v="0"/>
    <x v="0"/>
    <x v="0"/>
    <n v="1159"/>
    <n v="1159"/>
    <n v="0"/>
    <n v="0"/>
    <m/>
  </r>
  <r>
    <x v="0"/>
    <x v="2"/>
    <x v="1"/>
    <n v="1454"/>
    <n v="3"/>
    <x v="0"/>
    <x v="0"/>
    <x v="0"/>
    <n v="1159"/>
    <n v="1159"/>
    <n v="0"/>
    <n v="0"/>
    <m/>
  </r>
  <r>
    <x v="0"/>
    <x v="2"/>
    <x v="1"/>
    <n v="1264"/>
    <n v="2"/>
    <x v="2"/>
    <x v="3"/>
    <x v="2"/>
    <n v="0"/>
    <n v="6000"/>
    <n v="0"/>
    <n v="2400"/>
    <m/>
  </r>
  <r>
    <x v="0"/>
    <x v="2"/>
    <x v="1"/>
    <n v="1755"/>
    <n v="0"/>
    <x v="0"/>
    <x v="0"/>
    <x v="0"/>
    <n v="2757"/>
    <n v="2757"/>
    <n v="0"/>
    <n v="0"/>
    <m/>
  </r>
  <r>
    <x v="1"/>
    <x v="1"/>
    <x v="0"/>
    <n v="1277"/>
    <n v="1"/>
    <x v="0"/>
    <x v="0"/>
    <x v="0"/>
    <n v="1824"/>
    <n v="1824"/>
    <n v="0"/>
    <n v="0"/>
    <m/>
  </r>
  <r>
    <x v="1"/>
    <x v="1"/>
    <x v="0"/>
    <n v="2049"/>
    <n v="0"/>
    <x v="0"/>
    <x v="0"/>
    <x v="0"/>
    <n v="2937"/>
    <n v="2937"/>
    <n v="0"/>
    <n v="0"/>
    <m/>
  </r>
  <r>
    <x v="1"/>
    <x v="1"/>
    <x v="0"/>
    <n v="1892"/>
    <n v="1"/>
    <x v="0"/>
    <x v="0"/>
    <x v="0"/>
    <n v="3400"/>
    <n v="3400"/>
    <n v="0"/>
    <n v="0"/>
    <m/>
  </r>
  <r>
    <x v="1"/>
    <x v="1"/>
    <x v="0"/>
    <n v="2348"/>
    <n v="0"/>
    <x v="0"/>
    <x v="0"/>
    <x v="0"/>
    <n v="1824"/>
    <n v="1824"/>
    <n v="0"/>
    <n v="0"/>
    <m/>
  </r>
  <r>
    <x v="1"/>
    <x v="1"/>
    <x v="0"/>
    <n v="1998"/>
    <n v="1"/>
    <x v="2"/>
    <x v="2"/>
    <x v="2"/>
    <n v="0"/>
    <n v="4000"/>
    <n v="0"/>
    <n v="1600"/>
    <m/>
  </r>
  <r>
    <x v="1"/>
    <x v="1"/>
    <x v="0"/>
    <n v="1962"/>
    <n v="1"/>
    <x v="0"/>
    <x v="0"/>
    <x v="0"/>
    <n v="1824"/>
    <n v="1824"/>
    <n v="0"/>
    <n v="0"/>
    <m/>
  </r>
  <r>
    <x v="1"/>
    <x v="1"/>
    <x v="0"/>
    <n v="2010"/>
    <n v="1"/>
    <x v="0"/>
    <x v="0"/>
    <x v="0"/>
    <n v="1824"/>
    <n v="1824"/>
    <n v="0"/>
    <n v="0"/>
    <m/>
  </r>
  <r>
    <x v="1"/>
    <x v="1"/>
    <x v="0"/>
    <n v="1676"/>
    <n v="1"/>
    <x v="0"/>
    <x v="0"/>
    <x v="0"/>
    <n v="1976"/>
    <n v="1976"/>
    <n v="0"/>
    <n v="0"/>
    <m/>
  </r>
  <r>
    <x v="1"/>
    <x v="1"/>
    <x v="0"/>
    <n v="709"/>
    <n v="0"/>
    <x v="2"/>
    <x v="2"/>
    <x v="2"/>
    <n v="0"/>
    <n v="4000"/>
    <n v="0"/>
    <n v="1600"/>
    <m/>
  </r>
  <r>
    <x v="1"/>
    <x v="1"/>
    <x v="0"/>
    <n v="2619"/>
    <n v="1"/>
    <x v="0"/>
    <x v="0"/>
    <x v="0"/>
    <n v="1834"/>
    <n v="1834"/>
    <n v="0"/>
    <n v="0"/>
    <m/>
  </r>
  <r>
    <x v="1"/>
    <x v="1"/>
    <x v="0"/>
    <n v="1880"/>
    <n v="0"/>
    <x v="0"/>
    <x v="0"/>
    <x v="0"/>
    <n v="1834"/>
    <n v="1834"/>
    <n v="0"/>
    <n v="0"/>
    <m/>
  </r>
  <r>
    <x v="2"/>
    <x v="0"/>
    <x v="3"/>
    <n v="2351"/>
    <n v="2"/>
    <x v="0"/>
    <x v="0"/>
    <x v="0"/>
    <n v="3100"/>
    <n v="3100"/>
    <n v="0"/>
    <n v="0"/>
    <m/>
  </r>
  <r>
    <x v="2"/>
    <x v="0"/>
    <x v="3"/>
    <n v="2200"/>
    <n v="4"/>
    <x v="0"/>
    <x v="0"/>
    <x v="0"/>
    <n v="1300"/>
    <n v="1300"/>
    <n v="0"/>
    <n v="0"/>
    <m/>
  </r>
  <r>
    <x v="2"/>
    <x v="0"/>
    <x v="3"/>
    <n v="1737"/>
    <n v="2"/>
    <x v="0"/>
    <x v="0"/>
    <x v="0"/>
    <n v="1649"/>
    <n v="1649"/>
    <n v="0"/>
    <n v="0"/>
    <m/>
  </r>
  <r>
    <x v="2"/>
    <x v="0"/>
    <x v="3"/>
    <n v="2547"/>
    <n v="2"/>
    <x v="9"/>
    <x v="0"/>
    <x v="0"/>
    <n v="0"/>
    <n v="0"/>
    <n v="0"/>
    <n v="0"/>
    <m/>
  </r>
  <r>
    <x v="2"/>
    <x v="0"/>
    <x v="3"/>
    <n v="2230"/>
    <n v="2"/>
    <x v="2"/>
    <x v="2"/>
    <x v="2"/>
    <n v="0"/>
    <n v="4000"/>
    <n v="0"/>
    <n v="1600"/>
    <m/>
  </r>
  <r>
    <x v="2"/>
    <x v="0"/>
    <x v="3"/>
    <n v="2500"/>
    <n v="2"/>
    <x v="2"/>
    <x v="3"/>
    <x v="2"/>
    <n v="0"/>
    <n v="6000"/>
    <n v="0"/>
    <n v="2400"/>
    <m/>
  </r>
  <r>
    <x v="2"/>
    <x v="0"/>
    <x v="3"/>
    <n v="2677"/>
    <n v="1"/>
    <x v="0"/>
    <x v="0"/>
    <x v="0"/>
    <n v="8882"/>
    <n v="8882"/>
    <n v="0"/>
    <n v="0"/>
    <m/>
  </r>
  <r>
    <x v="2"/>
    <x v="0"/>
    <x v="3"/>
    <n v="2500"/>
    <n v="1"/>
    <x v="0"/>
    <x v="0"/>
    <x v="0"/>
    <n v="4134"/>
    <n v="4134"/>
    <n v="0"/>
    <n v="0"/>
    <m/>
  </r>
  <r>
    <x v="2"/>
    <x v="0"/>
    <x v="3"/>
    <n v="2751"/>
    <n v="0"/>
    <x v="0"/>
    <x v="0"/>
    <x v="0"/>
    <n v="6615"/>
    <n v="6615"/>
    <n v="0"/>
    <n v="0"/>
    <m/>
  </r>
  <r>
    <x v="2"/>
    <x v="0"/>
    <x v="3"/>
    <n v="2004"/>
    <n v="2"/>
    <x v="0"/>
    <x v="0"/>
    <x v="0"/>
    <n v="13770"/>
    <n v="13770"/>
    <n v="0"/>
    <n v="0"/>
    <m/>
  </r>
  <r>
    <x v="2"/>
    <x v="0"/>
    <x v="3"/>
    <n v="1787"/>
    <n v="3"/>
    <x v="0"/>
    <x v="0"/>
    <x v="0"/>
    <n v="4134"/>
    <n v="4134"/>
    <n v="0"/>
    <n v="0"/>
    <m/>
  </r>
  <r>
    <x v="2"/>
    <x v="0"/>
    <x v="3"/>
    <n v="2747"/>
    <n v="1"/>
    <x v="0"/>
    <x v="0"/>
    <x v="0"/>
    <n v="3720"/>
    <n v="3720"/>
    <n v="0"/>
    <n v="0"/>
    <m/>
  </r>
  <r>
    <x v="2"/>
    <x v="0"/>
    <x v="3"/>
    <n v="2105"/>
    <n v="0"/>
    <x v="2"/>
    <x v="3"/>
    <x v="2"/>
    <n v="0"/>
    <n v="6000"/>
    <n v="0"/>
    <n v="2400"/>
    <m/>
  </r>
  <r>
    <x v="2"/>
    <x v="0"/>
    <x v="3"/>
    <n v="2230"/>
    <n v="2"/>
    <x v="0"/>
    <x v="0"/>
    <x v="0"/>
    <n v="2067"/>
    <n v="2067"/>
    <n v="0"/>
    <n v="0"/>
    <m/>
  </r>
  <r>
    <x v="2"/>
    <x v="0"/>
    <x v="3"/>
    <n v="2236"/>
    <n v="1"/>
    <x v="2"/>
    <x v="4"/>
    <x v="2"/>
    <n v="0"/>
    <n v="8000"/>
    <n v="0"/>
    <n v="3200"/>
    <m/>
  </r>
  <r>
    <x v="2"/>
    <x v="0"/>
    <x v="3"/>
    <n v="2339"/>
    <n v="3"/>
    <x v="2"/>
    <x v="4"/>
    <x v="2"/>
    <n v="0"/>
    <n v="8000"/>
    <n v="0"/>
    <n v="3200"/>
    <m/>
  </r>
  <r>
    <x v="0"/>
    <x v="2"/>
    <x v="1"/>
    <n v="1396"/>
    <n v="2"/>
    <x v="0"/>
    <x v="0"/>
    <x v="0"/>
    <n v="1159"/>
    <n v="1159"/>
    <n v="0"/>
    <n v="0"/>
    <m/>
  </r>
  <r>
    <x v="0"/>
    <x v="2"/>
    <x v="1"/>
    <n v="1382"/>
    <n v="1"/>
    <x v="2"/>
    <x v="3"/>
    <x v="2"/>
    <n v="0"/>
    <n v="6000"/>
    <n v="0"/>
    <n v="2400"/>
    <m/>
  </r>
  <r>
    <x v="0"/>
    <x v="2"/>
    <x v="1"/>
    <n v="823"/>
    <n v="1"/>
    <x v="0"/>
    <x v="0"/>
    <x v="0"/>
    <n v="1159"/>
    <n v="1159"/>
    <n v="0"/>
    <n v="0"/>
    <m/>
  </r>
  <r>
    <x v="0"/>
    <x v="2"/>
    <x v="1"/>
    <n v="1300"/>
    <n v="2"/>
    <x v="0"/>
    <x v="0"/>
    <x v="0"/>
    <n v="1159"/>
    <n v="1159"/>
    <n v="0"/>
    <n v="0"/>
    <m/>
  </r>
  <r>
    <x v="0"/>
    <x v="2"/>
    <x v="1"/>
    <n v="1617"/>
    <n v="0"/>
    <x v="0"/>
    <x v="0"/>
    <x v="0"/>
    <n v="1159"/>
    <n v="1159"/>
    <n v="0"/>
    <n v="0"/>
    <m/>
  </r>
  <r>
    <x v="0"/>
    <x v="2"/>
    <x v="1"/>
    <n v="1669"/>
    <n v="2"/>
    <x v="0"/>
    <x v="0"/>
    <x v="0"/>
    <n v="2067"/>
    <n v="2067"/>
    <n v="0"/>
    <n v="0"/>
    <m/>
  </r>
  <r>
    <x v="0"/>
    <x v="2"/>
    <x v="1"/>
    <n v="1400"/>
    <n v="0"/>
    <x v="0"/>
    <x v="0"/>
    <x v="0"/>
    <n v="2067"/>
    <n v="2067"/>
    <n v="0"/>
    <n v="0"/>
    <m/>
  </r>
  <r>
    <x v="0"/>
    <x v="2"/>
    <x v="1"/>
    <n v="1299"/>
    <n v="1"/>
    <x v="0"/>
    <x v="0"/>
    <x v="0"/>
    <n v="1159"/>
    <n v="1159"/>
    <n v="0"/>
    <n v="0"/>
    <m/>
  </r>
  <r>
    <x v="0"/>
    <x v="2"/>
    <x v="1"/>
    <n v="1135"/>
    <n v="1"/>
    <x v="0"/>
    <x v="0"/>
    <x v="0"/>
    <n v="1159"/>
    <n v="1159"/>
    <n v="0"/>
    <n v="0"/>
    <m/>
  </r>
  <r>
    <x v="0"/>
    <x v="2"/>
    <x v="1"/>
    <n v="1659"/>
    <n v="1"/>
    <x v="0"/>
    <x v="0"/>
    <x v="0"/>
    <n v="1546"/>
    <n v="1546"/>
    <n v="0"/>
    <n v="0"/>
    <m/>
  </r>
  <r>
    <x v="0"/>
    <x v="2"/>
    <x v="1"/>
    <n v="1820"/>
    <n v="2"/>
    <x v="0"/>
    <x v="0"/>
    <x v="0"/>
    <n v="1159"/>
    <n v="1159"/>
    <n v="0"/>
    <n v="0"/>
    <m/>
  </r>
  <r>
    <x v="0"/>
    <x v="2"/>
    <x v="1"/>
    <n v="1567"/>
    <n v="1"/>
    <x v="0"/>
    <x v="0"/>
    <x v="0"/>
    <n v="1352"/>
    <n v="1352"/>
    <n v="0"/>
    <n v="0"/>
    <m/>
  </r>
  <r>
    <x v="0"/>
    <x v="2"/>
    <x v="1"/>
    <n v="1417"/>
    <n v="1"/>
    <x v="0"/>
    <x v="0"/>
    <x v="0"/>
    <n v="2067"/>
    <n v="2067"/>
    <n v="0"/>
    <n v="0"/>
    <m/>
  </r>
  <r>
    <x v="0"/>
    <x v="2"/>
    <x v="1"/>
    <n v="1149"/>
    <n v="0"/>
    <x v="0"/>
    <x v="0"/>
    <x v="0"/>
    <n v="1546"/>
    <n v="1546"/>
    <n v="0"/>
    <n v="0"/>
    <m/>
  </r>
  <r>
    <x v="0"/>
    <x v="2"/>
    <x v="1"/>
    <n v="999"/>
    <n v="2"/>
    <x v="0"/>
    <x v="0"/>
    <x v="0"/>
    <n v="2067"/>
    <n v="2067"/>
    <n v="0"/>
    <n v="0"/>
    <m/>
  </r>
  <r>
    <x v="0"/>
    <x v="2"/>
    <x v="1"/>
    <n v="1041"/>
    <n v="1"/>
    <x v="0"/>
    <x v="0"/>
    <x v="0"/>
    <n v="1159"/>
    <n v="1159"/>
    <n v="0"/>
    <n v="0"/>
    <m/>
  </r>
  <r>
    <x v="0"/>
    <x v="2"/>
    <x v="1"/>
    <n v="1428"/>
    <n v="1"/>
    <x v="0"/>
    <x v="0"/>
    <x v="0"/>
    <n v="1352"/>
    <n v="1352"/>
    <n v="0"/>
    <n v="0"/>
    <m/>
  </r>
  <r>
    <x v="0"/>
    <x v="2"/>
    <x v="1"/>
    <n v="1853"/>
    <n v="0"/>
    <x v="2"/>
    <x v="3"/>
    <x v="2"/>
    <n v="0"/>
    <n v="6000"/>
    <n v="0"/>
    <n v="2400"/>
    <m/>
  </r>
  <r>
    <x v="0"/>
    <x v="2"/>
    <x v="1"/>
    <n v="2455"/>
    <n v="2"/>
    <x v="0"/>
    <x v="0"/>
    <x v="0"/>
    <n v="1159"/>
    <n v="1159"/>
    <n v="0"/>
    <n v="0"/>
    <m/>
  </r>
  <r>
    <x v="0"/>
    <x v="2"/>
    <x v="1"/>
    <n v="1681"/>
    <n v="1"/>
    <x v="0"/>
    <x v="0"/>
    <x v="0"/>
    <n v="1546"/>
    <n v="1546"/>
    <n v="0"/>
    <n v="0"/>
    <m/>
  </r>
  <r>
    <x v="0"/>
    <x v="2"/>
    <x v="1"/>
    <n v="824"/>
    <n v="0"/>
    <x v="2"/>
    <x v="3"/>
    <x v="2"/>
    <n v="0"/>
    <n v="6000"/>
    <n v="0"/>
    <n v="2400"/>
    <m/>
  </r>
  <r>
    <x v="0"/>
    <x v="2"/>
    <x v="1"/>
    <n v="1214"/>
    <n v="1"/>
    <x v="0"/>
    <x v="0"/>
    <x v="0"/>
    <n v="1159"/>
    <n v="1159"/>
    <n v="0"/>
    <n v="0"/>
    <m/>
  </r>
  <r>
    <x v="0"/>
    <x v="2"/>
    <x v="1"/>
    <n v="1917"/>
    <n v="2"/>
    <x v="0"/>
    <x v="0"/>
    <x v="0"/>
    <n v="1159"/>
    <n v="1159"/>
    <n v="0"/>
    <n v="0"/>
    <m/>
  </r>
  <r>
    <x v="0"/>
    <x v="2"/>
    <x v="1"/>
    <n v="404"/>
    <n v="0"/>
    <x v="0"/>
    <x v="0"/>
    <x v="0"/>
    <n v="2067"/>
    <n v="2067"/>
    <n v="0"/>
    <n v="0"/>
    <m/>
  </r>
  <r>
    <x v="0"/>
    <x v="2"/>
    <x v="1"/>
    <n v="991"/>
    <n v="0"/>
    <x v="0"/>
    <x v="0"/>
    <x v="0"/>
    <n v="1159"/>
    <n v="1159"/>
    <n v="0"/>
    <n v="0"/>
    <m/>
  </r>
  <r>
    <x v="0"/>
    <x v="2"/>
    <x v="1"/>
    <n v="1585"/>
    <n v="0"/>
    <x v="0"/>
    <x v="0"/>
    <x v="0"/>
    <n v="1159"/>
    <n v="1159"/>
    <n v="0"/>
    <n v="0"/>
    <m/>
  </r>
  <r>
    <x v="0"/>
    <x v="2"/>
    <x v="1"/>
    <n v="1099"/>
    <n v="1"/>
    <x v="0"/>
    <x v="0"/>
    <x v="0"/>
    <n v="1352"/>
    <n v="1352"/>
    <n v="0"/>
    <n v="0"/>
    <m/>
  </r>
  <r>
    <x v="0"/>
    <x v="2"/>
    <x v="1"/>
    <n v="1444"/>
    <n v="0"/>
    <x v="0"/>
    <x v="0"/>
    <x v="0"/>
    <n v="1739"/>
    <n v="1739"/>
    <n v="0"/>
    <n v="0"/>
    <m/>
  </r>
  <r>
    <x v="0"/>
    <x v="2"/>
    <x v="1"/>
    <n v="1206"/>
    <n v="1"/>
    <x v="0"/>
    <x v="0"/>
    <x v="0"/>
    <n v="1159"/>
    <n v="1159"/>
    <n v="0"/>
    <n v="0"/>
    <m/>
  </r>
  <r>
    <x v="0"/>
    <x v="2"/>
    <x v="1"/>
    <n v="2034"/>
    <n v="3"/>
    <x v="0"/>
    <x v="0"/>
    <x v="0"/>
    <n v="1159"/>
    <n v="1159"/>
    <n v="0"/>
    <n v="0"/>
    <m/>
  </r>
  <r>
    <x v="0"/>
    <x v="2"/>
    <x v="1"/>
    <n v="2474"/>
    <n v="0"/>
    <x v="2"/>
    <x v="3"/>
    <x v="2"/>
    <n v="0"/>
    <n v="6000"/>
    <n v="0"/>
    <n v="2400"/>
    <m/>
  </r>
  <r>
    <x v="0"/>
    <x v="2"/>
    <x v="1"/>
    <n v="1210"/>
    <n v="2"/>
    <x v="0"/>
    <x v="0"/>
    <x v="0"/>
    <n v="1352"/>
    <n v="1352"/>
    <n v="0"/>
    <n v="0"/>
    <m/>
  </r>
  <r>
    <x v="0"/>
    <x v="2"/>
    <x v="1"/>
    <n v="1838"/>
    <n v="0"/>
    <x v="0"/>
    <x v="0"/>
    <x v="0"/>
    <n v="1159"/>
    <n v="1159"/>
    <n v="0"/>
    <n v="0"/>
    <m/>
  </r>
  <r>
    <x v="0"/>
    <x v="2"/>
    <x v="1"/>
    <n v="1620"/>
    <n v="1"/>
    <x v="0"/>
    <x v="0"/>
    <x v="0"/>
    <n v="1159"/>
    <n v="1159"/>
    <n v="0"/>
    <n v="0"/>
    <m/>
  </r>
  <r>
    <x v="0"/>
    <x v="2"/>
    <x v="1"/>
    <n v="1629"/>
    <n v="1"/>
    <x v="0"/>
    <x v="0"/>
    <x v="0"/>
    <n v="2750"/>
    <n v="2750"/>
    <n v="0"/>
    <n v="0"/>
    <m/>
  </r>
  <r>
    <x v="0"/>
    <x v="2"/>
    <x v="1"/>
    <n v="1374"/>
    <n v="1"/>
    <x v="2"/>
    <x v="3"/>
    <x v="2"/>
    <n v="0"/>
    <n v="6000"/>
    <n v="0"/>
    <n v="2400"/>
    <m/>
  </r>
  <r>
    <x v="0"/>
    <x v="2"/>
    <x v="1"/>
    <n v="1637"/>
    <n v="0"/>
    <x v="0"/>
    <x v="0"/>
    <x v="0"/>
    <n v="1352"/>
    <n v="1352"/>
    <n v="0"/>
    <n v="0"/>
    <m/>
  </r>
  <r>
    <x v="0"/>
    <x v="2"/>
    <x v="1"/>
    <n v="1846"/>
    <n v="1"/>
    <x v="0"/>
    <x v="0"/>
    <x v="0"/>
    <n v="1159"/>
    <n v="1159"/>
    <n v="0"/>
    <n v="0"/>
    <m/>
  </r>
  <r>
    <x v="0"/>
    <x v="2"/>
    <x v="1"/>
    <n v="1617"/>
    <n v="1"/>
    <x v="0"/>
    <x v="0"/>
    <x v="0"/>
    <n v="2756"/>
    <n v="2756"/>
    <n v="0"/>
    <n v="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990"/>
    <n v="0"/>
    <x v="0"/>
    <x v="0"/>
    <x v="0"/>
    <n v="1159"/>
    <n v="1159"/>
    <n v="0"/>
    <n v="0"/>
    <m/>
  </r>
  <r>
    <x v="0"/>
    <x v="2"/>
    <x v="1"/>
    <n v="1186"/>
    <n v="1"/>
    <x v="0"/>
    <x v="0"/>
    <x v="0"/>
    <n v="2756"/>
    <n v="2756"/>
    <n v="0"/>
    <n v="0"/>
    <m/>
  </r>
  <r>
    <x v="0"/>
    <x v="2"/>
    <x v="1"/>
    <n v="1193"/>
    <n v="2"/>
    <x v="0"/>
    <x v="0"/>
    <x v="0"/>
    <n v="1159"/>
    <n v="1159"/>
    <n v="0"/>
    <n v="0"/>
    <m/>
  </r>
  <r>
    <x v="0"/>
    <x v="2"/>
    <x v="1"/>
    <n v="1223"/>
    <n v="0"/>
    <x v="0"/>
    <x v="0"/>
    <x v="0"/>
    <n v="2067"/>
    <n v="2067"/>
    <n v="0"/>
    <n v="0"/>
    <m/>
  </r>
  <r>
    <x v="0"/>
    <x v="2"/>
    <x v="1"/>
    <n v="1833"/>
    <n v="0"/>
    <x v="0"/>
    <x v="0"/>
    <x v="0"/>
    <n v="2067"/>
    <n v="2067"/>
    <n v="0"/>
    <n v="0"/>
    <m/>
  </r>
  <r>
    <x v="0"/>
    <x v="2"/>
    <x v="1"/>
    <n v="1601"/>
    <n v="1"/>
    <x v="0"/>
    <x v="0"/>
    <x v="0"/>
    <n v="2067"/>
    <n v="2067"/>
    <n v="0"/>
    <n v="0"/>
    <m/>
  </r>
  <r>
    <x v="0"/>
    <x v="2"/>
    <x v="1"/>
    <n v="1381"/>
    <n v="0"/>
    <x v="0"/>
    <x v="0"/>
    <x v="0"/>
    <n v="2067"/>
    <n v="2067"/>
    <n v="0"/>
    <n v="0"/>
    <m/>
  </r>
  <r>
    <x v="0"/>
    <x v="2"/>
    <x v="1"/>
    <n v="1472"/>
    <n v="3"/>
    <x v="0"/>
    <x v="0"/>
    <x v="0"/>
    <n v="1159"/>
    <n v="1159"/>
    <n v="0"/>
    <n v="0"/>
    <m/>
  </r>
  <r>
    <x v="0"/>
    <x v="2"/>
    <x v="1"/>
    <n v="1210"/>
    <n v="1"/>
    <x v="0"/>
    <x v="0"/>
    <x v="0"/>
    <n v="1159"/>
    <n v="1159"/>
    <n v="0"/>
    <n v="0"/>
    <m/>
  </r>
  <r>
    <x v="0"/>
    <x v="2"/>
    <x v="1"/>
    <n v="1469"/>
    <n v="1"/>
    <x v="1"/>
    <x v="1"/>
    <x v="1"/>
    <n v="0"/>
    <n v="0"/>
    <n v="11500"/>
    <n v="0"/>
    <m/>
  </r>
  <r>
    <x v="0"/>
    <x v="2"/>
    <x v="1"/>
    <n v="1035"/>
    <n v="1"/>
    <x v="0"/>
    <x v="0"/>
    <x v="0"/>
    <n v="2067"/>
    <n v="2067"/>
    <n v="0"/>
    <n v="0"/>
    <m/>
  </r>
  <r>
    <x v="0"/>
    <x v="2"/>
    <x v="1"/>
    <n v="1877"/>
    <n v="1"/>
    <x v="2"/>
    <x v="3"/>
    <x v="2"/>
    <n v="0"/>
    <n v="6000"/>
    <n v="0"/>
    <n v="2400"/>
    <m/>
  </r>
  <r>
    <x v="0"/>
    <x v="2"/>
    <x v="1"/>
    <n v="849"/>
    <n v="1"/>
    <x v="2"/>
    <x v="3"/>
    <x v="2"/>
    <n v="0"/>
    <n v="6000"/>
    <n v="0"/>
    <n v="2400"/>
    <m/>
  </r>
  <r>
    <x v="0"/>
    <x v="2"/>
    <x v="1"/>
    <n v="1261"/>
    <n v="1"/>
    <x v="2"/>
    <x v="3"/>
    <x v="2"/>
    <n v="0"/>
    <n v="6000"/>
    <n v="0"/>
    <n v="2400"/>
    <m/>
  </r>
  <r>
    <x v="8"/>
    <x v="0"/>
    <x v="1"/>
    <n v="1940"/>
    <n v="0"/>
    <x v="2"/>
    <x v="3"/>
    <x v="2"/>
    <n v="0"/>
    <n v="6000"/>
    <n v="0"/>
    <n v="2400"/>
    <m/>
  </r>
  <r>
    <x v="0"/>
    <x v="2"/>
    <x v="1"/>
    <n v="2271"/>
    <n v="1"/>
    <x v="2"/>
    <x v="3"/>
    <x v="2"/>
    <n v="0"/>
    <n v="6000"/>
    <n v="0"/>
    <n v="2400"/>
    <m/>
  </r>
  <r>
    <x v="0"/>
    <x v="2"/>
    <x v="1"/>
    <n v="1066"/>
    <n v="0"/>
    <x v="4"/>
    <x v="1"/>
    <x v="1"/>
    <n v="0"/>
    <n v="0"/>
    <n v="11500"/>
    <n v="35822"/>
    <m/>
  </r>
  <r>
    <x v="0"/>
    <x v="2"/>
    <x v="1"/>
    <n v="1217"/>
    <n v="0"/>
    <x v="0"/>
    <x v="0"/>
    <x v="0"/>
    <n v="1159"/>
    <n v="1159"/>
    <n v="0"/>
    <n v="0"/>
    <m/>
  </r>
  <r>
    <x v="0"/>
    <x v="2"/>
    <x v="1"/>
    <n v="1369"/>
    <n v="0"/>
    <x v="1"/>
    <x v="1"/>
    <x v="5"/>
    <m/>
    <n v="0"/>
    <n v="34500"/>
    <n v="35822"/>
    <m/>
  </r>
  <r>
    <x v="0"/>
    <x v="2"/>
    <x v="1"/>
    <n v="1200"/>
    <n v="1"/>
    <x v="0"/>
    <x v="0"/>
    <x v="0"/>
    <n v="1546"/>
    <n v="1546"/>
    <n v="0"/>
    <n v="0"/>
    <m/>
  </r>
  <r>
    <x v="0"/>
    <x v="2"/>
    <x v="1"/>
    <n v="2084"/>
    <n v="1"/>
    <x v="0"/>
    <x v="0"/>
    <x v="0"/>
    <n v="1159"/>
    <n v="1159"/>
    <n v="0"/>
    <n v="0"/>
    <m/>
  </r>
  <r>
    <x v="0"/>
    <x v="2"/>
    <x v="1"/>
    <n v="1041"/>
    <n v="2"/>
    <x v="0"/>
    <x v="0"/>
    <x v="0"/>
    <n v="1159"/>
    <n v="1159"/>
    <n v="0"/>
    <n v="0"/>
    <m/>
  </r>
  <r>
    <x v="0"/>
    <x v="2"/>
    <x v="1"/>
    <n v="1173"/>
    <n v="0"/>
    <x v="2"/>
    <x v="3"/>
    <x v="2"/>
    <n v="0"/>
    <n v="6000"/>
    <n v="0"/>
    <n v="2400"/>
    <m/>
  </r>
  <r>
    <x v="0"/>
    <x v="2"/>
    <x v="1"/>
    <n v="1203"/>
    <n v="0"/>
    <x v="0"/>
    <x v="0"/>
    <x v="0"/>
    <n v="1159"/>
    <n v="1159"/>
    <n v="0"/>
    <n v="0"/>
    <m/>
  </r>
  <r>
    <x v="0"/>
    <x v="2"/>
    <x v="1"/>
    <n v="1265"/>
    <n v="0"/>
    <x v="0"/>
    <x v="0"/>
    <x v="0"/>
    <n v="1159"/>
    <n v="1159"/>
    <n v="0"/>
    <n v="0"/>
    <m/>
  </r>
  <r>
    <x v="0"/>
    <x v="2"/>
    <x v="1"/>
    <n v="1133"/>
    <n v="0"/>
    <x v="0"/>
    <x v="0"/>
    <x v="0"/>
    <n v="1159"/>
    <n v="1159"/>
    <n v="0"/>
    <n v="0"/>
    <m/>
  </r>
  <r>
    <x v="0"/>
    <x v="2"/>
    <x v="1"/>
    <n v="967"/>
    <n v="1"/>
    <x v="1"/>
    <x v="1"/>
    <x v="2"/>
    <n v="0"/>
    <n v="0"/>
    <n v="0"/>
    <n v="0"/>
    <m/>
  </r>
  <r>
    <x v="0"/>
    <x v="2"/>
    <x v="1"/>
    <n v="2246"/>
    <n v="1"/>
    <x v="0"/>
    <x v="0"/>
    <x v="0"/>
    <n v="2067"/>
    <n v="2067"/>
    <n v="0"/>
    <n v="0"/>
    <m/>
  </r>
  <r>
    <x v="0"/>
    <x v="2"/>
    <x v="1"/>
    <n v="1423"/>
    <n v="2"/>
    <x v="0"/>
    <x v="0"/>
    <x v="0"/>
    <n v="1159"/>
    <n v="1159"/>
    <n v="0"/>
    <n v="0"/>
    <m/>
  </r>
  <r>
    <x v="0"/>
    <x v="2"/>
    <x v="1"/>
    <n v="1858"/>
    <n v="0"/>
    <x v="0"/>
    <x v="0"/>
    <x v="0"/>
    <n v="2067"/>
    <n v="2067"/>
    <n v="0"/>
    <n v="0"/>
    <m/>
  </r>
  <r>
    <x v="0"/>
    <x v="2"/>
    <x v="1"/>
    <n v="1423"/>
    <n v="1"/>
    <x v="0"/>
    <x v="0"/>
    <x v="0"/>
    <n v="1546"/>
    <n v="1546"/>
    <n v="0"/>
    <n v="0"/>
    <m/>
  </r>
  <r>
    <x v="0"/>
    <x v="2"/>
    <x v="1"/>
    <n v="2042"/>
    <n v="1"/>
    <x v="0"/>
    <x v="0"/>
    <x v="0"/>
    <n v="1159"/>
    <n v="1159"/>
    <n v="0"/>
    <n v="0"/>
    <m/>
  </r>
  <r>
    <x v="0"/>
    <x v="2"/>
    <x v="1"/>
    <n v="2001"/>
    <n v="1"/>
    <x v="1"/>
    <x v="1"/>
    <x v="2"/>
    <n v="0"/>
    <n v="0"/>
    <n v="0"/>
    <n v="0"/>
    <m/>
  </r>
  <r>
    <x v="0"/>
    <x v="2"/>
    <x v="1"/>
    <n v="1540"/>
    <n v="0"/>
    <x v="1"/>
    <x v="1"/>
    <x v="2"/>
    <n v="0"/>
    <n v="0"/>
    <n v="0"/>
    <n v="0"/>
    <m/>
  </r>
  <r>
    <x v="0"/>
    <x v="2"/>
    <x v="1"/>
    <n v="1699"/>
    <n v="1"/>
    <x v="0"/>
    <x v="0"/>
    <x v="0"/>
    <n v="2067"/>
    <n v="2067"/>
    <n v="0"/>
    <n v="0"/>
    <m/>
  </r>
  <r>
    <x v="0"/>
    <x v="2"/>
    <x v="1"/>
    <n v="1916"/>
    <n v="1"/>
    <x v="0"/>
    <x v="0"/>
    <x v="0"/>
    <n v="1159"/>
    <n v="1159"/>
    <n v="0"/>
    <n v="0"/>
    <m/>
  </r>
  <r>
    <x v="0"/>
    <x v="2"/>
    <x v="1"/>
    <n v="2501"/>
    <n v="0"/>
    <x v="0"/>
    <x v="0"/>
    <x v="0"/>
    <n v="2067"/>
    <n v="2067"/>
    <n v="0"/>
    <n v="0"/>
    <m/>
  </r>
  <r>
    <x v="0"/>
    <x v="2"/>
    <x v="1"/>
    <n v="1812"/>
    <n v="1"/>
    <x v="2"/>
    <x v="3"/>
    <x v="2"/>
    <n v="0"/>
    <n v="6000"/>
    <n v="0"/>
    <n v="2400"/>
    <m/>
  </r>
  <r>
    <x v="0"/>
    <x v="2"/>
    <x v="1"/>
    <n v="1215"/>
    <n v="0"/>
    <x v="0"/>
    <x v="0"/>
    <x v="0"/>
    <n v="1159"/>
    <n v="1159"/>
    <n v="0"/>
    <n v="0"/>
    <m/>
  </r>
  <r>
    <x v="0"/>
    <x v="2"/>
    <x v="1"/>
    <n v="422"/>
    <n v="1"/>
    <x v="0"/>
    <x v="0"/>
    <x v="0"/>
    <n v="2756"/>
    <n v="2756"/>
    <n v="0"/>
    <n v="0"/>
    <m/>
  </r>
  <r>
    <x v="0"/>
    <x v="2"/>
    <x v="1"/>
    <n v="1105"/>
    <n v="0"/>
    <x v="1"/>
    <x v="1"/>
    <x v="1"/>
    <n v="0"/>
    <n v="0"/>
    <n v="11500"/>
    <n v="0"/>
    <m/>
  </r>
  <r>
    <x v="0"/>
    <x v="2"/>
    <x v="1"/>
    <n v="821"/>
    <n v="1"/>
    <x v="0"/>
    <x v="0"/>
    <x v="0"/>
    <n v="1159"/>
    <n v="1159"/>
    <n v="0"/>
    <n v="0"/>
    <m/>
  </r>
  <r>
    <x v="0"/>
    <x v="2"/>
    <x v="1"/>
    <n v="1748"/>
    <n v="1"/>
    <x v="9"/>
    <x v="0"/>
    <x v="0"/>
    <n v="0"/>
    <n v="0"/>
    <n v="0"/>
    <n v="0"/>
    <m/>
  </r>
  <r>
    <x v="0"/>
    <x v="2"/>
    <x v="1"/>
    <n v="1840"/>
    <n v="0"/>
    <x v="9"/>
    <x v="0"/>
    <x v="0"/>
    <n v="0"/>
    <n v="0"/>
    <n v="0"/>
    <n v="0"/>
    <m/>
  </r>
  <r>
    <x v="0"/>
    <x v="2"/>
    <x v="1"/>
    <n v="1395"/>
    <n v="2"/>
    <x v="0"/>
    <x v="0"/>
    <x v="0"/>
    <n v="1159"/>
    <n v="1159"/>
    <n v="0"/>
    <n v="0"/>
    <m/>
  </r>
  <r>
    <x v="0"/>
    <x v="2"/>
    <x v="1"/>
    <n v="1292"/>
    <n v="2"/>
    <x v="0"/>
    <x v="0"/>
    <x v="0"/>
    <n v="1159"/>
    <n v="1159"/>
    <n v="0"/>
    <n v="0"/>
    <m/>
  </r>
  <r>
    <x v="0"/>
    <x v="2"/>
    <x v="1"/>
    <n v="1574"/>
    <n v="0"/>
    <x v="0"/>
    <x v="0"/>
    <x v="0"/>
    <n v="1159"/>
    <n v="1159"/>
    <n v="0"/>
    <n v="0"/>
    <m/>
  </r>
  <r>
    <x v="0"/>
    <x v="2"/>
    <x v="1"/>
    <n v="1388"/>
    <n v="0"/>
    <x v="0"/>
    <x v="0"/>
    <x v="0"/>
    <n v="1159"/>
    <n v="1159"/>
    <n v="0"/>
    <n v="0"/>
    <m/>
  </r>
  <r>
    <x v="0"/>
    <x v="2"/>
    <x v="1"/>
    <n v="3326"/>
    <n v="0"/>
    <x v="2"/>
    <x v="3"/>
    <x v="2"/>
    <n v="0"/>
    <n v="6000"/>
    <n v="0"/>
    <n v="2400"/>
    <m/>
  </r>
  <r>
    <x v="0"/>
    <x v="2"/>
    <x v="1"/>
    <n v="999"/>
    <n v="1"/>
    <x v="9"/>
    <x v="0"/>
    <x v="0"/>
    <n v="0"/>
    <n v="0"/>
    <n v="0"/>
    <n v="0"/>
    <m/>
  </r>
  <r>
    <x v="0"/>
    <x v="2"/>
    <x v="1"/>
    <n v="1225"/>
    <n v="0"/>
    <x v="0"/>
    <x v="0"/>
    <x v="0"/>
    <n v="2411"/>
    <n v="2411"/>
    <n v="0"/>
    <n v="0"/>
    <m/>
  </r>
  <r>
    <x v="0"/>
    <x v="2"/>
    <x v="1"/>
    <n v="1362"/>
    <n v="2"/>
    <x v="1"/>
    <x v="1"/>
    <x v="2"/>
    <m/>
    <n v="0"/>
    <n v="0"/>
    <n v="0"/>
    <m/>
  </r>
  <r>
    <x v="0"/>
    <x v="2"/>
    <x v="1"/>
    <n v="1149"/>
    <n v="2"/>
    <x v="0"/>
    <x v="0"/>
    <x v="0"/>
    <n v="1159"/>
    <n v="1159"/>
    <n v="0"/>
    <n v="0"/>
    <m/>
  </r>
  <r>
    <x v="0"/>
    <x v="2"/>
    <x v="1"/>
    <n v="1186"/>
    <n v="1"/>
    <x v="0"/>
    <x v="0"/>
    <x v="0"/>
    <n v="2067"/>
    <n v="2067"/>
    <n v="0"/>
    <n v="0"/>
    <m/>
  </r>
  <r>
    <x v="0"/>
    <x v="2"/>
    <x v="1"/>
    <n v="1366"/>
    <n v="1"/>
    <x v="0"/>
    <x v="0"/>
    <x v="0"/>
    <n v="2411"/>
    <n v="2411"/>
    <n v="0"/>
    <n v="0"/>
    <m/>
  </r>
  <r>
    <x v="0"/>
    <x v="2"/>
    <x v="1"/>
    <n v="2407"/>
    <n v="4"/>
    <x v="1"/>
    <x v="1"/>
    <x v="1"/>
    <n v="0"/>
    <n v="0"/>
    <n v="11500"/>
    <n v="0"/>
    <m/>
  </r>
  <r>
    <x v="0"/>
    <x v="2"/>
    <x v="1"/>
    <n v="2050"/>
    <n v="1"/>
    <x v="0"/>
    <x v="0"/>
    <x v="0"/>
    <n v="2067"/>
    <n v="2067"/>
    <n v="0"/>
    <n v="0"/>
    <m/>
  </r>
  <r>
    <x v="0"/>
    <x v="2"/>
    <x v="1"/>
    <n v="2063"/>
    <n v="1"/>
    <x v="1"/>
    <x v="1"/>
    <x v="2"/>
    <m/>
    <n v="0"/>
    <n v="0"/>
    <n v="0"/>
    <m/>
  </r>
  <r>
    <x v="0"/>
    <x v="2"/>
    <x v="1"/>
    <n v="1086"/>
    <n v="0"/>
    <x v="0"/>
    <x v="0"/>
    <x v="0"/>
    <n v="1546"/>
    <n v="1546"/>
    <n v="0"/>
    <n v="0"/>
    <m/>
  </r>
  <r>
    <x v="0"/>
    <x v="2"/>
    <x v="1"/>
    <n v="1248"/>
    <n v="2"/>
    <x v="2"/>
    <x v="3"/>
    <x v="2"/>
    <n v="0"/>
    <n v="6000"/>
    <n v="0"/>
    <n v="2400"/>
    <m/>
  </r>
  <r>
    <x v="0"/>
    <x v="2"/>
    <x v="1"/>
    <n v="1342"/>
    <n v="1"/>
    <x v="9"/>
    <x v="0"/>
    <x v="0"/>
    <n v="0"/>
    <n v="0"/>
    <n v="0"/>
    <n v="0"/>
    <m/>
  </r>
  <r>
    <x v="0"/>
    <x v="2"/>
    <x v="1"/>
    <n v="2048"/>
    <n v="0"/>
    <x v="0"/>
    <x v="0"/>
    <x v="0"/>
    <n v="1159"/>
    <n v="1159"/>
    <n v="0"/>
    <n v="0"/>
    <m/>
  </r>
  <r>
    <x v="0"/>
    <x v="2"/>
    <x v="1"/>
    <n v="2152"/>
    <n v="2"/>
    <x v="1"/>
    <x v="1"/>
    <x v="2"/>
    <n v="0"/>
    <n v="0"/>
    <n v="0"/>
    <n v="0"/>
    <m/>
  </r>
  <r>
    <x v="0"/>
    <x v="2"/>
    <x v="1"/>
    <n v="1171"/>
    <n v="1"/>
    <x v="0"/>
    <x v="0"/>
    <x v="0"/>
    <n v="2067"/>
    <n v="2067"/>
    <n v="0"/>
    <n v="0"/>
    <m/>
  </r>
  <r>
    <x v="0"/>
    <x v="2"/>
    <x v="1"/>
    <n v="2951"/>
    <n v="2"/>
    <x v="0"/>
    <x v="0"/>
    <x v="0"/>
    <n v="2411"/>
    <n v="2411"/>
    <n v="0"/>
    <n v="0"/>
    <m/>
  </r>
  <r>
    <x v="0"/>
    <x v="2"/>
    <x v="1"/>
    <n v="1340"/>
    <n v="0"/>
    <x v="0"/>
    <x v="0"/>
    <x v="0"/>
    <n v="1159"/>
    <n v="1159"/>
    <n v="0"/>
    <n v="0"/>
    <m/>
  </r>
  <r>
    <x v="0"/>
    <x v="2"/>
    <x v="1"/>
    <n v="1120"/>
    <n v="1"/>
    <x v="0"/>
    <x v="0"/>
    <x v="0"/>
    <n v="1546"/>
    <n v="1546"/>
    <n v="0"/>
    <n v="0"/>
    <m/>
  </r>
  <r>
    <x v="0"/>
    <x v="2"/>
    <x v="1"/>
    <n v="805"/>
    <n v="1"/>
    <x v="0"/>
    <x v="0"/>
    <x v="0"/>
    <n v="2067"/>
    <n v="2067"/>
    <n v="0"/>
    <n v="0"/>
    <m/>
  </r>
  <r>
    <x v="0"/>
    <x v="2"/>
    <x v="1"/>
    <n v="1611"/>
    <n v="3"/>
    <x v="0"/>
    <x v="0"/>
    <x v="0"/>
    <n v="1159"/>
    <n v="1159"/>
    <n v="0"/>
    <n v="0"/>
    <m/>
  </r>
  <r>
    <x v="0"/>
    <x v="2"/>
    <x v="1"/>
    <n v="1332"/>
    <n v="0"/>
    <x v="0"/>
    <x v="0"/>
    <x v="0"/>
    <n v="1159"/>
    <n v="1159"/>
    <n v="0"/>
    <n v="0"/>
    <m/>
  </r>
  <r>
    <x v="0"/>
    <x v="2"/>
    <x v="1"/>
    <n v="1613"/>
    <n v="1"/>
    <x v="0"/>
    <x v="0"/>
    <x v="0"/>
    <n v="2411"/>
    <n v="2411"/>
    <n v="0"/>
    <n v="0"/>
    <m/>
  </r>
  <r>
    <x v="0"/>
    <x v="2"/>
    <x v="1"/>
    <n v="1375"/>
    <n v="1"/>
    <x v="0"/>
    <x v="0"/>
    <x v="0"/>
    <n v="1159"/>
    <n v="1159"/>
    <n v="0"/>
    <n v="0"/>
    <m/>
  </r>
  <r>
    <x v="0"/>
    <x v="2"/>
    <x v="1"/>
    <n v="1277"/>
    <n v="1"/>
    <x v="0"/>
    <x v="0"/>
    <x v="0"/>
    <n v="1159"/>
    <n v="1159"/>
    <n v="0"/>
    <n v="0"/>
    <m/>
  </r>
  <r>
    <x v="0"/>
    <x v="2"/>
    <x v="1"/>
    <n v="1167"/>
    <n v="0"/>
    <x v="0"/>
    <x v="0"/>
    <x v="0"/>
    <n v="2067"/>
    <n v="2067"/>
    <n v="0"/>
    <n v="0"/>
    <m/>
  </r>
  <r>
    <x v="0"/>
    <x v="2"/>
    <x v="1"/>
    <n v="1156"/>
    <n v="2"/>
    <x v="0"/>
    <x v="0"/>
    <x v="0"/>
    <n v="1352"/>
    <n v="1352"/>
    <n v="0"/>
    <n v="0"/>
    <m/>
  </r>
  <r>
    <x v="0"/>
    <x v="2"/>
    <x v="1"/>
    <n v="1404"/>
    <n v="0"/>
    <x v="1"/>
    <x v="1"/>
    <x v="5"/>
    <n v="0"/>
    <n v="0"/>
    <n v="34500"/>
    <n v="35822"/>
    <m/>
  </r>
  <r>
    <x v="0"/>
    <x v="2"/>
    <x v="1"/>
    <n v="1462"/>
    <n v="0"/>
    <x v="0"/>
    <x v="0"/>
    <x v="0"/>
    <n v="1159"/>
    <n v="1159"/>
    <n v="0"/>
    <n v="0"/>
    <m/>
  </r>
  <r>
    <x v="0"/>
    <x v="2"/>
    <x v="1"/>
    <n v="1957"/>
    <n v="2"/>
    <x v="9"/>
    <x v="0"/>
    <x v="0"/>
    <n v="0"/>
    <n v="0"/>
    <n v="0"/>
    <n v="0"/>
    <m/>
  </r>
  <r>
    <x v="0"/>
    <x v="2"/>
    <x v="1"/>
    <n v="1051"/>
    <n v="0"/>
    <x v="0"/>
    <x v="0"/>
    <x v="0"/>
    <n v="2411"/>
    <n v="2411"/>
    <n v="0"/>
    <n v="0"/>
    <m/>
  </r>
  <r>
    <x v="0"/>
    <x v="2"/>
    <x v="1"/>
    <n v="1187"/>
    <n v="2"/>
    <x v="0"/>
    <x v="0"/>
    <x v="0"/>
    <n v="1159"/>
    <n v="1159"/>
    <n v="0"/>
    <n v="0"/>
    <m/>
  </r>
  <r>
    <x v="0"/>
    <x v="2"/>
    <x v="1"/>
    <n v="1798"/>
    <n v="2"/>
    <x v="2"/>
    <x v="3"/>
    <x v="2"/>
    <n v="0"/>
    <n v="6000"/>
    <n v="0"/>
    <n v="2400"/>
    <m/>
  </r>
  <r>
    <x v="0"/>
    <x v="2"/>
    <x v="1"/>
    <n v="1909"/>
    <n v="3"/>
    <x v="0"/>
    <x v="0"/>
    <x v="0"/>
    <n v="1159"/>
    <n v="1159"/>
    <n v="0"/>
    <n v="0"/>
    <m/>
  </r>
  <r>
    <x v="0"/>
    <x v="2"/>
    <x v="1"/>
    <n v="829"/>
    <n v="2"/>
    <x v="0"/>
    <x v="0"/>
    <x v="0"/>
    <n v="1159"/>
    <n v="1159"/>
    <n v="0"/>
    <n v="0"/>
    <m/>
  </r>
  <r>
    <x v="0"/>
    <x v="2"/>
    <x v="1"/>
    <n v="1201"/>
    <n v="2"/>
    <x v="2"/>
    <x v="3"/>
    <x v="2"/>
    <n v="0"/>
    <n v="6000"/>
    <n v="0"/>
    <n v="2400"/>
    <m/>
  </r>
  <r>
    <x v="0"/>
    <x v="2"/>
    <x v="1"/>
    <n v="1770"/>
    <n v="0"/>
    <x v="0"/>
    <x v="0"/>
    <x v="0"/>
    <n v="1159"/>
    <n v="1159"/>
    <n v="0"/>
    <n v="0"/>
    <m/>
  </r>
  <r>
    <x v="0"/>
    <x v="2"/>
    <x v="1"/>
    <n v="1190"/>
    <n v="0"/>
    <x v="0"/>
    <x v="0"/>
    <x v="0"/>
    <n v="1739"/>
    <n v="1739"/>
    <n v="0"/>
    <n v="0"/>
    <m/>
  </r>
  <r>
    <x v="5"/>
    <x v="0"/>
    <x v="0"/>
    <n v="849"/>
    <n v="2"/>
    <x v="0"/>
    <x v="0"/>
    <x v="0"/>
    <n v="823"/>
    <n v="823"/>
    <n v="0"/>
    <n v="0"/>
    <m/>
  </r>
  <r>
    <x v="5"/>
    <x v="0"/>
    <x v="0"/>
    <n v="1244"/>
    <n v="2"/>
    <x v="0"/>
    <x v="0"/>
    <x v="0"/>
    <n v="1976"/>
    <n v="1976"/>
    <n v="0"/>
    <n v="0"/>
    <m/>
  </r>
  <r>
    <x v="5"/>
    <x v="0"/>
    <x v="0"/>
    <n v="1902"/>
    <n v="2"/>
    <x v="2"/>
    <x v="1"/>
    <x v="2"/>
    <n v="0"/>
    <n v="2000"/>
    <n v="0"/>
    <n v="800"/>
    <m/>
  </r>
  <r>
    <x v="5"/>
    <x v="0"/>
    <x v="0"/>
    <n v="1295"/>
    <n v="0"/>
    <x v="0"/>
    <x v="0"/>
    <x v="0"/>
    <n v="1976"/>
    <n v="1976"/>
    <n v="0"/>
    <n v="0"/>
    <m/>
  </r>
  <r>
    <x v="5"/>
    <x v="0"/>
    <x v="0"/>
    <n v="993"/>
    <n v="0"/>
    <x v="2"/>
    <x v="1"/>
    <x v="2"/>
    <n v="0"/>
    <n v="2000"/>
    <n v="0"/>
    <n v="800"/>
    <m/>
  </r>
  <r>
    <x v="5"/>
    <x v="0"/>
    <x v="0"/>
    <n v="1238"/>
    <n v="0"/>
    <x v="0"/>
    <x v="0"/>
    <x v="0"/>
    <n v="892"/>
    <n v="892"/>
    <n v="0"/>
    <n v="0"/>
    <m/>
  </r>
  <r>
    <x v="5"/>
    <x v="0"/>
    <x v="0"/>
    <n v="1277"/>
    <n v="0"/>
    <x v="2"/>
    <x v="1"/>
    <x v="2"/>
    <n v="0"/>
    <n v="2000"/>
    <n v="0"/>
    <n v="800"/>
    <m/>
  </r>
  <r>
    <x v="0"/>
    <x v="1"/>
    <x v="1"/>
    <n v="2474"/>
    <n v="3"/>
    <x v="2"/>
    <x v="2"/>
    <x v="2"/>
    <n v="0"/>
    <n v="4000"/>
    <n v="0"/>
    <n v="1600"/>
    <m/>
  </r>
  <r>
    <x v="0"/>
    <x v="2"/>
    <x v="1"/>
    <n v="920"/>
    <n v="2"/>
    <x v="2"/>
    <x v="3"/>
    <x v="2"/>
    <n v="0"/>
    <n v="6000"/>
    <n v="0"/>
    <n v="2400"/>
    <m/>
  </r>
  <r>
    <x v="0"/>
    <x v="2"/>
    <x v="1"/>
    <n v="1475"/>
    <n v="3"/>
    <x v="0"/>
    <x v="0"/>
    <x v="0"/>
    <n v="2756"/>
    <n v="2756"/>
    <n v="0"/>
    <n v="0"/>
    <m/>
  </r>
  <r>
    <x v="0"/>
    <x v="2"/>
    <x v="1"/>
    <n v="1500"/>
    <n v="3"/>
    <x v="1"/>
    <x v="1"/>
    <x v="5"/>
    <n v="0"/>
    <n v="0"/>
    <n v="34500"/>
    <n v="35822"/>
    <m/>
  </r>
  <r>
    <x v="0"/>
    <x v="2"/>
    <x v="1"/>
    <n v="2329"/>
    <n v="2"/>
    <x v="0"/>
    <x v="0"/>
    <x v="0"/>
    <n v="2067"/>
    <n v="2067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182"/>
    <n v="0"/>
    <x v="3"/>
    <x v="4"/>
    <x v="3"/>
    <n v="0"/>
    <n v="0"/>
    <n v="0"/>
    <n v="0"/>
    <m/>
  </r>
  <r>
    <x v="2"/>
    <x v="0"/>
    <x v="2"/>
    <n v="2090"/>
    <n v="2"/>
    <x v="0"/>
    <x v="0"/>
    <x v="0"/>
    <n v="1971"/>
    <n v="1971"/>
    <n v="0"/>
    <n v="0"/>
    <m/>
  </r>
  <r>
    <x v="2"/>
    <x v="0"/>
    <x v="2"/>
    <n v="2783"/>
    <n v="2"/>
    <x v="2"/>
    <x v="3"/>
    <x v="2"/>
    <n v="0"/>
    <n v="6000"/>
    <n v="0"/>
    <n v="2400"/>
    <m/>
  </r>
  <r>
    <x v="2"/>
    <x v="0"/>
    <x v="2"/>
    <n v="2090"/>
    <n v="0"/>
    <x v="0"/>
    <x v="0"/>
    <x v="0"/>
    <n v="12000"/>
    <n v="12000"/>
    <n v="0"/>
    <n v="0"/>
    <m/>
  </r>
  <r>
    <x v="2"/>
    <x v="0"/>
    <x v="2"/>
    <n v="2367"/>
    <n v="0"/>
    <x v="4"/>
    <x v="1"/>
    <x v="1"/>
    <n v="0"/>
    <n v="0"/>
    <n v="11500"/>
    <n v="35822"/>
    <m/>
  </r>
  <r>
    <x v="2"/>
    <x v="0"/>
    <x v="2"/>
    <n v="3236"/>
    <n v="1"/>
    <x v="0"/>
    <x v="0"/>
    <x v="0"/>
    <n v="1236"/>
    <n v="1236"/>
    <n v="0"/>
    <n v="0"/>
    <m/>
  </r>
  <r>
    <x v="2"/>
    <x v="0"/>
    <x v="2"/>
    <n v="2638"/>
    <n v="0"/>
    <x v="9"/>
    <x v="0"/>
    <x v="0"/>
    <n v="0"/>
    <n v="0"/>
    <n v="0"/>
    <n v="0"/>
    <m/>
  </r>
  <r>
    <x v="2"/>
    <x v="0"/>
    <x v="2"/>
    <n v="2603"/>
    <n v="0"/>
    <x v="2"/>
    <x v="4"/>
    <x v="2"/>
    <n v="0"/>
    <n v="8000"/>
    <n v="0"/>
    <n v="3200"/>
    <m/>
  </r>
  <r>
    <x v="2"/>
    <x v="0"/>
    <x v="2"/>
    <n v="2600"/>
    <n v="2"/>
    <x v="0"/>
    <x v="0"/>
    <x v="0"/>
    <n v="3916"/>
    <n v="3916"/>
    <n v="0"/>
    <n v="0"/>
    <m/>
  </r>
  <r>
    <x v="2"/>
    <x v="0"/>
    <x v="2"/>
    <n v="2913"/>
    <n v="0"/>
    <x v="0"/>
    <x v="0"/>
    <x v="0"/>
    <n v="3789"/>
    <n v="3789"/>
    <n v="0"/>
    <n v="0"/>
    <m/>
  </r>
  <r>
    <x v="2"/>
    <x v="0"/>
    <x v="2"/>
    <n v="2460"/>
    <n v="1"/>
    <x v="2"/>
    <x v="4"/>
    <x v="2"/>
    <n v="0"/>
    <n v="8000"/>
    <n v="0"/>
    <n v="3200"/>
    <m/>
  </r>
  <r>
    <x v="9"/>
    <x v="0"/>
    <x v="7"/>
    <n v="2498"/>
    <n v="2"/>
    <x v="5"/>
    <x v="3"/>
    <x v="3"/>
    <n v="0"/>
    <n v="0"/>
    <n v="0"/>
    <n v="0"/>
    <m/>
  </r>
  <r>
    <x v="9"/>
    <x v="0"/>
    <x v="6"/>
    <n v="2073"/>
    <n v="0"/>
    <x v="5"/>
    <x v="1"/>
    <x v="4"/>
    <n v="0"/>
    <n v="0"/>
    <n v="0"/>
    <n v="0"/>
    <m/>
  </r>
  <r>
    <x v="9"/>
    <x v="0"/>
    <x v="6"/>
    <n v="2143"/>
    <n v="0"/>
    <x v="5"/>
    <x v="3"/>
    <x v="3"/>
    <n v="0"/>
    <n v="0"/>
    <n v="0"/>
    <n v="0"/>
    <m/>
  </r>
  <r>
    <x v="9"/>
    <x v="0"/>
    <x v="6"/>
    <n v="1852"/>
    <n v="1"/>
    <x v="5"/>
    <x v="1"/>
    <x v="4"/>
    <n v="0"/>
    <n v="0"/>
    <n v="0"/>
    <n v="0"/>
    <m/>
  </r>
  <r>
    <x v="9"/>
    <x v="0"/>
    <x v="6"/>
    <n v="2417"/>
    <n v="0"/>
    <x v="8"/>
    <x v="1"/>
    <x v="5"/>
    <n v="0"/>
    <n v="0"/>
    <n v="862.5"/>
    <n v="895.55"/>
    <m/>
  </r>
  <r>
    <x v="9"/>
    <x v="0"/>
    <x v="7"/>
    <n v="2146"/>
    <n v="0"/>
    <x v="5"/>
    <x v="2"/>
    <x v="4"/>
    <n v="0"/>
    <n v="0"/>
    <n v="0"/>
    <n v="0"/>
    <m/>
  </r>
  <r>
    <x v="9"/>
    <x v="0"/>
    <x v="7"/>
    <n v="2968"/>
    <n v="0"/>
    <x v="2"/>
    <x v="4"/>
    <x v="2"/>
    <n v="0"/>
    <n v="8000"/>
    <n v="0"/>
    <n v="3200"/>
    <m/>
  </r>
  <r>
    <x v="9"/>
    <x v="0"/>
    <x v="7"/>
    <n v="2237"/>
    <n v="0"/>
    <x v="2"/>
    <x v="4"/>
    <x v="2"/>
    <n v="0"/>
    <n v="8000"/>
    <n v="0"/>
    <n v="3200"/>
    <m/>
  </r>
  <r>
    <x v="9"/>
    <x v="0"/>
    <x v="7"/>
    <n v="2223"/>
    <n v="1"/>
    <x v="5"/>
    <x v="5"/>
    <x v="3"/>
    <n v="0"/>
    <n v="0"/>
    <n v="0"/>
    <n v="0"/>
    <m/>
  </r>
  <r>
    <x v="9"/>
    <x v="0"/>
    <x v="7"/>
    <n v="2246"/>
    <n v="2"/>
    <x v="2"/>
    <x v="4"/>
    <x v="2"/>
    <n v="0"/>
    <n v="8000"/>
    <n v="0"/>
    <n v="3200"/>
    <m/>
  </r>
  <r>
    <x v="9"/>
    <x v="0"/>
    <x v="7"/>
    <n v="1945"/>
    <n v="0"/>
    <x v="2"/>
    <x v="4"/>
    <x v="2"/>
    <n v="0"/>
    <n v="8000"/>
    <n v="0"/>
    <n v="3200"/>
    <m/>
  </r>
  <r>
    <x v="9"/>
    <x v="0"/>
    <x v="7"/>
    <n v="2404"/>
    <n v="1"/>
    <x v="5"/>
    <x v="4"/>
    <x v="3"/>
    <n v="0"/>
    <n v="0"/>
    <n v="0"/>
    <n v="0"/>
    <m/>
  </r>
  <r>
    <x v="9"/>
    <x v="0"/>
    <x v="7"/>
    <n v="3017"/>
    <n v="1"/>
    <x v="5"/>
    <x v="4"/>
    <x v="3"/>
    <n v="0"/>
    <n v="0"/>
    <n v="0"/>
    <n v="0"/>
    <m/>
  </r>
  <r>
    <x v="9"/>
    <x v="0"/>
    <x v="7"/>
    <n v="2175"/>
    <n v="0"/>
    <x v="9"/>
    <x v="1"/>
    <x v="0"/>
    <n v="0"/>
    <n v="0"/>
    <n v="0"/>
    <n v="0"/>
    <m/>
  </r>
  <r>
    <x v="9"/>
    <x v="0"/>
    <x v="7"/>
    <n v="2276"/>
    <n v="0"/>
    <x v="5"/>
    <x v="4"/>
    <x v="3"/>
    <n v="0"/>
    <n v="0"/>
    <n v="0"/>
    <n v="0"/>
    <m/>
  </r>
  <r>
    <x v="9"/>
    <x v="0"/>
    <x v="7"/>
    <n v="2576"/>
    <n v="3"/>
    <x v="5"/>
    <x v="4"/>
    <x v="3"/>
    <n v="0"/>
    <n v="0"/>
    <n v="0"/>
    <n v="0"/>
    <m/>
  </r>
  <r>
    <x v="9"/>
    <x v="0"/>
    <x v="7"/>
    <n v="2058"/>
    <n v="1"/>
    <x v="5"/>
    <x v="5"/>
    <x v="3"/>
    <n v="0"/>
    <n v="0"/>
    <n v="0"/>
    <n v="0"/>
    <m/>
  </r>
  <r>
    <x v="9"/>
    <x v="0"/>
    <x v="7"/>
    <n v="2086"/>
    <n v="1"/>
    <x v="2"/>
    <x v="4"/>
    <x v="2"/>
    <n v="0"/>
    <n v="8000"/>
    <n v="0"/>
    <n v="3200"/>
    <m/>
  </r>
  <r>
    <x v="9"/>
    <x v="0"/>
    <x v="7"/>
    <n v="2586"/>
    <n v="3"/>
    <x v="2"/>
    <x v="4"/>
    <x v="2"/>
    <n v="0"/>
    <n v="8000"/>
    <n v="0"/>
    <n v="3200"/>
    <m/>
  </r>
  <r>
    <x v="9"/>
    <x v="0"/>
    <x v="7"/>
    <n v="2500"/>
    <n v="1"/>
    <x v="2"/>
    <x v="5"/>
    <x v="2"/>
    <n v="0"/>
    <n v="10000"/>
    <n v="0"/>
    <n v="4000"/>
    <m/>
  </r>
  <r>
    <x v="9"/>
    <x v="0"/>
    <x v="7"/>
    <n v="2526"/>
    <n v="0"/>
    <x v="5"/>
    <x v="1"/>
    <x v="6"/>
    <n v="0"/>
    <n v="0"/>
    <n v="0"/>
    <n v="0"/>
    <m/>
  </r>
  <r>
    <x v="9"/>
    <x v="0"/>
    <x v="7"/>
    <n v="2483"/>
    <n v="3"/>
    <x v="5"/>
    <x v="1"/>
    <x v="6"/>
    <n v="0"/>
    <n v="0"/>
    <n v="0"/>
    <n v="0"/>
    <m/>
  </r>
  <r>
    <x v="9"/>
    <x v="0"/>
    <x v="7"/>
    <n v="2491"/>
    <n v="0"/>
    <x v="11"/>
    <x v="6"/>
    <x v="5"/>
    <n v="0"/>
    <n v="0"/>
    <n v="0"/>
    <n v="0"/>
    <m/>
  </r>
  <r>
    <x v="9"/>
    <x v="0"/>
    <x v="7"/>
    <n v="2730"/>
    <n v="0"/>
    <x v="2"/>
    <x v="4"/>
    <x v="2"/>
    <n v="0"/>
    <n v="8000"/>
    <n v="0"/>
    <n v="3200"/>
    <m/>
  </r>
  <r>
    <x v="9"/>
    <x v="0"/>
    <x v="7"/>
    <n v="2671"/>
    <n v="2"/>
    <x v="5"/>
    <x v="4"/>
    <x v="3"/>
    <n v="0"/>
    <n v="0"/>
    <n v="0"/>
    <n v="0"/>
    <m/>
  </r>
  <r>
    <x v="9"/>
    <x v="0"/>
    <x v="7"/>
    <n v="2186"/>
    <n v="1"/>
    <x v="12"/>
    <x v="1"/>
    <x v="2"/>
    <n v="0"/>
    <n v="0"/>
    <n v="0"/>
    <n v="0"/>
    <m/>
  </r>
  <r>
    <x v="9"/>
    <x v="0"/>
    <x v="7"/>
    <n v="2316"/>
    <n v="0"/>
    <x v="5"/>
    <x v="3"/>
    <x v="3"/>
    <n v="0"/>
    <n v="0"/>
    <n v="0"/>
    <n v="0"/>
    <m/>
  </r>
  <r>
    <x v="9"/>
    <x v="0"/>
    <x v="7"/>
    <n v="2046"/>
    <n v="1"/>
    <x v="5"/>
    <x v="4"/>
    <x v="3"/>
    <n v="0"/>
    <n v="0"/>
    <n v="0"/>
    <n v="0"/>
    <m/>
  </r>
  <r>
    <x v="9"/>
    <x v="0"/>
    <x v="7"/>
    <n v="2303"/>
    <n v="3"/>
    <x v="5"/>
    <x v="1"/>
    <x v="4"/>
    <n v="0"/>
    <n v="0"/>
    <n v="0"/>
    <n v="0"/>
    <m/>
  </r>
  <r>
    <x v="9"/>
    <x v="0"/>
    <x v="7"/>
    <n v="2396"/>
    <n v="1"/>
    <x v="5"/>
    <x v="1"/>
    <x v="4"/>
    <n v="0"/>
    <n v="0"/>
    <n v="0"/>
    <n v="0"/>
    <m/>
  </r>
  <r>
    <x v="9"/>
    <x v="0"/>
    <x v="7"/>
    <n v="2325"/>
    <n v="1"/>
    <x v="5"/>
    <x v="2"/>
    <x v="6"/>
    <n v="0"/>
    <n v="0"/>
    <n v="0"/>
    <n v="0"/>
    <m/>
  </r>
  <r>
    <x v="9"/>
    <x v="0"/>
    <x v="7"/>
    <n v="2398"/>
    <n v="1"/>
    <x v="5"/>
    <x v="3"/>
    <x v="3"/>
    <n v="0"/>
    <n v="0"/>
    <n v="0"/>
    <n v="0"/>
    <m/>
  </r>
  <r>
    <x v="9"/>
    <x v="0"/>
    <x v="7"/>
    <n v="2668"/>
    <n v="0"/>
    <x v="5"/>
    <x v="3"/>
    <x v="6"/>
    <n v="0"/>
    <n v="0"/>
    <n v="0"/>
    <n v="0"/>
    <m/>
  </r>
  <r>
    <x v="3"/>
    <x v="0"/>
    <x v="6"/>
    <n v="3002"/>
    <n v="2"/>
    <x v="3"/>
    <x v="2"/>
    <x v="4"/>
    <n v="0"/>
    <n v="0"/>
    <n v="0"/>
    <n v="0"/>
    <m/>
  </r>
  <r>
    <x v="3"/>
    <x v="0"/>
    <x v="6"/>
    <n v="2021"/>
    <n v="1"/>
    <x v="3"/>
    <x v="1"/>
    <x v="4"/>
    <n v="0"/>
    <n v="0"/>
    <n v="0"/>
    <n v="0"/>
    <m/>
  </r>
  <r>
    <x v="3"/>
    <x v="0"/>
    <x v="6"/>
    <n v="2168"/>
    <n v="0"/>
    <x v="3"/>
    <x v="4"/>
    <x v="3"/>
    <n v="0"/>
    <n v="0"/>
    <n v="0"/>
    <n v="0"/>
    <m/>
  </r>
  <r>
    <x v="3"/>
    <x v="0"/>
    <x v="6"/>
    <n v="2540"/>
    <n v="3"/>
    <x v="3"/>
    <x v="1"/>
    <x v="4"/>
    <n v="0"/>
    <n v="0"/>
    <n v="0"/>
    <n v="0"/>
    <m/>
  </r>
  <r>
    <x v="3"/>
    <x v="0"/>
    <x v="6"/>
    <n v="2251"/>
    <n v="1"/>
    <x v="3"/>
    <x v="1"/>
    <x v="4"/>
    <n v="0"/>
    <n v="0"/>
    <n v="0"/>
    <n v="0"/>
    <m/>
  </r>
  <r>
    <x v="3"/>
    <x v="0"/>
    <x v="6"/>
    <n v="2591"/>
    <n v="1"/>
    <x v="3"/>
    <x v="4"/>
    <x v="3"/>
    <n v="0"/>
    <n v="0"/>
    <n v="0"/>
    <n v="0"/>
    <m/>
  </r>
  <r>
    <x v="3"/>
    <x v="0"/>
    <x v="6"/>
    <n v="2238"/>
    <n v="1"/>
    <x v="3"/>
    <x v="3"/>
    <x v="4"/>
    <n v="0"/>
    <n v="0"/>
    <n v="0"/>
    <n v="0"/>
    <m/>
  </r>
  <r>
    <x v="3"/>
    <x v="0"/>
    <x v="6"/>
    <n v="2506"/>
    <n v="0"/>
    <x v="3"/>
    <x v="3"/>
    <x v="4"/>
    <n v="0"/>
    <n v="0"/>
    <n v="0"/>
    <n v="0"/>
    <m/>
  </r>
  <r>
    <x v="3"/>
    <x v="0"/>
    <x v="6"/>
    <n v="2339"/>
    <n v="0"/>
    <x v="3"/>
    <x v="4"/>
    <x v="3"/>
    <n v="0"/>
    <n v="0"/>
    <n v="0"/>
    <n v="0"/>
    <m/>
  </r>
  <r>
    <x v="3"/>
    <x v="0"/>
    <x v="6"/>
    <n v="2207"/>
    <n v="1"/>
    <x v="3"/>
    <x v="3"/>
    <x v="3"/>
    <n v="0"/>
    <n v="0"/>
    <n v="0"/>
    <n v="0"/>
    <m/>
  </r>
  <r>
    <x v="3"/>
    <x v="0"/>
    <x v="6"/>
    <n v="1988"/>
    <n v="0"/>
    <x v="5"/>
    <x v="3"/>
    <x v="3"/>
    <n v="0"/>
    <n v="0"/>
    <n v="0"/>
    <n v="0"/>
    <m/>
  </r>
  <r>
    <x v="3"/>
    <x v="0"/>
    <x v="6"/>
    <n v="2659"/>
    <n v="0"/>
    <x v="3"/>
    <x v="5"/>
    <x v="3"/>
    <n v="0"/>
    <n v="0"/>
    <n v="0"/>
    <n v="0"/>
    <m/>
  </r>
  <r>
    <x v="3"/>
    <x v="0"/>
    <x v="6"/>
    <n v="2237"/>
    <n v="0"/>
    <x v="2"/>
    <x v="4"/>
    <x v="2"/>
    <n v="0"/>
    <n v="8000"/>
    <n v="0"/>
    <n v="3200"/>
    <m/>
  </r>
  <r>
    <x v="3"/>
    <x v="0"/>
    <x v="6"/>
    <n v="2137"/>
    <n v="1"/>
    <x v="9"/>
    <x v="1"/>
    <x v="0"/>
    <n v="0"/>
    <n v="0"/>
    <n v="0"/>
    <n v="0"/>
    <m/>
  </r>
  <r>
    <x v="3"/>
    <x v="0"/>
    <x v="6"/>
    <n v="2588"/>
    <n v="1"/>
    <x v="3"/>
    <x v="3"/>
    <x v="3"/>
    <n v="0"/>
    <n v="0"/>
    <n v="0"/>
    <n v="0"/>
    <m/>
  </r>
  <r>
    <x v="3"/>
    <x v="0"/>
    <x v="6"/>
    <n v="2248"/>
    <n v="1"/>
    <x v="3"/>
    <x v="2"/>
    <x v="6"/>
    <n v="0"/>
    <n v="0"/>
    <n v="0"/>
    <n v="0"/>
    <m/>
  </r>
  <r>
    <x v="2"/>
    <x v="0"/>
    <x v="2"/>
    <n v="2097"/>
    <n v="2"/>
    <x v="13"/>
    <x v="1"/>
    <x v="7"/>
    <n v="3307"/>
    <n v="3307"/>
    <n v="0"/>
    <n v="0"/>
    <m/>
  </r>
  <r>
    <x v="1"/>
    <x v="1"/>
    <x v="8"/>
    <n v="707"/>
    <n v="1"/>
    <x v="0"/>
    <x v="0"/>
    <x v="0"/>
    <n v="1824"/>
    <n v="1824"/>
    <n v="0"/>
    <n v="0"/>
    <m/>
  </r>
  <r>
    <x v="1"/>
    <x v="1"/>
    <x v="8"/>
    <n v="1504"/>
    <n v="1"/>
    <x v="1"/>
    <x v="1"/>
    <x v="1"/>
    <n v="0"/>
    <n v="0"/>
    <n v="11500"/>
    <n v="0"/>
    <m/>
  </r>
  <r>
    <x v="1"/>
    <x v="1"/>
    <x v="8"/>
    <n v="1442"/>
    <n v="1"/>
    <x v="1"/>
    <x v="1"/>
    <x v="1"/>
    <n v="0"/>
    <n v="0"/>
    <n v="11500"/>
    <n v="0"/>
    <m/>
  </r>
  <r>
    <x v="1"/>
    <x v="1"/>
    <x v="8"/>
    <n v="1510"/>
    <n v="0"/>
    <x v="0"/>
    <x v="0"/>
    <x v="0"/>
    <n v="1824"/>
    <n v="1824"/>
    <n v="0"/>
    <n v="0"/>
    <m/>
  </r>
  <r>
    <x v="1"/>
    <x v="1"/>
    <x v="8"/>
    <n v="1606"/>
    <n v="0"/>
    <x v="2"/>
    <x v="2"/>
    <x v="2"/>
    <n v="0"/>
    <n v="4000"/>
    <n v="0"/>
    <n v="1600"/>
    <m/>
  </r>
  <r>
    <x v="1"/>
    <x v="1"/>
    <x v="8"/>
    <n v="1532"/>
    <n v="1"/>
    <x v="2"/>
    <x v="2"/>
    <x v="2"/>
    <n v="0"/>
    <n v="4000"/>
    <n v="0"/>
    <n v="1600"/>
    <m/>
  </r>
  <r>
    <x v="1"/>
    <x v="1"/>
    <x v="8"/>
    <n v="1918"/>
    <n v="0"/>
    <x v="0"/>
    <x v="0"/>
    <x v="0"/>
    <n v="1824"/>
    <n v="1824"/>
    <n v="0"/>
    <n v="0"/>
    <m/>
  </r>
  <r>
    <x v="1"/>
    <x v="1"/>
    <x v="8"/>
    <n v="2175"/>
    <n v="2"/>
    <x v="2"/>
    <x v="2"/>
    <x v="2"/>
    <n v="0"/>
    <n v="4000"/>
    <n v="0"/>
    <n v="1600"/>
    <m/>
  </r>
  <r>
    <x v="1"/>
    <x v="1"/>
    <x v="8"/>
    <n v="1952"/>
    <n v="2"/>
    <x v="0"/>
    <x v="0"/>
    <x v="0"/>
    <n v="3182"/>
    <n v="3182"/>
    <n v="0"/>
    <n v="0"/>
    <m/>
  </r>
  <r>
    <x v="1"/>
    <x v="1"/>
    <x v="8"/>
    <n v="2050"/>
    <n v="0"/>
    <x v="0"/>
    <x v="0"/>
    <x v="0"/>
    <n v="3427"/>
    <n v="3427"/>
    <n v="0"/>
    <n v="0"/>
    <m/>
  </r>
  <r>
    <x v="1"/>
    <x v="1"/>
    <x v="8"/>
    <n v="1235"/>
    <n v="0"/>
    <x v="0"/>
    <x v="0"/>
    <x v="0"/>
    <n v="1824"/>
    <n v="1824"/>
    <n v="0"/>
    <n v="0"/>
    <m/>
  </r>
  <r>
    <x v="1"/>
    <x v="1"/>
    <x v="8"/>
    <n v="1960"/>
    <n v="0"/>
    <x v="0"/>
    <x v="0"/>
    <x v="0"/>
    <n v="1824"/>
    <n v="1824"/>
    <n v="0"/>
    <n v="0"/>
    <m/>
  </r>
  <r>
    <x v="1"/>
    <x v="1"/>
    <x v="8"/>
    <n v="1632"/>
    <n v="0"/>
    <x v="0"/>
    <x v="0"/>
    <x v="0"/>
    <n v="1824"/>
    <n v="1824"/>
    <n v="0"/>
    <n v="0"/>
    <m/>
  </r>
  <r>
    <x v="1"/>
    <x v="1"/>
    <x v="8"/>
    <n v="1128"/>
    <n v="0"/>
    <x v="0"/>
    <x v="0"/>
    <x v="0"/>
    <n v="1824"/>
    <n v="1824"/>
    <n v="0"/>
    <n v="0"/>
    <m/>
  </r>
  <r>
    <x v="1"/>
    <x v="1"/>
    <x v="8"/>
    <n v="1864"/>
    <n v="1"/>
    <x v="2"/>
    <x v="2"/>
    <x v="2"/>
    <n v="0"/>
    <n v="4000"/>
    <n v="0"/>
    <n v="1600"/>
    <m/>
  </r>
  <r>
    <x v="1"/>
    <x v="1"/>
    <x v="8"/>
    <n v="1372"/>
    <n v="0"/>
    <x v="0"/>
    <x v="0"/>
    <x v="0"/>
    <n v="2280"/>
    <n v="2280"/>
    <n v="0"/>
    <n v="0"/>
    <m/>
  </r>
  <r>
    <x v="1"/>
    <x v="1"/>
    <x v="8"/>
    <n v="1560"/>
    <n v="3"/>
    <x v="0"/>
    <x v="0"/>
    <x v="0"/>
    <n v="1824"/>
    <n v="1824"/>
    <n v="0"/>
    <n v="0"/>
    <m/>
  </r>
  <r>
    <x v="1"/>
    <x v="1"/>
    <x v="8"/>
    <n v="971"/>
    <n v="1"/>
    <x v="0"/>
    <x v="0"/>
    <x v="0"/>
    <n v="1824"/>
    <n v="1824"/>
    <n v="0"/>
    <n v="0"/>
    <m/>
  </r>
  <r>
    <x v="1"/>
    <x v="1"/>
    <x v="8"/>
    <n v="1750"/>
    <n v="2"/>
    <x v="0"/>
    <x v="0"/>
    <x v="0"/>
    <n v="2128"/>
    <n v="2128"/>
    <n v="0"/>
    <n v="0"/>
    <m/>
  </r>
  <r>
    <x v="1"/>
    <x v="1"/>
    <x v="8"/>
    <n v="586"/>
    <n v="1"/>
    <x v="1"/>
    <x v="1"/>
    <x v="1"/>
    <n v="0"/>
    <n v="0"/>
    <n v="11500"/>
    <n v="0"/>
    <m/>
  </r>
  <r>
    <x v="1"/>
    <x v="1"/>
    <x v="8"/>
    <n v="1287"/>
    <n v="4"/>
    <x v="2"/>
    <x v="2"/>
    <x v="2"/>
    <n v="0"/>
    <n v="4000"/>
    <n v="0"/>
    <n v="1600"/>
    <m/>
  </r>
  <r>
    <x v="1"/>
    <x v="1"/>
    <x v="8"/>
    <n v="1485"/>
    <n v="1"/>
    <x v="2"/>
    <x v="2"/>
    <x v="2"/>
    <n v="0"/>
    <n v="4000"/>
    <n v="0"/>
    <n v="1600"/>
    <m/>
  </r>
  <r>
    <x v="1"/>
    <x v="1"/>
    <x v="8"/>
    <n v="2328"/>
    <n v="2"/>
    <x v="0"/>
    <x v="0"/>
    <x v="0"/>
    <n v="1824"/>
    <n v="1824"/>
    <n v="0"/>
    <n v="0"/>
    <m/>
  </r>
  <r>
    <x v="1"/>
    <x v="1"/>
    <x v="8"/>
    <n v="1784"/>
    <n v="1"/>
    <x v="2"/>
    <x v="2"/>
    <x v="2"/>
    <n v="0"/>
    <n v="4000"/>
    <n v="0"/>
    <n v="1600"/>
    <m/>
  </r>
  <r>
    <x v="1"/>
    <x v="1"/>
    <x v="8"/>
    <n v="2122"/>
    <n v="2"/>
    <x v="0"/>
    <x v="0"/>
    <x v="0"/>
    <n v="1976"/>
    <n v="1976"/>
    <n v="0"/>
    <n v="0"/>
    <m/>
  </r>
  <r>
    <x v="1"/>
    <x v="1"/>
    <x v="8"/>
    <n v="1311"/>
    <n v="0"/>
    <x v="0"/>
    <x v="0"/>
    <x v="0"/>
    <n v="1824"/>
    <n v="1824"/>
    <n v="0"/>
    <n v="0"/>
    <m/>
  </r>
  <r>
    <x v="1"/>
    <x v="1"/>
    <x v="8"/>
    <n v="1185"/>
    <n v="0"/>
    <x v="1"/>
    <x v="1"/>
    <x v="1"/>
    <n v="0"/>
    <n v="0"/>
    <n v="11500"/>
    <n v="0"/>
    <m/>
  </r>
  <r>
    <x v="1"/>
    <x v="1"/>
    <x v="8"/>
    <n v="1211"/>
    <n v="1"/>
    <x v="0"/>
    <x v="0"/>
    <x v="0"/>
    <n v="2937"/>
    <n v="2937"/>
    <n v="0"/>
    <n v="0"/>
    <m/>
  </r>
  <r>
    <x v="1"/>
    <x v="1"/>
    <x v="8"/>
    <n v="1078"/>
    <n v="1"/>
    <x v="0"/>
    <x v="0"/>
    <x v="0"/>
    <n v="1824"/>
    <n v="1824"/>
    <n v="0"/>
    <n v="0"/>
    <m/>
  </r>
  <r>
    <x v="1"/>
    <x v="1"/>
    <x v="8"/>
    <n v="1832"/>
    <n v="1"/>
    <x v="0"/>
    <x v="0"/>
    <x v="0"/>
    <n v="1824"/>
    <n v="1824"/>
    <n v="0"/>
    <n v="0"/>
    <m/>
  </r>
  <r>
    <x v="1"/>
    <x v="1"/>
    <x v="8"/>
    <n v="1974"/>
    <n v="1"/>
    <x v="0"/>
    <x v="0"/>
    <x v="0"/>
    <n v="3427"/>
    <n v="3427"/>
    <n v="0"/>
    <n v="0"/>
    <m/>
  </r>
  <r>
    <x v="0"/>
    <x v="2"/>
    <x v="1"/>
    <n v="1628"/>
    <n v="2"/>
    <x v="0"/>
    <x v="0"/>
    <x v="0"/>
    <n v="1159"/>
    <n v="1159"/>
    <n v="0"/>
    <n v="0"/>
    <m/>
  </r>
  <r>
    <x v="0"/>
    <x v="2"/>
    <x v="1"/>
    <n v="1636"/>
    <n v="2"/>
    <x v="0"/>
    <x v="0"/>
    <x v="0"/>
    <n v="1159"/>
    <n v="1159"/>
    <n v="0"/>
    <n v="0"/>
    <m/>
  </r>
  <r>
    <x v="0"/>
    <x v="2"/>
    <x v="1"/>
    <n v="2219"/>
    <n v="0"/>
    <x v="0"/>
    <x v="0"/>
    <x v="0"/>
    <n v="1159"/>
    <n v="1159"/>
    <n v="0"/>
    <n v="0"/>
    <m/>
  </r>
  <r>
    <x v="1"/>
    <x v="1"/>
    <x v="8"/>
    <n v="2000"/>
    <n v="2"/>
    <x v="2"/>
    <x v="2"/>
    <x v="2"/>
    <n v="0"/>
    <n v="4000"/>
    <n v="0"/>
    <n v="1600"/>
    <m/>
  </r>
  <r>
    <x v="1"/>
    <x v="1"/>
    <x v="8"/>
    <n v="1918"/>
    <n v="0"/>
    <x v="2"/>
    <x v="2"/>
    <x v="2"/>
    <n v="0"/>
    <n v="4000"/>
    <n v="0"/>
    <n v="1600"/>
    <m/>
  </r>
  <r>
    <x v="1"/>
    <x v="1"/>
    <x v="8"/>
    <n v="1961"/>
    <n v="1"/>
    <x v="2"/>
    <x v="2"/>
    <x v="2"/>
    <n v="0"/>
    <n v="4000"/>
    <n v="0"/>
    <n v="1600"/>
    <m/>
  </r>
  <r>
    <x v="1"/>
    <x v="1"/>
    <x v="8"/>
    <n v="1686"/>
    <n v="1"/>
    <x v="0"/>
    <x v="0"/>
    <x v="0"/>
    <n v="1824"/>
    <n v="1824"/>
    <n v="0"/>
    <n v="0"/>
    <m/>
  </r>
  <r>
    <x v="1"/>
    <x v="1"/>
    <x v="8"/>
    <n v="1336"/>
    <n v="1"/>
    <x v="0"/>
    <x v="0"/>
    <x v="0"/>
    <n v="1976"/>
    <n v="1976"/>
    <n v="0"/>
    <n v="0"/>
    <m/>
  </r>
  <r>
    <x v="1"/>
    <x v="1"/>
    <x v="8"/>
    <n v="2019"/>
    <n v="2"/>
    <x v="0"/>
    <x v="0"/>
    <x v="0"/>
    <n v="1976"/>
    <n v="1976"/>
    <n v="0"/>
    <n v="0"/>
    <m/>
  </r>
  <r>
    <x v="1"/>
    <x v="1"/>
    <x v="8"/>
    <n v="2327"/>
    <n v="1"/>
    <x v="0"/>
    <x v="0"/>
    <x v="0"/>
    <n v="1824"/>
    <n v="1824"/>
    <n v="0"/>
    <n v="0"/>
    <m/>
  </r>
  <r>
    <x v="1"/>
    <x v="1"/>
    <x v="8"/>
    <n v="1196"/>
    <n v="0"/>
    <x v="0"/>
    <x v="0"/>
    <x v="0"/>
    <n v="1824"/>
    <n v="1824"/>
    <n v="0"/>
    <n v="0"/>
    <m/>
  </r>
  <r>
    <x v="1"/>
    <x v="1"/>
    <x v="8"/>
    <n v="1637"/>
    <n v="0"/>
    <x v="0"/>
    <x v="0"/>
    <x v="0"/>
    <n v="2937"/>
    <n v="2937"/>
    <n v="0"/>
    <n v="0"/>
    <m/>
  </r>
  <r>
    <x v="1"/>
    <x v="1"/>
    <x v="8"/>
    <n v="1391"/>
    <n v="2"/>
    <x v="0"/>
    <x v="0"/>
    <x v="0"/>
    <n v="1824"/>
    <n v="1824"/>
    <n v="0"/>
    <n v="0"/>
    <m/>
  </r>
  <r>
    <x v="1"/>
    <x v="1"/>
    <x v="8"/>
    <n v="895"/>
    <n v="0"/>
    <x v="0"/>
    <x v="0"/>
    <x v="0"/>
    <n v="1824"/>
    <n v="1824"/>
    <n v="0"/>
    <n v="0"/>
    <m/>
  </r>
  <r>
    <x v="1"/>
    <x v="1"/>
    <x v="8"/>
    <n v="1297"/>
    <n v="0"/>
    <x v="0"/>
    <x v="0"/>
    <x v="0"/>
    <n v="1824"/>
    <n v="1824"/>
    <n v="0"/>
    <n v="0"/>
    <m/>
  </r>
  <r>
    <x v="1"/>
    <x v="1"/>
    <x v="8"/>
    <n v="1906"/>
    <n v="1"/>
    <x v="0"/>
    <x v="0"/>
    <x v="0"/>
    <n v="1824"/>
    <n v="1824"/>
    <n v="0"/>
    <n v="0"/>
    <m/>
  </r>
  <r>
    <x v="1"/>
    <x v="1"/>
    <x v="8"/>
    <n v="1554"/>
    <n v="0"/>
    <x v="0"/>
    <x v="0"/>
    <x v="0"/>
    <n v="2937"/>
    <n v="2937"/>
    <n v="0"/>
    <n v="0"/>
    <m/>
  </r>
  <r>
    <x v="1"/>
    <x v="1"/>
    <x v="8"/>
    <n v="1561"/>
    <n v="0"/>
    <x v="0"/>
    <x v="0"/>
    <x v="0"/>
    <n v="3182"/>
    <n v="3182"/>
    <n v="0"/>
    <n v="0"/>
    <m/>
  </r>
  <r>
    <x v="1"/>
    <x v="1"/>
    <x v="8"/>
    <n v="1059"/>
    <n v="0"/>
    <x v="0"/>
    <x v="0"/>
    <x v="0"/>
    <n v="2128"/>
    <n v="2128"/>
    <n v="0"/>
    <n v="0"/>
    <m/>
  </r>
  <r>
    <x v="1"/>
    <x v="1"/>
    <x v="8"/>
    <n v="1954"/>
    <n v="0"/>
    <x v="2"/>
    <x v="2"/>
    <x v="2"/>
    <n v="0"/>
    <n v="4000"/>
    <n v="0"/>
    <n v="1600"/>
    <m/>
  </r>
  <r>
    <x v="0"/>
    <x v="2"/>
    <x v="9"/>
    <n v="1836"/>
    <n v="1"/>
    <x v="0"/>
    <x v="0"/>
    <x v="0"/>
    <n v="1352"/>
    <n v="1352"/>
    <n v="0"/>
    <n v="0"/>
    <m/>
  </r>
  <r>
    <x v="0"/>
    <x v="2"/>
    <x v="9"/>
    <n v="1596"/>
    <n v="1"/>
    <x v="2"/>
    <x v="3"/>
    <x v="2"/>
    <n v="0"/>
    <n v="6000"/>
    <n v="0"/>
    <n v="2400"/>
    <m/>
  </r>
  <r>
    <x v="0"/>
    <x v="2"/>
    <x v="9"/>
    <n v="1249"/>
    <n v="1"/>
    <x v="0"/>
    <x v="0"/>
    <x v="0"/>
    <n v="1352"/>
    <n v="1352"/>
    <n v="0"/>
    <n v="0"/>
    <m/>
  </r>
  <r>
    <x v="0"/>
    <x v="2"/>
    <x v="9"/>
    <n v="1211"/>
    <n v="1"/>
    <x v="0"/>
    <x v="0"/>
    <x v="0"/>
    <n v="1352"/>
    <n v="1352"/>
    <n v="0"/>
    <n v="0"/>
    <m/>
  </r>
  <r>
    <x v="0"/>
    <x v="2"/>
    <x v="9"/>
    <n v="1264"/>
    <n v="2"/>
    <x v="0"/>
    <x v="0"/>
    <x v="0"/>
    <n v="2411"/>
    <n v="2411"/>
    <n v="0"/>
    <n v="0"/>
    <m/>
  </r>
  <r>
    <x v="0"/>
    <x v="2"/>
    <x v="9"/>
    <n v="2595"/>
    <n v="0"/>
    <x v="0"/>
    <x v="0"/>
    <x v="0"/>
    <n v="2067"/>
    <n v="2067"/>
    <n v="0"/>
    <n v="0"/>
    <m/>
  </r>
  <r>
    <x v="0"/>
    <x v="2"/>
    <x v="9"/>
    <n v="1424"/>
    <n v="2"/>
    <x v="0"/>
    <x v="0"/>
    <x v="0"/>
    <n v="1159"/>
    <n v="1159"/>
    <n v="0"/>
    <n v="0"/>
    <m/>
  </r>
  <r>
    <x v="0"/>
    <x v="2"/>
    <x v="9"/>
    <n v="1971"/>
    <n v="1"/>
    <x v="0"/>
    <x v="0"/>
    <x v="0"/>
    <n v="1159"/>
    <n v="1159"/>
    <n v="0"/>
    <n v="0"/>
    <m/>
  </r>
  <r>
    <x v="0"/>
    <x v="2"/>
    <x v="9"/>
    <n v="2145"/>
    <n v="0"/>
    <x v="0"/>
    <x v="0"/>
    <x v="0"/>
    <n v="2067"/>
    <n v="2067"/>
    <n v="0"/>
    <n v="0"/>
    <m/>
  </r>
  <r>
    <x v="0"/>
    <x v="2"/>
    <x v="9"/>
    <n v="2223"/>
    <n v="0"/>
    <x v="0"/>
    <x v="0"/>
    <x v="0"/>
    <n v="1546"/>
    <n v="1546"/>
    <n v="0"/>
    <n v="0"/>
    <m/>
  </r>
  <r>
    <x v="0"/>
    <x v="2"/>
    <x v="9"/>
    <n v="2364"/>
    <n v="1"/>
    <x v="0"/>
    <x v="0"/>
    <x v="0"/>
    <n v="1159"/>
    <n v="1159"/>
    <n v="0"/>
    <n v="0"/>
    <m/>
  </r>
  <r>
    <x v="0"/>
    <x v="2"/>
    <x v="9"/>
    <n v="781"/>
    <n v="0"/>
    <x v="0"/>
    <x v="0"/>
    <x v="0"/>
    <n v="2067"/>
    <n v="2067"/>
    <n v="0"/>
    <n v="0"/>
    <m/>
  </r>
  <r>
    <x v="0"/>
    <x v="2"/>
    <x v="9"/>
    <n v="904"/>
    <n v="2"/>
    <x v="2"/>
    <x v="3"/>
    <x v="2"/>
    <n v="0"/>
    <n v="6000"/>
    <n v="0"/>
    <n v="2400"/>
    <m/>
  </r>
  <r>
    <x v="0"/>
    <x v="2"/>
    <x v="9"/>
    <n v="1500"/>
    <n v="0"/>
    <x v="0"/>
    <x v="0"/>
    <x v="0"/>
    <n v="1159"/>
    <n v="1159"/>
    <n v="0"/>
    <n v="0"/>
    <m/>
  </r>
  <r>
    <x v="0"/>
    <x v="2"/>
    <x v="9"/>
    <n v="1071"/>
    <n v="0"/>
    <x v="0"/>
    <x v="0"/>
    <x v="0"/>
    <n v="1159"/>
    <n v="1159"/>
    <n v="0"/>
    <n v="0"/>
    <m/>
  </r>
  <r>
    <x v="0"/>
    <x v="2"/>
    <x v="9"/>
    <n v="1683"/>
    <n v="2"/>
    <x v="0"/>
    <x v="0"/>
    <x v="0"/>
    <n v="1159"/>
    <n v="1159"/>
    <n v="0"/>
    <n v="0"/>
    <m/>
  </r>
  <r>
    <x v="0"/>
    <x v="2"/>
    <x v="9"/>
    <n v="1102"/>
    <n v="0"/>
    <x v="0"/>
    <x v="0"/>
    <x v="0"/>
    <n v="1159"/>
    <n v="1159"/>
    <n v="0"/>
    <n v="0"/>
    <m/>
  </r>
  <r>
    <x v="0"/>
    <x v="2"/>
    <x v="9"/>
    <n v="1495"/>
    <n v="1"/>
    <x v="2"/>
    <x v="3"/>
    <x v="2"/>
    <n v="0"/>
    <n v="6000"/>
    <n v="0"/>
    <n v="2400"/>
    <n v="92"/>
  </r>
  <r>
    <x v="1"/>
    <x v="1"/>
    <x v="8"/>
    <n v="946"/>
    <n v="0"/>
    <x v="0"/>
    <x v="0"/>
    <x v="0"/>
    <n v="1824"/>
    <n v="1824"/>
    <n v="0"/>
    <n v="0"/>
    <m/>
  </r>
  <r>
    <x v="3"/>
    <x v="0"/>
    <x v="6"/>
    <n v="2381"/>
    <n v="2"/>
    <x v="3"/>
    <x v="4"/>
    <x v="3"/>
    <n v="0"/>
    <n v="0"/>
    <n v="0"/>
    <n v="0"/>
    <m/>
  </r>
  <r>
    <x v="3"/>
    <x v="0"/>
    <x v="6"/>
    <n v="2191"/>
    <n v="1"/>
    <x v="3"/>
    <x v="1"/>
    <x v="6"/>
    <n v="0"/>
    <n v="0"/>
    <n v="0"/>
    <n v="0"/>
    <m/>
  </r>
  <r>
    <x v="3"/>
    <x v="0"/>
    <x v="6"/>
    <n v="2209"/>
    <n v="0"/>
    <x v="3"/>
    <x v="1"/>
    <x v="4"/>
    <n v="0"/>
    <n v="0"/>
    <n v="0"/>
    <n v="0"/>
    <m/>
  </r>
  <r>
    <x v="3"/>
    <x v="0"/>
    <x v="6"/>
    <n v="2202"/>
    <n v="1"/>
    <x v="5"/>
    <x v="1"/>
    <x v="4"/>
    <n v="0"/>
    <n v="0"/>
    <n v="0"/>
    <n v="0"/>
    <m/>
  </r>
  <r>
    <x v="3"/>
    <x v="0"/>
    <x v="6"/>
    <n v="2118"/>
    <n v="0"/>
    <x v="2"/>
    <x v="4"/>
    <x v="2"/>
    <n v="0"/>
    <n v="8000"/>
    <n v="0"/>
    <n v="3200"/>
    <m/>
  </r>
  <r>
    <x v="3"/>
    <x v="0"/>
    <x v="6"/>
    <n v="2413"/>
    <n v="1"/>
    <x v="3"/>
    <x v="1"/>
    <x v="4"/>
    <n v="0"/>
    <n v="0"/>
    <n v="0"/>
    <n v="0"/>
    <m/>
  </r>
  <r>
    <x v="3"/>
    <x v="0"/>
    <x v="6"/>
    <n v="2546"/>
    <n v="2"/>
    <x v="2"/>
    <x v="4"/>
    <x v="2"/>
    <n v="0"/>
    <n v="8000"/>
    <n v="0"/>
    <n v="3200"/>
    <m/>
  </r>
  <r>
    <x v="3"/>
    <x v="0"/>
    <x v="6"/>
    <n v="1950"/>
    <n v="0"/>
    <x v="3"/>
    <x v="1"/>
    <x v="4"/>
    <n v="0"/>
    <n v="0"/>
    <n v="0"/>
    <n v="0"/>
    <m/>
  </r>
  <r>
    <x v="3"/>
    <x v="0"/>
    <x v="6"/>
    <n v="2444"/>
    <n v="1"/>
    <x v="3"/>
    <x v="5"/>
    <x v="3"/>
    <n v="0"/>
    <n v="0"/>
    <n v="0"/>
    <n v="0"/>
    <m/>
  </r>
  <r>
    <x v="3"/>
    <x v="0"/>
    <x v="6"/>
    <n v="2293"/>
    <n v="1"/>
    <x v="3"/>
    <x v="4"/>
    <x v="3"/>
    <n v="0"/>
    <n v="0"/>
    <n v="0"/>
    <n v="0"/>
    <m/>
  </r>
  <r>
    <x v="3"/>
    <x v="0"/>
    <x v="6"/>
    <n v="2100"/>
    <n v="0"/>
    <x v="3"/>
    <x v="2"/>
    <x v="4"/>
    <n v="0"/>
    <n v="0"/>
    <n v="0"/>
    <n v="0"/>
    <m/>
  </r>
  <r>
    <x v="3"/>
    <x v="0"/>
    <x v="6"/>
    <n v="2235"/>
    <n v="1"/>
    <x v="3"/>
    <x v="1"/>
    <x v="4"/>
    <n v="0"/>
    <n v="0"/>
    <n v="0"/>
    <n v="0"/>
    <m/>
  </r>
  <r>
    <x v="3"/>
    <x v="0"/>
    <x v="6"/>
    <n v="2213"/>
    <n v="0"/>
    <x v="3"/>
    <x v="3"/>
    <x v="3"/>
    <n v="0"/>
    <n v="0"/>
    <n v="0"/>
    <n v="0"/>
    <m/>
  </r>
  <r>
    <x v="3"/>
    <x v="0"/>
    <x v="6"/>
    <n v="2376"/>
    <n v="1"/>
    <x v="14"/>
    <x v="1"/>
    <x v="4"/>
    <n v="0"/>
    <n v="0"/>
    <n v="0"/>
    <n v="0"/>
    <m/>
  </r>
  <r>
    <x v="3"/>
    <x v="0"/>
    <x v="6"/>
    <n v="2190"/>
    <n v="0"/>
    <x v="14"/>
    <x v="2"/>
    <x v="4"/>
    <n v="0"/>
    <n v="0"/>
    <n v="0"/>
    <n v="0"/>
    <m/>
  </r>
  <r>
    <x v="3"/>
    <x v="0"/>
    <x v="6"/>
    <n v="2435"/>
    <n v="1"/>
    <x v="3"/>
    <x v="5"/>
    <x v="3"/>
    <n v="0"/>
    <n v="0"/>
    <n v="0"/>
    <n v="0"/>
    <m/>
  </r>
  <r>
    <x v="3"/>
    <x v="0"/>
    <x v="6"/>
    <n v="2777"/>
    <n v="0"/>
    <x v="4"/>
    <x v="1"/>
    <x v="1"/>
    <n v="0"/>
    <n v="0"/>
    <n v="11500"/>
    <n v="35822"/>
    <m/>
  </r>
  <r>
    <x v="3"/>
    <x v="0"/>
    <x v="6"/>
    <n v="2127"/>
    <n v="0"/>
    <x v="3"/>
    <x v="3"/>
    <x v="3"/>
    <n v="0"/>
    <n v="0"/>
    <n v="0"/>
    <n v="0"/>
    <m/>
  </r>
  <r>
    <x v="3"/>
    <x v="0"/>
    <x v="6"/>
    <n v="2217"/>
    <n v="1"/>
    <x v="3"/>
    <x v="4"/>
    <x v="3"/>
    <n v="0"/>
    <n v="0"/>
    <n v="0"/>
    <n v="0"/>
    <m/>
  </r>
  <r>
    <x v="3"/>
    <x v="0"/>
    <x v="6"/>
    <n v="2126"/>
    <n v="0"/>
    <x v="14"/>
    <x v="3"/>
    <x v="4"/>
    <n v="0"/>
    <n v="0"/>
    <n v="0"/>
    <n v="0"/>
    <m/>
  </r>
  <r>
    <x v="3"/>
    <x v="0"/>
    <x v="6"/>
    <n v="2061"/>
    <n v="0"/>
    <x v="3"/>
    <x v="5"/>
    <x v="3"/>
    <n v="0"/>
    <n v="0"/>
    <n v="0"/>
    <n v="0"/>
    <m/>
  </r>
  <r>
    <x v="3"/>
    <x v="0"/>
    <x v="6"/>
    <n v="1946"/>
    <n v="0"/>
    <x v="15"/>
    <x v="2"/>
    <x v="6"/>
    <n v="0"/>
    <n v="0"/>
    <n v="0"/>
    <n v="0"/>
    <m/>
  </r>
  <r>
    <x v="3"/>
    <x v="0"/>
    <x v="6"/>
    <n v="2497"/>
    <n v="1"/>
    <x v="3"/>
    <x v="5"/>
    <x v="3"/>
    <n v="0"/>
    <n v="0"/>
    <n v="0"/>
    <n v="0"/>
    <m/>
  </r>
  <r>
    <x v="3"/>
    <x v="0"/>
    <x v="6"/>
    <n v="1941"/>
    <n v="0"/>
    <x v="14"/>
    <x v="1"/>
    <x v="4"/>
    <n v="0"/>
    <n v="0"/>
    <n v="0"/>
    <n v="0"/>
    <m/>
  </r>
  <r>
    <x v="2"/>
    <x v="0"/>
    <x v="7"/>
    <n v="3681"/>
    <n v="1"/>
    <x v="13"/>
    <x v="1"/>
    <x v="7"/>
    <n v="3300"/>
    <n v="3300"/>
    <n v="0"/>
    <n v="0"/>
    <m/>
  </r>
  <r>
    <x v="5"/>
    <x v="1"/>
    <x v="0"/>
    <n v="830"/>
    <n v="0"/>
    <x v="0"/>
    <x v="0"/>
    <x v="0"/>
    <n v="1824"/>
    <n v="1824"/>
    <n v="0"/>
    <n v="0"/>
    <m/>
  </r>
  <r>
    <x v="5"/>
    <x v="1"/>
    <x v="0"/>
    <n v="1949"/>
    <n v="4"/>
    <x v="0"/>
    <x v="0"/>
    <x v="0"/>
    <n v="1824"/>
    <n v="1824"/>
    <n v="0"/>
    <n v="0"/>
    <m/>
  </r>
  <r>
    <x v="5"/>
    <x v="1"/>
    <x v="0"/>
    <n v="1975"/>
    <n v="1"/>
    <x v="0"/>
    <x v="0"/>
    <x v="0"/>
    <n v="1824"/>
    <n v="1824"/>
    <n v="0"/>
    <n v="0"/>
    <m/>
  </r>
  <r>
    <x v="5"/>
    <x v="1"/>
    <x v="0"/>
    <n v="1446"/>
    <n v="0"/>
    <x v="0"/>
    <x v="0"/>
    <x v="0"/>
    <n v="1824"/>
    <n v="1824"/>
    <n v="0"/>
    <n v="0"/>
    <m/>
  </r>
  <r>
    <x v="5"/>
    <x v="1"/>
    <x v="0"/>
    <n v="891"/>
    <n v="2"/>
    <x v="0"/>
    <x v="0"/>
    <x v="0"/>
    <n v="1824"/>
    <n v="1824"/>
    <n v="0"/>
    <n v="0"/>
    <m/>
  </r>
  <r>
    <x v="5"/>
    <x v="1"/>
    <x v="0"/>
    <n v="1724"/>
    <n v="1"/>
    <x v="0"/>
    <x v="0"/>
    <x v="0"/>
    <n v="2128"/>
    <n v="2128"/>
    <n v="0"/>
    <n v="0"/>
    <m/>
  </r>
  <r>
    <x v="5"/>
    <x v="1"/>
    <x v="0"/>
    <n v="1612"/>
    <n v="1"/>
    <x v="0"/>
    <x v="0"/>
    <x v="0"/>
    <n v="1824"/>
    <n v="1824"/>
    <n v="0"/>
    <n v="0"/>
    <m/>
  </r>
  <r>
    <x v="5"/>
    <x v="1"/>
    <x v="0"/>
    <n v="1367"/>
    <n v="1"/>
    <x v="0"/>
    <x v="0"/>
    <x v="0"/>
    <n v="1824"/>
    <n v="1824"/>
    <n v="0"/>
    <n v="0"/>
    <m/>
  </r>
  <r>
    <x v="5"/>
    <x v="1"/>
    <x v="0"/>
    <n v="1529"/>
    <n v="0"/>
    <x v="0"/>
    <x v="0"/>
    <x v="0"/>
    <n v="2937"/>
    <n v="2937"/>
    <n v="0"/>
    <n v="0"/>
    <m/>
  </r>
  <r>
    <x v="3"/>
    <x v="0"/>
    <x v="6"/>
    <n v="2489"/>
    <n v="0"/>
    <x v="2"/>
    <x v="4"/>
    <x v="2"/>
    <n v="0"/>
    <n v="8000"/>
    <n v="0"/>
    <n v="3200"/>
    <m/>
  </r>
  <r>
    <x v="3"/>
    <x v="0"/>
    <x v="6"/>
    <n v="2683"/>
    <n v="0"/>
    <x v="3"/>
    <x v="1"/>
    <x v="4"/>
    <n v="0"/>
    <n v="0"/>
    <n v="0"/>
    <n v="0"/>
    <m/>
  </r>
  <r>
    <x v="3"/>
    <x v="0"/>
    <x v="6"/>
    <n v="2361"/>
    <n v="3"/>
    <x v="3"/>
    <x v="1"/>
    <x v="6"/>
    <n v="0"/>
    <n v="0"/>
    <n v="0"/>
    <n v="0"/>
    <m/>
  </r>
  <r>
    <x v="3"/>
    <x v="0"/>
    <x v="6"/>
    <n v="2012"/>
    <n v="1"/>
    <x v="3"/>
    <x v="1"/>
    <x v="4"/>
    <n v="0"/>
    <n v="0"/>
    <n v="0"/>
    <n v="0"/>
    <m/>
  </r>
  <r>
    <x v="3"/>
    <x v="0"/>
    <x v="6"/>
    <n v="2525"/>
    <n v="0"/>
    <x v="14"/>
    <x v="1"/>
    <x v="4"/>
    <n v="0"/>
    <n v="0"/>
    <n v="0"/>
    <n v="0"/>
    <m/>
  </r>
  <r>
    <x v="3"/>
    <x v="0"/>
    <x v="6"/>
    <n v="2271"/>
    <n v="0"/>
    <x v="3"/>
    <x v="4"/>
    <x v="3"/>
    <n v="0"/>
    <n v="0"/>
    <n v="0"/>
    <n v="0"/>
    <m/>
  </r>
  <r>
    <x v="3"/>
    <x v="0"/>
    <x v="6"/>
    <n v="2602"/>
    <n v="1"/>
    <x v="15"/>
    <x v="1"/>
    <x v="6"/>
    <n v="0"/>
    <n v="0"/>
    <n v="0"/>
    <n v="0"/>
    <m/>
  </r>
  <r>
    <x v="3"/>
    <x v="0"/>
    <x v="6"/>
    <n v="2453"/>
    <n v="0"/>
    <x v="3"/>
    <x v="1"/>
    <x v="4"/>
    <n v="0"/>
    <n v="0"/>
    <n v="0"/>
    <n v="0"/>
    <m/>
  </r>
  <r>
    <x v="3"/>
    <x v="0"/>
    <x v="6"/>
    <n v="2244"/>
    <n v="0"/>
    <x v="3"/>
    <x v="5"/>
    <x v="3"/>
    <n v="0"/>
    <n v="0"/>
    <n v="0"/>
    <n v="0"/>
    <m/>
  </r>
  <r>
    <x v="3"/>
    <x v="0"/>
    <x v="6"/>
    <n v="2817"/>
    <n v="0"/>
    <x v="3"/>
    <x v="1"/>
    <x v="6"/>
    <n v="0"/>
    <n v="0"/>
    <n v="0"/>
    <n v="0"/>
    <m/>
  </r>
  <r>
    <x v="3"/>
    <x v="0"/>
    <x v="6"/>
    <n v="2234"/>
    <n v="1"/>
    <x v="3"/>
    <x v="3"/>
    <x v="3"/>
    <n v="0"/>
    <n v="0"/>
    <n v="0"/>
    <n v="0"/>
    <m/>
  </r>
  <r>
    <x v="3"/>
    <x v="0"/>
    <x v="6"/>
    <n v="2463"/>
    <n v="0"/>
    <x v="2"/>
    <x v="4"/>
    <x v="2"/>
    <n v="0"/>
    <n v="8000"/>
    <n v="0"/>
    <n v="3200"/>
    <m/>
  </r>
  <r>
    <x v="3"/>
    <x v="0"/>
    <x v="6"/>
    <n v="2474"/>
    <n v="0"/>
    <x v="3"/>
    <x v="5"/>
    <x v="3"/>
    <n v="0"/>
    <n v="0"/>
    <n v="0"/>
    <n v="0"/>
    <m/>
  </r>
  <r>
    <x v="3"/>
    <x v="0"/>
    <x v="6"/>
    <n v="2455"/>
    <n v="0"/>
    <x v="3"/>
    <x v="1"/>
    <x v="4"/>
    <n v="0"/>
    <n v="0"/>
    <n v="0"/>
    <n v="0"/>
    <m/>
  </r>
  <r>
    <x v="3"/>
    <x v="0"/>
    <x v="6"/>
    <n v="2373"/>
    <n v="1"/>
    <x v="3"/>
    <x v="1"/>
    <x v="6"/>
    <n v="0"/>
    <n v="0"/>
    <n v="0"/>
    <n v="0"/>
    <m/>
  </r>
  <r>
    <x v="3"/>
    <x v="0"/>
    <x v="6"/>
    <n v="2131"/>
    <n v="1"/>
    <x v="3"/>
    <x v="1"/>
    <x v="4"/>
    <n v="0"/>
    <n v="0"/>
    <n v="0"/>
    <n v="0"/>
    <m/>
  </r>
  <r>
    <x v="3"/>
    <x v="0"/>
    <x v="6"/>
    <n v="2300"/>
    <n v="0"/>
    <x v="2"/>
    <x v="4"/>
    <x v="2"/>
    <n v="0"/>
    <n v="8000"/>
    <n v="0"/>
    <n v="3200"/>
    <m/>
  </r>
  <r>
    <x v="3"/>
    <x v="0"/>
    <x v="6"/>
    <n v="2089"/>
    <n v="0"/>
    <x v="3"/>
    <x v="3"/>
    <x v="3"/>
    <n v="0"/>
    <n v="0"/>
    <n v="0"/>
    <n v="0"/>
    <m/>
  </r>
  <r>
    <x v="3"/>
    <x v="0"/>
    <x v="6"/>
    <n v="2291"/>
    <n v="1"/>
    <x v="3"/>
    <x v="4"/>
    <x v="3"/>
    <n v="0"/>
    <n v="0"/>
    <n v="0"/>
    <n v="0"/>
    <m/>
  </r>
  <r>
    <x v="7"/>
    <x v="0"/>
    <x v="6"/>
    <n v="2217"/>
    <n v="0"/>
    <x v="10"/>
    <x v="2"/>
    <x v="4"/>
    <n v="0"/>
    <n v="0"/>
    <n v="0"/>
    <n v="0"/>
    <m/>
  </r>
  <r>
    <x v="7"/>
    <x v="0"/>
    <x v="7"/>
    <n v="2635"/>
    <n v="0"/>
    <x v="2"/>
    <x v="5"/>
    <x v="2"/>
    <n v="0"/>
    <n v="10000"/>
    <n v="0"/>
    <n v="4000"/>
    <m/>
  </r>
  <r>
    <x v="7"/>
    <x v="0"/>
    <x v="7"/>
    <n v="2286"/>
    <n v="0"/>
    <x v="10"/>
    <x v="2"/>
    <x v="4"/>
    <n v="0"/>
    <n v="0"/>
    <n v="0"/>
    <n v="0"/>
    <m/>
  </r>
  <r>
    <x v="7"/>
    <x v="0"/>
    <x v="7"/>
    <n v="2828"/>
    <n v="0"/>
    <x v="10"/>
    <x v="1"/>
    <x v="4"/>
    <n v="0"/>
    <n v="0"/>
    <n v="0"/>
    <n v="0"/>
    <m/>
  </r>
  <r>
    <x v="7"/>
    <x v="0"/>
    <x v="10"/>
    <n v="2917"/>
    <n v="2"/>
    <x v="10"/>
    <x v="3"/>
    <x v="4"/>
    <n v="0"/>
    <n v="0"/>
    <n v="0"/>
    <n v="0"/>
    <m/>
  </r>
  <r>
    <x v="7"/>
    <x v="0"/>
    <x v="11"/>
    <n v="2771"/>
    <n v="0"/>
    <x v="10"/>
    <x v="1"/>
    <x v="4"/>
    <n v="0"/>
    <n v="0"/>
    <n v="0"/>
    <n v="0"/>
    <m/>
  </r>
  <r>
    <x v="7"/>
    <x v="0"/>
    <x v="11"/>
    <n v="3158"/>
    <n v="1"/>
    <x v="10"/>
    <x v="3"/>
    <x v="6"/>
    <n v="0"/>
    <n v="0"/>
    <n v="0"/>
    <n v="0"/>
    <m/>
  </r>
  <r>
    <x v="7"/>
    <x v="0"/>
    <x v="11"/>
    <n v="3080"/>
    <n v="0"/>
    <x v="10"/>
    <x v="5"/>
    <x v="3"/>
    <n v="0"/>
    <n v="0"/>
    <n v="0"/>
    <n v="0"/>
    <m/>
  </r>
  <r>
    <x v="7"/>
    <x v="0"/>
    <x v="11"/>
    <n v="3091"/>
    <n v="2"/>
    <x v="10"/>
    <x v="5"/>
    <x v="3"/>
    <n v="0"/>
    <n v="0"/>
    <n v="0"/>
    <n v="0"/>
    <m/>
  </r>
  <r>
    <x v="3"/>
    <x v="0"/>
    <x v="10"/>
    <n v="2945"/>
    <n v="1"/>
    <x v="3"/>
    <x v="2"/>
    <x v="6"/>
    <n v="0"/>
    <n v="0"/>
    <n v="0"/>
    <n v="0"/>
    <m/>
  </r>
  <r>
    <x v="3"/>
    <x v="0"/>
    <x v="10"/>
    <n v="2556"/>
    <n v="1"/>
    <x v="3"/>
    <x v="1"/>
    <x v="4"/>
    <n v="0"/>
    <n v="0"/>
    <n v="0"/>
    <n v="0"/>
    <m/>
  </r>
  <r>
    <x v="3"/>
    <x v="0"/>
    <x v="10"/>
    <n v="2925"/>
    <n v="0"/>
    <x v="3"/>
    <x v="5"/>
    <x v="3"/>
    <n v="0"/>
    <n v="0"/>
    <n v="0"/>
    <n v="0"/>
    <m/>
  </r>
  <r>
    <x v="3"/>
    <x v="0"/>
    <x v="10"/>
    <n v="2776"/>
    <n v="1"/>
    <x v="3"/>
    <x v="5"/>
    <x v="3"/>
    <n v="0"/>
    <n v="0"/>
    <n v="0"/>
    <n v="0"/>
    <m/>
  </r>
  <r>
    <x v="3"/>
    <x v="0"/>
    <x v="10"/>
    <n v="2669"/>
    <n v="0"/>
    <x v="3"/>
    <x v="1"/>
    <x v="4"/>
    <n v="0"/>
    <n v="0"/>
    <n v="0"/>
    <n v="0"/>
    <m/>
  </r>
  <r>
    <x v="3"/>
    <x v="0"/>
    <x v="10"/>
    <n v="2813"/>
    <n v="1"/>
    <x v="3"/>
    <x v="5"/>
    <x v="3"/>
    <n v="0"/>
    <n v="0"/>
    <n v="0"/>
    <n v="0"/>
    <m/>
  </r>
  <r>
    <x v="3"/>
    <x v="0"/>
    <x v="10"/>
    <n v="2871"/>
    <n v="0"/>
    <x v="3"/>
    <x v="2"/>
    <x v="4"/>
    <n v="0"/>
    <n v="0"/>
    <n v="0"/>
    <n v="0"/>
    <m/>
  </r>
  <r>
    <x v="3"/>
    <x v="0"/>
    <x v="10"/>
    <n v="2829"/>
    <n v="0"/>
    <x v="3"/>
    <x v="3"/>
    <x v="3"/>
    <n v="0"/>
    <n v="0"/>
    <n v="0"/>
    <n v="0"/>
    <m/>
  </r>
  <r>
    <x v="3"/>
    <x v="0"/>
    <x v="10"/>
    <n v="2312"/>
    <n v="1"/>
    <x v="4"/>
    <x v="1"/>
    <x v="1"/>
    <n v="0"/>
    <n v="0"/>
    <n v="11500"/>
    <n v="35822"/>
    <m/>
  </r>
  <r>
    <x v="2"/>
    <x v="0"/>
    <x v="7"/>
    <n v="3502"/>
    <n v="1"/>
    <x v="13"/>
    <x v="1"/>
    <x v="8"/>
    <n v="0"/>
    <n v="0"/>
    <n v="0"/>
    <n v="0"/>
    <m/>
  </r>
  <r>
    <x v="3"/>
    <x v="0"/>
    <x v="10"/>
    <n v="0"/>
    <n v="0"/>
    <x v="0"/>
    <x v="7"/>
    <x v="0"/>
    <n v="0"/>
    <n v="0"/>
    <n v="0"/>
    <n v="0"/>
    <s v="Y"/>
  </r>
  <r>
    <x v="3"/>
    <x v="0"/>
    <x v="10"/>
    <n v="2382"/>
    <n v="0"/>
    <x v="3"/>
    <x v="1"/>
    <x v="6"/>
    <n v="0"/>
    <n v="0"/>
    <n v="0"/>
    <n v="0"/>
    <m/>
  </r>
  <r>
    <x v="3"/>
    <x v="0"/>
    <x v="10"/>
    <n v="2958"/>
    <n v="0"/>
    <x v="4"/>
    <x v="1"/>
    <x v="1"/>
    <n v="0"/>
    <n v="0"/>
    <n v="11500"/>
    <n v="35822"/>
    <m/>
  </r>
  <r>
    <x v="3"/>
    <x v="0"/>
    <x v="10"/>
    <n v="2545"/>
    <n v="2"/>
    <x v="3"/>
    <x v="3"/>
    <x v="4"/>
    <n v="0"/>
    <n v="0"/>
    <n v="0"/>
    <n v="0"/>
    <m/>
  </r>
  <r>
    <x v="3"/>
    <x v="0"/>
    <x v="10"/>
    <n v="2649"/>
    <n v="3"/>
    <x v="5"/>
    <x v="2"/>
    <x v="4"/>
    <n v="0"/>
    <n v="0"/>
    <n v="0"/>
    <n v="0"/>
    <m/>
  </r>
  <r>
    <x v="3"/>
    <x v="0"/>
    <x v="10"/>
    <n v="2432"/>
    <n v="0"/>
    <x v="5"/>
    <x v="4"/>
    <x v="3"/>
    <n v="0"/>
    <n v="0"/>
    <n v="0"/>
    <n v="0"/>
    <m/>
  </r>
  <r>
    <x v="3"/>
    <x v="0"/>
    <x v="10"/>
    <n v="2881"/>
    <n v="0"/>
    <x v="3"/>
    <x v="1"/>
    <x v="6"/>
    <n v="0"/>
    <n v="0"/>
    <n v="0"/>
    <n v="0"/>
    <m/>
  </r>
  <r>
    <x v="1"/>
    <x v="1"/>
    <x v="8"/>
    <n v="1977"/>
    <n v="0"/>
    <x v="1"/>
    <x v="1"/>
    <x v="5"/>
    <n v="0"/>
    <n v="0"/>
    <n v="34500"/>
    <n v="35822"/>
    <m/>
  </r>
  <r>
    <x v="1"/>
    <x v="1"/>
    <x v="8"/>
    <n v="1544"/>
    <n v="0"/>
    <x v="0"/>
    <x v="0"/>
    <x v="0"/>
    <n v="1824"/>
    <n v="1824"/>
    <n v="0"/>
    <n v="0"/>
    <m/>
  </r>
  <r>
    <x v="1"/>
    <x v="1"/>
    <x v="8"/>
    <n v="1273"/>
    <n v="1"/>
    <x v="0"/>
    <x v="0"/>
    <x v="0"/>
    <n v="1824"/>
    <n v="1824"/>
    <n v="0"/>
    <n v="0"/>
    <m/>
  </r>
  <r>
    <x v="1"/>
    <x v="1"/>
    <x v="8"/>
    <n v="1536"/>
    <n v="1"/>
    <x v="0"/>
    <x v="0"/>
    <x v="0"/>
    <n v="1824"/>
    <n v="1824"/>
    <n v="0"/>
    <n v="0"/>
    <m/>
  </r>
  <r>
    <x v="1"/>
    <x v="1"/>
    <x v="8"/>
    <n v="1739"/>
    <n v="0"/>
    <x v="2"/>
    <x v="2"/>
    <x v="2"/>
    <n v="0"/>
    <n v="4000"/>
    <n v="0"/>
    <n v="1600"/>
    <m/>
  </r>
  <r>
    <x v="1"/>
    <x v="1"/>
    <x v="8"/>
    <n v="620"/>
    <n v="1"/>
    <x v="0"/>
    <x v="0"/>
    <x v="0"/>
    <n v="2937"/>
    <n v="2937"/>
    <n v="0"/>
    <n v="0"/>
    <m/>
  </r>
  <r>
    <x v="1"/>
    <x v="1"/>
    <x v="8"/>
    <n v="1447"/>
    <n v="4"/>
    <x v="0"/>
    <x v="0"/>
    <x v="0"/>
    <n v="2937"/>
    <n v="2937"/>
    <n v="0"/>
    <n v="0"/>
    <m/>
  </r>
  <r>
    <x v="1"/>
    <x v="1"/>
    <x v="8"/>
    <n v="1494"/>
    <n v="1"/>
    <x v="0"/>
    <x v="0"/>
    <x v="0"/>
    <n v="1824"/>
    <n v="1824"/>
    <n v="0"/>
    <n v="0"/>
    <m/>
  </r>
  <r>
    <x v="1"/>
    <x v="1"/>
    <x v="8"/>
    <n v="1163"/>
    <n v="1"/>
    <x v="0"/>
    <x v="0"/>
    <x v="0"/>
    <n v="2937"/>
    <n v="2937"/>
    <n v="0"/>
    <n v="0"/>
    <m/>
  </r>
  <r>
    <x v="1"/>
    <x v="1"/>
    <x v="8"/>
    <n v="1028"/>
    <n v="0"/>
    <x v="0"/>
    <x v="0"/>
    <x v="0"/>
    <n v="1824"/>
    <n v="1824"/>
    <n v="0"/>
    <n v="0"/>
    <m/>
  </r>
  <r>
    <x v="5"/>
    <x v="1"/>
    <x v="8"/>
    <n v="1925"/>
    <n v="1"/>
    <x v="0"/>
    <x v="0"/>
    <x v="0"/>
    <n v="1824"/>
    <n v="1824"/>
    <n v="0"/>
    <n v="0"/>
    <m/>
  </r>
  <r>
    <x v="5"/>
    <x v="1"/>
    <x v="8"/>
    <n v="2937"/>
    <n v="0"/>
    <x v="4"/>
    <x v="1"/>
    <x v="1"/>
    <m/>
    <n v="0"/>
    <n v="11500"/>
    <n v="35822"/>
    <m/>
  </r>
  <r>
    <x v="5"/>
    <x v="1"/>
    <x v="8"/>
    <n v="1819"/>
    <n v="0"/>
    <x v="1"/>
    <x v="1"/>
    <x v="1"/>
    <m/>
    <n v="0"/>
    <n v="11500"/>
    <n v="0"/>
    <m/>
  </r>
  <r>
    <x v="5"/>
    <x v="1"/>
    <x v="8"/>
    <n v="1020"/>
    <n v="0"/>
    <x v="0"/>
    <x v="0"/>
    <x v="0"/>
    <n v="2937"/>
    <n v="2937"/>
    <n v="0"/>
    <n v="0"/>
    <m/>
  </r>
  <r>
    <x v="5"/>
    <x v="1"/>
    <x v="8"/>
    <n v="968"/>
    <n v="1"/>
    <x v="0"/>
    <x v="0"/>
    <x v="0"/>
    <n v="2280"/>
    <n v="2280"/>
    <n v="0"/>
    <n v="0"/>
    <m/>
  </r>
  <r>
    <x v="5"/>
    <x v="1"/>
    <x v="8"/>
    <n v="2391"/>
    <n v="1"/>
    <x v="0"/>
    <x v="0"/>
    <x v="0"/>
    <n v="2937"/>
    <n v="2937"/>
    <n v="0"/>
    <n v="0"/>
    <m/>
  </r>
  <r>
    <x v="5"/>
    <x v="1"/>
    <x v="8"/>
    <n v="1248"/>
    <n v="1"/>
    <x v="0"/>
    <x v="0"/>
    <x v="0"/>
    <n v="1824"/>
    <n v="1824"/>
    <n v="0"/>
    <n v="0"/>
    <m/>
  </r>
  <r>
    <x v="5"/>
    <x v="1"/>
    <x v="8"/>
    <n v="616"/>
    <n v="0"/>
    <x v="0"/>
    <x v="0"/>
    <x v="0"/>
    <n v="1824"/>
    <n v="1824"/>
    <n v="0"/>
    <n v="0"/>
    <m/>
  </r>
  <r>
    <x v="5"/>
    <x v="1"/>
    <x v="8"/>
    <n v="864"/>
    <n v="0"/>
    <x v="0"/>
    <x v="0"/>
    <x v="0"/>
    <n v="2937"/>
    <n v="2937"/>
    <n v="0"/>
    <n v="0"/>
    <m/>
  </r>
  <r>
    <x v="1"/>
    <x v="1"/>
    <x v="8"/>
    <n v="1402"/>
    <n v="1"/>
    <x v="0"/>
    <x v="0"/>
    <x v="0"/>
    <n v="1824"/>
    <n v="1824"/>
    <n v="0"/>
    <n v="0"/>
    <m/>
  </r>
  <r>
    <x v="1"/>
    <x v="1"/>
    <x v="8"/>
    <n v="1500"/>
    <n v="0"/>
    <x v="0"/>
    <x v="0"/>
    <x v="0"/>
    <n v="2937"/>
    <n v="2937"/>
    <n v="0"/>
    <n v="0"/>
    <m/>
  </r>
  <r>
    <x v="2"/>
    <x v="0"/>
    <x v="7"/>
    <n v="3665"/>
    <n v="1"/>
    <x v="13"/>
    <x v="1"/>
    <x v="7"/>
    <n v="3307"/>
    <n v="3307"/>
    <n v="0"/>
    <n v="0"/>
    <m/>
  </r>
  <r>
    <x v="3"/>
    <x v="0"/>
    <x v="10"/>
    <n v="2824"/>
    <n v="1"/>
    <x v="3"/>
    <x v="1"/>
    <x v="4"/>
    <n v="0"/>
    <n v="0"/>
    <n v="0"/>
    <n v="0"/>
    <m/>
  </r>
  <r>
    <x v="3"/>
    <x v="0"/>
    <x v="10"/>
    <n v="2951"/>
    <n v="3"/>
    <x v="3"/>
    <x v="2"/>
    <x v="4"/>
    <n v="0"/>
    <n v="0"/>
    <n v="0"/>
    <n v="0"/>
    <m/>
  </r>
  <r>
    <x v="3"/>
    <x v="0"/>
    <x v="10"/>
    <n v="2543"/>
    <n v="1"/>
    <x v="3"/>
    <x v="4"/>
    <x v="3"/>
    <n v="0"/>
    <n v="0"/>
    <n v="0"/>
    <n v="0"/>
    <m/>
  </r>
  <r>
    <x v="3"/>
    <x v="0"/>
    <x v="10"/>
    <n v="2872"/>
    <n v="1"/>
    <x v="3"/>
    <x v="1"/>
    <x v="6"/>
    <n v="0"/>
    <n v="0"/>
    <n v="0"/>
    <n v="0"/>
    <m/>
  </r>
  <r>
    <x v="3"/>
    <x v="0"/>
    <x v="10"/>
    <n v="2837"/>
    <n v="1"/>
    <x v="2"/>
    <x v="4"/>
    <x v="2"/>
    <n v="0"/>
    <n v="8000"/>
    <n v="0"/>
    <n v="3200"/>
    <m/>
  </r>
  <r>
    <x v="10"/>
    <x v="0"/>
    <x v="10"/>
    <n v="2891"/>
    <n v="0"/>
    <x v="2"/>
    <x v="4"/>
    <x v="2"/>
    <n v="0"/>
    <n v="8000"/>
    <n v="0"/>
    <n v="3200"/>
    <m/>
  </r>
  <r>
    <x v="10"/>
    <x v="0"/>
    <x v="10"/>
    <n v="2801"/>
    <n v="0"/>
    <x v="15"/>
    <x v="4"/>
    <x v="3"/>
    <n v="0"/>
    <n v="0"/>
    <n v="0"/>
    <n v="0"/>
    <m/>
  </r>
  <r>
    <x v="10"/>
    <x v="0"/>
    <x v="10"/>
    <n v="2407"/>
    <n v="0"/>
    <x v="15"/>
    <x v="1"/>
    <x v="4"/>
    <n v="0"/>
    <n v="0"/>
    <n v="0"/>
    <n v="0"/>
    <m/>
  </r>
  <r>
    <x v="10"/>
    <x v="0"/>
    <x v="10"/>
    <n v="2748"/>
    <n v="0"/>
    <x v="0"/>
    <x v="0"/>
    <x v="0"/>
    <n v="0"/>
    <n v="0"/>
    <n v="0"/>
    <n v="0"/>
    <m/>
  </r>
  <r>
    <x v="10"/>
    <x v="0"/>
    <x v="10"/>
    <n v="2679"/>
    <n v="1"/>
    <x v="4"/>
    <x v="1"/>
    <x v="1"/>
    <n v="0"/>
    <n v="0"/>
    <n v="11500"/>
    <n v="35822"/>
    <m/>
  </r>
  <r>
    <x v="10"/>
    <x v="0"/>
    <x v="11"/>
    <n v="2720"/>
    <n v="0"/>
    <x v="15"/>
    <x v="1"/>
    <x v="4"/>
    <n v="0"/>
    <n v="0"/>
    <n v="0"/>
    <n v="0"/>
    <m/>
  </r>
  <r>
    <x v="10"/>
    <x v="0"/>
    <x v="11"/>
    <n v="0"/>
    <n v="0"/>
    <x v="0"/>
    <x v="0"/>
    <x v="0"/>
    <n v="0"/>
    <n v="0"/>
    <n v="0"/>
    <n v="0"/>
    <s v="Y"/>
  </r>
  <r>
    <x v="10"/>
    <x v="0"/>
    <x v="10"/>
    <n v="2875"/>
    <n v="0"/>
    <x v="12"/>
    <x v="1"/>
    <x v="2"/>
    <n v="0"/>
    <n v="0"/>
    <n v="0"/>
    <n v="0"/>
    <m/>
  </r>
  <r>
    <x v="10"/>
    <x v="0"/>
    <x v="10"/>
    <n v="2734"/>
    <n v="0"/>
    <x v="15"/>
    <x v="3"/>
    <x v="6"/>
    <n v="0"/>
    <n v="0"/>
    <n v="0"/>
    <n v="0"/>
    <m/>
  </r>
  <r>
    <x v="10"/>
    <x v="0"/>
    <x v="10"/>
    <n v="3073"/>
    <n v="0"/>
    <x v="15"/>
    <x v="2"/>
    <x v="4"/>
    <n v="0"/>
    <n v="0"/>
    <n v="0"/>
    <n v="0"/>
    <m/>
  </r>
  <r>
    <x v="10"/>
    <x v="0"/>
    <x v="10"/>
    <n v="2813"/>
    <n v="0"/>
    <x v="15"/>
    <x v="2"/>
    <x v="4"/>
    <n v="0"/>
    <n v="0"/>
    <n v="0"/>
    <n v="0"/>
    <m/>
  </r>
  <r>
    <x v="10"/>
    <x v="0"/>
    <x v="10"/>
    <n v="2758"/>
    <n v="0"/>
    <x v="16"/>
    <x v="3"/>
    <x v="0"/>
    <n v="0"/>
    <n v="0"/>
    <n v="0"/>
    <n v="0"/>
    <m/>
  </r>
  <r>
    <x v="10"/>
    <x v="0"/>
    <x v="10"/>
    <n v="2313"/>
    <n v="1"/>
    <x v="15"/>
    <x v="3"/>
    <x v="4"/>
    <n v="0"/>
    <n v="0"/>
    <n v="0"/>
    <n v="0"/>
    <m/>
  </r>
  <r>
    <x v="10"/>
    <x v="0"/>
    <x v="10"/>
    <n v="2625"/>
    <n v="1"/>
    <x v="15"/>
    <x v="3"/>
    <x v="4"/>
    <n v="0"/>
    <n v="0"/>
    <n v="0"/>
    <n v="0"/>
    <m/>
  </r>
  <r>
    <x v="10"/>
    <x v="0"/>
    <x v="10"/>
    <n v="2515"/>
    <n v="0"/>
    <x v="15"/>
    <x v="1"/>
    <x v="6"/>
    <n v="0"/>
    <n v="0"/>
    <n v="0"/>
    <n v="0"/>
    <m/>
  </r>
  <r>
    <x v="10"/>
    <x v="0"/>
    <x v="10"/>
    <n v="2516"/>
    <n v="1"/>
    <x v="16"/>
    <x v="1"/>
    <x v="0"/>
    <n v="0"/>
    <n v="0"/>
    <n v="0"/>
    <n v="0"/>
    <m/>
  </r>
  <r>
    <x v="10"/>
    <x v="0"/>
    <x v="10"/>
    <n v="2850"/>
    <n v="2"/>
    <x v="17"/>
    <x v="3"/>
    <x v="3"/>
    <n v="0"/>
    <n v="0"/>
    <n v="0"/>
    <n v="0"/>
    <m/>
  </r>
  <r>
    <x v="3"/>
    <x v="0"/>
    <x v="10"/>
    <n v="2559"/>
    <n v="3"/>
    <x v="3"/>
    <x v="3"/>
    <x v="4"/>
    <n v="0"/>
    <n v="0"/>
    <n v="0"/>
    <n v="0"/>
    <m/>
  </r>
  <r>
    <x v="2"/>
    <x v="0"/>
    <x v="7"/>
    <n v="3425"/>
    <n v="0"/>
    <x v="13"/>
    <x v="1"/>
    <x v="7"/>
    <n v="3445"/>
    <n v="3445"/>
    <n v="0"/>
    <n v="0"/>
    <m/>
  </r>
  <r>
    <x v="10"/>
    <x v="0"/>
    <x v="10"/>
    <n v="2517"/>
    <n v="0"/>
    <x v="16"/>
    <x v="2"/>
    <x v="0"/>
    <n v="0"/>
    <n v="0"/>
    <n v="0"/>
    <n v="0"/>
    <m/>
  </r>
  <r>
    <x v="10"/>
    <x v="0"/>
    <x v="10"/>
    <n v="2615"/>
    <n v="2"/>
    <x v="15"/>
    <x v="2"/>
    <x v="6"/>
    <n v="0"/>
    <n v="0"/>
    <n v="0"/>
    <n v="0"/>
    <m/>
  </r>
  <r>
    <x v="10"/>
    <x v="0"/>
    <x v="10"/>
    <n v="2798"/>
    <n v="2"/>
    <x v="4"/>
    <x v="1"/>
    <x v="1"/>
    <n v="0"/>
    <n v="0"/>
    <n v="11500"/>
    <n v="35822"/>
    <m/>
  </r>
  <r>
    <x v="10"/>
    <x v="0"/>
    <x v="10"/>
    <n v="2602"/>
    <n v="0"/>
    <x v="15"/>
    <x v="3"/>
    <x v="4"/>
    <n v="0"/>
    <n v="0"/>
    <n v="0"/>
    <n v="0"/>
    <m/>
  </r>
  <r>
    <x v="10"/>
    <x v="0"/>
    <x v="10"/>
    <n v="2901"/>
    <n v="1"/>
    <x v="15"/>
    <x v="1"/>
    <x v="4"/>
    <n v="0"/>
    <n v="0"/>
    <n v="0"/>
    <n v="0"/>
    <m/>
  </r>
  <r>
    <x v="10"/>
    <x v="0"/>
    <x v="10"/>
    <n v="540"/>
    <n v="0"/>
    <x v="0"/>
    <x v="0"/>
    <x v="0"/>
    <n v="0"/>
    <n v="0"/>
    <n v="0"/>
    <n v="0"/>
    <s v="Y"/>
  </r>
  <r>
    <x v="10"/>
    <x v="0"/>
    <x v="10"/>
    <n v="3199"/>
    <n v="0"/>
    <x v="15"/>
    <x v="1"/>
    <x v="4"/>
    <n v="0"/>
    <n v="0"/>
    <n v="0"/>
    <n v="0"/>
    <m/>
  </r>
  <r>
    <x v="10"/>
    <x v="0"/>
    <x v="10"/>
    <n v="2926"/>
    <n v="1"/>
    <x v="15"/>
    <x v="1"/>
    <x v="4"/>
    <n v="0"/>
    <n v="0"/>
    <n v="0"/>
    <n v="0"/>
    <m/>
  </r>
  <r>
    <x v="10"/>
    <x v="0"/>
    <x v="10"/>
    <n v="2560"/>
    <n v="1"/>
    <x v="15"/>
    <x v="4"/>
    <x v="3"/>
    <n v="0"/>
    <n v="0"/>
    <n v="0"/>
    <n v="0"/>
    <m/>
  </r>
  <r>
    <x v="10"/>
    <x v="0"/>
    <x v="10"/>
    <n v="2313"/>
    <n v="1"/>
    <x v="15"/>
    <x v="4"/>
    <x v="3"/>
    <n v="0"/>
    <n v="0"/>
    <n v="0"/>
    <n v="0"/>
    <m/>
  </r>
  <r>
    <x v="10"/>
    <x v="0"/>
    <x v="10"/>
    <n v="3329"/>
    <n v="2"/>
    <x v="15"/>
    <x v="3"/>
    <x v="3"/>
    <n v="0"/>
    <n v="0"/>
    <n v="0"/>
    <n v="0"/>
    <m/>
  </r>
  <r>
    <x v="1"/>
    <x v="1"/>
    <x v="8"/>
    <n v="1441"/>
    <n v="1"/>
    <x v="0"/>
    <x v="0"/>
    <x v="0"/>
    <n v="1824"/>
    <n v="1824"/>
    <n v="0"/>
    <n v="0"/>
    <m/>
  </r>
  <r>
    <x v="1"/>
    <x v="1"/>
    <x v="8"/>
    <n v="1339"/>
    <n v="0"/>
    <x v="0"/>
    <x v="0"/>
    <x v="0"/>
    <n v="2937"/>
    <n v="2937"/>
    <n v="0"/>
    <n v="0"/>
    <m/>
  </r>
  <r>
    <x v="1"/>
    <x v="1"/>
    <x v="8"/>
    <n v="1126"/>
    <n v="0"/>
    <x v="2"/>
    <x v="2"/>
    <x v="2"/>
    <n v="0"/>
    <n v="4000"/>
    <n v="0"/>
    <n v="1600"/>
    <m/>
  </r>
  <r>
    <x v="1"/>
    <x v="1"/>
    <x v="8"/>
    <n v="1647"/>
    <n v="1"/>
    <x v="0"/>
    <x v="0"/>
    <x v="0"/>
    <n v="2128"/>
    <n v="2128"/>
    <n v="0"/>
    <n v="0"/>
    <m/>
  </r>
  <r>
    <x v="1"/>
    <x v="1"/>
    <x v="8"/>
    <n v="1802"/>
    <n v="2"/>
    <x v="0"/>
    <x v="0"/>
    <x v="0"/>
    <n v="1824"/>
    <n v="1824"/>
    <n v="0"/>
    <n v="0"/>
    <m/>
  </r>
  <r>
    <x v="1"/>
    <x v="1"/>
    <x v="8"/>
    <n v="1433"/>
    <n v="1"/>
    <x v="0"/>
    <x v="0"/>
    <x v="0"/>
    <n v="1824"/>
    <n v="1824"/>
    <n v="0"/>
    <n v="0"/>
    <m/>
  </r>
  <r>
    <x v="1"/>
    <x v="1"/>
    <x v="8"/>
    <n v="977"/>
    <n v="1"/>
    <x v="0"/>
    <x v="0"/>
    <x v="0"/>
    <n v="0"/>
    <n v="0"/>
    <n v="0"/>
    <n v="0"/>
    <m/>
  </r>
  <r>
    <x v="1"/>
    <x v="1"/>
    <x v="8"/>
    <n v="1909"/>
    <n v="2"/>
    <x v="16"/>
    <x v="1"/>
    <x v="0"/>
    <n v="0"/>
    <n v="0"/>
    <n v="0"/>
    <n v="0"/>
    <m/>
  </r>
  <r>
    <x v="1"/>
    <x v="1"/>
    <x v="8"/>
    <n v="1110"/>
    <n v="2"/>
    <x v="2"/>
    <x v="2"/>
    <x v="2"/>
    <n v="0"/>
    <n v="4000"/>
    <n v="0"/>
    <n v="1600"/>
    <m/>
  </r>
  <r>
    <x v="1"/>
    <x v="1"/>
    <x v="8"/>
    <n v="2608"/>
    <n v="1"/>
    <x v="0"/>
    <x v="0"/>
    <x v="0"/>
    <n v="1824"/>
    <n v="1824"/>
    <n v="0"/>
    <n v="0"/>
    <m/>
  </r>
  <r>
    <x v="1"/>
    <x v="1"/>
    <x v="8"/>
    <n v="1725"/>
    <n v="3"/>
    <x v="2"/>
    <x v="2"/>
    <x v="2"/>
    <n v="0"/>
    <n v="4000"/>
    <n v="0"/>
    <n v="1600"/>
    <m/>
  </r>
  <r>
    <x v="1"/>
    <x v="1"/>
    <x v="8"/>
    <n v="2220"/>
    <n v="2"/>
    <x v="0"/>
    <x v="0"/>
    <x v="0"/>
    <n v="3427"/>
    <n v="3427"/>
    <n v="0"/>
    <n v="0"/>
    <m/>
  </r>
  <r>
    <x v="5"/>
    <x v="1"/>
    <x v="8"/>
    <n v="1644"/>
    <n v="0"/>
    <x v="0"/>
    <x v="0"/>
    <x v="0"/>
    <n v="2128"/>
    <n v="2128"/>
    <n v="0"/>
    <n v="0"/>
    <m/>
  </r>
  <r>
    <x v="5"/>
    <x v="1"/>
    <x v="8"/>
    <n v="1132"/>
    <n v="0"/>
    <x v="0"/>
    <x v="0"/>
    <x v="0"/>
    <n v="2937"/>
    <n v="2937"/>
    <n v="0"/>
    <n v="0"/>
    <m/>
  </r>
  <r>
    <x v="5"/>
    <x v="1"/>
    <x v="8"/>
    <n v="1791"/>
    <n v="1"/>
    <x v="0"/>
    <x v="0"/>
    <x v="0"/>
    <n v="2128"/>
    <n v="2128"/>
    <n v="0"/>
    <n v="0"/>
    <m/>
  </r>
  <r>
    <x v="5"/>
    <x v="1"/>
    <x v="8"/>
    <n v="1710"/>
    <n v="3"/>
    <x v="0"/>
    <x v="0"/>
    <x v="0"/>
    <n v="2937"/>
    <n v="2937"/>
    <n v="0"/>
    <n v="0"/>
    <m/>
  </r>
  <r>
    <x v="5"/>
    <x v="1"/>
    <x v="8"/>
    <n v="2253"/>
    <n v="1"/>
    <x v="0"/>
    <x v="0"/>
    <x v="0"/>
    <n v="2937"/>
    <n v="2937"/>
    <n v="0"/>
    <n v="0"/>
    <m/>
  </r>
  <r>
    <x v="5"/>
    <x v="1"/>
    <x v="8"/>
    <n v="1001"/>
    <n v="0"/>
    <x v="0"/>
    <x v="0"/>
    <x v="0"/>
    <n v="2937"/>
    <n v="2937"/>
    <n v="0"/>
    <n v="0"/>
    <m/>
  </r>
  <r>
    <x v="5"/>
    <x v="1"/>
    <x v="8"/>
    <n v="1203"/>
    <n v="1"/>
    <x v="2"/>
    <x v="2"/>
    <x v="2"/>
    <n v="0"/>
    <n v="4000"/>
    <n v="0"/>
    <n v="1600"/>
    <m/>
  </r>
  <r>
    <x v="5"/>
    <x v="1"/>
    <x v="8"/>
    <n v="1620"/>
    <n v="2"/>
    <x v="0"/>
    <x v="0"/>
    <x v="0"/>
    <n v="1824"/>
    <n v="1824"/>
    <n v="0"/>
    <n v="0"/>
    <m/>
  </r>
  <r>
    <x v="5"/>
    <x v="1"/>
    <x v="8"/>
    <n v="1772"/>
    <n v="1"/>
    <x v="2"/>
    <x v="2"/>
    <x v="2"/>
    <n v="0"/>
    <n v="4000"/>
    <n v="0"/>
    <n v="1600"/>
    <m/>
  </r>
  <r>
    <x v="10"/>
    <x v="0"/>
    <x v="10"/>
    <n v="2634"/>
    <n v="1"/>
    <x v="15"/>
    <x v="1"/>
    <x v="0"/>
    <n v="0"/>
    <n v="0"/>
    <n v="0"/>
    <n v="0"/>
    <m/>
  </r>
  <r>
    <x v="2"/>
    <x v="0"/>
    <x v="7"/>
    <n v="3118"/>
    <n v="0"/>
    <x v="13"/>
    <x v="1"/>
    <x v="8"/>
    <n v="8500"/>
    <n v="8500"/>
    <n v="0"/>
    <n v="0"/>
    <m/>
  </r>
  <r>
    <x v="2"/>
    <x v="0"/>
    <x v="7"/>
    <n v="3166"/>
    <n v="3"/>
    <x v="2"/>
    <x v="5"/>
    <x v="2"/>
    <n v="0"/>
    <n v="10000"/>
    <n v="0"/>
    <n v="4000"/>
    <m/>
  </r>
  <r>
    <x v="2"/>
    <x v="0"/>
    <x v="7"/>
    <n v="3825"/>
    <n v="1"/>
    <x v="16"/>
    <x v="1"/>
    <x v="0"/>
    <n v="0"/>
    <n v="0"/>
    <n v="0"/>
    <n v="0"/>
    <m/>
  </r>
  <r>
    <x v="2"/>
    <x v="0"/>
    <x v="7"/>
    <n v="3553"/>
    <n v="0"/>
    <x v="13"/>
    <x v="1"/>
    <x v="8"/>
    <n v="8500"/>
    <n v="8500"/>
    <n v="0"/>
    <n v="0"/>
    <m/>
  </r>
  <r>
    <x v="2"/>
    <x v="0"/>
    <x v="7"/>
    <n v="3574"/>
    <n v="1"/>
    <x v="18"/>
    <x v="1"/>
    <x v="7"/>
    <n v="4134"/>
    <n v="4134"/>
    <n v="0"/>
    <n v="0"/>
    <m/>
  </r>
  <r>
    <x v="2"/>
    <x v="0"/>
    <x v="7"/>
    <n v="3456"/>
    <n v="3"/>
    <x v="13"/>
    <x v="1"/>
    <x v="7"/>
    <n v="2411"/>
    <n v="2411"/>
    <n v="0"/>
    <n v="0"/>
    <m/>
  </r>
  <r>
    <x v="2"/>
    <x v="0"/>
    <x v="7"/>
    <n v="3185"/>
    <n v="0"/>
    <x v="13"/>
    <x v="1"/>
    <x v="8"/>
    <n v="6502"/>
    <n v="6502"/>
    <n v="0"/>
    <n v="0"/>
    <m/>
  </r>
  <r>
    <x v="2"/>
    <x v="0"/>
    <x v="7"/>
    <n v="3742"/>
    <n v="4"/>
    <x v="13"/>
    <x v="1"/>
    <x v="7"/>
    <n v="4593"/>
    <n v="4593"/>
    <n v="0"/>
    <n v="0"/>
    <m/>
  </r>
  <r>
    <x v="9"/>
    <x v="0"/>
    <x v="10"/>
    <n v="2924"/>
    <n v="1"/>
    <x v="5"/>
    <x v="1"/>
    <x v="4"/>
    <n v="0"/>
    <n v="0"/>
    <n v="0"/>
    <n v="0"/>
    <m/>
  </r>
  <r>
    <x v="9"/>
    <x v="0"/>
    <x v="10"/>
    <n v="3192"/>
    <n v="2"/>
    <x v="5"/>
    <x v="2"/>
    <x v="4"/>
    <n v="0"/>
    <n v="0"/>
    <n v="0"/>
    <n v="0"/>
    <m/>
  </r>
  <r>
    <x v="9"/>
    <x v="0"/>
    <x v="10"/>
    <n v="2967"/>
    <n v="1"/>
    <x v="5"/>
    <x v="2"/>
    <x v="4"/>
    <n v="0"/>
    <n v="0"/>
    <n v="0"/>
    <n v="0"/>
    <m/>
  </r>
  <r>
    <x v="9"/>
    <x v="0"/>
    <x v="10"/>
    <n v="2926"/>
    <n v="0"/>
    <x v="5"/>
    <x v="3"/>
    <x v="3"/>
    <n v="0"/>
    <n v="0"/>
    <n v="0"/>
    <n v="0"/>
    <m/>
  </r>
  <r>
    <x v="9"/>
    <x v="0"/>
    <x v="10"/>
    <n v="2801"/>
    <n v="1"/>
    <x v="5"/>
    <x v="3"/>
    <x v="3"/>
    <n v="0"/>
    <n v="0"/>
    <n v="0"/>
    <n v="0"/>
    <m/>
  </r>
  <r>
    <x v="9"/>
    <x v="0"/>
    <x v="10"/>
    <n v="2800"/>
    <n v="0"/>
    <x v="11"/>
    <x v="8"/>
    <x v="1"/>
    <n v="0"/>
    <n v="0"/>
    <n v="0"/>
    <n v="0"/>
    <m/>
  </r>
  <r>
    <x v="9"/>
    <x v="0"/>
    <x v="10"/>
    <n v="2913"/>
    <n v="0"/>
    <x v="5"/>
    <x v="1"/>
    <x v="6"/>
    <n v="0"/>
    <n v="0"/>
    <n v="0"/>
    <n v="0"/>
    <m/>
  </r>
  <r>
    <x v="9"/>
    <x v="0"/>
    <x v="10"/>
    <n v="2812"/>
    <n v="1"/>
    <x v="5"/>
    <x v="1"/>
    <x v="4"/>
    <n v="0"/>
    <n v="0"/>
    <n v="0"/>
    <n v="0"/>
    <m/>
  </r>
  <r>
    <x v="9"/>
    <x v="0"/>
    <x v="10"/>
    <n v="2449"/>
    <n v="0"/>
    <x v="4"/>
    <x v="1"/>
    <x v="1"/>
    <n v="0"/>
    <n v="0"/>
    <n v="11500"/>
    <n v="35822"/>
    <m/>
  </r>
  <r>
    <x v="9"/>
    <x v="0"/>
    <x v="10"/>
    <n v="2754"/>
    <n v="1"/>
    <x v="19"/>
    <x v="1"/>
    <x v="2"/>
    <n v="0"/>
    <n v="120000"/>
    <n v="0"/>
    <n v="0"/>
    <m/>
  </r>
  <r>
    <x v="9"/>
    <x v="0"/>
    <x v="10"/>
    <n v="2824"/>
    <n v="1"/>
    <x v="11"/>
    <x v="9"/>
    <x v="1"/>
    <n v="0"/>
    <n v="0"/>
    <n v="0"/>
    <n v="0"/>
    <m/>
  </r>
  <r>
    <x v="9"/>
    <x v="0"/>
    <x v="10"/>
    <n v="2980"/>
    <n v="0"/>
    <x v="5"/>
    <x v="1"/>
    <x v="4"/>
    <n v="0"/>
    <n v="0"/>
    <n v="0"/>
    <n v="0"/>
    <m/>
  </r>
  <r>
    <x v="9"/>
    <x v="0"/>
    <x v="10"/>
    <n v="2957"/>
    <n v="0"/>
    <x v="12"/>
    <x v="1"/>
    <x v="2"/>
    <n v="0"/>
    <n v="0"/>
    <n v="0"/>
    <n v="0"/>
    <m/>
  </r>
  <r>
    <x v="9"/>
    <x v="0"/>
    <x v="10"/>
    <n v="2417"/>
    <n v="0"/>
    <x v="2"/>
    <x v="4"/>
    <x v="2"/>
    <n v="0"/>
    <n v="8000"/>
    <n v="0"/>
    <n v="3200"/>
    <m/>
  </r>
  <r>
    <x v="9"/>
    <x v="0"/>
    <x v="10"/>
    <n v="2671"/>
    <n v="0"/>
    <x v="5"/>
    <x v="5"/>
    <x v="3"/>
    <n v="0"/>
    <n v="0"/>
    <n v="0"/>
    <n v="0"/>
    <m/>
  </r>
  <r>
    <x v="9"/>
    <x v="0"/>
    <x v="10"/>
    <n v="2947"/>
    <n v="1"/>
    <x v="5"/>
    <x v="1"/>
    <x v="6"/>
    <n v="0"/>
    <n v="0"/>
    <n v="0"/>
    <n v="0"/>
    <m/>
  </r>
  <r>
    <x v="9"/>
    <x v="0"/>
    <x v="10"/>
    <n v="3358"/>
    <n v="1"/>
    <x v="2"/>
    <x v="4"/>
    <x v="2"/>
    <n v="0"/>
    <n v="8000"/>
    <n v="0"/>
    <n v="3200"/>
    <m/>
  </r>
  <r>
    <x v="9"/>
    <x v="0"/>
    <x v="10"/>
    <n v="2184"/>
    <n v="0"/>
    <x v="5"/>
    <x v="4"/>
    <x v="3"/>
    <n v="0"/>
    <n v="0"/>
    <n v="0"/>
    <n v="0"/>
    <m/>
  </r>
  <r>
    <x v="9"/>
    <x v="0"/>
    <x v="10"/>
    <n v="2654"/>
    <n v="3"/>
    <x v="5"/>
    <x v="1"/>
    <x v="4"/>
    <n v="0"/>
    <n v="0"/>
    <n v="0"/>
    <n v="0"/>
    <m/>
  </r>
  <r>
    <x v="9"/>
    <x v="0"/>
    <x v="10"/>
    <n v="2592"/>
    <n v="1"/>
    <x v="5"/>
    <x v="1"/>
    <x v="4"/>
    <n v="0"/>
    <n v="0"/>
    <n v="0"/>
    <n v="0"/>
    <m/>
  </r>
  <r>
    <x v="9"/>
    <x v="0"/>
    <x v="10"/>
    <n v="2625"/>
    <n v="0"/>
    <x v="5"/>
    <x v="1"/>
    <x v="6"/>
    <n v="0"/>
    <n v="0"/>
    <n v="0"/>
    <n v="0"/>
    <m/>
  </r>
  <r>
    <x v="9"/>
    <x v="0"/>
    <x v="10"/>
    <n v="3029"/>
    <n v="0"/>
    <x v="5"/>
    <x v="1"/>
    <x v="4"/>
    <n v="0"/>
    <n v="0"/>
    <n v="0"/>
    <n v="0"/>
    <m/>
  </r>
  <r>
    <x v="9"/>
    <x v="0"/>
    <x v="10"/>
    <n v="2865"/>
    <n v="1"/>
    <x v="5"/>
    <x v="1"/>
    <x v="4"/>
    <n v="0"/>
    <n v="0"/>
    <n v="0"/>
    <n v="0"/>
    <m/>
  </r>
  <r>
    <x v="9"/>
    <x v="0"/>
    <x v="10"/>
    <n v="3075"/>
    <n v="3"/>
    <x v="5"/>
    <x v="5"/>
    <x v="3"/>
    <n v="0"/>
    <n v="0"/>
    <n v="0"/>
    <n v="0"/>
    <m/>
  </r>
  <r>
    <x v="9"/>
    <x v="0"/>
    <x v="10"/>
    <n v="3767"/>
    <n v="2"/>
    <x v="5"/>
    <x v="4"/>
    <x v="3"/>
    <n v="0"/>
    <n v="0"/>
    <n v="0"/>
    <n v="0"/>
    <m/>
  </r>
  <r>
    <x v="9"/>
    <x v="0"/>
    <x v="10"/>
    <n v="3007"/>
    <n v="2"/>
    <x v="5"/>
    <x v="3"/>
    <x v="4"/>
    <n v="0"/>
    <n v="0"/>
    <n v="0"/>
    <n v="0"/>
    <m/>
  </r>
  <r>
    <x v="9"/>
    <x v="0"/>
    <x v="10"/>
    <n v="2942"/>
    <n v="0"/>
    <x v="5"/>
    <x v="1"/>
    <x v="4"/>
    <n v="0"/>
    <n v="0"/>
    <n v="0"/>
    <n v="0"/>
    <m/>
  </r>
  <r>
    <x v="9"/>
    <x v="0"/>
    <x v="10"/>
    <n v="2701"/>
    <n v="0"/>
    <x v="5"/>
    <x v="5"/>
    <x v="3"/>
    <n v="0"/>
    <n v="0"/>
    <n v="0"/>
    <n v="0"/>
    <m/>
  </r>
  <r>
    <x v="9"/>
    <x v="0"/>
    <x v="10"/>
    <n v="3320"/>
    <n v="0"/>
    <x v="5"/>
    <x v="3"/>
    <x v="6"/>
    <n v="0"/>
    <n v="0"/>
    <n v="0"/>
    <n v="0"/>
    <m/>
  </r>
  <r>
    <x v="9"/>
    <x v="0"/>
    <x v="10"/>
    <n v="2890"/>
    <n v="2"/>
    <x v="5"/>
    <x v="3"/>
    <x v="3"/>
    <n v="0"/>
    <n v="0"/>
    <n v="0"/>
    <n v="0"/>
    <m/>
  </r>
  <r>
    <x v="9"/>
    <x v="0"/>
    <x v="10"/>
    <n v="3274"/>
    <n v="1"/>
    <x v="5"/>
    <x v="2"/>
    <x v="6"/>
    <n v="0"/>
    <n v="0"/>
    <n v="0"/>
    <n v="0"/>
    <m/>
  </r>
  <r>
    <x v="9"/>
    <x v="0"/>
    <x v="10"/>
    <n v="2847"/>
    <n v="1"/>
    <x v="5"/>
    <x v="1"/>
    <x v="6"/>
    <n v="0"/>
    <n v="0"/>
    <n v="0"/>
    <n v="0"/>
    <m/>
  </r>
  <r>
    <x v="9"/>
    <x v="0"/>
    <x v="10"/>
    <n v="2602"/>
    <n v="0"/>
    <x v="5"/>
    <x v="4"/>
    <x v="3"/>
    <n v="0"/>
    <n v="0"/>
    <n v="0"/>
    <n v="0"/>
    <m/>
  </r>
  <r>
    <x v="9"/>
    <x v="0"/>
    <x v="10"/>
    <n v="2901"/>
    <n v="1"/>
    <x v="11"/>
    <x v="10"/>
    <x v="5"/>
    <n v="0"/>
    <n v="0"/>
    <n v="0"/>
    <n v="0"/>
    <m/>
  </r>
  <r>
    <x v="9"/>
    <x v="0"/>
    <x v="10"/>
    <n v="2768"/>
    <n v="0"/>
    <x v="5"/>
    <x v="5"/>
    <x v="3"/>
    <n v="0"/>
    <n v="0"/>
    <n v="0"/>
    <n v="0"/>
    <m/>
  </r>
  <r>
    <x v="9"/>
    <x v="0"/>
    <x v="10"/>
    <n v="2401"/>
    <n v="1"/>
    <x v="5"/>
    <x v="1"/>
    <x v="4"/>
    <n v="0"/>
    <n v="0"/>
    <n v="0"/>
    <n v="0"/>
    <m/>
  </r>
  <r>
    <x v="9"/>
    <x v="0"/>
    <x v="10"/>
    <n v="2915"/>
    <n v="0"/>
    <x v="8"/>
    <x v="3"/>
    <x v="5"/>
    <n v="0"/>
    <n v="0"/>
    <n v="2587.5"/>
    <n v="2686.6499999999996"/>
    <m/>
  </r>
  <r>
    <x v="9"/>
    <x v="0"/>
    <x v="10"/>
    <n v="2978"/>
    <n v="0"/>
    <x v="5"/>
    <x v="4"/>
    <x v="3"/>
    <n v="0"/>
    <n v="0"/>
    <n v="0"/>
    <n v="0"/>
    <m/>
  </r>
  <r>
    <x v="9"/>
    <x v="0"/>
    <x v="10"/>
    <n v="2956"/>
    <n v="0"/>
    <x v="5"/>
    <x v="5"/>
    <x v="3"/>
    <n v="0"/>
    <n v="0"/>
    <n v="0"/>
    <n v="0"/>
    <m/>
  </r>
  <r>
    <x v="9"/>
    <x v="0"/>
    <x v="10"/>
    <n v="2657"/>
    <n v="1"/>
    <x v="5"/>
    <x v="5"/>
    <x v="3"/>
    <n v="0"/>
    <n v="0"/>
    <n v="0"/>
    <n v="0"/>
    <m/>
  </r>
  <r>
    <x v="9"/>
    <x v="0"/>
    <x v="10"/>
    <n v="2789"/>
    <n v="0"/>
    <x v="12"/>
    <x v="1"/>
    <x v="2"/>
    <n v="0"/>
    <n v="0"/>
    <n v="0"/>
    <n v="0"/>
    <m/>
  </r>
  <r>
    <x v="9"/>
    <x v="0"/>
    <x v="10"/>
    <n v="2793"/>
    <n v="1"/>
    <x v="5"/>
    <x v="5"/>
    <x v="3"/>
    <n v="0"/>
    <n v="0"/>
    <n v="0"/>
    <n v="0"/>
    <m/>
  </r>
  <r>
    <x v="9"/>
    <x v="0"/>
    <x v="10"/>
    <n v="2869"/>
    <n v="2"/>
    <x v="5"/>
    <x v="4"/>
    <x v="3"/>
    <n v="0"/>
    <n v="0"/>
    <n v="0"/>
    <n v="0"/>
    <m/>
  </r>
  <r>
    <x v="9"/>
    <x v="0"/>
    <x v="10"/>
    <n v="2638"/>
    <n v="1"/>
    <x v="12"/>
    <x v="1"/>
    <x v="2"/>
    <n v="0"/>
    <n v="0"/>
    <n v="0"/>
    <n v="0"/>
    <m/>
  </r>
  <r>
    <x v="9"/>
    <x v="0"/>
    <x v="10"/>
    <n v="2929"/>
    <n v="1"/>
    <x v="5"/>
    <x v="1"/>
    <x v="4"/>
    <n v="0"/>
    <n v="0"/>
    <n v="0"/>
    <n v="0"/>
    <m/>
  </r>
  <r>
    <x v="9"/>
    <x v="0"/>
    <x v="10"/>
    <n v="2423"/>
    <n v="1"/>
    <x v="5"/>
    <x v="3"/>
    <x v="3"/>
    <n v="0"/>
    <n v="0"/>
    <n v="0"/>
    <n v="0"/>
    <m/>
  </r>
  <r>
    <x v="9"/>
    <x v="0"/>
    <x v="10"/>
    <n v="2881"/>
    <n v="0"/>
    <x v="5"/>
    <x v="5"/>
    <x v="3"/>
    <n v="0"/>
    <n v="0"/>
    <n v="0"/>
    <n v="0"/>
    <m/>
  </r>
  <r>
    <x v="9"/>
    <x v="0"/>
    <x v="10"/>
    <n v="3128"/>
    <n v="1"/>
    <x v="5"/>
    <x v="4"/>
    <x v="3"/>
    <n v="0"/>
    <n v="0"/>
    <n v="0"/>
    <n v="0"/>
    <m/>
  </r>
  <r>
    <x v="9"/>
    <x v="0"/>
    <x v="10"/>
    <n v="3042"/>
    <n v="0"/>
    <x v="5"/>
    <x v="3"/>
    <x v="6"/>
    <n v="0"/>
    <n v="0"/>
    <n v="0"/>
    <n v="0"/>
    <m/>
  </r>
  <r>
    <x v="9"/>
    <x v="0"/>
    <x v="10"/>
    <n v="2846"/>
    <n v="1"/>
    <x v="5"/>
    <x v="1"/>
    <x v="6"/>
    <n v="0"/>
    <n v="0"/>
    <n v="0"/>
    <n v="0"/>
    <m/>
  </r>
  <r>
    <x v="9"/>
    <x v="0"/>
    <x v="10"/>
    <n v="3112"/>
    <n v="1"/>
    <x v="5"/>
    <x v="1"/>
    <x v="6"/>
    <n v="0"/>
    <n v="0"/>
    <n v="0"/>
    <n v="0"/>
    <m/>
  </r>
  <r>
    <x v="9"/>
    <x v="0"/>
    <x v="10"/>
    <n v="2928"/>
    <n v="1"/>
    <x v="5"/>
    <x v="4"/>
    <x v="3"/>
    <n v="0"/>
    <n v="0"/>
    <n v="0"/>
    <n v="0"/>
    <m/>
  </r>
  <r>
    <x v="9"/>
    <x v="0"/>
    <x v="10"/>
    <n v="2702"/>
    <n v="1"/>
    <x v="5"/>
    <x v="2"/>
    <x v="4"/>
    <n v="0"/>
    <n v="0"/>
    <n v="0"/>
    <n v="0"/>
    <m/>
  </r>
  <r>
    <x v="11"/>
    <x v="0"/>
    <x v="12"/>
    <n v="6071"/>
    <n v="0"/>
    <x v="8"/>
    <x v="4"/>
    <x v="5"/>
    <n v="0"/>
    <n v="0"/>
    <n v="3450"/>
    <n v="3582.2"/>
    <m/>
  </r>
  <r>
    <x v="11"/>
    <x v="0"/>
    <x v="12"/>
    <n v="5719"/>
    <n v="0"/>
    <x v="8"/>
    <x v="4"/>
    <x v="5"/>
    <n v="0"/>
    <n v="0"/>
    <n v="3450"/>
    <n v="3582.2"/>
    <m/>
  </r>
  <r>
    <x v="11"/>
    <x v="0"/>
    <x v="12"/>
    <n v="5444"/>
    <n v="0"/>
    <x v="8"/>
    <x v="4"/>
    <x v="5"/>
    <n v="0"/>
    <n v="0"/>
    <n v="3450"/>
    <n v="3582.2"/>
    <m/>
  </r>
  <r>
    <x v="11"/>
    <x v="0"/>
    <x v="12"/>
    <n v="5741"/>
    <n v="0"/>
    <x v="8"/>
    <x v="4"/>
    <x v="5"/>
    <n v="0"/>
    <n v="0"/>
    <n v="3450"/>
    <n v="3582.2"/>
    <m/>
  </r>
  <r>
    <x v="11"/>
    <x v="0"/>
    <x v="12"/>
    <n v="6031"/>
    <n v="0"/>
    <x v="8"/>
    <x v="4"/>
    <x v="5"/>
    <n v="0"/>
    <n v="0"/>
    <n v="3450"/>
    <n v="3582.2"/>
    <m/>
  </r>
  <r>
    <x v="11"/>
    <x v="0"/>
    <x v="12"/>
    <n v="5574"/>
    <n v="0"/>
    <x v="8"/>
    <x v="4"/>
    <x v="5"/>
    <n v="0"/>
    <n v="0"/>
    <n v="3450"/>
    <n v="3582.2"/>
    <m/>
  </r>
  <r>
    <x v="11"/>
    <x v="0"/>
    <x v="12"/>
    <n v="6065"/>
    <n v="0"/>
    <x v="8"/>
    <x v="4"/>
    <x v="5"/>
    <n v="0"/>
    <n v="0"/>
    <n v="3450"/>
    <n v="3582.2"/>
    <m/>
  </r>
  <r>
    <x v="11"/>
    <x v="0"/>
    <x v="12"/>
    <n v="5631"/>
    <n v="0"/>
    <x v="8"/>
    <x v="4"/>
    <x v="5"/>
    <n v="0"/>
    <n v="0"/>
    <n v="3450"/>
    <n v="3582.2"/>
    <m/>
  </r>
  <r>
    <x v="9"/>
    <x v="0"/>
    <x v="10"/>
    <n v="2671"/>
    <n v="0"/>
    <x v="5"/>
    <x v="1"/>
    <x v="4"/>
    <n v="0"/>
    <n v="0"/>
    <n v="0"/>
    <n v="0"/>
    <m/>
  </r>
  <r>
    <x v="9"/>
    <x v="0"/>
    <x v="10"/>
    <n v="2940"/>
    <n v="0"/>
    <x v="5"/>
    <x v="1"/>
    <x v="6"/>
    <n v="0"/>
    <n v="0"/>
    <n v="0"/>
    <n v="0"/>
    <m/>
  </r>
  <r>
    <x v="9"/>
    <x v="0"/>
    <x v="10"/>
    <n v="2643"/>
    <n v="2"/>
    <x v="5"/>
    <x v="1"/>
    <x v="6"/>
    <n v="0"/>
    <n v="0"/>
    <n v="0"/>
    <n v="0"/>
    <m/>
  </r>
  <r>
    <x v="9"/>
    <x v="0"/>
    <x v="10"/>
    <n v="2968"/>
    <n v="0"/>
    <x v="5"/>
    <x v="3"/>
    <x v="4"/>
    <n v="0"/>
    <n v="0"/>
    <n v="0"/>
    <n v="0"/>
    <m/>
  </r>
  <r>
    <x v="9"/>
    <x v="0"/>
    <x v="10"/>
    <n v="2502"/>
    <n v="2"/>
    <x v="5"/>
    <x v="2"/>
    <x v="4"/>
    <n v="0"/>
    <n v="0"/>
    <n v="0"/>
    <n v="0"/>
    <m/>
  </r>
  <r>
    <x v="9"/>
    <x v="0"/>
    <x v="10"/>
    <n v="2719"/>
    <n v="3"/>
    <x v="11"/>
    <x v="11"/>
    <x v="5"/>
    <n v="0"/>
    <n v="0"/>
    <n v="0"/>
    <n v="0"/>
    <m/>
  </r>
  <r>
    <x v="9"/>
    <x v="0"/>
    <x v="10"/>
    <n v="2733"/>
    <n v="1"/>
    <x v="5"/>
    <x v="1"/>
    <x v="4"/>
    <n v="0"/>
    <n v="0"/>
    <n v="0"/>
    <n v="0"/>
    <m/>
  </r>
  <r>
    <x v="9"/>
    <x v="0"/>
    <x v="10"/>
    <n v="2917"/>
    <n v="1"/>
    <x v="5"/>
    <x v="1"/>
    <x v="4"/>
    <n v="0"/>
    <n v="0"/>
    <n v="0"/>
    <n v="0"/>
    <m/>
  </r>
  <r>
    <x v="9"/>
    <x v="0"/>
    <x v="10"/>
    <n v="2662"/>
    <n v="0"/>
    <x v="5"/>
    <x v="3"/>
    <x v="6"/>
    <n v="0"/>
    <n v="0"/>
    <n v="0"/>
    <n v="0"/>
    <m/>
  </r>
  <r>
    <x v="9"/>
    <x v="0"/>
    <x v="10"/>
    <n v="2980"/>
    <n v="1"/>
    <x v="5"/>
    <x v="2"/>
    <x v="4"/>
    <n v="0"/>
    <n v="0"/>
    <n v="0"/>
    <n v="0"/>
    <m/>
  </r>
  <r>
    <x v="9"/>
    <x v="0"/>
    <x v="10"/>
    <n v="2778"/>
    <n v="0"/>
    <x v="4"/>
    <x v="1"/>
    <x v="5"/>
    <n v="0"/>
    <n v="0"/>
    <n v="34500"/>
    <n v="118004"/>
    <m/>
  </r>
  <r>
    <x v="9"/>
    <x v="0"/>
    <x v="10"/>
    <n v="2383"/>
    <n v="0"/>
    <x v="2"/>
    <x v="5"/>
    <x v="2"/>
    <n v="0"/>
    <n v="10000"/>
    <n v="0"/>
    <n v="4000"/>
    <m/>
  </r>
  <r>
    <x v="9"/>
    <x v="0"/>
    <x v="10"/>
    <n v="2705"/>
    <n v="1"/>
    <x v="5"/>
    <x v="1"/>
    <x v="6"/>
    <n v="0"/>
    <n v="0"/>
    <n v="0"/>
    <n v="0"/>
    <m/>
  </r>
  <r>
    <x v="9"/>
    <x v="0"/>
    <x v="10"/>
    <n v="2769"/>
    <n v="1"/>
    <x v="5"/>
    <x v="1"/>
    <x v="6"/>
    <n v="0"/>
    <n v="0"/>
    <n v="0"/>
    <n v="0"/>
    <m/>
  </r>
  <r>
    <x v="3"/>
    <x v="0"/>
    <x v="10"/>
    <n v="2432"/>
    <n v="1"/>
    <x v="3"/>
    <x v="5"/>
    <x v="3"/>
    <n v="0"/>
    <n v="0"/>
    <n v="0"/>
    <n v="0"/>
    <m/>
  </r>
  <r>
    <x v="12"/>
    <x v="0"/>
    <x v="10"/>
    <n v="2838"/>
    <n v="0"/>
    <x v="14"/>
    <x v="4"/>
    <x v="3"/>
    <n v="0"/>
    <n v="0"/>
    <n v="0"/>
    <n v="0"/>
    <m/>
  </r>
  <r>
    <x v="12"/>
    <x v="0"/>
    <x v="10"/>
    <n v="2427"/>
    <n v="1"/>
    <x v="16"/>
    <x v="3"/>
    <x v="0"/>
    <n v="0"/>
    <n v="0"/>
    <n v="0"/>
    <n v="0"/>
    <m/>
  </r>
  <r>
    <x v="12"/>
    <x v="0"/>
    <x v="10"/>
    <n v="3047"/>
    <n v="2"/>
    <x v="14"/>
    <x v="1"/>
    <x v="4"/>
    <n v="0"/>
    <n v="0"/>
    <n v="0"/>
    <n v="0"/>
    <m/>
  </r>
  <r>
    <x v="12"/>
    <x v="0"/>
    <x v="10"/>
    <n v="2866"/>
    <n v="1"/>
    <x v="12"/>
    <x v="1"/>
    <x v="2"/>
    <n v="0"/>
    <n v="0"/>
    <n v="0"/>
    <n v="0"/>
    <m/>
  </r>
  <r>
    <x v="12"/>
    <x v="0"/>
    <x v="10"/>
    <n v="2763"/>
    <n v="0"/>
    <x v="16"/>
    <x v="2"/>
    <x v="0"/>
    <n v="0"/>
    <n v="0"/>
    <n v="0"/>
    <n v="0"/>
    <m/>
  </r>
  <r>
    <x v="12"/>
    <x v="0"/>
    <x v="10"/>
    <n v="3056"/>
    <n v="1"/>
    <x v="16"/>
    <x v="1"/>
    <x v="0"/>
    <n v="0"/>
    <n v="0"/>
    <n v="0"/>
    <n v="0"/>
    <m/>
  </r>
  <r>
    <x v="12"/>
    <x v="0"/>
    <x v="10"/>
    <n v="2719"/>
    <n v="0"/>
    <x v="14"/>
    <x v="5"/>
    <x v="3"/>
    <n v="0"/>
    <n v="0"/>
    <n v="0"/>
    <n v="0"/>
    <m/>
  </r>
  <r>
    <x v="12"/>
    <x v="0"/>
    <x v="10"/>
    <n v="2911"/>
    <n v="1"/>
    <x v="14"/>
    <x v="5"/>
    <x v="3"/>
    <n v="0"/>
    <n v="0"/>
    <n v="0"/>
    <n v="0"/>
    <m/>
  </r>
  <r>
    <x v="12"/>
    <x v="0"/>
    <x v="10"/>
    <n v="2858"/>
    <n v="0"/>
    <x v="14"/>
    <x v="1"/>
    <x v="4"/>
    <n v="0"/>
    <n v="0"/>
    <n v="0"/>
    <n v="0"/>
    <m/>
  </r>
  <r>
    <x v="12"/>
    <x v="0"/>
    <x v="10"/>
    <n v="2965"/>
    <n v="1"/>
    <x v="14"/>
    <x v="3"/>
    <x v="4"/>
    <n v="0"/>
    <n v="0"/>
    <n v="0"/>
    <n v="0"/>
    <m/>
  </r>
  <r>
    <x v="12"/>
    <x v="0"/>
    <x v="10"/>
    <n v="3486"/>
    <n v="1"/>
    <x v="12"/>
    <x v="1"/>
    <x v="2"/>
    <n v="0"/>
    <n v="0"/>
    <n v="0"/>
    <n v="0"/>
    <m/>
  </r>
  <r>
    <x v="12"/>
    <x v="0"/>
    <x v="10"/>
    <n v="2992"/>
    <n v="0"/>
    <x v="4"/>
    <x v="1"/>
    <x v="5"/>
    <n v="0"/>
    <n v="0"/>
    <n v="34500"/>
    <n v="118004"/>
    <m/>
  </r>
  <r>
    <x v="12"/>
    <x v="0"/>
    <x v="10"/>
    <n v="2961"/>
    <n v="1"/>
    <x v="2"/>
    <x v="5"/>
    <x v="2"/>
    <n v="0"/>
    <n v="10000"/>
    <n v="0"/>
    <n v="4000"/>
    <m/>
  </r>
  <r>
    <x v="12"/>
    <x v="0"/>
    <x v="10"/>
    <n v="2744"/>
    <n v="1"/>
    <x v="14"/>
    <x v="1"/>
    <x v="6"/>
    <n v="0"/>
    <n v="0"/>
    <n v="0"/>
    <n v="0"/>
    <m/>
  </r>
  <r>
    <x v="12"/>
    <x v="0"/>
    <x v="10"/>
    <n v="2564"/>
    <n v="0"/>
    <x v="14"/>
    <x v="5"/>
    <x v="3"/>
    <n v="0"/>
    <n v="0"/>
    <n v="0"/>
    <n v="0"/>
    <m/>
  </r>
  <r>
    <x v="12"/>
    <x v="0"/>
    <x v="10"/>
    <n v="2876"/>
    <n v="2"/>
    <x v="4"/>
    <x v="1"/>
    <x v="5"/>
    <n v="0"/>
    <n v="0"/>
    <n v="34500"/>
    <n v="118004"/>
    <m/>
  </r>
  <r>
    <x v="12"/>
    <x v="0"/>
    <x v="10"/>
    <n v="2779"/>
    <n v="0"/>
    <x v="16"/>
    <x v="2"/>
    <x v="0"/>
    <n v="0"/>
    <n v="0"/>
    <n v="0"/>
    <n v="0"/>
    <m/>
  </r>
  <r>
    <x v="3"/>
    <x v="0"/>
    <x v="10"/>
    <n v="3024"/>
    <n v="1"/>
    <x v="3"/>
    <x v="3"/>
    <x v="4"/>
    <n v="0"/>
    <n v="0"/>
    <n v="0"/>
    <n v="0"/>
    <m/>
  </r>
  <r>
    <x v="12"/>
    <x v="0"/>
    <x v="10"/>
    <n v="3032"/>
    <n v="0"/>
    <x v="14"/>
    <x v="5"/>
    <x v="3"/>
    <n v="0"/>
    <n v="0"/>
    <n v="0"/>
    <n v="0"/>
    <m/>
  </r>
  <r>
    <x v="12"/>
    <x v="0"/>
    <x v="10"/>
    <n v="2865"/>
    <n v="1"/>
    <x v="4"/>
    <x v="1"/>
    <x v="5"/>
    <n v="0"/>
    <n v="0"/>
    <n v="34500"/>
    <n v="118004"/>
    <m/>
  </r>
  <r>
    <x v="12"/>
    <x v="0"/>
    <x v="10"/>
    <n v="2891"/>
    <n v="2"/>
    <x v="14"/>
    <x v="1"/>
    <x v="4"/>
    <n v="0"/>
    <n v="0"/>
    <n v="0"/>
    <n v="0"/>
    <m/>
  </r>
  <r>
    <x v="12"/>
    <x v="0"/>
    <x v="10"/>
    <n v="2799"/>
    <n v="0"/>
    <x v="14"/>
    <x v="2"/>
    <x v="4"/>
    <n v="0"/>
    <n v="0"/>
    <n v="0"/>
    <n v="0"/>
    <m/>
  </r>
  <r>
    <x v="12"/>
    <x v="0"/>
    <x v="10"/>
    <n v="3197"/>
    <n v="1"/>
    <x v="14"/>
    <x v="2"/>
    <x v="4"/>
    <n v="0"/>
    <n v="0"/>
    <n v="0"/>
    <n v="0"/>
    <m/>
  </r>
  <r>
    <x v="12"/>
    <x v="0"/>
    <x v="10"/>
    <n v="3013"/>
    <n v="0"/>
    <x v="14"/>
    <x v="4"/>
    <x v="3"/>
    <n v="0"/>
    <n v="0"/>
    <n v="0"/>
    <n v="0"/>
    <m/>
  </r>
  <r>
    <x v="12"/>
    <x v="0"/>
    <x v="10"/>
    <n v="3393"/>
    <n v="1"/>
    <x v="14"/>
    <x v="4"/>
    <x v="3"/>
    <n v="0"/>
    <n v="0"/>
    <n v="0"/>
    <n v="0"/>
    <m/>
  </r>
  <r>
    <x v="12"/>
    <x v="0"/>
    <x v="10"/>
    <n v="3290"/>
    <n v="0"/>
    <x v="19"/>
    <x v="1"/>
    <x v="2"/>
    <n v="0"/>
    <n v="120000"/>
    <n v="0"/>
    <n v="0"/>
    <m/>
  </r>
  <r>
    <x v="13"/>
    <x v="2"/>
    <x v="3"/>
    <n v="1311"/>
    <n v="0"/>
    <x v="0"/>
    <x v="0"/>
    <x v="0"/>
    <n v="1236"/>
    <n v="1236"/>
    <n v="0"/>
    <n v="0"/>
    <m/>
  </r>
  <r>
    <x v="12"/>
    <x v="0"/>
    <x v="10"/>
    <n v="2551"/>
    <n v="1"/>
    <x v="11"/>
    <x v="12"/>
    <x v="1"/>
    <n v="0"/>
    <n v="0"/>
    <n v="0"/>
    <n v="0"/>
    <m/>
  </r>
  <r>
    <x v="12"/>
    <x v="0"/>
    <x v="10"/>
    <n v="2856"/>
    <n v="0"/>
    <x v="14"/>
    <x v="1"/>
    <x v="6"/>
    <n v="0"/>
    <n v="0"/>
    <n v="0"/>
    <n v="0"/>
    <m/>
  </r>
  <r>
    <x v="12"/>
    <x v="0"/>
    <x v="10"/>
    <n v="2488"/>
    <n v="1"/>
    <x v="14"/>
    <x v="3"/>
    <x v="4"/>
    <n v="0"/>
    <n v="0"/>
    <n v="0"/>
    <n v="0"/>
    <m/>
  </r>
  <r>
    <x v="12"/>
    <x v="0"/>
    <x v="10"/>
    <n v="2583"/>
    <n v="0"/>
    <x v="14"/>
    <x v="5"/>
    <x v="3"/>
    <n v="0"/>
    <n v="0"/>
    <n v="0"/>
    <n v="0"/>
    <m/>
  </r>
  <r>
    <x v="12"/>
    <x v="0"/>
    <x v="10"/>
    <n v="2394"/>
    <n v="0"/>
    <x v="14"/>
    <x v="4"/>
    <x v="3"/>
    <n v="0"/>
    <n v="0"/>
    <n v="0"/>
    <n v="0"/>
    <m/>
  </r>
  <r>
    <x v="12"/>
    <x v="0"/>
    <x v="10"/>
    <n v="2703"/>
    <n v="0"/>
    <x v="14"/>
    <x v="1"/>
    <x v="6"/>
    <n v="0"/>
    <n v="0"/>
    <n v="0"/>
    <n v="0"/>
    <m/>
  </r>
  <r>
    <x v="12"/>
    <x v="0"/>
    <x v="10"/>
    <n v="2880"/>
    <n v="1"/>
    <x v="14"/>
    <x v="4"/>
    <x v="3"/>
    <n v="0"/>
    <n v="0"/>
    <n v="0"/>
    <n v="0"/>
    <m/>
  </r>
  <r>
    <x v="12"/>
    <x v="0"/>
    <x v="10"/>
    <n v="2802"/>
    <n v="0"/>
    <x v="14"/>
    <x v="3"/>
    <x v="4"/>
    <n v="0"/>
    <n v="0"/>
    <n v="0"/>
    <n v="0"/>
    <m/>
  </r>
  <r>
    <x v="12"/>
    <x v="0"/>
    <x v="10"/>
    <n v="2784"/>
    <n v="2"/>
    <x v="16"/>
    <x v="2"/>
    <x v="0"/>
    <n v="0"/>
    <n v="0"/>
    <n v="0"/>
    <n v="0"/>
    <m/>
  </r>
  <r>
    <x v="12"/>
    <x v="0"/>
    <x v="10"/>
    <n v="2856"/>
    <n v="0"/>
    <x v="14"/>
    <x v="3"/>
    <x v="4"/>
    <n v="0"/>
    <n v="0"/>
    <n v="0"/>
    <n v="0"/>
    <m/>
  </r>
  <r>
    <x v="12"/>
    <x v="0"/>
    <x v="10"/>
    <n v="3481"/>
    <n v="0"/>
    <x v="14"/>
    <x v="4"/>
    <x v="3"/>
    <n v="0"/>
    <n v="0"/>
    <n v="0"/>
    <n v="0"/>
    <m/>
  </r>
  <r>
    <x v="12"/>
    <x v="0"/>
    <x v="10"/>
    <n v="2701"/>
    <n v="0"/>
    <x v="4"/>
    <x v="13"/>
    <x v="0"/>
    <n v="0"/>
    <n v="0"/>
    <n v="0"/>
    <n v="0"/>
    <m/>
  </r>
  <r>
    <x v="12"/>
    <x v="0"/>
    <x v="10"/>
    <n v="2809"/>
    <n v="1"/>
    <x v="12"/>
    <x v="14"/>
    <x v="0"/>
    <n v="0"/>
    <n v="0"/>
    <n v="0"/>
    <n v="0"/>
    <m/>
  </r>
  <r>
    <x v="12"/>
    <x v="0"/>
    <x v="10"/>
    <n v="2999"/>
    <n v="0"/>
    <x v="14"/>
    <x v="5"/>
    <x v="3"/>
    <n v="0"/>
    <n v="0"/>
    <n v="0"/>
    <n v="0"/>
    <m/>
  </r>
  <r>
    <x v="12"/>
    <x v="0"/>
    <x v="10"/>
    <n v="2639"/>
    <n v="1"/>
    <x v="14"/>
    <x v="2"/>
    <x v="4"/>
    <n v="0"/>
    <n v="0"/>
    <n v="0"/>
    <n v="0"/>
    <m/>
  </r>
  <r>
    <x v="12"/>
    <x v="0"/>
    <x v="10"/>
    <n v="2853"/>
    <n v="0"/>
    <x v="14"/>
    <x v="2"/>
    <x v="6"/>
    <n v="0"/>
    <n v="0"/>
    <n v="0"/>
    <n v="0"/>
    <m/>
  </r>
  <r>
    <x v="12"/>
    <x v="0"/>
    <x v="10"/>
    <n v="3206"/>
    <n v="1"/>
    <x v="14"/>
    <x v="4"/>
    <x v="3"/>
    <n v="0"/>
    <n v="0"/>
    <n v="0"/>
    <n v="0"/>
    <m/>
  </r>
  <r>
    <x v="12"/>
    <x v="0"/>
    <x v="10"/>
    <n v="3218"/>
    <n v="0"/>
    <x v="14"/>
    <x v="3"/>
    <x v="4"/>
    <n v="0"/>
    <n v="0"/>
    <n v="0"/>
    <n v="0"/>
    <m/>
  </r>
  <r>
    <x v="12"/>
    <x v="0"/>
    <x v="10"/>
    <n v="2853"/>
    <n v="2"/>
    <x v="14"/>
    <x v="3"/>
    <x v="6"/>
    <n v="0"/>
    <n v="0"/>
    <n v="0"/>
    <n v="0"/>
    <m/>
  </r>
  <r>
    <x v="12"/>
    <x v="0"/>
    <x v="10"/>
    <n v="2921"/>
    <n v="0"/>
    <x v="14"/>
    <x v="1"/>
    <x v="6"/>
    <n v="0"/>
    <n v="0"/>
    <n v="0"/>
    <n v="0"/>
    <m/>
  </r>
  <r>
    <x v="12"/>
    <x v="0"/>
    <x v="10"/>
    <n v="2840"/>
    <n v="0"/>
    <x v="12"/>
    <x v="14"/>
    <x v="0"/>
    <n v="0"/>
    <n v="0"/>
    <n v="0"/>
    <n v="0"/>
    <m/>
  </r>
  <r>
    <x v="12"/>
    <x v="0"/>
    <x v="10"/>
    <n v="3444"/>
    <n v="0"/>
    <x v="16"/>
    <x v="1"/>
    <x v="0"/>
    <n v="0"/>
    <n v="0"/>
    <n v="0"/>
    <n v="0"/>
    <m/>
  </r>
  <r>
    <x v="12"/>
    <x v="0"/>
    <x v="10"/>
    <n v="2844"/>
    <n v="0"/>
    <x v="14"/>
    <x v="2"/>
    <x v="4"/>
    <n v="0"/>
    <n v="0"/>
    <n v="0"/>
    <n v="0"/>
    <m/>
  </r>
  <r>
    <x v="12"/>
    <x v="0"/>
    <x v="10"/>
    <n v="2720"/>
    <n v="0"/>
    <x v="14"/>
    <x v="4"/>
    <x v="3"/>
    <n v="0"/>
    <n v="0"/>
    <n v="0"/>
    <n v="0"/>
    <m/>
  </r>
  <r>
    <x v="12"/>
    <x v="0"/>
    <x v="10"/>
    <n v="2990"/>
    <n v="1"/>
    <x v="14"/>
    <x v="4"/>
    <x v="3"/>
    <n v="0"/>
    <n v="0"/>
    <n v="0"/>
    <n v="0"/>
    <m/>
  </r>
  <r>
    <x v="12"/>
    <x v="0"/>
    <x v="10"/>
    <n v="2846"/>
    <n v="4"/>
    <x v="14"/>
    <x v="1"/>
    <x v="4"/>
    <n v="0"/>
    <n v="0"/>
    <n v="0"/>
    <n v="0"/>
    <m/>
  </r>
  <r>
    <x v="12"/>
    <x v="0"/>
    <x v="10"/>
    <n v="2740"/>
    <n v="1"/>
    <x v="16"/>
    <x v="1"/>
    <x v="0"/>
    <n v="0"/>
    <n v="0"/>
    <n v="0"/>
    <n v="0"/>
    <m/>
  </r>
  <r>
    <x v="12"/>
    <x v="0"/>
    <x v="10"/>
    <n v="2619"/>
    <n v="2"/>
    <x v="14"/>
    <x v="1"/>
    <x v="4"/>
    <n v="0"/>
    <n v="0"/>
    <n v="0"/>
    <n v="0"/>
    <m/>
  </r>
  <r>
    <x v="12"/>
    <x v="0"/>
    <x v="10"/>
    <n v="3000"/>
    <n v="1"/>
    <x v="14"/>
    <x v="2"/>
    <x v="4"/>
    <n v="0"/>
    <n v="0"/>
    <n v="0"/>
    <n v="0"/>
    <m/>
  </r>
  <r>
    <x v="12"/>
    <x v="0"/>
    <x v="10"/>
    <n v="2846"/>
    <n v="3"/>
    <x v="14"/>
    <x v="4"/>
    <x v="3"/>
    <n v="0"/>
    <n v="0"/>
    <n v="0"/>
    <n v="0"/>
    <m/>
  </r>
  <r>
    <x v="12"/>
    <x v="0"/>
    <x v="10"/>
    <n v="2824"/>
    <n v="2"/>
    <x v="16"/>
    <x v="3"/>
    <x v="0"/>
    <n v="0"/>
    <n v="0"/>
    <n v="0"/>
    <n v="0"/>
    <m/>
  </r>
  <r>
    <x v="12"/>
    <x v="0"/>
    <x v="10"/>
    <n v="3201"/>
    <n v="0"/>
    <x v="14"/>
    <x v="5"/>
    <x v="3"/>
    <n v="0"/>
    <n v="0"/>
    <n v="0"/>
    <n v="0"/>
    <m/>
  </r>
  <r>
    <x v="12"/>
    <x v="0"/>
    <x v="10"/>
    <n v="2638"/>
    <n v="0"/>
    <x v="14"/>
    <x v="3"/>
    <x v="3"/>
    <n v="0"/>
    <n v="0"/>
    <n v="0"/>
    <n v="0"/>
    <m/>
  </r>
  <r>
    <x v="12"/>
    <x v="0"/>
    <x v="10"/>
    <n v="2887"/>
    <n v="1"/>
    <x v="2"/>
    <x v="4"/>
    <x v="2"/>
    <n v="0"/>
    <n v="8000"/>
    <n v="0"/>
    <n v="3200"/>
    <m/>
  </r>
  <r>
    <x v="12"/>
    <x v="0"/>
    <x v="10"/>
    <n v="2399"/>
    <n v="0"/>
    <x v="14"/>
    <x v="3"/>
    <x v="6"/>
    <n v="0"/>
    <n v="0"/>
    <n v="0"/>
    <n v="0"/>
    <m/>
  </r>
  <r>
    <x v="12"/>
    <x v="0"/>
    <x v="10"/>
    <n v="3055"/>
    <n v="1"/>
    <x v="14"/>
    <x v="1"/>
    <x v="4"/>
    <n v="0"/>
    <n v="0"/>
    <n v="0"/>
    <n v="0"/>
    <m/>
  </r>
  <r>
    <x v="12"/>
    <x v="0"/>
    <x v="10"/>
    <n v="2841"/>
    <n v="0"/>
    <x v="14"/>
    <x v="5"/>
    <x v="3"/>
    <n v="0"/>
    <n v="0"/>
    <n v="0"/>
    <n v="0"/>
    <m/>
  </r>
  <r>
    <x v="12"/>
    <x v="0"/>
    <x v="10"/>
    <n v="2937"/>
    <n v="0"/>
    <x v="11"/>
    <x v="13"/>
    <x v="0"/>
    <n v="0"/>
    <n v="0"/>
    <n v="0"/>
    <n v="0"/>
    <m/>
  </r>
  <r>
    <x v="12"/>
    <x v="0"/>
    <x v="10"/>
    <n v="2426"/>
    <n v="0"/>
    <x v="14"/>
    <x v="1"/>
    <x v="6"/>
    <n v="0"/>
    <n v="0"/>
    <n v="0"/>
    <n v="0"/>
    <m/>
  </r>
  <r>
    <x v="12"/>
    <x v="0"/>
    <x v="10"/>
    <n v="2552"/>
    <n v="1"/>
    <x v="14"/>
    <x v="3"/>
    <x v="4"/>
    <n v="0"/>
    <n v="0"/>
    <n v="0"/>
    <n v="0"/>
    <m/>
  </r>
  <r>
    <x v="12"/>
    <x v="0"/>
    <x v="10"/>
    <n v="2771"/>
    <n v="2"/>
    <x v="14"/>
    <x v="1"/>
    <x v="4"/>
    <n v="0"/>
    <n v="0"/>
    <n v="0"/>
    <n v="0"/>
    <m/>
  </r>
  <r>
    <x v="12"/>
    <x v="0"/>
    <x v="10"/>
    <n v="2652"/>
    <n v="2"/>
    <x v="14"/>
    <x v="4"/>
    <x v="3"/>
    <n v="0"/>
    <n v="0"/>
    <n v="0"/>
    <n v="0"/>
    <m/>
  </r>
  <r>
    <x v="12"/>
    <x v="0"/>
    <x v="10"/>
    <n v="2708"/>
    <n v="0"/>
    <x v="14"/>
    <x v="1"/>
    <x v="6"/>
    <n v="0"/>
    <n v="0"/>
    <n v="0"/>
    <n v="0"/>
    <m/>
  </r>
  <r>
    <x v="12"/>
    <x v="0"/>
    <x v="10"/>
    <n v="2684"/>
    <n v="1"/>
    <x v="14"/>
    <x v="1"/>
    <x v="6"/>
    <n v="0"/>
    <n v="0"/>
    <n v="0"/>
    <n v="0"/>
    <m/>
  </r>
  <r>
    <x v="12"/>
    <x v="0"/>
    <x v="10"/>
    <n v="3108"/>
    <n v="3"/>
    <x v="14"/>
    <x v="4"/>
    <x v="3"/>
    <n v="0"/>
    <n v="0"/>
    <n v="0"/>
    <n v="0"/>
    <m/>
  </r>
  <r>
    <x v="12"/>
    <x v="0"/>
    <x v="10"/>
    <n v="2839"/>
    <n v="1"/>
    <x v="14"/>
    <x v="1"/>
    <x v="6"/>
    <n v="0"/>
    <n v="0"/>
    <n v="0"/>
    <n v="0"/>
    <m/>
  </r>
  <r>
    <x v="5"/>
    <x v="1"/>
    <x v="8"/>
    <n v="1670"/>
    <n v="1"/>
    <x v="0"/>
    <x v="0"/>
    <x v="0"/>
    <n v="1976"/>
    <n v="1976"/>
    <n v="0"/>
    <n v="0"/>
    <m/>
  </r>
  <r>
    <x v="5"/>
    <x v="1"/>
    <x v="8"/>
    <n v="2097"/>
    <n v="1"/>
    <x v="0"/>
    <x v="0"/>
    <x v="0"/>
    <n v="1824"/>
    <n v="1824"/>
    <n v="0"/>
    <n v="0"/>
    <m/>
  </r>
  <r>
    <x v="5"/>
    <x v="1"/>
    <x v="8"/>
    <n v="2652"/>
    <n v="0"/>
    <x v="0"/>
    <x v="0"/>
    <x v="0"/>
    <n v="1976"/>
    <n v="1976"/>
    <n v="0"/>
    <n v="0"/>
    <m/>
  </r>
  <r>
    <x v="5"/>
    <x v="1"/>
    <x v="8"/>
    <n v="1719"/>
    <n v="2"/>
    <x v="0"/>
    <x v="0"/>
    <x v="0"/>
    <n v="1824"/>
    <n v="1824"/>
    <n v="0"/>
    <n v="0"/>
    <m/>
  </r>
  <r>
    <x v="5"/>
    <x v="1"/>
    <x v="8"/>
    <n v="1304"/>
    <n v="1"/>
    <x v="2"/>
    <x v="2"/>
    <x v="2"/>
    <n v="0"/>
    <n v="4000"/>
    <n v="0"/>
    <n v="1600"/>
    <m/>
  </r>
  <r>
    <x v="5"/>
    <x v="1"/>
    <x v="8"/>
    <n v="1662"/>
    <n v="2"/>
    <x v="0"/>
    <x v="0"/>
    <x v="0"/>
    <n v="1976"/>
    <n v="1976"/>
    <n v="0"/>
    <n v="0"/>
    <m/>
  </r>
  <r>
    <x v="5"/>
    <x v="1"/>
    <x v="8"/>
    <n v="1385"/>
    <n v="0"/>
    <x v="0"/>
    <x v="0"/>
    <x v="0"/>
    <n v="2937"/>
    <n v="2937"/>
    <n v="0"/>
    <n v="0"/>
    <m/>
  </r>
  <r>
    <x v="5"/>
    <x v="1"/>
    <x v="8"/>
    <n v="1707"/>
    <n v="1"/>
    <x v="0"/>
    <x v="0"/>
    <x v="0"/>
    <n v="1824"/>
    <n v="1824"/>
    <n v="0"/>
    <n v="0"/>
    <m/>
  </r>
  <r>
    <x v="5"/>
    <x v="1"/>
    <x v="8"/>
    <n v="1589"/>
    <n v="1"/>
    <x v="2"/>
    <x v="2"/>
    <x v="2"/>
    <n v="0"/>
    <n v="4000"/>
    <n v="0"/>
    <n v="1600"/>
    <m/>
  </r>
  <r>
    <x v="5"/>
    <x v="1"/>
    <x v="8"/>
    <n v="1796"/>
    <n v="2"/>
    <x v="2"/>
    <x v="2"/>
    <x v="2"/>
    <n v="0"/>
    <n v="4000"/>
    <n v="0"/>
    <n v="1600"/>
    <m/>
  </r>
  <r>
    <x v="1"/>
    <x v="1"/>
    <x v="8"/>
    <n v="2028"/>
    <n v="0"/>
    <x v="2"/>
    <x v="2"/>
    <x v="2"/>
    <n v="0"/>
    <n v="4000"/>
    <n v="0"/>
    <n v="1600"/>
    <m/>
  </r>
  <r>
    <x v="1"/>
    <x v="1"/>
    <x v="8"/>
    <n v="1671"/>
    <n v="0"/>
    <x v="0"/>
    <x v="0"/>
    <x v="0"/>
    <n v="1824"/>
    <n v="1824"/>
    <n v="0"/>
    <n v="0"/>
    <m/>
  </r>
  <r>
    <x v="1"/>
    <x v="1"/>
    <x v="8"/>
    <n v="777"/>
    <n v="3"/>
    <x v="0"/>
    <x v="0"/>
    <x v="0"/>
    <n v="2128"/>
    <n v="2128"/>
    <n v="0"/>
    <n v="0"/>
    <m/>
  </r>
  <r>
    <x v="1"/>
    <x v="1"/>
    <x v="8"/>
    <n v="2328"/>
    <n v="1"/>
    <x v="2"/>
    <x v="2"/>
    <x v="2"/>
    <n v="0"/>
    <n v="4000"/>
    <n v="0"/>
    <n v="1600"/>
    <m/>
  </r>
  <r>
    <x v="1"/>
    <x v="1"/>
    <x v="8"/>
    <n v="1762"/>
    <n v="2"/>
    <x v="0"/>
    <x v="0"/>
    <x v="0"/>
    <n v="1976"/>
    <n v="1976"/>
    <n v="0"/>
    <n v="0"/>
    <m/>
  </r>
  <r>
    <x v="1"/>
    <x v="1"/>
    <x v="8"/>
    <n v="1553"/>
    <n v="1"/>
    <x v="0"/>
    <x v="0"/>
    <x v="0"/>
    <n v="2937"/>
    <n v="2937"/>
    <n v="0"/>
    <n v="0"/>
    <m/>
  </r>
  <r>
    <x v="1"/>
    <x v="1"/>
    <x v="8"/>
    <n v="1066"/>
    <n v="1"/>
    <x v="2"/>
    <x v="2"/>
    <x v="2"/>
    <n v="0"/>
    <n v="4000"/>
    <n v="0"/>
    <n v="1600"/>
    <m/>
  </r>
  <r>
    <x v="1"/>
    <x v="1"/>
    <x v="8"/>
    <n v="1654"/>
    <n v="0"/>
    <x v="0"/>
    <x v="0"/>
    <x v="0"/>
    <n v="2937"/>
    <n v="2937"/>
    <n v="0"/>
    <n v="0"/>
    <m/>
  </r>
  <r>
    <x v="5"/>
    <x v="1"/>
    <x v="8"/>
    <n v="2758"/>
    <n v="0"/>
    <x v="2"/>
    <x v="2"/>
    <x v="2"/>
    <n v="0"/>
    <n v="4000"/>
    <n v="0"/>
    <n v="1600"/>
    <m/>
  </r>
  <r>
    <x v="3"/>
    <x v="0"/>
    <x v="10"/>
    <n v="3008"/>
    <n v="1"/>
    <x v="3"/>
    <x v="5"/>
    <x v="3"/>
    <m/>
    <n v="0"/>
    <n v="0"/>
    <n v="0"/>
    <m/>
  </r>
  <r>
    <x v="2"/>
    <x v="0"/>
    <x v="6"/>
    <n v="2997"/>
    <n v="0"/>
    <x v="2"/>
    <x v="4"/>
    <x v="2"/>
    <n v="0"/>
    <n v="8000"/>
    <n v="0"/>
    <n v="3200"/>
    <m/>
  </r>
  <r>
    <x v="2"/>
    <x v="0"/>
    <x v="6"/>
    <n v="3403"/>
    <n v="3"/>
    <x v="13"/>
    <x v="1"/>
    <x v="7"/>
    <n v="3307"/>
    <n v="3307"/>
    <n v="0"/>
    <n v="0"/>
    <m/>
  </r>
  <r>
    <x v="2"/>
    <x v="0"/>
    <x v="6"/>
    <n v="3941"/>
    <n v="1"/>
    <x v="2"/>
    <x v="3"/>
    <x v="2"/>
    <n v="0"/>
    <n v="6000"/>
    <n v="0"/>
    <n v="2400"/>
    <m/>
  </r>
  <r>
    <x v="2"/>
    <x v="0"/>
    <x v="6"/>
    <n v="2787"/>
    <n v="1"/>
    <x v="13"/>
    <x v="1"/>
    <x v="7"/>
    <n v="5512"/>
    <n v="5512"/>
    <n v="0"/>
    <n v="0"/>
    <m/>
  </r>
  <r>
    <x v="2"/>
    <x v="0"/>
    <x v="6"/>
    <n v="3709"/>
    <n v="1"/>
    <x v="2"/>
    <x v="3"/>
    <x v="2"/>
    <n v="0"/>
    <n v="6000"/>
    <n v="0"/>
    <n v="2400"/>
    <m/>
  </r>
  <r>
    <x v="2"/>
    <x v="0"/>
    <x v="6"/>
    <n v="3276"/>
    <n v="4"/>
    <x v="13"/>
    <x v="1"/>
    <x v="7"/>
    <n v="2411"/>
    <n v="2411"/>
    <n v="0"/>
    <n v="0"/>
    <m/>
  </r>
  <r>
    <x v="2"/>
    <x v="0"/>
    <x v="6"/>
    <n v="2942"/>
    <n v="1"/>
    <x v="2"/>
    <x v="4"/>
    <x v="2"/>
    <n v="0"/>
    <n v="8000"/>
    <n v="0"/>
    <n v="3200"/>
    <m/>
  </r>
  <r>
    <x v="2"/>
    <x v="0"/>
    <x v="6"/>
    <n v="3049"/>
    <n v="1"/>
    <x v="13"/>
    <x v="1"/>
    <x v="7"/>
    <n v="3927"/>
    <n v="3927"/>
    <n v="0"/>
    <n v="0"/>
    <m/>
  </r>
  <r>
    <x v="2"/>
    <x v="0"/>
    <x v="6"/>
    <n v="2793"/>
    <n v="0"/>
    <x v="20"/>
    <x v="1"/>
    <x v="5"/>
    <n v="1971"/>
    <n v="1971"/>
    <n v="0"/>
    <n v="0"/>
    <m/>
  </r>
  <r>
    <x v="2"/>
    <x v="0"/>
    <x v="6"/>
    <n v="3111"/>
    <n v="1"/>
    <x v="20"/>
    <x v="1"/>
    <x v="7"/>
    <n v="3720"/>
    <n v="3720"/>
    <n v="0"/>
    <n v="0"/>
    <m/>
  </r>
  <r>
    <x v="2"/>
    <x v="0"/>
    <x v="6"/>
    <n v="2990"/>
    <n v="0"/>
    <x v="13"/>
    <x v="1"/>
    <x v="7"/>
    <n v="4134"/>
    <n v="4134"/>
    <n v="0"/>
    <n v="0"/>
    <m/>
  </r>
  <r>
    <x v="2"/>
    <x v="0"/>
    <x v="6"/>
    <n v="3378"/>
    <n v="1"/>
    <x v="13"/>
    <x v="1"/>
    <x v="7"/>
    <n v="4134"/>
    <n v="4134"/>
    <n v="0"/>
    <n v="0"/>
    <m/>
  </r>
  <r>
    <x v="2"/>
    <x v="0"/>
    <x v="6"/>
    <n v="2940"/>
    <n v="3"/>
    <x v="20"/>
    <x v="1"/>
    <x v="7"/>
    <n v="4042"/>
    <n v="4042"/>
    <n v="0"/>
    <n v="0"/>
    <m/>
  </r>
  <r>
    <x v="2"/>
    <x v="0"/>
    <x v="6"/>
    <n v="3698"/>
    <n v="3"/>
    <x v="13"/>
    <x v="1"/>
    <x v="8"/>
    <n v="8500"/>
    <n v="8500"/>
    <n v="0"/>
    <n v="0"/>
    <m/>
  </r>
  <r>
    <x v="2"/>
    <x v="0"/>
    <x v="6"/>
    <n v="3224"/>
    <n v="0"/>
    <x v="2"/>
    <x v="3"/>
    <x v="2"/>
    <n v="0"/>
    <n v="6000"/>
    <n v="0"/>
    <n v="2400"/>
    <m/>
  </r>
  <r>
    <x v="2"/>
    <x v="0"/>
    <x v="6"/>
    <n v="2991"/>
    <n v="3"/>
    <x v="2"/>
    <x v="3"/>
    <x v="2"/>
    <n v="0"/>
    <n v="6000"/>
    <n v="0"/>
    <n v="2400"/>
    <m/>
  </r>
  <r>
    <x v="2"/>
    <x v="0"/>
    <x v="6"/>
    <n v="3535"/>
    <n v="2"/>
    <x v="13"/>
    <x v="1"/>
    <x v="8"/>
    <n v="5057"/>
    <n v="5057"/>
    <n v="0"/>
    <n v="0"/>
    <m/>
  </r>
  <r>
    <x v="2"/>
    <x v="0"/>
    <x v="6"/>
    <n v="3010"/>
    <n v="1"/>
    <x v="13"/>
    <x v="1"/>
    <x v="8"/>
    <n v="6800"/>
    <n v="6800"/>
    <n v="0"/>
    <n v="0"/>
    <m/>
  </r>
  <r>
    <x v="2"/>
    <x v="0"/>
    <x v="6"/>
    <n v="3005"/>
    <n v="2"/>
    <x v="13"/>
    <x v="1"/>
    <x v="7"/>
    <n v="7028"/>
    <n v="7028"/>
    <n v="0"/>
    <n v="0"/>
    <m/>
  </r>
  <r>
    <x v="2"/>
    <x v="0"/>
    <x v="6"/>
    <n v="2684"/>
    <n v="1"/>
    <x v="2"/>
    <x v="4"/>
    <x v="2"/>
    <n v="0"/>
    <n v="8000"/>
    <n v="0"/>
    <n v="3200"/>
    <m/>
  </r>
  <r>
    <x v="2"/>
    <x v="0"/>
    <x v="6"/>
    <n v="3225"/>
    <n v="0"/>
    <x v="20"/>
    <x v="1"/>
    <x v="7"/>
    <n v="4295"/>
    <n v="4295"/>
    <n v="0"/>
    <n v="0"/>
    <m/>
  </r>
  <r>
    <x v="2"/>
    <x v="0"/>
    <x v="6"/>
    <n v="3020"/>
    <n v="1"/>
    <x v="13"/>
    <x v="1"/>
    <x v="7"/>
    <n v="4134"/>
    <n v="4134"/>
    <n v="0"/>
    <n v="0"/>
    <m/>
  </r>
  <r>
    <x v="2"/>
    <x v="0"/>
    <x v="6"/>
    <n v="2530"/>
    <n v="1"/>
    <x v="13"/>
    <x v="1"/>
    <x v="7"/>
    <n v="4134"/>
    <n v="4134"/>
    <n v="0"/>
    <n v="0"/>
    <m/>
  </r>
  <r>
    <x v="2"/>
    <x v="0"/>
    <x v="6"/>
    <n v="3259"/>
    <n v="1"/>
    <x v="20"/>
    <x v="1"/>
    <x v="7"/>
    <n v="3675"/>
    <n v="3675"/>
    <n v="0"/>
    <n v="0"/>
    <m/>
  </r>
  <r>
    <x v="2"/>
    <x v="0"/>
    <x v="6"/>
    <n v="2913"/>
    <n v="1"/>
    <x v="20"/>
    <x v="1"/>
    <x v="7"/>
    <n v="3675"/>
    <n v="3675"/>
    <n v="0"/>
    <n v="0"/>
    <m/>
  </r>
  <r>
    <x v="2"/>
    <x v="0"/>
    <x v="6"/>
    <n v="2901"/>
    <n v="0"/>
    <x v="20"/>
    <x v="1"/>
    <x v="5"/>
    <n v="2319"/>
    <n v="2319"/>
    <n v="0"/>
    <n v="0"/>
    <m/>
  </r>
  <r>
    <x v="2"/>
    <x v="0"/>
    <x v="6"/>
    <n v="3437"/>
    <n v="2"/>
    <x v="13"/>
    <x v="1"/>
    <x v="7"/>
    <n v="2411"/>
    <n v="2411"/>
    <n v="0"/>
    <n v="0"/>
    <m/>
  </r>
  <r>
    <x v="2"/>
    <x v="0"/>
    <x v="6"/>
    <n v="2966"/>
    <n v="2"/>
    <x v="8"/>
    <x v="2"/>
    <x v="5"/>
    <n v="0"/>
    <n v="0"/>
    <n v="1725"/>
    <n v="1791.1"/>
    <m/>
  </r>
  <r>
    <x v="2"/>
    <x v="0"/>
    <x v="6"/>
    <n v="3352"/>
    <n v="1"/>
    <x v="20"/>
    <x v="1"/>
    <x v="7"/>
    <n v="6615"/>
    <n v="6615"/>
    <n v="0"/>
    <n v="0"/>
    <m/>
  </r>
  <r>
    <x v="2"/>
    <x v="0"/>
    <x v="6"/>
    <n v="2869"/>
    <n v="1"/>
    <x v="2"/>
    <x v="4"/>
    <x v="2"/>
    <n v="0"/>
    <n v="8000"/>
    <n v="0"/>
    <n v="3200"/>
    <m/>
  </r>
  <r>
    <x v="2"/>
    <x v="0"/>
    <x v="6"/>
    <n v="2535"/>
    <n v="1"/>
    <x v="13"/>
    <x v="1"/>
    <x v="7"/>
    <n v="3307"/>
    <n v="3307"/>
    <n v="0"/>
    <n v="0"/>
    <m/>
  </r>
  <r>
    <x v="2"/>
    <x v="0"/>
    <x v="6"/>
    <n v="3507"/>
    <n v="0"/>
    <x v="4"/>
    <x v="1"/>
    <x v="1"/>
    <n v="0"/>
    <n v="0"/>
    <n v="11500"/>
    <n v="35822"/>
    <m/>
  </r>
  <r>
    <x v="2"/>
    <x v="0"/>
    <x v="6"/>
    <n v="2571"/>
    <n v="0"/>
    <x v="2"/>
    <x v="3"/>
    <x v="2"/>
    <n v="0"/>
    <n v="6000"/>
    <n v="0"/>
    <n v="2400"/>
    <m/>
  </r>
  <r>
    <x v="2"/>
    <x v="0"/>
    <x v="6"/>
    <n v="3364"/>
    <n v="1"/>
    <x v="13"/>
    <x v="1"/>
    <x v="7"/>
    <n v="2205"/>
    <n v="2205"/>
    <n v="0"/>
    <n v="0"/>
    <m/>
  </r>
  <r>
    <x v="2"/>
    <x v="0"/>
    <x v="6"/>
    <n v="3190"/>
    <n v="1"/>
    <x v="2"/>
    <x v="3"/>
    <x v="2"/>
    <n v="0"/>
    <n v="6000"/>
    <n v="0"/>
    <n v="2400"/>
    <m/>
  </r>
  <r>
    <x v="2"/>
    <x v="0"/>
    <x v="6"/>
    <n v="3129"/>
    <n v="0"/>
    <x v="2"/>
    <x v="4"/>
    <x v="2"/>
    <n v="0"/>
    <n v="8000"/>
    <n v="0"/>
    <n v="3200"/>
    <m/>
  </r>
  <r>
    <x v="2"/>
    <x v="0"/>
    <x v="6"/>
    <n v="3416"/>
    <n v="0"/>
    <x v="13"/>
    <x v="1"/>
    <x v="7"/>
    <n v="2894"/>
    <n v="2894"/>
    <n v="0"/>
    <n v="0"/>
    <m/>
  </r>
  <r>
    <x v="2"/>
    <x v="0"/>
    <x v="6"/>
    <n v="2949"/>
    <n v="2"/>
    <x v="13"/>
    <x v="1"/>
    <x v="8"/>
    <n v="5355"/>
    <n v="5355"/>
    <n v="0"/>
    <n v="0"/>
    <m/>
  </r>
  <r>
    <x v="2"/>
    <x v="0"/>
    <x v="6"/>
    <n v="2714"/>
    <n v="2"/>
    <x v="2"/>
    <x v="3"/>
    <x v="2"/>
    <n v="0"/>
    <n v="6000"/>
    <n v="0"/>
    <n v="2400"/>
    <m/>
  </r>
  <r>
    <x v="2"/>
    <x v="0"/>
    <x v="6"/>
    <n v="2949"/>
    <n v="1"/>
    <x v="2"/>
    <x v="4"/>
    <x v="2"/>
    <n v="0"/>
    <n v="8000"/>
    <n v="0"/>
    <n v="3200"/>
    <m/>
  </r>
  <r>
    <x v="2"/>
    <x v="0"/>
    <x v="6"/>
    <n v="3175"/>
    <n v="0"/>
    <x v="2"/>
    <x v="3"/>
    <x v="2"/>
    <n v="0"/>
    <n v="6000"/>
    <n v="0"/>
    <n v="2400"/>
    <m/>
  </r>
  <r>
    <x v="2"/>
    <x v="0"/>
    <x v="6"/>
    <n v="3045"/>
    <n v="0"/>
    <x v="13"/>
    <x v="1"/>
    <x v="7"/>
    <n v="3514"/>
    <n v="3514"/>
    <n v="0"/>
    <n v="0"/>
    <m/>
  </r>
  <r>
    <x v="2"/>
    <x v="0"/>
    <x v="6"/>
    <n v="3609"/>
    <n v="1"/>
    <x v="2"/>
    <x v="3"/>
    <x v="2"/>
    <n v="0"/>
    <n v="6000"/>
    <n v="0"/>
    <n v="2400"/>
    <m/>
  </r>
  <r>
    <x v="2"/>
    <x v="0"/>
    <x v="6"/>
    <n v="2795"/>
    <n v="1"/>
    <x v="13"/>
    <x v="1"/>
    <x v="7"/>
    <n v="3675"/>
    <n v="3675"/>
    <n v="0"/>
    <n v="0"/>
    <m/>
  </r>
  <r>
    <x v="2"/>
    <x v="0"/>
    <x v="6"/>
    <n v="3324"/>
    <n v="0"/>
    <x v="13"/>
    <x v="1"/>
    <x v="7"/>
    <n v="2205"/>
    <n v="2205"/>
    <n v="0"/>
    <n v="0"/>
    <m/>
  </r>
  <r>
    <x v="2"/>
    <x v="0"/>
    <x v="6"/>
    <n v="2600"/>
    <n v="0"/>
    <x v="2"/>
    <x v="3"/>
    <x v="2"/>
    <n v="0"/>
    <n v="6000"/>
    <n v="0"/>
    <n v="2400"/>
    <m/>
  </r>
  <r>
    <x v="2"/>
    <x v="0"/>
    <x v="6"/>
    <n v="2789"/>
    <n v="1"/>
    <x v="20"/>
    <x v="1"/>
    <x v="7"/>
    <n v="3675"/>
    <n v="3675"/>
    <n v="0"/>
    <n v="0"/>
    <m/>
  </r>
  <r>
    <x v="2"/>
    <x v="0"/>
    <x v="6"/>
    <n v="3263"/>
    <n v="1"/>
    <x v="20"/>
    <x v="1"/>
    <x v="8"/>
    <n v="13005"/>
    <n v="13005"/>
    <n v="0"/>
    <n v="0"/>
    <m/>
  </r>
  <r>
    <x v="2"/>
    <x v="0"/>
    <x v="6"/>
    <n v="3037"/>
    <n v="2"/>
    <x v="2"/>
    <x v="3"/>
    <x v="2"/>
    <n v="0"/>
    <n v="6000"/>
    <n v="0"/>
    <n v="2400"/>
    <m/>
  </r>
  <r>
    <x v="2"/>
    <x v="0"/>
    <x v="6"/>
    <n v="1028"/>
    <n v="2"/>
    <x v="0"/>
    <x v="0"/>
    <x v="0"/>
    <n v="0"/>
    <n v="0"/>
    <n v="0"/>
    <n v="0"/>
    <s v="Y"/>
  </r>
  <r>
    <x v="2"/>
    <x v="0"/>
    <x v="7"/>
    <n v="3555"/>
    <n v="0"/>
    <x v="2"/>
    <x v="5"/>
    <x v="2"/>
    <n v="0"/>
    <n v="10000"/>
    <n v="0"/>
    <n v="4000"/>
    <m/>
  </r>
  <r>
    <x v="2"/>
    <x v="0"/>
    <x v="7"/>
    <n v="3633"/>
    <n v="0"/>
    <x v="2"/>
    <x v="4"/>
    <x v="2"/>
    <n v="0"/>
    <n v="8000"/>
    <n v="0"/>
    <n v="3200"/>
    <m/>
  </r>
  <r>
    <x v="2"/>
    <x v="0"/>
    <x v="7"/>
    <n v="3251"/>
    <n v="1"/>
    <x v="20"/>
    <x v="1"/>
    <x v="7"/>
    <n v="4134"/>
    <n v="4134"/>
    <n v="0"/>
    <n v="0"/>
    <m/>
  </r>
  <r>
    <x v="2"/>
    <x v="0"/>
    <x v="7"/>
    <n v="3614"/>
    <n v="1"/>
    <x v="20"/>
    <x v="1"/>
    <x v="8"/>
    <n v="7947"/>
    <n v="7947"/>
    <n v="0"/>
    <n v="0"/>
    <m/>
  </r>
  <r>
    <x v="2"/>
    <x v="0"/>
    <x v="7"/>
    <n v="3238"/>
    <n v="1"/>
    <x v="13"/>
    <x v="1"/>
    <x v="7"/>
    <n v="4134"/>
    <n v="4134"/>
    <n v="0"/>
    <n v="0"/>
    <m/>
  </r>
  <r>
    <x v="2"/>
    <x v="0"/>
    <x v="7"/>
    <n v="3097"/>
    <n v="0"/>
    <x v="13"/>
    <x v="1"/>
    <x v="7"/>
    <n v="3054"/>
    <n v="3054"/>
    <n v="0"/>
    <n v="0"/>
    <m/>
  </r>
  <r>
    <x v="2"/>
    <x v="0"/>
    <x v="7"/>
    <n v="2801"/>
    <n v="0"/>
    <x v="13"/>
    <x v="1"/>
    <x v="7"/>
    <n v="2618"/>
    <n v="2618"/>
    <n v="0"/>
    <n v="0"/>
    <m/>
  </r>
  <r>
    <x v="2"/>
    <x v="0"/>
    <x v="7"/>
    <n v="3150"/>
    <n v="0"/>
    <x v="13"/>
    <x v="1"/>
    <x v="8"/>
    <n v="5440"/>
    <n v="5440"/>
    <n v="0"/>
    <n v="0"/>
    <m/>
  </r>
  <r>
    <x v="2"/>
    <x v="0"/>
    <x v="7"/>
    <n v="3588"/>
    <n v="1"/>
    <x v="13"/>
    <x v="1"/>
    <x v="8"/>
    <n v="6800"/>
    <n v="6800"/>
    <n v="0"/>
    <n v="0"/>
    <m/>
  </r>
  <r>
    <x v="2"/>
    <x v="0"/>
    <x v="7"/>
    <n v="3318"/>
    <n v="1"/>
    <x v="2"/>
    <x v="1"/>
    <x v="7"/>
    <n v="0"/>
    <n v="0"/>
    <n v="0"/>
    <n v="0"/>
    <m/>
  </r>
  <r>
    <x v="2"/>
    <x v="0"/>
    <x v="7"/>
    <n v="3137"/>
    <n v="0"/>
    <x v="20"/>
    <x v="1"/>
    <x v="7"/>
    <n v="3491"/>
    <n v="3491"/>
    <n v="0"/>
    <n v="0"/>
    <m/>
  </r>
  <r>
    <x v="2"/>
    <x v="0"/>
    <x v="7"/>
    <n v="3409"/>
    <n v="0"/>
    <x v="2"/>
    <x v="5"/>
    <x v="2"/>
    <n v="0"/>
    <n v="10000"/>
    <n v="0"/>
    <n v="4000"/>
    <m/>
  </r>
  <r>
    <x v="2"/>
    <x v="0"/>
    <x v="7"/>
    <n v="3479"/>
    <n v="1"/>
    <x v="13"/>
    <x v="1"/>
    <x v="7"/>
    <n v="2411"/>
    <n v="2411"/>
    <n v="0"/>
    <n v="0"/>
    <m/>
  </r>
  <r>
    <x v="2"/>
    <x v="0"/>
    <x v="7"/>
    <n v="3505"/>
    <n v="2"/>
    <x v="20"/>
    <x v="1"/>
    <x v="8"/>
    <n v="7650"/>
    <n v="7650"/>
    <n v="0"/>
    <n v="0"/>
    <m/>
  </r>
  <r>
    <x v="2"/>
    <x v="0"/>
    <x v="7"/>
    <n v="3378"/>
    <n v="1"/>
    <x v="13"/>
    <x v="1"/>
    <x v="7"/>
    <n v="3675"/>
    <n v="3675"/>
    <n v="0"/>
    <n v="0"/>
    <m/>
  </r>
  <r>
    <x v="2"/>
    <x v="0"/>
    <x v="7"/>
    <n v="3978"/>
    <n v="2"/>
    <x v="2"/>
    <x v="5"/>
    <x v="2"/>
    <n v="0"/>
    <n v="10000"/>
    <n v="0"/>
    <n v="4000"/>
    <m/>
  </r>
  <r>
    <x v="2"/>
    <x v="0"/>
    <x v="7"/>
    <n v="4035"/>
    <n v="0"/>
    <x v="2"/>
    <x v="5"/>
    <x v="2"/>
    <n v="0"/>
    <n v="10000"/>
    <n v="0"/>
    <n v="4000"/>
    <m/>
  </r>
  <r>
    <x v="2"/>
    <x v="0"/>
    <x v="7"/>
    <n v="3616"/>
    <n v="1"/>
    <x v="2"/>
    <x v="5"/>
    <x v="2"/>
    <n v="0"/>
    <n v="10000"/>
    <n v="0"/>
    <n v="4000"/>
    <m/>
  </r>
  <r>
    <x v="2"/>
    <x v="0"/>
    <x v="7"/>
    <n v="3217"/>
    <n v="0"/>
    <x v="13"/>
    <x v="1"/>
    <x v="8"/>
    <n v="5440"/>
    <n v="5440"/>
    <n v="0"/>
    <n v="0"/>
    <m/>
  </r>
  <r>
    <x v="2"/>
    <x v="0"/>
    <x v="7"/>
    <n v="3453"/>
    <n v="0"/>
    <x v="13"/>
    <x v="1"/>
    <x v="8"/>
    <n v="4080"/>
    <n v="4080"/>
    <n v="0"/>
    <n v="0"/>
    <m/>
  </r>
  <r>
    <x v="2"/>
    <x v="0"/>
    <x v="7"/>
    <n v="3773"/>
    <n v="1"/>
    <x v="20"/>
    <x v="1"/>
    <x v="7"/>
    <n v="4547"/>
    <n v="4547"/>
    <n v="0"/>
    <n v="0"/>
    <m/>
  </r>
  <r>
    <x v="2"/>
    <x v="0"/>
    <x v="7"/>
    <n v="3152"/>
    <n v="2"/>
    <x v="13"/>
    <x v="1"/>
    <x v="7"/>
    <n v="3100"/>
    <n v="3100"/>
    <n v="0"/>
    <n v="0"/>
    <m/>
  </r>
  <r>
    <x v="2"/>
    <x v="0"/>
    <x v="7"/>
    <n v="3199"/>
    <n v="2"/>
    <x v="2"/>
    <x v="4"/>
    <x v="2"/>
    <n v="0"/>
    <n v="8000"/>
    <n v="0"/>
    <n v="3200"/>
    <m/>
  </r>
  <r>
    <x v="2"/>
    <x v="0"/>
    <x v="7"/>
    <n v="3391"/>
    <n v="1"/>
    <x v="21"/>
    <x v="1"/>
    <x v="7"/>
    <n v="5512"/>
    <n v="5512"/>
    <n v="0"/>
    <n v="0"/>
    <m/>
  </r>
  <r>
    <x v="2"/>
    <x v="0"/>
    <x v="7"/>
    <n v="3826"/>
    <n v="0"/>
    <x v="13"/>
    <x v="1"/>
    <x v="8"/>
    <n v="6885"/>
    <n v="6885"/>
    <n v="0"/>
    <n v="0"/>
    <m/>
  </r>
  <r>
    <x v="13"/>
    <x v="2"/>
    <x v="3"/>
    <n v="2208"/>
    <n v="2"/>
    <x v="0"/>
    <x v="0"/>
    <x v="0"/>
    <n v="1236"/>
    <n v="1236"/>
    <n v="0"/>
    <n v="0"/>
    <m/>
  </r>
  <r>
    <x v="13"/>
    <x v="2"/>
    <x v="3"/>
    <n v="2585"/>
    <n v="2"/>
    <x v="0"/>
    <x v="0"/>
    <x v="0"/>
    <n v="2205"/>
    <n v="2205"/>
    <n v="0"/>
    <n v="0"/>
    <m/>
  </r>
  <r>
    <x v="13"/>
    <x v="2"/>
    <x v="3"/>
    <n v="2501"/>
    <n v="0"/>
    <x v="0"/>
    <x v="0"/>
    <x v="0"/>
    <n v="1236"/>
    <n v="1236"/>
    <n v="0"/>
    <n v="0"/>
    <m/>
  </r>
  <r>
    <x v="13"/>
    <x v="2"/>
    <x v="3"/>
    <n v="1564"/>
    <n v="1"/>
    <x v="0"/>
    <x v="0"/>
    <x v="0"/>
    <n v="1236"/>
    <n v="1236"/>
    <n v="0"/>
    <n v="0"/>
    <m/>
  </r>
  <r>
    <x v="13"/>
    <x v="2"/>
    <x v="3"/>
    <n v="1352"/>
    <n v="0"/>
    <x v="0"/>
    <x v="0"/>
    <x v="0"/>
    <n v="2205"/>
    <n v="2205"/>
    <n v="0"/>
    <n v="0"/>
    <m/>
  </r>
  <r>
    <x v="13"/>
    <x v="2"/>
    <x v="3"/>
    <n v="828"/>
    <n v="0"/>
    <x v="0"/>
    <x v="0"/>
    <x v="0"/>
    <n v="1236"/>
    <n v="1236"/>
    <n v="0"/>
    <n v="0"/>
    <m/>
  </r>
  <r>
    <x v="13"/>
    <x v="2"/>
    <x v="3"/>
    <n v="1020"/>
    <n v="1"/>
    <x v="16"/>
    <x v="2"/>
    <x v="0"/>
    <n v="0"/>
    <n v="0"/>
    <n v="0"/>
    <n v="0"/>
    <m/>
  </r>
  <r>
    <x v="13"/>
    <x v="2"/>
    <x v="3"/>
    <n v="1937"/>
    <n v="1"/>
    <x v="16"/>
    <x v="3"/>
    <x v="0"/>
    <n v="0"/>
    <n v="0"/>
    <n v="0"/>
    <n v="0"/>
    <m/>
  </r>
  <r>
    <x v="13"/>
    <x v="2"/>
    <x v="3"/>
    <n v="2126"/>
    <n v="1"/>
    <x v="0"/>
    <x v="0"/>
    <x v="0"/>
    <n v="1443"/>
    <n v="1443"/>
    <n v="0"/>
    <n v="0"/>
    <m/>
  </r>
  <r>
    <x v="13"/>
    <x v="2"/>
    <x v="3"/>
    <n v="1860"/>
    <n v="1"/>
    <x v="0"/>
    <x v="0"/>
    <x v="0"/>
    <n v="1236"/>
    <n v="1236"/>
    <n v="0"/>
    <n v="0"/>
    <m/>
  </r>
  <r>
    <x v="13"/>
    <x v="2"/>
    <x v="3"/>
    <n v="1824"/>
    <n v="1"/>
    <x v="0"/>
    <x v="0"/>
    <x v="0"/>
    <n v="1236"/>
    <n v="1236"/>
    <n v="0"/>
    <n v="0"/>
    <m/>
  </r>
  <r>
    <x v="13"/>
    <x v="2"/>
    <x v="3"/>
    <n v="1625"/>
    <n v="2"/>
    <x v="0"/>
    <x v="0"/>
    <x v="0"/>
    <n v="1236"/>
    <n v="1236"/>
    <n v="0"/>
    <n v="0"/>
    <m/>
  </r>
  <r>
    <x v="1"/>
    <x v="1"/>
    <x v="8"/>
    <n v="1233"/>
    <n v="2"/>
    <x v="0"/>
    <x v="0"/>
    <x v="0"/>
    <n v="1824"/>
    <n v="1824"/>
    <n v="0"/>
    <n v="0"/>
    <m/>
  </r>
  <r>
    <x v="1"/>
    <x v="1"/>
    <x v="8"/>
    <n v="910"/>
    <n v="1"/>
    <x v="0"/>
    <x v="0"/>
    <x v="0"/>
    <n v="1824"/>
    <n v="1824"/>
    <n v="0"/>
    <n v="0"/>
    <m/>
  </r>
  <r>
    <x v="1"/>
    <x v="1"/>
    <x v="8"/>
    <n v="2073"/>
    <n v="0"/>
    <x v="0"/>
    <x v="0"/>
    <x v="0"/>
    <n v="1976"/>
    <n v="1976"/>
    <n v="0"/>
    <n v="0"/>
    <m/>
  </r>
  <r>
    <x v="1"/>
    <x v="1"/>
    <x v="8"/>
    <n v="1466"/>
    <n v="0"/>
    <x v="0"/>
    <x v="0"/>
    <x v="0"/>
    <n v="1976"/>
    <n v="1976"/>
    <n v="0"/>
    <n v="0"/>
    <m/>
  </r>
  <r>
    <x v="1"/>
    <x v="1"/>
    <x v="8"/>
    <n v="1067"/>
    <n v="3"/>
    <x v="1"/>
    <x v="1"/>
    <x v="1"/>
    <n v="0"/>
    <n v="0"/>
    <n v="11500"/>
    <n v="0"/>
    <m/>
  </r>
  <r>
    <x v="1"/>
    <x v="1"/>
    <x v="8"/>
    <n v="1973"/>
    <n v="1"/>
    <x v="0"/>
    <x v="0"/>
    <x v="0"/>
    <n v="2937"/>
    <n v="2937"/>
    <n v="0"/>
    <n v="0"/>
    <m/>
  </r>
  <r>
    <x v="14"/>
    <x v="1"/>
    <x v="0"/>
    <n v="1544"/>
    <n v="0"/>
    <x v="0"/>
    <x v="0"/>
    <x v="0"/>
    <n v="1824"/>
    <n v="1824"/>
    <n v="0"/>
    <n v="0"/>
    <m/>
  </r>
  <r>
    <x v="14"/>
    <x v="1"/>
    <x v="0"/>
    <n v="1180"/>
    <n v="0"/>
    <x v="0"/>
    <x v="0"/>
    <x v="0"/>
    <n v="1976"/>
    <n v="1976"/>
    <n v="0"/>
    <n v="0"/>
    <m/>
  </r>
  <r>
    <x v="14"/>
    <x v="1"/>
    <x v="0"/>
    <n v="1734"/>
    <n v="4"/>
    <x v="0"/>
    <x v="0"/>
    <x v="0"/>
    <n v="1824"/>
    <n v="1824"/>
    <n v="0"/>
    <n v="0"/>
    <m/>
  </r>
  <r>
    <x v="14"/>
    <x v="1"/>
    <x v="0"/>
    <n v="1594"/>
    <n v="0"/>
    <x v="0"/>
    <x v="0"/>
    <x v="0"/>
    <n v="2128"/>
    <n v="2128"/>
    <n v="0"/>
    <n v="0"/>
    <m/>
  </r>
  <r>
    <x v="14"/>
    <x v="1"/>
    <x v="0"/>
    <n v="1672"/>
    <n v="0"/>
    <x v="0"/>
    <x v="0"/>
    <x v="0"/>
    <n v="1824"/>
    <n v="1824"/>
    <n v="0"/>
    <n v="0"/>
    <m/>
  </r>
  <r>
    <x v="14"/>
    <x v="1"/>
    <x v="0"/>
    <n v="1879"/>
    <n v="1"/>
    <x v="0"/>
    <x v="0"/>
    <x v="0"/>
    <n v="1824"/>
    <n v="1824"/>
    <n v="0"/>
    <n v="0"/>
    <m/>
  </r>
  <r>
    <x v="14"/>
    <x v="1"/>
    <x v="0"/>
    <n v="1455"/>
    <n v="1"/>
    <x v="0"/>
    <x v="0"/>
    <x v="0"/>
    <n v="2280"/>
    <n v="2280"/>
    <n v="0"/>
    <n v="0"/>
    <m/>
  </r>
  <r>
    <x v="14"/>
    <x v="1"/>
    <x v="0"/>
    <n v="1898"/>
    <n v="1"/>
    <x v="0"/>
    <x v="0"/>
    <x v="0"/>
    <n v="1824"/>
    <n v="1824"/>
    <n v="0"/>
    <n v="0"/>
    <m/>
  </r>
  <r>
    <x v="13"/>
    <x v="2"/>
    <x v="3"/>
    <n v="1959"/>
    <n v="1"/>
    <x v="0"/>
    <x v="0"/>
    <x v="0"/>
    <n v="2205"/>
    <n v="2205"/>
    <n v="0"/>
    <n v="0"/>
    <m/>
  </r>
  <r>
    <x v="13"/>
    <x v="2"/>
    <x v="3"/>
    <n v="1626"/>
    <n v="0"/>
    <x v="0"/>
    <x v="0"/>
    <x v="0"/>
    <n v="1236"/>
    <n v="1236"/>
    <n v="0"/>
    <n v="0"/>
    <m/>
  </r>
  <r>
    <x v="13"/>
    <x v="2"/>
    <x v="3"/>
    <n v="2155"/>
    <n v="0"/>
    <x v="0"/>
    <x v="0"/>
    <x v="0"/>
    <n v="1236"/>
    <n v="1236"/>
    <n v="0"/>
    <n v="0"/>
    <m/>
  </r>
  <r>
    <x v="13"/>
    <x v="2"/>
    <x v="3"/>
    <n v="1844"/>
    <n v="1"/>
    <x v="0"/>
    <x v="0"/>
    <x v="0"/>
    <n v="2205"/>
    <n v="2205"/>
    <n v="0"/>
    <n v="0"/>
    <m/>
  </r>
  <r>
    <x v="13"/>
    <x v="2"/>
    <x v="3"/>
    <n v="645"/>
    <n v="2"/>
    <x v="2"/>
    <x v="3"/>
    <x v="0"/>
    <n v="0"/>
    <n v="0"/>
    <n v="0"/>
    <n v="0"/>
    <m/>
  </r>
  <r>
    <x v="13"/>
    <x v="2"/>
    <x v="3"/>
    <n v="623"/>
    <n v="1"/>
    <x v="0"/>
    <x v="0"/>
    <x v="0"/>
    <n v="2205"/>
    <n v="2205"/>
    <n v="0"/>
    <n v="0"/>
    <m/>
  </r>
  <r>
    <x v="13"/>
    <x v="2"/>
    <x v="3"/>
    <n v="1484"/>
    <n v="2"/>
    <x v="0"/>
    <x v="0"/>
    <x v="0"/>
    <n v="2205"/>
    <n v="2205"/>
    <n v="0"/>
    <n v="0"/>
    <m/>
  </r>
  <r>
    <x v="13"/>
    <x v="2"/>
    <x v="3"/>
    <n v="1281"/>
    <n v="0"/>
    <x v="0"/>
    <x v="0"/>
    <x v="0"/>
    <n v="2572"/>
    <n v="2572"/>
    <n v="0"/>
    <n v="0"/>
    <m/>
  </r>
  <r>
    <x v="13"/>
    <x v="2"/>
    <x v="3"/>
    <n v="839"/>
    <n v="1"/>
    <x v="0"/>
    <x v="0"/>
    <x v="0"/>
    <n v="2940"/>
    <n v="2940"/>
    <n v="0"/>
    <n v="0"/>
    <m/>
  </r>
  <r>
    <x v="13"/>
    <x v="2"/>
    <x v="3"/>
    <n v="1785"/>
    <n v="2"/>
    <x v="0"/>
    <x v="0"/>
    <x v="0"/>
    <n v="1824"/>
    <n v="1824"/>
    <n v="0"/>
    <n v="0"/>
    <m/>
  </r>
  <r>
    <x v="13"/>
    <x v="2"/>
    <x v="3"/>
    <n v="1214"/>
    <n v="0"/>
    <x v="0"/>
    <x v="0"/>
    <x v="0"/>
    <n v="1236"/>
    <n v="1236"/>
    <n v="0"/>
    <n v="0"/>
    <m/>
  </r>
  <r>
    <x v="13"/>
    <x v="2"/>
    <x v="3"/>
    <n v="1200"/>
    <n v="0"/>
    <x v="0"/>
    <x v="0"/>
    <x v="0"/>
    <n v="1236"/>
    <n v="1236"/>
    <n v="0"/>
    <n v="0"/>
    <m/>
  </r>
  <r>
    <x v="13"/>
    <x v="2"/>
    <x v="3"/>
    <n v="1357"/>
    <n v="2"/>
    <x v="1"/>
    <x v="1"/>
    <x v="2"/>
    <n v="0"/>
    <n v="0"/>
    <n v="0"/>
    <n v="0"/>
    <m/>
  </r>
  <r>
    <x v="13"/>
    <x v="2"/>
    <x v="3"/>
    <n v="2917"/>
    <n v="0"/>
    <x v="0"/>
    <x v="0"/>
    <x v="0"/>
    <n v="1236"/>
    <n v="1236"/>
    <n v="0"/>
    <n v="0"/>
    <m/>
  </r>
  <r>
    <x v="5"/>
    <x v="1"/>
    <x v="8"/>
    <n v="1467"/>
    <n v="0"/>
    <x v="2"/>
    <x v="2"/>
    <x v="2"/>
    <n v="0"/>
    <n v="4000"/>
    <n v="0"/>
    <n v="1600"/>
    <m/>
  </r>
  <r>
    <x v="5"/>
    <x v="1"/>
    <x v="8"/>
    <n v="1868"/>
    <n v="0"/>
    <x v="2"/>
    <x v="2"/>
    <x v="2"/>
    <n v="0"/>
    <n v="4000"/>
    <n v="0"/>
    <n v="1600"/>
    <m/>
  </r>
  <r>
    <x v="5"/>
    <x v="1"/>
    <x v="8"/>
    <n v="1204"/>
    <n v="1"/>
    <x v="0"/>
    <x v="0"/>
    <x v="0"/>
    <n v="1824"/>
    <n v="1824"/>
    <n v="0"/>
    <n v="0"/>
    <m/>
  </r>
  <r>
    <x v="2"/>
    <x v="0"/>
    <x v="11"/>
    <n v="3766"/>
    <n v="0"/>
    <x v="13"/>
    <x v="1"/>
    <x v="8"/>
    <n v="10144"/>
    <n v="10144"/>
    <n v="0"/>
    <n v="0"/>
    <m/>
  </r>
  <r>
    <x v="2"/>
    <x v="0"/>
    <x v="11"/>
    <n v="4343"/>
    <n v="0"/>
    <x v="20"/>
    <x v="1"/>
    <x v="7"/>
    <n v="3904"/>
    <n v="3904"/>
    <n v="0"/>
    <n v="0"/>
    <m/>
  </r>
  <r>
    <x v="2"/>
    <x v="0"/>
    <x v="11"/>
    <n v="3715"/>
    <n v="1"/>
    <x v="2"/>
    <x v="4"/>
    <x v="2"/>
    <n v="0"/>
    <n v="8000"/>
    <n v="0"/>
    <n v="3200"/>
    <m/>
  </r>
  <r>
    <x v="2"/>
    <x v="0"/>
    <x v="11"/>
    <n v="3985"/>
    <n v="1"/>
    <x v="13"/>
    <x v="1"/>
    <x v="9"/>
    <n v="25677"/>
    <n v="25677"/>
    <n v="0"/>
    <n v="0"/>
    <m/>
  </r>
  <r>
    <x v="2"/>
    <x v="0"/>
    <x v="11"/>
    <n v="4284"/>
    <n v="0"/>
    <x v="2"/>
    <x v="5"/>
    <x v="2"/>
    <n v="0"/>
    <n v="10000"/>
    <n v="0"/>
    <n v="4000"/>
    <m/>
  </r>
  <r>
    <x v="2"/>
    <x v="0"/>
    <x v="11"/>
    <n v="4613"/>
    <n v="0"/>
    <x v="13"/>
    <x v="1"/>
    <x v="8"/>
    <n v="5440"/>
    <n v="5440"/>
    <n v="0"/>
    <n v="0"/>
    <m/>
  </r>
  <r>
    <x v="2"/>
    <x v="0"/>
    <x v="11"/>
    <n v="4512"/>
    <n v="0"/>
    <x v="13"/>
    <x v="1"/>
    <x v="8"/>
    <n v="6800"/>
    <n v="6800"/>
    <n v="0"/>
    <n v="0"/>
    <m/>
  </r>
  <r>
    <x v="2"/>
    <x v="0"/>
    <x v="11"/>
    <n v="4000"/>
    <n v="1"/>
    <x v="4"/>
    <x v="1"/>
    <x v="5"/>
    <n v="0"/>
    <n v="0"/>
    <n v="34500"/>
    <n v="118004"/>
    <m/>
  </r>
  <r>
    <x v="2"/>
    <x v="0"/>
    <x v="11"/>
    <n v="4361"/>
    <n v="0"/>
    <x v="2"/>
    <x v="5"/>
    <x v="2"/>
    <n v="0"/>
    <n v="10000"/>
    <n v="0"/>
    <n v="4000"/>
    <m/>
  </r>
  <r>
    <x v="2"/>
    <x v="0"/>
    <x v="11"/>
    <n v="4527"/>
    <n v="0"/>
    <x v="13"/>
    <x v="1"/>
    <x v="8"/>
    <n v="5440"/>
    <n v="5440"/>
    <n v="0"/>
    <n v="0"/>
    <m/>
  </r>
  <r>
    <x v="2"/>
    <x v="0"/>
    <x v="11"/>
    <n v="3817"/>
    <n v="1"/>
    <x v="13"/>
    <x v="1"/>
    <x v="8"/>
    <n v="5440"/>
    <n v="5440"/>
    <n v="0"/>
    <n v="0"/>
    <m/>
  </r>
  <r>
    <x v="2"/>
    <x v="0"/>
    <x v="11"/>
    <n v="3935"/>
    <n v="2"/>
    <x v="20"/>
    <x v="1"/>
    <x v="8"/>
    <n v="6800"/>
    <n v="6800"/>
    <n v="0"/>
    <n v="0"/>
    <m/>
  </r>
  <r>
    <x v="2"/>
    <x v="0"/>
    <x v="11"/>
    <n v="4040"/>
    <n v="1"/>
    <x v="13"/>
    <x v="1"/>
    <x v="8"/>
    <n v="5440"/>
    <n v="5440"/>
    <n v="0"/>
    <n v="0"/>
    <m/>
  </r>
  <r>
    <x v="2"/>
    <x v="0"/>
    <x v="11"/>
    <n v="3601"/>
    <n v="1"/>
    <x v="2"/>
    <x v="4"/>
    <x v="2"/>
    <n v="0"/>
    <n v="8000"/>
    <n v="0"/>
    <n v="3200"/>
    <m/>
  </r>
  <r>
    <x v="2"/>
    <x v="0"/>
    <x v="11"/>
    <n v="3976"/>
    <n v="0"/>
    <x v="20"/>
    <x v="1"/>
    <x v="8"/>
    <n v="5440"/>
    <n v="5440"/>
    <n v="0"/>
    <n v="0"/>
    <m/>
  </r>
  <r>
    <x v="2"/>
    <x v="0"/>
    <x v="11"/>
    <n v="3824"/>
    <n v="0"/>
    <x v="13"/>
    <x v="1"/>
    <x v="7"/>
    <n v="3491"/>
    <n v="3491"/>
    <n v="0"/>
    <n v="0"/>
    <m/>
  </r>
  <r>
    <x v="2"/>
    <x v="0"/>
    <x v="11"/>
    <n v="3303"/>
    <n v="0"/>
    <x v="13"/>
    <x v="1"/>
    <x v="7"/>
    <n v="3445"/>
    <n v="3445"/>
    <n v="0"/>
    <n v="0"/>
    <m/>
  </r>
  <r>
    <x v="2"/>
    <x v="0"/>
    <x v="11"/>
    <n v="4601"/>
    <n v="1"/>
    <x v="2"/>
    <x v="4"/>
    <x v="2"/>
    <n v="0"/>
    <n v="8000"/>
    <n v="0"/>
    <n v="3200"/>
    <m/>
  </r>
  <r>
    <x v="2"/>
    <x v="0"/>
    <x v="11"/>
    <n v="4076"/>
    <n v="1"/>
    <x v="13"/>
    <x v="1"/>
    <x v="7"/>
    <n v="5057"/>
    <n v="5057"/>
    <n v="0"/>
    <n v="0"/>
    <m/>
  </r>
  <r>
    <x v="2"/>
    <x v="0"/>
    <x v="11"/>
    <n v="3735"/>
    <n v="1"/>
    <x v="13"/>
    <x v="1"/>
    <x v="8"/>
    <n v="6502"/>
    <n v="6502"/>
    <n v="0"/>
    <n v="0"/>
    <m/>
  </r>
  <r>
    <x v="2"/>
    <x v="0"/>
    <x v="11"/>
    <n v="3968"/>
    <n v="1"/>
    <x v="13"/>
    <x v="1"/>
    <x v="8"/>
    <n v="3825"/>
    <n v="3825"/>
    <n v="0"/>
    <n v="0"/>
    <m/>
  </r>
  <r>
    <x v="2"/>
    <x v="0"/>
    <x v="11"/>
    <n v="4409"/>
    <n v="0"/>
    <x v="13"/>
    <x v="1"/>
    <x v="8"/>
    <n v="7650"/>
    <n v="7650"/>
    <n v="0"/>
    <n v="0"/>
    <m/>
  </r>
  <r>
    <x v="2"/>
    <x v="0"/>
    <x v="11"/>
    <n v="4316"/>
    <n v="0"/>
    <x v="13"/>
    <x v="1"/>
    <x v="8"/>
    <n v="5780"/>
    <n v="5780"/>
    <n v="0"/>
    <n v="0"/>
    <m/>
  </r>
  <r>
    <x v="2"/>
    <x v="0"/>
    <x v="11"/>
    <n v="4350"/>
    <n v="3"/>
    <x v="13"/>
    <x v="1"/>
    <x v="8"/>
    <n v="5950"/>
    <n v="5950"/>
    <n v="0"/>
    <n v="0"/>
    <m/>
  </r>
  <r>
    <x v="2"/>
    <x v="0"/>
    <x v="11"/>
    <n v="4027"/>
    <n v="1"/>
    <x v="13"/>
    <x v="1"/>
    <x v="8"/>
    <n v="5100"/>
    <n v="5100"/>
    <n v="0"/>
    <n v="0"/>
    <m/>
  </r>
  <r>
    <x v="2"/>
    <x v="0"/>
    <x v="11"/>
    <n v="4582"/>
    <n v="1"/>
    <x v="21"/>
    <x v="1"/>
    <x v="8"/>
    <n v="10444"/>
    <n v="10444"/>
    <n v="0"/>
    <n v="0"/>
    <m/>
  </r>
  <r>
    <x v="2"/>
    <x v="0"/>
    <x v="11"/>
    <n v="4490"/>
    <n v="0"/>
    <x v="13"/>
    <x v="1"/>
    <x v="7"/>
    <n v="4364"/>
    <n v="4364"/>
    <n v="0"/>
    <n v="0"/>
    <m/>
  </r>
  <r>
    <x v="2"/>
    <x v="0"/>
    <x v="11"/>
    <n v="4382"/>
    <n v="0"/>
    <x v="13"/>
    <x v="1"/>
    <x v="7"/>
    <n v="2940"/>
    <n v="2940"/>
    <n v="0"/>
    <n v="0"/>
    <m/>
  </r>
  <r>
    <x v="2"/>
    <x v="0"/>
    <x v="11"/>
    <n v="3808"/>
    <n v="0"/>
    <x v="2"/>
    <x v="5"/>
    <x v="2"/>
    <n v="0"/>
    <n v="10000"/>
    <n v="0"/>
    <n v="4000"/>
    <m/>
  </r>
  <r>
    <x v="2"/>
    <x v="0"/>
    <x v="11"/>
    <n v="3873"/>
    <n v="2"/>
    <x v="13"/>
    <x v="1"/>
    <x v="7"/>
    <n v="3307"/>
    <n v="3307"/>
    <n v="0"/>
    <n v="0"/>
    <m/>
  </r>
  <r>
    <x v="2"/>
    <x v="0"/>
    <x v="11"/>
    <n v="4165"/>
    <n v="1"/>
    <x v="20"/>
    <x v="1"/>
    <x v="7"/>
    <n v="3927"/>
    <n v="3927"/>
    <n v="0"/>
    <n v="0"/>
    <m/>
  </r>
  <r>
    <x v="2"/>
    <x v="0"/>
    <x v="11"/>
    <n v="3918"/>
    <n v="1"/>
    <x v="20"/>
    <x v="1"/>
    <x v="8"/>
    <n v="5440"/>
    <n v="5440"/>
    <n v="0"/>
    <n v="0"/>
    <m/>
  </r>
  <r>
    <x v="2"/>
    <x v="0"/>
    <x v="11"/>
    <n v="3837"/>
    <n v="4"/>
    <x v="13"/>
    <x v="1"/>
    <x v="7"/>
    <n v="3100"/>
    <n v="3100"/>
    <n v="0"/>
    <n v="0"/>
    <m/>
  </r>
  <r>
    <x v="2"/>
    <x v="0"/>
    <x v="11"/>
    <n v="3909"/>
    <n v="0"/>
    <x v="13"/>
    <x v="1"/>
    <x v="8"/>
    <n v="6460"/>
    <n v="6460"/>
    <n v="0"/>
    <n v="0"/>
    <m/>
  </r>
  <r>
    <x v="2"/>
    <x v="0"/>
    <x v="11"/>
    <n v="4302"/>
    <n v="2"/>
    <x v="20"/>
    <x v="1"/>
    <x v="8"/>
    <n v="8075"/>
    <n v="8075"/>
    <n v="0"/>
    <n v="0"/>
    <m/>
  </r>
  <r>
    <x v="2"/>
    <x v="0"/>
    <x v="11"/>
    <n v="4644"/>
    <n v="1"/>
    <x v="19"/>
    <x v="1"/>
    <x v="2"/>
    <n v="0"/>
    <n v="120000"/>
    <n v="0"/>
    <n v="0"/>
    <m/>
  </r>
  <r>
    <x v="2"/>
    <x v="0"/>
    <x v="11"/>
    <n v="3772"/>
    <n v="0"/>
    <x v="13"/>
    <x v="1"/>
    <x v="8"/>
    <n v="5780"/>
    <n v="5780"/>
    <n v="0"/>
    <n v="0"/>
    <m/>
  </r>
  <r>
    <x v="2"/>
    <x v="0"/>
    <x v="11"/>
    <n v="3838"/>
    <n v="1"/>
    <x v="13"/>
    <x v="1"/>
    <x v="8"/>
    <n v="6460"/>
    <n v="6460"/>
    <n v="0"/>
    <n v="0"/>
    <m/>
  </r>
  <r>
    <x v="2"/>
    <x v="0"/>
    <x v="11"/>
    <n v="3618"/>
    <n v="1"/>
    <x v="21"/>
    <x v="1"/>
    <x v="8"/>
    <n v="11560"/>
    <n v="11560"/>
    <n v="0"/>
    <n v="0"/>
    <m/>
  </r>
  <r>
    <x v="2"/>
    <x v="0"/>
    <x v="11"/>
    <n v="3622"/>
    <n v="2"/>
    <x v="21"/>
    <x v="1"/>
    <x v="8"/>
    <n v="16320"/>
    <n v="16320"/>
    <n v="0"/>
    <n v="0"/>
    <m/>
  </r>
  <r>
    <x v="2"/>
    <x v="0"/>
    <x v="11"/>
    <n v="4131"/>
    <n v="2"/>
    <x v="2"/>
    <x v="5"/>
    <x v="2"/>
    <n v="0"/>
    <n v="10000"/>
    <n v="0"/>
    <n v="4000"/>
    <m/>
  </r>
  <r>
    <x v="2"/>
    <x v="0"/>
    <x v="11"/>
    <n v="3935"/>
    <n v="0"/>
    <x v="4"/>
    <x v="1"/>
    <x v="1"/>
    <n v="0"/>
    <n v="0"/>
    <n v="11500"/>
    <n v="35822"/>
    <m/>
  </r>
  <r>
    <x v="2"/>
    <x v="0"/>
    <x v="11"/>
    <n v="3786"/>
    <n v="1"/>
    <x v="20"/>
    <x v="1"/>
    <x v="7"/>
    <n v="3904"/>
    <n v="3904"/>
    <n v="0"/>
    <n v="0"/>
    <m/>
  </r>
  <r>
    <x v="2"/>
    <x v="0"/>
    <x v="11"/>
    <n v="3725"/>
    <n v="0"/>
    <x v="2"/>
    <x v="4"/>
    <x v="2"/>
    <n v="0"/>
    <n v="8000"/>
    <n v="0"/>
    <n v="3200"/>
    <m/>
  </r>
  <r>
    <x v="2"/>
    <x v="0"/>
    <x v="11"/>
    <n v="3617"/>
    <n v="1"/>
    <x v="13"/>
    <x v="1"/>
    <x v="8"/>
    <n v="6800"/>
    <n v="6800"/>
    <n v="0"/>
    <n v="0"/>
    <m/>
  </r>
  <r>
    <x v="2"/>
    <x v="0"/>
    <x v="11"/>
    <n v="3937"/>
    <n v="1"/>
    <x v="20"/>
    <x v="1"/>
    <x v="9"/>
    <n v="13472"/>
    <n v="13472"/>
    <n v="0"/>
    <n v="0"/>
    <m/>
  </r>
  <r>
    <x v="2"/>
    <x v="0"/>
    <x v="11"/>
    <n v="3918"/>
    <n v="1"/>
    <x v="13"/>
    <x v="1"/>
    <x v="9"/>
    <n v="9510"/>
    <n v="9510"/>
    <n v="0"/>
    <n v="0"/>
    <m/>
  </r>
  <r>
    <x v="2"/>
    <x v="0"/>
    <x v="11"/>
    <n v="4078"/>
    <n v="3"/>
    <x v="4"/>
    <x v="1"/>
    <x v="1"/>
    <n v="0"/>
    <n v="0"/>
    <n v="11500"/>
    <n v="35822"/>
    <m/>
  </r>
  <r>
    <x v="2"/>
    <x v="0"/>
    <x v="11"/>
    <n v="4022"/>
    <n v="2"/>
    <x v="13"/>
    <x v="1"/>
    <x v="8"/>
    <n v="13005"/>
    <n v="13005"/>
    <n v="0"/>
    <n v="0"/>
    <m/>
  </r>
  <r>
    <x v="2"/>
    <x v="0"/>
    <x v="11"/>
    <n v="3677"/>
    <n v="0"/>
    <x v="2"/>
    <x v="5"/>
    <x v="2"/>
    <n v="0"/>
    <n v="10000"/>
    <n v="0"/>
    <n v="4000"/>
    <m/>
  </r>
  <r>
    <x v="2"/>
    <x v="0"/>
    <x v="11"/>
    <n v="4011"/>
    <n v="0"/>
    <x v="21"/>
    <x v="1"/>
    <x v="7"/>
    <n v="7350"/>
    <n v="7350"/>
    <n v="0"/>
    <n v="0"/>
    <m/>
  </r>
  <r>
    <x v="2"/>
    <x v="0"/>
    <x v="11"/>
    <n v="4195"/>
    <n v="1"/>
    <x v="13"/>
    <x v="1"/>
    <x v="7"/>
    <n v="3491"/>
    <n v="3491"/>
    <n v="0"/>
    <n v="0"/>
    <m/>
  </r>
  <r>
    <x v="2"/>
    <x v="0"/>
    <x v="11"/>
    <n v="4001"/>
    <n v="0"/>
    <x v="13"/>
    <x v="1"/>
    <x v="8"/>
    <n v="4590"/>
    <n v="4590"/>
    <n v="0"/>
    <n v="0"/>
    <m/>
  </r>
  <r>
    <x v="2"/>
    <x v="0"/>
    <x v="11"/>
    <n v="3836"/>
    <n v="0"/>
    <x v="13"/>
    <x v="1"/>
    <x v="8"/>
    <n v="5780"/>
    <n v="5780"/>
    <n v="0"/>
    <n v="0"/>
    <m/>
  </r>
  <r>
    <x v="2"/>
    <x v="0"/>
    <x v="11"/>
    <n v="3830"/>
    <n v="0"/>
    <x v="13"/>
    <x v="1"/>
    <x v="8"/>
    <n v="5100"/>
    <n v="5100"/>
    <n v="0"/>
    <n v="0"/>
    <m/>
  </r>
  <r>
    <x v="2"/>
    <x v="0"/>
    <x v="11"/>
    <n v="4098"/>
    <n v="0"/>
    <x v="20"/>
    <x v="1"/>
    <x v="7"/>
    <n v="4800"/>
    <n v="4800"/>
    <n v="0"/>
    <n v="0"/>
    <m/>
  </r>
  <r>
    <x v="2"/>
    <x v="0"/>
    <x v="11"/>
    <n v="4211"/>
    <n v="0"/>
    <x v="4"/>
    <x v="1"/>
    <x v="1"/>
    <n v="0"/>
    <n v="0"/>
    <n v="11500"/>
    <n v="35822"/>
    <m/>
  </r>
  <r>
    <x v="2"/>
    <x v="0"/>
    <x v="11"/>
    <n v="4024"/>
    <n v="1"/>
    <x v="13"/>
    <x v="1"/>
    <x v="7"/>
    <n v="2572"/>
    <n v="2572"/>
    <n v="0"/>
    <n v="0"/>
    <m/>
  </r>
  <r>
    <x v="2"/>
    <x v="0"/>
    <x v="11"/>
    <n v="4051"/>
    <n v="0"/>
    <x v="20"/>
    <x v="1"/>
    <x v="8"/>
    <n v="8075"/>
    <n v="8075"/>
    <n v="0"/>
    <n v="0"/>
    <m/>
  </r>
  <r>
    <x v="2"/>
    <x v="0"/>
    <x v="11"/>
    <n v="3981"/>
    <n v="2"/>
    <x v="4"/>
    <x v="1"/>
    <x v="1"/>
    <n v="0"/>
    <n v="0"/>
    <n v="11500"/>
    <n v="35822"/>
    <m/>
  </r>
  <r>
    <x v="2"/>
    <x v="0"/>
    <x v="11"/>
    <n v="3667"/>
    <n v="3"/>
    <x v="13"/>
    <x v="1"/>
    <x v="8"/>
    <n v="5440"/>
    <n v="5440"/>
    <n v="0"/>
    <n v="0"/>
    <m/>
  </r>
  <r>
    <x v="2"/>
    <x v="0"/>
    <x v="11"/>
    <n v="4500"/>
    <n v="2"/>
    <x v="20"/>
    <x v="1"/>
    <x v="8"/>
    <n v="9350"/>
    <n v="9350"/>
    <n v="0"/>
    <n v="0"/>
    <m/>
  </r>
  <r>
    <x v="2"/>
    <x v="0"/>
    <x v="11"/>
    <n v="4090"/>
    <n v="1"/>
    <x v="13"/>
    <x v="1"/>
    <x v="8"/>
    <n v="5780"/>
    <n v="5780"/>
    <n v="0"/>
    <n v="0"/>
    <m/>
  </r>
  <r>
    <x v="2"/>
    <x v="0"/>
    <x v="11"/>
    <n v="3757"/>
    <n v="0"/>
    <x v="4"/>
    <x v="1"/>
    <x v="1"/>
    <n v="0"/>
    <n v="0"/>
    <n v="11500"/>
    <n v="35822"/>
    <m/>
  </r>
  <r>
    <x v="2"/>
    <x v="0"/>
    <x v="11"/>
    <n v="3889"/>
    <n v="0"/>
    <x v="20"/>
    <x v="1"/>
    <x v="8"/>
    <n v="10200"/>
    <n v="10200"/>
    <n v="0"/>
    <n v="0"/>
    <m/>
  </r>
  <r>
    <x v="2"/>
    <x v="0"/>
    <x v="11"/>
    <n v="3813"/>
    <n v="1"/>
    <x v="13"/>
    <x v="1"/>
    <x v="8"/>
    <n v="5355"/>
    <n v="5355"/>
    <n v="0"/>
    <n v="0"/>
    <m/>
  </r>
  <r>
    <x v="2"/>
    <x v="0"/>
    <x v="11"/>
    <n v="3859"/>
    <n v="1"/>
    <x v="2"/>
    <x v="5"/>
    <x v="2"/>
    <n v="0"/>
    <n v="10000"/>
    <n v="0"/>
    <n v="4000"/>
    <m/>
  </r>
  <r>
    <x v="2"/>
    <x v="0"/>
    <x v="11"/>
    <n v="3967"/>
    <n v="2"/>
    <x v="13"/>
    <x v="1"/>
    <x v="9"/>
    <n v="12046"/>
    <n v="12046"/>
    <n v="0"/>
    <n v="0"/>
    <m/>
  </r>
  <r>
    <x v="2"/>
    <x v="0"/>
    <x v="11"/>
    <n v="4276"/>
    <n v="0"/>
    <x v="2"/>
    <x v="5"/>
    <x v="2"/>
    <n v="0"/>
    <n v="10000"/>
    <n v="0"/>
    <n v="4000"/>
    <m/>
  </r>
  <r>
    <x v="2"/>
    <x v="0"/>
    <x v="11"/>
    <n v="3898"/>
    <n v="0"/>
    <x v="20"/>
    <x v="1"/>
    <x v="8"/>
    <n v="6502"/>
    <n v="6502"/>
    <n v="0"/>
    <n v="0"/>
    <m/>
  </r>
  <r>
    <x v="2"/>
    <x v="0"/>
    <x v="11"/>
    <n v="3992"/>
    <n v="3"/>
    <x v="20"/>
    <x v="1"/>
    <x v="8"/>
    <n v="7225"/>
    <n v="7225"/>
    <n v="0"/>
    <n v="0"/>
    <m/>
  </r>
  <r>
    <x v="2"/>
    <x v="0"/>
    <x v="11"/>
    <n v="3871"/>
    <n v="1"/>
    <x v="13"/>
    <x v="1"/>
    <x v="8"/>
    <n v="5737"/>
    <n v="5737"/>
    <n v="0"/>
    <n v="0"/>
    <m/>
  </r>
  <r>
    <x v="2"/>
    <x v="0"/>
    <x v="11"/>
    <n v="3832"/>
    <n v="0"/>
    <x v="20"/>
    <x v="1"/>
    <x v="8"/>
    <n v="8670"/>
    <n v="8670"/>
    <n v="0"/>
    <n v="0"/>
    <m/>
  </r>
  <r>
    <x v="2"/>
    <x v="0"/>
    <x v="11"/>
    <n v="3887"/>
    <n v="0"/>
    <x v="13"/>
    <x v="1"/>
    <x v="8"/>
    <n v="13770"/>
    <n v="13770"/>
    <n v="0"/>
    <n v="0"/>
    <m/>
  </r>
  <r>
    <x v="2"/>
    <x v="0"/>
    <x v="11"/>
    <n v="4114"/>
    <n v="3"/>
    <x v="13"/>
    <x v="1"/>
    <x v="8"/>
    <n v="6460"/>
    <n v="6460"/>
    <n v="0"/>
    <n v="0"/>
    <m/>
  </r>
  <r>
    <x v="2"/>
    <x v="0"/>
    <x v="11"/>
    <n v="4755"/>
    <n v="0"/>
    <x v="13"/>
    <x v="1"/>
    <x v="9"/>
    <n v="27103"/>
    <n v="27103"/>
    <n v="0"/>
    <n v="0"/>
    <m/>
  </r>
  <r>
    <x v="2"/>
    <x v="0"/>
    <x v="11"/>
    <n v="4329"/>
    <n v="2"/>
    <x v="13"/>
    <x v="1"/>
    <x v="8"/>
    <n v="6800"/>
    <n v="6800"/>
    <n v="0"/>
    <n v="0"/>
    <m/>
  </r>
  <r>
    <x v="2"/>
    <x v="0"/>
    <x v="11"/>
    <n v="4139"/>
    <n v="0"/>
    <x v="13"/>
    <x v="1"/>
    <x v="7"/>
    <n v="2067"/>
    <n v="2067"/>
    <n v="0"/>
    <n v="0"/>
    <m/>
  </r>
  <r>
    <x v="2"/>
    <x v="0"/>
    <x v="11"/>
    <n v="3838"/>
    <n v="0"/>
    <x v="13"/>
    <x v="1"/>
    <x v="8"/>
    <n v="5737"/>
    <n v="5737"/>
    <n v="0"/>
    <n v="0"/>
    <m/>
  </r>
  <r>
    <x v="2"/>
    <x v="0"/>
    <x v="11"/>
    <n v="4090"/>
    <n v="2"/>
    <x v="2"/>
    <x v="4"/>
    <x v="2"/>
    <n v="0"/>
    <n v="8000"/>
    <n v="0"/>
    <n v="3200"/>
    <m/>
  </r>
  <r>
    <x v="2"/>
    <x v="0"/>
    <x v="11"/>
    <n v="4048"/>
    <n v="0"/>
    <x v="20"/>
    <x v="1"/>
    <x v="8"/>
    <n v="8075"/>
    <n v="8075"/>
    <n v="0"/>
    <n v="0"/>
    <m/>
  </r>
  <r>
    <x v="2"/>
    <x v="0"/>
    <x v="11"/>
    <n v="4066"/>
    <n v="1"/>
    <x v="13"/>
    <x v="1"/>
    <x v="7"/>
    <n v="8268"/>
    <n v="8268"/>
    <n v="0"/>
    <n v="0"/>
    <m/>
  </r>
  <r>
    <x v="2"/>
    <x v="0"/>
    <x v="11"/>
    <n v="4202"/>
    <n v="2"/>
    <x v="13"/>
    <x v="1"/>
    <x v="8"/>
    <n v="4590"/>
    <n v="4590"/>
    <n v="0"/>
    <n v="0"/>
    <m/>
  </r>
  <r>
    <x v="2"/>
    <x v="0"/>
    <x v="11"/>
    <n v="4359"/>
    <n v="1"/>
    <x v="20"/>
    <x v="1"/>
    <x v="8"/>
    <n v="9180"/>
    <n v="9180"/>
    <n v="0"/>
    <n v="0"/>
    <m/>
  </r>
  <r>
    <x v="2"/>
    <x v="0"/>
    <x v="11"/>
    <n v="3858"/>
    <n v="0"/>
    <x v="13"/>
    <x v="1"/>
    <x v="8"/>
    <n v="5100"/>
    <n v="5100"/>
    <n v="0"/>
    <n v="0"/>
    <m/>
  </r>
  <r>
    <x v="2"/>
    <x v="0"/>
    <x v="11"/>
    <n v="3946"/>
    <n v="0"/>
    <x v="20"/>
    <x v="1"/>
    <x v="9"/>
    <n v="14265"/>
    <n v="14265"/>
    <n v="0"/>
    <n v="0"/>
    <m/>
  </r>
  <r>
    <x v="2"/>
    <x v="0"/>
    <x v="11"/>
    <n v="4023"/>
    <n v="0"/>
    <x v="20"/>
    <x v="1"/>
    <x v="8"/>
    <n v="15300"/>
    <n v="15300"/>
    <n v="0"/>
    <n v="0"/>
    <m/>
  </r>
  <r>
    <x v="2"/>
    <x v="0"/>
    <x v="11"/>
    <n v="4021"/>
    <n v="0"/>
    <x v="19"/>
    <x v="1"/>
    <x v="2"/>
    <n v="0"/>
    <n v="120000"/>
    <n v="0"/>
    <n v="0"/>
    <m/>
  </r>
  <r>
    <x v="8"/>
    <x v="0"/>
    <x v="10"/>
    <n v="0"/>
    <n v="0"/>
    <x v="0"/>
    <x v="0"/>
    <x v="0"/>
    <n v="0"/>
    <n v="0"/>
    <n v="0"/>
    <n v="0"/>
    <s v="Y"/>
  </r>
  <r>
    <x v="8"/>
    <x v="0"/>
    <x v="10"/>
    <n v="3980"/>
    <n v="0"/>
    <x v="20"/>
    <x v="1"/>
    <x v="8"/>
    <n v="8160"/>
    <n v="8160"/>
    <n v="0"/>
    <n v="0"/>
    <m/>
  </r>
  <r>
    <x v="8"/>
    <x v="0"/>
    <x v="10"/>
    <n v="4393"/>
    <n v="0"/>
    <x v="13"/>
    <x v="1"/>
    <x v="8"/>
    <n v="10200"/>
    <n v="10200"/>
    <n v="0"/>
    <n v="0"/>
    <m/>
  </r>
  <r>
    <x v="8"/>
    <x v="0"/>
    <x v="10"/>
    <n v="4309"/>
    <n v="1"/>
    <x v="13"/>
    <x v="1"/>
    <x v="8"/>
    <n v="7650"/>
    <n v="7650"/>
    <n v="0"/>
    <n v="0"/>
    <m/>
  </r>
  <r>
    <x v="8"/>
    <x v="0"/>
    <x v="10"/>
    <n v="4290"/>
    <n v="1"/>
    <x v="2"/>
    <x v="5"/>
    <x v="2"/>
    <n v="0"/>
    <n v="10000"/>
    <n v="0"/>
    <n v="4000"/>
    <m/>
  </r>
  <r>
    <x v="8"/>
    <x v="0"/>
    <x v="10"/>
    <n v="0"/>
    <m/>
    <x v="0"/>
    <x v="0"/>
    <x v="0"/>
    <n v="0"/>
    <n v="0"/>
    <n v="0"/>
    <n v="0"/>
    <s v="Y"/>
  </r>
  <r>
    <x v="2"/>
    <x v="0"/>
    <x v="11"/>
    <n v="4144"/>
    <n v="1"/>
    <x v="13"/>
    <x v="1"/>
    <x v="8"/>
    <n v="5057"/>
    <n v="5057"/>
    <n v="0"/>
    <n v="0"/>
    <m/>
  </r>
  <r>
    <x v="2"/>
    <x v="0"/>
    <x v="11"/>
    <n v="4074"/>
    <n v="0"/>
    <x v="2"/>
    <x v="4"/>
    <x v="2"/>
    <n v="0"/>
    <n v="8000"/>
    <n v="0"/>
    <n v="3200"/>
    <m/>
  </r>
  <r>
    <x v="2"/>
    <x v="0"/>
    <x v="11"/>
    <n v="4032"/>
    <n v="0"/>
    <x v="2"/>
    <x v="4"/>
    <x v="2"/>
    <n v="0"/>
    <n v="8000"/>
    <n v="0"/>
    <n v="3200"/>
    <m/>
  </r>
  <r>
    <x v="2"/>
    <x v="0"/>
    <x v="11"/>
    <n v="4157"/>
    <n v="3"/>
    <x v="13"/>
    <x v="1"/>
    <x v="8"/>
    <n v="5652"/>
    <n v="5652"/>
    <n v="0"/>
    <n v="0"/>
    <m/>
  </r>
  <r>
    <x v="2"/>
    <x v="0"/>
    <x v="11"/>
    <n v="4353"/>
    <n v="1"/>
    <x v="4"/>
    <x v="1"/>
    <x v="1"/>
    <n v="0"/>
    <n v="0"/>
    <n v="11500"/>
    <n v="35822"/>
    <m/>
  </r>
  <r>
    <x v="2"/>
    <x v="0"/>
    <x v="11"/>
    <n v="4047"/>
    <n v="1"/>
    <x v="13"/>
    <x v="1"/>
    <x v="8"/>
    <n v="5100"/>
    <n v="5100"/>
    <n v="0"/>
    <n v="0"/>
    <m/>
  </r>
  <r>
    <x v="2"/>
    <x v="0"/>
    <x v="11"/>
    <n v="3847"/>
    <n v="0"/>
    <x v="13"/>
    <x v="1"/>
    <x v="7"/>
    <n v="5880"/>
    <n v="5880"/>
    <n v="0"/>
    <n v="0"/>
    <m/>
  </r>
  <r>
    <x v="2"/>
    <x v="0"/>
    <x v="11"/>
    <n v="3857"/>
    <n v="2"/>
    <x v="13"/>
    <x v="1"/>
    <x v="8"/>
    <n v="5100"/>
    <n v="5100"/>
    <n v="0"/>
    <n v="0"/>
    <m/>
  </r>
  <r>
    <x v="2"/>
    <x v="0"/>
    <x v="11"/>
    <n v="3902"/>
    <n v="0"/>
    <x v="13"/>
    <x v="1"/>
    <x v="7"/>
    <n v="2756"/>
    <n v="2756"/>
    <n v="0"/>
    <n v="0"/>
    <m/>
  </r>
  <r>
    <x v="2"/>
    <x v="0"/>
    <x v="11"/>
    <n v="3922"/>
    <n v="3"/>
    <x v="13"/>
    <x v="1"/>
    <x v="8"/>
    <n v="7267"/>
    <n v="7267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1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AA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Col" showAll="0">
      <items count="23">
        <item x="12"/>
        <item x="13"/>
        <item x="16"/>
        <item x="10"/>
        <item x="17"/>
        <item x="15"/>
        <item x="1"/>
        <item x="6"/>
        <item x="3"/>
        <item x="19"/>
        <item x="21"/>
        <item x="18"/>
        <item x="4"/>
        <item x="2"/>
        <item x="11"/>
        <item x="7"/>
        <item x="8"/>
        <item x="9"/>
        <item x="20"/>
        <item x="5"/>
        <item x="14"/>
        <item x="0"/>
        <item t="default"/>
      </items>
    </pivotField>
    <pivotField showAll="0">
      <items count="16">
        <item x="7"/>
        <item x="1"/>
        <item x="2"/>
        <item x="3"/>
        <item x="4"/>
        <item x="5"/>
        <item x="14"/>
        <item x="13"/>
        <item x="6"/>
        <item x="10"/>
        <item x="9"/>
        <item x="11"/>
        <item x="8"/>
        <item x="12"/>
        <item x="0"/>
        <item t="default"/>
      </items>
    </pivotField>
    <pivotField showAll="0">
      <items count="12">
        <item h="1" m="1" x="10"/>
        <item h="1" x="2"/>
        <item h="1" x="1"/>
        <item h="1"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5"/>
  </colFields>
  <colItems count="12">
    <i>
      <x v="1"/>
    </i>
    <i>
      <x v="2"/>
    </i>
    <i>
      <x v="9"/>
    </i>
    <i>
      <x v="10"/>
    </i>
    <i>
      <x v="11"/>
    </i>
    <i>
      <x v="12"/>
    </i>
    <i>
      <x v="13"/>
    </i>
    <i>
      <x v="16"/>
    </i>
    <i>
      <x v="17"/>
    </i>
    <i>
      <x v="18"/>
    </i>
    <i>
      <x v="2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1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1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1">
        <item x="6"/>
        <item x="3"/>
        <item h="1" x="0"/>
        <item h="1" x="1"/>
        <item h="1" x="2"/>
        <item h="1" x="5"/>
        <item h="1" x="7"/>
        <item h="1" x="8"/>
        <item h="1" m="1" x="10"/>
        <item x="4"/>
        <item h="1" x="9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1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3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8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7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6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2">
      <calculatedColumnFormula>MAXA(-(4*M1-Tabela6[[#This Row],[Done]]),0)</calculatedColumnFormula>
    </tableColumn>
    <tableColumn id="4" name="XP to gain" dataDxfId="121"/>
    <tableColumn id="6" name="Mana Cost" dataDxfId="120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9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7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6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5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4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3">
      <calculatedColumnFormula>4*LocFeatures[[#This Row],[XP Gain per member]]</calculatedColumnFormula>
    </tableColumn>
    <tableColumn id="11" name="XP Train Gain"/>
    <tableColumn id="22" name="XP drop" dataDxfId="112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1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0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9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6" tableBorderDxfId="105">
  <autoFilter ref="Q3:W6"/>
  <tableColumns count="7">
    <tableColumn id="1" name="Kolumna1">
      <calculatedColumnFormula>G5</calculatedColumnFormula>
    </tableColumn>
    <tableColumn id="2" name="4" dataDxfId="104"/>
    <tableColumn id="3" name="5" dataDxfId="103"/>
    <tableColumn id="4" name="7" dataDxfId="102"/>
    <tableColumn id="5" name="8" dataDxfId="101"/>
    <tableColumn id="6" name="9" dataDxfId="100"/>
    <tableColumn id="7" name="10" dataDxfId="9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8">
  <autoFilter ref="X1:AB5"/>
  <tableColumns count="5">
    <tableColumn id="1" name="Set Name" dataDxfId="97"/>
    <tableColumn id="2" name="Attack" dataDxfId="96"/>
    <tableColumn id="3" name="Crit.Dmg" dataDxfId="95"/>
    <tableColumn id="4" name="Crit.Cha" dataDxfId="94"/>
    <tableColumn id="5" name="Speed" dataDxfId="93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2" dataDxfId="91" tableBorderDxfId="90">
  <autoFilter ref="A1:U74"/>
  <tableColumns count="21">
    <tableColumn id="1" name="Set" dataDxfId="89"/>
    <tableColumn id="2" name="Runes" dataDxfId="88"/>
    <tableColumn id="3" name="Fatal Nbr" dataDxfId="87"/>
    <tableColumn id="4" name="Rage Nbr" dataDxfId="86"/>
    <tableColumn id="5" name="Blade Nbr" dataDxfId="85"/>
    <tableColumn id="6" name="Atk Mult" dataDxfId="84"/>
    <tableColumn id="7" name="CritD" dataDxfId="83"/>
    <tableColumn id="8" name="Atk % from subs" dataDxfId="82"/>
    <tableColumn id="9" name="Crit D % from subs" dataDxfId="81"/>
    <tableColumn id="10" name="% of Crit C from subs" dataDxfId="80"/>
    <tableColumn id="11" name="Nbr of Atk rune" dataDxfId="79"/>
    <tableColumn id="12" name="Nbr of Crit D rune" dataDxfId="78"/>
    <tableColumn id="13" name="Nbr of Crit C rune" dataDxfId="77"/>
    <tableColumn id="14" name="Atk" dataDxfId="76"/>
    <tableColumn id="15" name="Dmg" dataDxfId="75"/>
    <tableColumn id="16" name="DmgC" dataDxfId="74"/>
    <tableColumn id="17" name="Crit Chance Basic" dataDxfId="73"/>
    <tableColumn id="18" name="Final Crit Chance" dataDxfId="72"/>
    <tableColumn id="19" name="AvgDmg" dataDxfId="71"/>
    <tableColumn id="20" name="AvgDmg Basic" dataDxfId="70"/>
    <tableColumn id="21" name="% change to basic" dataDxfId="69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8">
  <autoFilter ref="W20:AF43"/>
  <tableColumns count="10">
    <tableColumn id="1" name="Crit C" dataDxfId="67"/>
    <tableColumn id="2" name="Crit D" dataDxfId="66"/>
    <tableColumn id="3" name="Atk " dataDxfId="65"/>
    <tableColumn id="4" name="Set1" dataDxfId="64"/>
    <tableColumn id="5" name="Set2" dataDxfId="63"/>
    <tableColumn id="6" name="Rune1" dataDxfId="62"/>
    <tableColumn id="7" name="NBR R1"/>
    <tableColumn id="8" name="Rune2" dataDxfId="61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60">
  <autoFilter ref="AJ2:AU1190"/>
  <tableColumns count="12">
    <tableColumn id="1" name="Att stones" dataDxfId="59"/>
    <tableColumn id="2" name="Crid D stone" dataDxfId="58"/>
    <tableColumn id="3" name="Crit C stone" dataDxfId="57"/>
    <tableColumn id="11" name="Kolumna1" dataDxfId="56">
      <calculatedColumnFormula>Tabela21[[#This Row],[Att subs]]+Tabela21[[#This Row],[Crit D subs]]</calculatedColumnFormula>
    </tableColumn>
    <tableColumn id="4" name="Att subs" dataDxfId="55"/>
    <tableColumn id="5" name="Crit D subs" dataDxfId="54"/>
    <tableColumn id="6" name="Crit C subs" dataDxfId="53"/>
    <tableColumn id="7" name="Fatal + Blade" dataDxfId="52">
      <calculatedColumnFormula>$AG$3*(1+$AJ3*$Y$2+$AN3+0.35)*(MAXA(1-$AI$3-$AL3*$AA$3-$AP3-0.12,0)+MINA($AI$3+$AL3*$AA$3+$AP3+0.12,1)*(1+$AH$3+$AO3+$AK3*$Z$4))</calculatedColumnFormula>
    </tableColumn>
    <tableColumn id="8" name="Rage + Blade" dataDxfId="51">
      <calculatedColumnFormula>$AG$3*(1+$AJ3*$Y$2+$AN3)*(MAXA(1-$AI$3-$AL3*$AA$3-$AP3-0.12,0)+MINA($AI$3+$AL3*$AA$3+$AP3+0.12,1)*(1+$AH$3+$AO3+$AK3*$Z$4+0.4))</calculatedColumnFormula>
    </tableColumn>
    <tableColumn id="9" name="3x Blade" dataDxfId="50">
      <calculatedColumnFormula>$AG$3*(1+$AJ3*$Y$2+$AN3)*(MAXA(1-$AI$3-$AL3*$AA$3-$AP3-0.36,0)+MINA($AI$3+$AL3*$AA$3+$AP3+0.36,1)*(1+$AH$3+$AO3+$AK3*$Z$4))</calculatedColumnFormula>
    </tableColumn>
    <tableColumn id="10" name="DobSk Fatal+balde" dataDxfId="49">
      <calculatedColumnFormula>$AG$3*(1+$AJ3*$Y$2+$AN3)*(MAXA(1-$AI$3-$AL3*$AA$3-$AP3-0.36,0)+2*MINA($AI$3+$AL3*$AA$3+$AP3+0.36,1)*(1+$AH$3+$AO3+$AK3*$Z$4))</calculatedColumnFormula>
    </tableColumn>
    <tableColumn id="12" name="DobSk Fatal+balde2" dataDxfId="48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7">
      <calculatedColumnFormula>FLOOR((J$17+J$18*(Tabela1318[[#This Row],[Type]]-1))*1.2,1)</calculatedColumnFormula>
    </tableColumn>
    <tableColumn id="9" name="Att" dataDxfId="46">
      <calculatedColumnFormula>FLOOR((K$17+K$18*(Tabela1318[[#This Row],[Type]]-1))*1.2,1)</calculatedColumnFormula>
    </tableColumn>
    <tableColumn id="10" name="Def" dataDxfId="45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4"/>
    <tableColumn id="5" name="HP"/>
    <tableColumn id="6" name="Acc%"/>
    <tableColumn id="7" name="SPD"/>
    <tableColumn id="8" name="Crit Rate%" dataDxfId="43"/>
    <tableColumn id="9" name="Crit DMG%" dataDxfId="42"/>
    <tableColumn id="10" name="Att%" dataDxfId="41"/>
    <tableColumn id="16" name="Att"/>
    <tableColumn id="11" name="Def%" dataDxfId="40"/>
    <tableColumn id="14" name="Def"/>
    <tableColumn id="12" name="Res%" dataDxfId="39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1">
  <autoFilter ref="A6:R38"/>
  <tableColumns count="18">
    <tableColumn id="1" name="Scenario"/>
    <tableColumn id="2" name="XP" dataDxfId="30">
      <calculatedColumnFormula>(2*$J7+$K7)/($R7-$Q7)*O7</calculatedColumnFormula>
    </tableColumn>
    <tableColumn id="3" name="Gold" dataDxfId="29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8"/>
    <tableColumn id="11" name="Ene normal" dataDxfId="27"/>
    <tableColumn id="12" name="Location" dataDxfId="26"/>
    <tableColumn id="13" name="LVL" dataDxfId="25"/>
    <tableColumn id="14" name="Stage" dataDxfId="24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3" dataDxfId="22">
  <autoFilter ref="A1:T327">
    <filterColumn colId="15"/>
  </autoFilter>
  <sortState ref="A2:T327">
    <sortCondition descending="1" ref="T2:T327"/>
  </sortState>
  <tableColumns count="20">
    <tableColumn id="1" name="LP" dataDxfId="21" dataCellStyle="Normalny 2"/>
    <tableColumn id="16" name="Awakened2" dataDxfId="20" dataCellStyle="Normalny 2"/>
    <tableColumn id="2" name="Name" dataDxfId="19"/>
    <tableColumn id="3" name="Stars" dataDxfId="18"/>
    <tableColumn id="4" name="Attribute" dataDxfId="17"/>
    <tableColumn id="5" name="G" dataDxfId="16"/>
    <tableColumn id="6" name="D" dataDxfId="15"/>
    <tableColumn id="7" name="N" dataDxfId="14"/>
    <tableColumn id="8" name="AO" dataDxfId="13"/>
    <tableColumn id="9" name="AD" dataDxfId="12"/>
    <tableColumn id="10" name="HM" dataDxfId="11"/>
    <tableColumn id="11" name="GWO" dataDxfId="10"/>
    <tableColumn id="12" name="GWD" dataDxfId="9"/>
    <tableColumn id="13" name="Fusion" dataDxfId="8"/>
    <tableColumn id="15" name="Possesion" dataDxfId="7" dataCellStyle="Normalny 2"/>
    <tableColumn id="20" name="Try to Get" dataDxfId="2" dataCellStyle="Normalny 2"/>
    <tableColumn id="17" name="Suma PVE" dataDxfId="6" dataCellStyle="Normalny 2">
      <calculatedColumnFormula>SUM(Tabela2[[#This Row],[G]]+Tabela2[[#This Row],[D]]+Tabela2[[#This Row],[N]]+Tabela2[[#This Row],[HM]])</calculatedColumnFormula>
    </tableColumn>
    <tableColumn id="18" name="Suma PVP" dataDxfId="5" dataCellStyle="Normalny 2">
      <calculatedColumnFormula>SUM(Tabela2[[#This Row],[AO]]+Tabela2[[#This Row],[AD]]+Tabela2[[#This Row],[GWO]]+Tabela2[[#This Row],[GWD]])</calculatedColumnFormula>
    </tableColumn>
    <tableColumn id="19" name="Suma GW" dataDxfId="4" dataCellStyle="Normalny 2">
      <calculatedColumnFormula>Tabela2[[#This Row],[GWO]]+Tabela2[[#This Row],[GWD]]</calculatedColumnFormula>
    </tableColumn>
    <tableColumn id="14" name="Suma ALL" dataDxfId="3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opLeftCell="F1" workbookViewId="0">
      <selection activeCell="N9" sqref="N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5</v>
      </c>
      <c r="N3">
        <v>0</v>
      </c>
      <c r="O3" s="43">
        <v>0</v>
      </c>
      <c r="P3" s="1">
        <v>0</v>
      </c>
      <c r="Q3" s="1">
        <f>Tabela6[[#This Row],[Missing]]*22300</f>
        <v>111500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2</v>
      </c>
      <c r="N4">
        <v>3</v>
      </c>
      <c r="O4" s="43">
        <v>0</v>
      </c>
      <c r="P4" s="1">
        <f>M4*$B$5</f>
        <v>379500</v>
      </c>
      <c r="Q4" s="1">
        <f>Tabela6[[#This Row],[Missing]]*9600</f>
        <v>19200</v>
      </c>
      <c r="R4">
        <v>3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18</v>
      </c>
      <c r="N5">
        <v>2</v>
      </c>
      <c r="O5" s="43">
        <f>MAXA(-(4*M3-Tabela6[[#This Row],[Done]])-M4,0)</f>
        <v>0</v>
      </c>
      <c r="P5" s="1"/>
      <c r="Q5" s="1">
        <f>Tabela6[[#This Row],[Missing]]*9600</f>
        <v>172800</v>
      </c>
      <c r="R5">
        <v>2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25</v>
      </c>
      <c r="O6" s="43">
        <f>MAXA(-(M5+M4-O5-Tabela6[[#This Row],[Done]]),0)</f>
        <v>5</v>
      </c>
      <c r="P6" s="1">
        <f>M6*$B$4</f>
        <v>0</v>
      </c>
      <c r="Q6" s="1">
        <f>Tabela6[[#This Row],[Missing]]*4000</f>
        <v>0</v>
      </c>
      <c r="R6">
        <v>25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46</v>
      </c>
      <c r="N7">
        <v>14</v>
      </c>
      <c r="O7" s="43">
        <f>MAXA(-3*(M4+M5-O5)+Tabela6[[#This Row],[Done]],0)</f>
        <v>0</v>
      </c>
      <c r="P7" s="1"/>
      <c r="Q7" s="1">
        <f>Tabela6[[#This Row],[Missing]]*4000</f>
        <v>184000</v>
      </c>
      <c r="R7">
        <v>14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36</v>
      </c>
      <c r="N8">
        <v>10</v>
      </c>
      <c r="O8" s="43">
        <f>MAXA(-(M7+M6-O7-Tabela6[[#This Row],[Done]]),0)</f>
        <v>0</v>
      </c>
      <c r="P8" s="1">
        <f>M8*$B$3</f>
        <v>1289592</v>
      </c>
      <c r="Q8" s="1">
        <f>Tabela6[[#This Row],[Missing]]*4000</f>
        <v>144000</v>
      </c>
      <c r="R8">
        <v>10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79</v>
      </c>
      <c r="N9">
        <v>13</v>
      </c>
      <c r="O9" s="43">
        <f>MAXA(-(4*M7-Tabela6[[#This Row],[Done]])-M8,0)</f>
        <v>0</v>
      </c>
      <c r="P9" s="39"/>
      <c r="Q9" s="39">
        <f>Tabela6[[#This Row],[Missing]]*11000</f>
        <v>869000</v>
      </c>
      <c r="R9">
        <v>13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1669092</v>
      </c>
      <c r="Q12" s="38">
        <f>SUM(Q3:Q9)</f>
        <v>1500500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2000"/>
  <sheetViews>
    <sheetView tabSelected="1" zoomScale="85" zoomScaleNormal="85" workbookViewId="0">
      <pane ySplit="1" topLeftCell="A2" activePane="bottomLeft" state="frozen"/>
      <selection pane="bottomLeft" activeCell="A25" sqref="A2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7" width="6.375" customWidth="1"/>
    <col min="18" max="18" width="10.125" customWidth="1"/>
    <col min="19" max="19" width="7.5" customWidth="1"/>
    <col min="20" max="20" width="4.75" customWidth="1"/>
    <col min="21" max="22" width="6" customWidth="1"/>
    <col min="23" max="23" width="10" customWidth="1"/>
    <col min="24" max="24" width="12.75" customWidth="1"/>
    <col min="25" max="25" width="5.875" customWidth="1"/>
    <col min="26" max="26" width="7.125" customWidth="1"/>
    <col min="27" max="27" width="14.125" customWidth="1"/>
    <col min="28" max="28" width="6" customWidth="1"/>
    <col min="29" max="29" width="5.875" customWidth="1"/>
    <col min="30" max="30" width="8.125" customWidth="1"/>
    <col min="31" max="31" width="5" customWidth="1"/>
    <col min="32" max="32" width="7.5" customWidth="1"/>
    <col min="33" max="33" width="5.875" customWidth="1"/>
    <col min="34" max="34" width="8.125" customWidth="1"/>
    <col min="35" max="35" width="5" customWidth="1"/>
    <col min="36" max="36" width="5.875" customWidth="1"/>
    <col min="37" max="37" width="8.125" customWidth="1"/>
    <col min="38" max="38" width="8.875" customWidth="1"/>
    <col min="39" max="39" width="12.75" customWidth="1"/>
    <col min="40" max="40" width="7.125" customWidth="1"/>
    <col min="41" max="41" width="12.625" customWidth="1"/>
    <col min="42" max="42" width="14.125" customWidth="1"/>
    <col min="43" max="43" width="3.125" customWidth="1"/>
    <col min="44" max="44" width="2.75" customWidth="1"/>
    <col min="45" max="45" width="7.125" customWidth="1"/>
    <col min="46" max="46" width="12.5" bestFit="1" customWidth="1"/>
    <col min="47" max="47" width="14.125" bestFit="1" customWidth="1"/>
  </cols>
  <sheetData>
    <row r="1" spans="1:27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7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7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7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7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7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>
        <f>(11500-300*5)/5</f>
        <v>2000</v>
      </c>
      <c r="S6">
        <v>800</v>
      </c>
      <c r="T6">
        <v>800</v>
      </c>
    </row>
    <row r="7" spans="1:27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1">
        <v>120000</v>
      </c>
      <c r="R7">
        <v>0</v>
      </c>
      <c r="S7">
        <v>0</v>
      </c>
      <c r="T7">
        <v>0</v>
      </c>
    </row>
    <row r="8" spans="1:27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7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7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7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 t="s">
        <v>258</v>
      </c>
      <c r="Q11" t="s">
        <v>264</v>
      </c>
      <c r="R11" t="s">
        <v>288</v>
      </c>
      <c r="S11" t="s">
        <v>318</v>
      </c>
      <c r="T11" t="s">
        <v>266</v>
      </c>
      <c r="U11" t="s">
        <v>58</v>
      </c>
      <c r="V11" t="s">
        <v>34</v>
      </c>
      <c r="W11" t="s">
        <v>205</v>
      </c>
      <c r="X11" t="s">
        <v>143</v>
      </c>
      <c r="Y11" t="s">
        <v>291</v>
      </c>
      <c r="Z11" t="s">
        <v>65</v>
      </c>
      <c r="AA11" t="s">
        <v>66</v>
      </c>
    </row>
    <row r="12" spans="1:27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93</v>
      </c>
      <c r="Q12" s="43">
        <v>1</v>
      </c>
      <c r="R12" s="43">
        <v>2</v>
      </c>
      <c r="S12" s="43">
        <v>5</v>
      </c>
      <c r="T12" s="43">
        <v>1</v>
      </c>
      <c r="U12" s="43">
        <v>9</v>
      </c>
      <c r="V12" s="43">
        <v>48</v>
      </c>
      <c r="W12" s="43">
        <v>1</v>
      </c>
      <c r="X12" s="43">
        <v>2</v>
      </c>
      <c r="Y12" s="43">
        <v>34</v>
      </c>
      <c r="Z12" s="43">
        <v>18</v>
      </c>
      <c r="AA12" s="43">
        <v>214</v>
      </c>
    </row>
    <row r="13" spans="1:27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>
        <v>1</v>
      </c>
      <c r="AA13" s="43">
        <v>1</v>
      </c>
    </row>
    <row r="14" spans="1:27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>
        <v>1</v>
      </c>
      <c r="AA14" s="43">
        <v>1</v>
      </c>
    </row>
    <row r="15" spans="1:27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/>
      <c r="R15" s="43"/>
      <c r="S15" s="43"/>
      <c r="T15" s="43"/>
      <c r="U15" s="43"/>
      <c r="V15" s="43">
        <v>5</v>
      </c>
      <c r="W15" s="43"/>
      <c r="X15" s="43">
        <v>1</v>
      </c>
      <c r="Y15" s="43"/>
      <c r="Z15" s="43">
        <v>10</v>
      </c>
      <c r="AA15" s="43">
        <v>16</v>
      </c>
    </row>
    <row r="16" spans="1:27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>
        <v>1</v>
      </c>
      <c r="Q16" s="43"/>
      <c r="R16" s="43"/>
      <c r="S16" s="43"/>
      <c r="T16" s="43"/>
      <c r="U16" s="43">
        <v>1</v>
      </c>
      <c r="V16" s="43">
        <v>3</v>
      </c>
      <c r="W16" s="43"/>
      <c r="X16" s="43">
        <v>1</v>
      </c>
      <c r="Y16" s="43"/>
      <c r="Z16" s="43">
        <v>5</v>
      </c>
      <c r="AA16" s="43">
        <v>11</v>
      </c>
    </row>
    <row r="17" spans="1:27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>
        <v>20</v>
      </c>
      <c r="Q17" s="43"/>
      <c r="R17" s="43"/>
      <c r="S17" s="43"/>
      <c r="T17" s="43"/>
      <c r="U17" s="43">
        <v>1</v>
      </c>
      <c r="V17" s="43">
        <v>17</v>
      </c>
      <c r="W17" s="43">
        <v>1</v>
      </c>
      <c r="X17" s="43"/>
      <c r="Y17" s="43">
        <v>10</v>
      </c>
      <c r="Z17" s="43">
        <v>1</v>
      </c>
      <c r="AA17" s="43">
        <v>50</v>
      </c>
    </row>
    <row r="18" spans="1:27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>
        <v>20</v>
      </c>
      <c r="Q18" s="43">
        <v>1</v>
      </c>
      <c r="R18" s="43"/>
      <c r="S18" s="43">
        <v>1</v>
      </c>
      <c r="T18" s="43">
        <v>1</v>
      </c>
      <c r="U18" s="43"/>
      <c r="V18" s="43">
        <v>9</v>
      </c>
      <c r="W18" s="43"/>
      <c r="X18" s="43"/>
      <c r="Y18" s="43">
        <v>5</v>
      </c>
      <c r="Z18" s="43"/>
      <c r="AA18" s="43">
        <v>37</v>
      </c>
    </row>
    <row r="19" spans="1:27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52</v>
      </c>
      <c r="Q19" s="43"/>
      <c r="R19" s="43">
        <v>2</v>
      </c>
      <c r="S19" s="43">
        <v>4</v>
      </c>
      <c r="T19" s="43"/>
      <c r="U19" s="43">
        <v>7</v>
      </c>
      <c r="V19" s="43">
        <v>14</v>
      </c>
      <c r="W19" s="43"/>
      <c r="X19" s="43"/>
      <c r="Y19" s="43">
        <v>19</v>
      </c>
      <c r="Z19" s="43"/>
      <c r="AA19" s="43">
        <v>98</v>
      </c>
    </row>
    <row r="20" spans="1:27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93</v>
      </c>
      <c r="Q20" s="43">
        <v>1</v>
      </c>
      <c r="R20" s="43">
        <v>2</v>
      </c>
      <c r="S20" s="43">
        <v>5</v>
      </c>
      <c r="T20" s="43">
        <v>1</v>
      </c>
      <c r="U20" s="43">
        <v>9</v>
      </c>
      <c r="V20" s="43">
        <v>48</v>
      </c>
      <c r="W20" s="43">
        <v>1</v>
      </c>
      <c r="X20" s="43">
        <v>2</v>
      </c>
      <c r="Y20" s="43">
        <v>34</v>
      </c>
      <c r="Z20" s="43">
        <v>18</v>
      </c>
      <c r="AA20" s="43">
        <v>214</v>
      </c>
    </row>
    <row r="21" spans="1:27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7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7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7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7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7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7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7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7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7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7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7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0" t="s">
        <v>249</v>
      </c>
      <c r="G5" s="201"/>
      <c r="H5" s="202"/>
      <c r="I5" s="203" t="s">
        <v>250</v>
      </c>
      <c r="J5" s="204"/>
      <c r="K5" s="205"/>
      <c r="L5" s="206" t="s">
        <v>18</v>
      </c>
      <c r="M5" s="207"/>
      <c r="N5" s="208"/>
      <c r="O5" s="209" t="s">
        <v>252</v>
      </c>
      <c r="P5" s="210"/>
      <c r="Q5" s="211"/>
      <c r="R5" s="212" t="s">
        <v>251</v>
      </c>
      <c r="S5" s="213"/>
      <c r="T5" s="214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5" t="s">
        <v>281</v>
      </c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6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7" t="s">
        <v>280</v>
      </c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9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0" t="s">
        <v>249</v>
      </c>
      <c r="G37" s="201"/>
      <c r="H37" s="202"/>
      <c r="I37" s="203" t="s">
        <v>250</v>
      </c>
      <c r="J37" s="204"/>
      <c r="K37" s="205"/>
      <c r="L37" s="206" t="s">
        <v>18</v>
      </c>
      <c r="M37" s="207"/>
      <c r="N37" s="208"/>
      <c r="O37" s="209" t="s">
        <v>252</v>
      </c>
      <c r="P37" s="210"/>
      <c r="Q37" s="211"/>
      <c r="R37" s="212" t="s">
        <v>251</v>
      </c>
      <c r="S37" s="213"/>
      <c r="T37" s="214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5" t="s">
        <v>281</v>
      </c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6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7" t="s">
        <v>280</v>
      </c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9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0" t="s">
        <v>249</v>
      </c>
      <c r="G69" s="201"/>
      <c r="H69" s="202"/>
      <c r="I69" s="203" t="s">
        <v>250</v>
      </c>
      <c r="J69" s="204"/>
      <c r="K69" s="205"/>
      <c r="L69" s="206" t="s">
        <v>18</v>
      </c>
      <c r="M69" s="207"/>
      <c r="N69" s="208"/>
      <c r="O69" s="209" t="s">
        <v>252</v>
      </c>
      <c r="P69" s="210"/>
      <c r="Q69" s="211"/>
      <c r="R69" s="212" t="s">
        <v>251</v>
      </c>
      <c r="S69" s="213"/>
      <c r="T69" s="214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5" t="s">
        <v>281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6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7" t="s">
        <v>280</v>
      </c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9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N13" sqref="N13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14197.712871287127</v>
      </c>
      <c r="J29" s="19">
        <f>AVERAGEIFS(DropAnalityka[Energy Drop],DropAnalityka[Location],LocFeatures[[#This Row],[Location]],DropAnalityka[LVL],LocFeatures[[#This Row],[LVL]],DropAnalityka[Stage],LocFeatures[[#This Row],[Stage]])</f>
        <v>0.85148514851485146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3795.4059405940593</v>
      </c>
      <c r="N29" s="50">
        <f>LocFeatures[[#This Row],[Drop worth gain]]/(LocFeatures[[#This Row],[E. Cost]]-LocFeatures[[#This Row],[Energy gain]])</f>
        <v>1986.1066481994458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530.93628808864264</v>
      </c>
      <c r="Q29" s="47">
        <f>COUNTIFS(DropAnalityka[Location],LocFeatures[[#This Row],[Location]],DropAnalityka[LVL],LocFeatures[[#This Row],[LVL]],DropAnalityka[Stage],LocFeatures[[#This Row],[Stage]])</f>
        <v>101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4541.8207756232696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0.4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1161.8859649122808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87.719298245614027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3204.7982456140348</v>
      </c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5" t="s">
        <v>273</v>
      </c>
      <c r="S2" s="215"/>
      <c r="T2" s="215"/>
      <c r="U2" s="215"/>
      <c r="V2" s="215"/>
      <c r="W2" s="215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3476.7102803738317</v>
      </c>
      <c r="C39" s="1">
        <v>4119.3411214953267</v>
      </c>
      <c r="D39" s="1">
        <v>0.99065420560747663</v>
      </c>
      <c r="E39" s="43">
        <v>196</v>
      </c>
    </row>
    <row r="40" spans="1:5">
      <c r="A40" s="13" t="s">
        <v>9</v>
      </c>
      <c r="B40" s="1">
        <v>3476.7102803738317</v>
      </c>
      <c r="C40" s="1">
        <v>4119.3411214953267</v>
      </c>
      <c r="D40" s="1">
        <v>0.99065420560747663</v>
      </c>
      <c r="E40" s="43">
        <v>196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4033.9693877551022</v>
      </c>
      <c r="C47" s="1">
        <v>5548.8061224489793</v>
      </c>
      <c r="D47" s="1">
        <v>0.84693877551020413</v>
      </c>
      <c r="E47" s="43">
        <v>98</v>
      </c>
    </row>
    <row r="48" spans="1:5">
      <c r="A48" s="12" t="s">
        <v>66</v>
      </c>
      <c r="B48" s="1">
        <v>2025.8715203426125</v>
      </c>
      <c r="C48" s="1">
        <v>1669.3117583603021</v>
      </c>
      <c r="D48" s="1">
        <v>0.89721627408993576</v>
      </c>
      <c r="E48" s="43">
        <v>474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6" t="s">
        <v>315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38">
        <v>7547.956500000003</v>
      </c>
      <c r="U46" s="139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38">
        <v>7547.956500000003</v>
      </c>
      <c r="U55" s="139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P20"/>
  <sheetViews>
    <sheetView workbookViewId="0">
      <selection activeCell="P9" sqref="P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4332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4560</v>
      </c>
      <c r="L3">
        <f>(K3-K2)/J2*30/G20</f>
        <v>5.2631578947368418E-2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791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6">
      <c r="A12" t="s">
        <v>784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6">
      <c r="A13" t="s">
        <v>786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6">
      <c r="A14" t="s">
        <v>821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6">
      <c r="A15" t="s">
        <v>786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6">
      <c r="A16" t="s">
        <v>786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787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788</v>
      </c>
      <c r="C18">
        <f>24*7</f>
        <v>168</v>
      </c>
      <c r="D18">
        <v>100</v>
      </c>
      <c r="E18">
        <v>100</v>
      </c>
      <c r="F18">
        <v>4</v>
      </c>
      <c r="G18">
        <f t="shared" si="0"/>
        <v>400</v>
      </c>
    </row>
    <row r="20" spans="1:7" ht="15">
      <c r="F20" s="36" t="s">
        <v>793</v>
      </c>
      <c r="G20" s="36">
        <f>SUM(Tabela20[Cryst/Month])</f>
        <v>1710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2015-11-23T15:45:32Z</dcterms:modified>
</cp:coreProperties>
</file>