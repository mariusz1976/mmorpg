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 activeTab="1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Summary" sheetId="2" r:id="rId6"/>
    <sheet name="Runes" sheetId="8" r:id="rId7"/>
    <sheet name="Runes for DPS" sheetId="6" r:id="rId8"/>
    <sheet name="Runes to mobs" sheetId="7" r:id="rId9"/>
  </sheets>
  <calcPr calcId="145621"/>
  <pivotCaches>
    <pivotCache cacheId="0" r:id="rId10"/>
  </pivotCaches>
</workbook>
</file>

<file path=xl/calcChain.xml><?xml version="1.0" encoding="utf-8"?>
<calcChain xmlns="http://schemas.openxmlformats.org/spreadsheetml/2006/main">
  <c r="Q27" i="4" l="1"/>
  <c r="L27" i="4"/>
  <c r="K27" i="4"/>
  <c r="J27" i="4"/>
  <c r="K26" i="4"/>
  <c r="K25" i="4"/>
  <c r="K23" i="4"/>
  <c r="K22" i="4"/>
  <c r="K20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I27" i="4" l="1"/>
  <c r="N27" i="4" s="1"/>
  <c r="R27" i="4"/>
  <c r="O27" i="4"/>
  <c r="K879" i="3"/>
  <c r="K875" i="3"/>
  <c r="K539" i="3"/>
  <c r="L881" i="3"/>
  <c r="L877" i="3"/>
  <c r="L857" i="3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M27" i="4" s="1"/>
  <c r="P27" i="4" s="1"/>
  <c r="Q17" i="4"/>
  <c r="J17" i="4"/>
  <c r="E17" i="4"/>
  <c r="L17" i="4" s="1"/>
  <c r="K17" i="4" l="1"/>
  <c r="O17" i="4"/>
  <c r="R17" i="4" s="1"/>
  <c r="M17" i="4"/>
  <c r="P17" i="4" s="1"/>
  <c r="Q10" i="4"/>
  <c r="L10" i="4"/>
  <c r="K10" i="4"/>
  <c r="J10" i="4"/>
  <c r="Q22" i="4"/>
  <c r="L22" i="4"/>
  <c r="J22" i="4"/>
  <c r="Q20" i="4"/>
  <c r="L20" i="4"/>
  <c r="J20" i="4"/>
  <c r="Q23" i="4"/>
  <c r="L23" i="4"/>
  <c r="J23" i="4"/>
  <c r="Q26" i="4"/>
  <c r="L26" i="4"/>
  <c r="J26" i="4"/>
  <c r="W6" i="5"/>
  <c r="R6" i="5"/>
  <c r="U4" i="5"/>
  <c r="U5" i="5"/>
  <c r="R5" i="5"/>
  <c r="S6" i="5"/>
  <c r="T6" i="5"/>
  <c r="V5" i="5"/>
  <c r="V4" i="5"/>
  <c r="T5" i="5"/>
  <c r="W5" i="5"/>
  <c r="V6" i="5"/>
  <c r="W4" i="5"/>
  <c r="T4" i="5"/>
  <c r="S4" i="5"/>
  <c r="S5" i="5"/>
  <c r="U6" i="5"/>
  <c r="M10" i="4" l="1"/>
  <c r="P10" i="4" s="1"/>
  <c r="O10" i="4"/>
  <c r="R10" i="4" s="1"/>
  <c r="O22" i="4"/>
  <c r="R22" i="4" s="1"/>
  <c r="O23" i="4"/>
  <c r="O26" i="4"/>
  <c r="O20" i="4"/>
  <c r="R20" i="4" s="1"/>
  <c r="R23" i="4"/>
  <c r="R26" i="4"/>
  <c r="Q6" i="5"/>
  <c r="Q5" i="5"/>
  <c r="Q4" i="5"/>
  <c r="R4" i="5"/>
  <c r="M30" i="1" l="1"/>
  <c r="I17" i="4"/>
  <c r="N17" i="4" s="1"/>
  <c r="Q24" i="4"/>
  <c r="L24" i="4"/>
  <c r="K24" i="4"/>
  <c r="J24" i="4"/>
  <c r="J2" i="4"/>
  <c r="I10" i="4" l="1"/>
  <c r="N10" i="4" s="1"/>
  <c r="M20" i="4"/>
  <c r="P20" i="4" s="1"/>
  <c r="I20" i="4"/>
  <c r="N20" i="4" s="1"/>
  <c r="I22" i="4"/>
  <c r="N22" i="4" s="1"/>
  <c r="M22" i="4"/>
  <c r="P22" i="4" s="1"/>
  <c r="R24" i="4"/>
  <c r="O24" i="4"/>
  <c r="K2" i="4" l="1"/>
  <c r="Q2" i="4"/>
  <c r="L2" i="4"/>
  <c r="O2" i="4" l="1"/>
  <c r="R2" i="4" s="1"/>
  <c r="M31" i="1"/>
  <c r="M29" i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M32" i="1"/>
  <c r="M33" i="1" s="1"/>
  <c r="Q12" i="4"/>
  <c r="L12" i="4"/>
  <c r="K12" i="4"/>
  <c r="J12" i="4"/>
  <c r="U46" i="9" l="1"/>
  <c r="U47" i="9"/>
  <c r="U45" i="9"/>
  <c r="O12" i="4"/>
  <c r="R12" i="4" s="1"/>
  <c r="Q11" i="4"/>
  <c r="Q8" i="4"/>
  <c r="Q7" i="4"/>
  <c r="Q3" i="4"/>
  <c r="Q19" i="4"/>
  <c r="Q6" i="4"/>
  <c r="Q14" i="4"/>
  <c r="Q13" i="4"/>
  <c r="Q16" i="4"/>
  <c r="Q9" i="4"/>
  <c r="Q5" i="4"/>
  <c r="Q15" i="4"/>
  <c r="Q4" i="4"/>
  <c r="Q25" i="4"/>
  <c r="Q18" i="4"/>
  <c r="Q21" i="4"/>
  <c r="O29" i="1"/>
  <c r="M17" i="1"/>
  <c r="M18" i="1" s="1"/>
  <c r="J7" i="4"/>
  <c r="J11" i="4"/>
  <c r="J8" i="4"/>
  <c r="J9" i="4"/>
  <c r="J6" i="4"/>
  <c r="J19" i="4"/>
  <c r="J14" i="4"/>
  <c r="J13" i="4"/>
  <c r="J5" i="4"/>
  <c r="J3" i="4"/>
  <c r="J15" i="4"/>
  <c r="J25" i="4"/>
  <c r="J4" i="4"/>
  <c r="J18" i="4"/>
  <c r="J16" i="4"/>
  <c r="J21" i="4"/>
  <c r="L7" i="4"/>
  <c r="L11" i="4"/>
  <c r="L8" i="4"/>
  <c r="L9" i="4"/>
  <c r="L6" i="4"/>
  <c r="L19" i="4"/>
  <c r="L14" i="4"/>
  <c r="L13" i="4"/>
  <c r="L5" i="4"/>
  <c r="L3" i="4"/>
  <c r="L15" i="4"/>
  <c r="L25" i="4"/>
  <c r="L4" i="4"/>
  <c r="L18" i="4"/>
  <c r="L16" i="4"/>
  <c r="L21" i="4"/>
  <c r="O7" i="4" l="1"/>
  <c r="R7" i="4" s="1"/>
  <c r="O5" i="4"/>
  <c r="R5" i="4" s="1"/>
  <c r="O6" i="4"/>
  <c r="R6" i="4" s="1"/>
  <c r="M34" i="1"/>
  <c r="O4" i="4"/>
  <c r="R4" i="4" s="1"/>
  <c r="O21" i="4"/>
  <c r="R21" i="4" s="1"/>
  <c r="O19" i="4"/>
  <c r="R19" i="4" s="1"/>
  <c r="O11" i="4"/>
  <c r="R11" i="4" s="1"/>
  <c r="O3" i="4"/>
  <c r="R3" i="4" s="1"/>
  <c r="O18" i="4"/>
  <c r="R18" i="4" s="1"/>
  <c r="O15" i="4"/>
  <c r="R15" i="4" s="1"/>
  <c r="O14" i="4"/>
  <c r="R14" i="4" s="1"/>
  <c r="O8" i="4"/>
  <c r="R8" i="4" s="1"/>
  <c r="O16" i="4"/>
  <c r="R16" i="4" s="1"/>
  <c r="O25" i="4"/>
  <c r="R25" i="4" s="1"/>
  <c r="O13" i="4"/>
  <c r="R13" i="4" s="1"/>
  <c r="O9" i="4"/>
  <c r="R9" i="4" s="1"/>
  <c r="K8" i="4"/>
  <c r="O31" i="1" l="1"/>
  <c r="O33" i="1"/>
  <c r="K21" i="4"/>
  <c r="O37" i="1" l="1"/>
  <c r="O35" i="1"/>
  <c r="M36" i="1" l="1"/>
  <c r="K15" i="4"/>
  <c r="I19" i="4" l="1"/>
  <c r="N19" i="4" s="1"/>
  <c r="I5" i="4"/>
  <c r="N5" i="4" s="1"/>
  <c r="M16" i="4"/>
  <c r="P16" i="4" s="1"/>
  <c r="M19" i="4"/>
  <c r="P19" i="4" s="1"/>
  <c r="M5" i="4"/>
  <c r="P5" i="4" s="1"/>
  <c r="M23" i="4"/>
  <c r="P23" i="4" s="1"/>
  <c r="M26" i="4" l="1"/>
  <c r="P26" i="4" s="1"/>
  <c r="M2" i="4"/>
  <c r="P2" i="4" s="1"/>
  <c r="I9" i="4"/>
  <c r="N9" i="4" s="1"/>
  <c r="M24" i="4"/>
  <c r="P24" i="4" s="1"/>
  <c r="M4" i="4"/>
  <c r="P4" i="4" s="1"/>
  <c r="M8" i="4"/>
  <c r="P8" i="4" s="1"/>
  <c r="M13" i="4"/>
  <c r="P13" i="4" s="1"/>
  <c r="M18" i="4"/>
  <c r="P18" i="4" s="1"/>
  <c r="M9" i="4"/>
  <c r="P9" i="4" s="1"/>
  <c r="M14" i="4"/>
  <c r="P14" i="4" s="1"/>
  <c r="M21" i="4"/>
  <c r="P21" i="4" s="1"/>
  <c r="M11" i="4"/>
  <c r="P11" i="4" s="1"/>
  <c r="M25" i="4"/>
  <c r="P25" i="4" s="1"/>
  <c r="M15" i="4"/>
  <c r="P15" i="4" s="1"/>
  <c r="M7" i="4"/>
  <c r="P7" i="4" s="1"/>
  <c r="M12" i="4"/>
  <c r="P12" i="4" s="1"/>
  <c r="M3" i="4"/>
  <c r="P3" i="4" s="1"/>
  <c r="M6" i="4"/>
  <c r="P6" i="4" s="1"/>
  <c r="I16" i="4"/>
  <c r="N16" i="4" s="1"/>
  <c r="I26" i="4"/>
  <c r="N26" i="4" s="1"/>
  <c r="K4" i="4"/>
  <c r="M16" i="1"/>
  <c r="M19" i="1" s="1"/>
  <c r="I23" i="4" l="1"/>
  <c r="N23" i="4" s="1"/>
  <c r="I2" i="4"/>
  <c r="N2" i="4" s="1"/>
  <c r="I24" i="4"/>
  <c r="N24" i="4" s="1"/>
  <c r="I25" i="4"/>
  <c r="N25" i="4" s="1"/>
  <c r="I4" i="4"/>
  <c r="N4" i="4" s="1"/>
  <c r="I15" i="4"/>
  <c r="N15" i="4" s="1"/>
  <c r="I12" i="4"/>
  <c r="N12" i="4" s="1"/>
  <c r="I18" i="4"/>
  <c r="N18" i="4" s="1"/>
  <c r="I13" i="4"/>
  <c r="N13" i="4" s="1"/>
  <c r="I21" i="4"/>
  <c r="N21" i="4" s="1"/>
  <c r="I8" i="4"/>
  <c r="N8" i="4" s="1"/>
  <c r="I14" i="4"/>
  <c r="N14" i="4" s="1"/>
  <c r="I7" i="4"/>
  <c r="N7" i="4" s="1"/>
  <c r="I11" i="4"/>
  <c r="N11" i="4" s="1"/>
  <c r="I6" i="4"/>
  <c r="N6" i="4" s="1"/>
  <c r="I3" i="4"/>
  <c r="N3" i="4" s="1"/>
  <c r="O16" i="1"/>
  <c r="M20" i="1"/>
  <c r="O18" i="1"/>
  <c r="M21" i="1" l="1"/>
  <c r="M22" i="1" s="1"/>
  <c r="M23" i="1" s="1"/>
  <c r="O20" i="1"/>
  <c r="U4" i="1"/>
  <c r="V4" i="1" s="1"/>
  <c r="U5" i="1"/>
  <c r="V5" i="1" s="1"/>
  <c r="U6" i="1"/>
  <c r="V6" i="1" s="1"/>
  <c r="U7" i="1"/>
  <c r="V7" i="1" s="1"/>
  <c r="U8" i="1"/>
  <c r="V8" i="1" s="1"/>
  <c r="K13" i="4"/>
  <c r="K18" i="4"/>
  <c r="K14" i="4"/>
  <c r="K6" i="4"/>
  <c r="K16" i="4"/>
  <c r="K11" i="4"/>
  <c r="K19" i="4"/>
  <c r="K3" i="4"/>
  <c r="K5" i="4"/>
  <c r="K9" i="4"/>
  <c r="K7" i="4"/>
  <c r="Y8" i="1" l="1"/>
  <c r="Y7" i="1"/>
  <c r="Y6" i="1"/>
  <c r="Y5" i="1"/>
  <c r="Y4" i="1"/>
  <c r="X4" i="1"/>
  <c r="X8" i="1"/>
  <c r="X7" i="1"/>
  <c r="X6" i="1"/>
  <c r="X5" i="1"/>
  <c r="Q17" i="1"/>
  <c r="O22" i="1" l="1"/>
  <c r="O24" i="1" s="1"/>
  <c r="M3" i="1"/>
  <c r="O40" i="2"/>
  <c r="O39" i="2"/>
  <c r="S33" i="2"/>
  <c r="P38" i="2"/>
  <c r="P33" i="2"/>
  <c r="O38" i="2"/>
  <c r="M38" i="2"/>
  <c r="O33" i="2"/>
  <c r="O37" i="2"/>
  <c r="M37" i="2"/>
  <c r="O36" i="2"/>
  <c r="M36" i="2"/>
  <c r="O35" i="2"/>
  <c r="O34" i="2"/>
  <c r="O32" i="2"/>
  <c r="O31" i="2"/>
  <c r="M5" i="1" l="1"/>
  <c r="M4" i="1"/>
  <c r="AD2" i="6"/>
  <c r="Y2" i="6" s="1"/>
  <c r="O2" i="6" s="1"/>
  <c r="P2" i="6" s="1"/>
  <c r="R2" i="6" s="1"/>
  <c r="AC2" i="6"/>
  <c r="X2" i="6" s="1"/>
  <c r="AB2" i="6"/>
  <c r="W2" i="6" s="1"/>
  <c r="E3" i="6"/>
  <c r="E4" i="6" s="1"/>
  <c r="F3" i="6"/>
  <c r="G4" i="6"/>
  <c r="G5" i="6" s="1"/>
  <c r="G6" i="6" s="1"/>
  <c r="N4" i="6"/>
  <c r="N7" i="6" s="1"/>
  <c r="U3" i="1"/>
  <c r="V3" i="1" s="1"/>
  <c r="U2" i="1"/>
  <c r="M7" i="1" l="1"/>
  <c r="O4" i="1"/>
  <c r="M6" i="1"/>
  <c r="L38" i="2"/>
  <c r="Q38" i="2" s="1"/>
  <c r="Y2" i="1"/>
  <c r="V2" i="1"/>
  <c r="L36" i="2"/>
  <c r="L37" i="2"/>
  <c r="X2" i="1"/>
  <c r="G7" i="6"/>
  <c r="G8" i="6" s="1"/>
  <c r="G14" i="6" s="1"/>
  <c r="G15" i="6" s="1"/>
  <c r="D3" i="6"/>
  <c r="O3" i="6"/>
  <c r="N8" i="6"/>
  <c r="N5" i="6"/>
  <c r="O4" i="6"/>
  <c r="F4" i="6"/>
  <c r="D4" i="6" s="1"/>
  <c r="E5" i="6"/>
  <c r="C4" i="6"/>
  <c r="E7" i="6"/>
  <c r="C3" i="6"/>
  <c r="Y3" i="1"/>
  <c r="X3" i="1"/>
  <c r="O30" i="2"/>
  <c r="O29" i="2"/>
  <c r="O28" i="2"/>
  <c r="O27" i="2"/>
  <c r="O26" i="2"/>
  <c r="O25" i="2"/>
  <c r="O24" i="2"/>
  <c r="O23" i="2"/>
  <c r="O22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O21" i="2"/>
  <c r="O20" i="2"/>
  <c r="H20" i="2"/>
  <c r="O19" i="2"/>
  <c r="O18" i="2"/>
  <c r="M9" i="1" l="1"/>
  <c r="M8" i="1"/>
  <c r="N27" i="2"/>
  <c r="O6" i="1"/>
  <c r="N22" i="2"/>
  <c r="N34" i="2"/>
  <c r="N35" i="2"/>
  <c r="G9" i="6"/>
  <c r="G10" i="6" s="1"/>
  <c r="G16" i="6" s="1"/>
  <c r="G17" i="6" s="1"/>
  <c r="O7" i="6"/>
  <c r="O5" i="6"/>
  <c r="N6" i="6"/>
  <c r="O6" i="6" s="1"/>
  <c r="N9" i="6"/>
  <c r="O8" i="6"/>
  <c r="F7" i="6"/>
  <c r="D7" i="6" s="1"/>
  <c r="F5" i="6"/>
  <c r="D5" i="6" s="1"/>
  <c r="E6" i="6"/>
  <c r="C6" i="6" s="1"/>
  <c r="C5" i="6"/>
  <c r="L4" i="6"/>
  <c r="M4" i="6" s="1"/>
  <c r="P4" i="6" s="1"/>
  <c r="R4" i="6" s="1"/>
  <c r="K4" i="6"/>
  <c r="K3" i="6"/>
  <c r="L3" i="6"/>
  <c r="M3" i="6" s="1"/>
  <c r="P3" i="6" s="1"/>
  <c r="R3" i="6" s="1"/>
  <c r="C7" i="6"/>
  <c r="E8" i="6"/>
  <c r="N24" i="2"/>
  <c r="N18" i="2"/>
  <c r="N21" i="2"/>
  <c r="N23" i="2"/>
  <c r="N19" i="2"/>
  <c r="N20" i="2"/>
  <c r="G22" i="2"/>
  <c r="F23" i="2"/>
  <c r="N26" i="2"/>
  <c r="N25" i="2"/>
  <c r="M10" i="1" l="1"/>
  <c r="M11" i="1" s="1"/>
  <c r="O8" i="1"/>
  <c r="G11" i="6"/>
  <c r="G12" i="6" s="1"/>
  <c r="G13" i="6" s="1"/>
  <c r="G18" i="6"/>
  <c r="G19" i="6" s="1"/>
  <c r="G20" i="6" s="1"/>
  <c r="G21" i="6"/>
  <c r="G22" i="6" s="1"/>
  <c r="G23" i="6" s="1"/>
  <c r="G24" i="6" s="1"/>
  <c r="G25" i="6" s="1"/>
  <c r="G26" i="6" s="1"/>
  <c r="G27" i="6" s="1"/>
  <c r="O9" i="6"/>
  <c r="N10" i="6"/>
  <c r="F6" i="6"/>
  <c r="D6" i="6" s="1"/>
  <c r="F8" i="6"/>
  <c r="D8" i="6" s="1"/>
  <c r="L7" i="6"/>
  <c r="M7" i="6" s="1"/>
  <c r="P7" i="6" s="1"/>
  <c r="R7" i="6" s="1"/>
  <c r="K7" i="6"/>
  <c r="L5" i="6"/>
  <c r="M5" i="6" s="1"/>
  <c r="P5" i="6" s="1"/>
  <c r="R5" i="6" s="1"/>
  <c r="K5" i="6"/>
  <c r="L6" i="6"/>
  <c r="K6" i="6"/>
  <c r="C8" i="6"/>
  <c r="E14" i="6"/>
  <c r="E9" i="6"/>
  <c r="L27" i="2"/>
  <c r="L25" i="2"/>
  <c r="L26" i="2"/>
  <c r="G24" i="2"/>
  <c r="G23" i="2"/>
  <c r="F24" i="2"/>
  <c r="F25" i="2" s="1"/>
  <c r="M26" i="2"/>
  <c r="M27" i="2"/>
  <c r="M25" i="2"/>
  <c r="O10" i="1" l="1"/>
  <c r="O12" i="1" s="1"/>
  <c r="L35" i="2"/>
  <c r="L34" i="2"/>
  <c r="M35" i="2"/>
  <c r="M34" i="2"/>
  <c r="M6" i="6"/>
  <c r="P6" i="6" s="1"/>
  <c r="R6" i="6" s="1"/>
  <c r="O10" i="6"/>
  <c r="N11" i="6"/>
  <c r="N14" i="6"/>
  <c r="F14" i="6"/>
  <c r="D14" i="6" s="1"/>
  <c r="F9" i="6"/>
  <c r="D9" i="6" s="1"/>
  <c r="L8" i="6"/>
  <c r="K8" i="6"/>
  <c r="C9" i="6"/>
  <c r="E10" i="6"/>
  <c r="E15" i="6"/>
  <c r="C15" i="6" s="1"/>
  <c r="C14" i="6"/>
  <c r="L24" i="2"/>
  <c r="B24" i="2" s="1"/>
  <c r="L18" i="2"/>
  <c r="L23" i="2"/>
  <c r="B23" i="2" s="1"/>
  <c r="L21" i="2"/>
  <c r="L22" i="2"/>
  <c r="B22" i="2" s="1"/>
  <c r="L20" i="2"/>
  <c r="L19" i="2"/>
  <c r="F26" i="2"/>
  <c r="G25" i="2"/>
  <c r="B25" i="2" s="1"/>
  <c r="M23" i="2"/>
  <c r="C23" i="2" s="1"/>
  <c r="M22" i="2"/>
  <c r="C22" i="2" s="1"/>
  <c r="M19" i="2"/>
  <c r="M18" i="2"/>
  <c r="M21" i="2"/>
  <c r="M20" i="2"/>
  <c r="M24" i="2"/>
  <c r="C24" i="2" s="1"/>
  <c r="O17" i="2"/>
  <c r="C45" i="2"/>
  <c r="B45" i="2"/>
  <c r="C44" i="2"/>
  <c r="B44" i="2"/>
  <c r="O13" i="2"/>
  <c r="O12" i="2"/>
  <c r="O16" i="2"/>
  <c r="L39" i="2" l="1"/>
  <c r="L40" i="2"/>
  <c r="N39" i="2"/>
  <c r="N40" i="2"/>
  <c r="N32" i="2"/>
  <c r="N33" i="2"/>
  <c r="N31" i="2"/>
  <c r="L33" i="2"/>
  <c r="L32" i="2"/>
  <c r="L31" i="2"/>
  <c r="N12" i="6"/>
  <c r="O11" i="6"/>
  <c r="O14" i="6"/>
  <c r="N15" i="6"/>
  <c r="F15" i="6"/>
  <c r="D15" i="6" s="1"/>
  <c r="M8" i="6"/>
  <c r="P8" i="6" s="1"/>
  <c r="R8" i="6" s="1"/>
  <c r="F10" i="6"/>
  <c r="D10" i="6" s="1"/>
  <c r="K9" i="6"/>
  <c r="L9" i="6"/>
  <c r="C10" i="6"/>
  <c r="E16" i="6"/>
  <c r="E11" i="6"/>
  <c r="L14" i="6"/>
  <c r="M14" i="6" s="1"/>
  <c r="K14" i="6"/>
  <c r="L15" i="6"/>
  <c r="K15" i="6"/>
  <c r="L30" i="2"/>
  <c r="L29" i="2"/>
  <c r="L28" i="2"/>
  <c r="C25" i="2"/>
  <c r="N30" i="2"/>
  <c r="N29" i="2"/>
  <c r="N28" i="2"/>
  <c r="G27" i="2"/>
  <c r="G26" i="2"/>
  <c r="F27" i="2"/>
  <c r="F28" i="2" s="1"/>
  <c r="N17" i="2"/>
  <c r="H12" i="2"/>
  <c r="O15" i="2"/>
  <c r="O14" i="2"/>
  <c r="O11" i="2"/>
  <c r="O10" i="2"/>
  <c r="U33" i="2" l="1"/>
  <c r="R33" i="2"/>
  <c r="T33" i="2"/>
  <c r="Q33" i="2"/>
  <c r="N38" i="2"/>
  <c r="R38" i="2" s="1"/>
  <c r="N37" i="2"/>
  <c r="N36" i="2"/>
  <c r="N13" i="6"/>
  <c r="O13" i="6" s="1"/>
  <c r="O12" i="6"/>
  <c r="P14" i="6"/>
  <c r="R14" i="6" s="1"/>
  <c r="N16" i="6"/>
  <c r="O15" i="6"/>
  <c r="F11" i="6"/>
  <c r="D11" i="6" s="1"/>
  <c r="F16" i="6"/>
  <c r="D16" i="6" s="1"/>
  <c r="M15" i="6"/>
  <c r="M9" i="6"/>
  <c r="P9" i="6" s="1"/>
  <c r="R9" i="6" s="1"/>
  <c r="K10" i="6"/>
  <c r="L10" i="6"/>
  <c r="C11" i="6"/>
  <c r="E12" i="6"/>
  <c r="E17" i="6"/>
  <c r="E18" i="6" s="1"/>
  <c r="C16" i="6"/>
  <c r="F29" i="2"/>
  <c r="F30" i="2" s="1"/>
  <c r="F31" i="2" s="1"/>
  <c r="F32" i="2" s="1"/>
  <c r="G28" i="2"/>
  <c r="B27" i="2"/>
  <c r="C27" i="2"/>
  <c r="B26" i="2"/>
  <c r="C26" i="2"/>
  <c r="H16" i="2"/>
  <c r="L17" i="2"/>
  <c r="A3" i="2"/>
  <c r="B3" i="2" s="1"/>
  <c r="M40" i="2" l="1"/>
  <c r="M39" i="2"/>
  <c r="G36" i="2"/>
  <c r="C36" i="2" s="1"/>
  <c r="F34" i="2"/>
  <c r="F35" i="2" s="1"/>
  <c r="F36" i="2" s="1"/>
  <c r="F37" i="2" s="1"/>
  <c r="F33" i="2"/>
  <c r="H33" i="2" s="1"/>
  <c r="B33" i="2" s="1"/>
  <c r="M33" i="2"/>
  <c r="M32" i="2"/>
  <c r="M31" i="2"/>
  <c r="G31" i="2"/>
  <c r="H32" i="2"/>
  <c r="G34" i="2"/>
  <c r="H35" i="2"/>
  <c r="C12" i="6"/>
  <c r="L12" i="6" s="1"/>
  <c r="E13" i="6"/>
  <c r="C13" i="6" s="1"/>
  <c r="E19" i="6"/>
  <c r="C18" i="6"/>
  <c r="O16" i="6"/>
  <c r="N17" i="6"/>
  <c r="P15" i="6"/>
  <c r="R15" i="6" s="1"/>
  <c r="F17" i="6"/>
  <c r="D17" i="6" s="1"/>
  <c r="F12" i="6"/>
  <c r="M10" i="6"/>
  <c r="P10" i="6" s="1"/>
  <c r="R10" i="6" s="1"/>
  <c r="K11" i="6"/>
  <c r="L11" i="6"/>
  <c r="M11" i="6" s="1"/>
  <c r="P11" i="6" s="1"/>
  <c r="R11" i="6" s="1"/>
  <c r="E21" i="6"/>
  <c r="C17" i="6"/>
  <c r="L16" i="6"/>
  <c r="K16" i="6"/>
  <c r="M29" i="2"/>
  <c r="M28" i="2"/>
  <c r="C28" i="2" s="1"/>
  <c r="M30" i="2"/>
  <c r="B28" i="2"/>
  <c r="G30" i="2"/>
  <c r="G29" i="2"/>
  <c r="M17" i="2"/>
  <c r="L13" i="2"/>
  <c r="L12" i="2"/>
  <c r="L10" i="2"/>
  <c r="L11" i="2"/>
  <c r="L16" i="2"/>
  <c r="L14" i="2"/>
  <c r="L15" i="2"/>
  <c r="M12" i="2"/>
  <c r="M13" i="2"/>
  <c r="N16" i="2"/>
  <c r="N14" i="2"/>
  <c r="N15" i="2"/>
  <c r="M16" i="2"/>
  <c r="M14" i="2"/>
  <c r="M15" i="2"/>
  <c r="N12" i="2"/>
  <c r="N13" i="2"/>
  <c r="N10" i="2"/>
  <c r="N11" i="2"/>
  <c r="M10" i="2"/>
  <c r="M11" i="2"/>
  <c r="C3" i="2" l="1"/>
  <c r="D3" i="2" s="1"/>
  <c r="C33" i="2"/>
  <c r="B36" i="2"/>
  <c r="H37" i="2"/>
  <c r="F38" i="2"/>
  <c r="B34" i="2"/>
  <c r="C34" i="2"/>
  <c r="B31" i="2"/>
  <c r="C31" i="2"/>
  <c r="C32" i="2"/>
  <c r="B32" i="2"/>
  <c r="B35" i="2"/>
  <c r="C35" i="2"/>
  <c r="L18" i="6"/>
  <c r="K18" i="6"/>
  <c r="L13" i="6"/>
  <c r="K13" i="6"/>
  <c r="K12" i="6"/>
  <c r="E20" i="6"/>
  <c r="C20" i="6" s="1"/>
  <c r="C19" i="6"/>
  <c r="F13" i="6"/>
  <c r="D13" i="6" s="1"/>
  <c r="D12" i="6"/>
  <c r="M12" i="6" s="1"/>
  <c r="P12" i="6" s="1"/>
  <c r="R12" i="6" s="1"/>
  <c r="N18" i="6"/>
  <c r="N21" i="6"/>
  <c r="O17" i="6"/>
  <c r="F18" i="6"/>
  <c r="D18" i="6" s="1"/>
  <c r="F21" i="6"/>
  <c r="D21" i="6" s="1"/>
  <c r="M16" i="6"/>
  <c r="P16" i="6" s="1"/>
  <c r="R16" i="6" s="1"/>
  <c r="L17" i="6"/>
  <c r="K17" i="6"/>
  <c r="E22" i="6"/>
  <c r="C21" i="6"/>
  <c r="B29" i="2"/>
  <c r="C29" i="2"/>
  <c r="B30" i="2"/>
  <c r="C30" i="2"/>
  <c r="G19" i="2"/>
  <c r="H18" i="2"/>
  <c r="G21" i="2"/>
  <c r="H21" i="2"/>
  <c r="G20" i="2"/>
  <c r="H10" i="2"/>
  <c r="H17" i="2"/>
  <c r="G13" i="2"/>
  <c r="G12" i="2"/>
  <c r="H13" i="2"/>
  <c r="G11" i="2"/>
  <c r="H14" i="2"/>
  <c r="G15" i="2"/>
  <c r="G17" i="2"/>
  <c r="E44" i="2"/>
  <c r="F44" i="2" s="1"/>
  <c r="G16" i="2"/>
  <c r="H38" i="2" l="1"/>
  <c r="C38" i="2" s="1"/>
  <c r="F39" i="2"/>
  <c r="C37" i="2"/>
  <c r="B37" i="2"/>
  <c r="K20" i="6"/>
  <c r="L20" i="6"/>
  <c r="K19" i="6"/>
  <c r="L19" i="6"/>
  <c r="M13" i="6"/>
  <c r="P13" i="6" s="1"/>
  <c r="R13" i="6" s="1"/>
  <c r="O21" i="6"/>
  <c r="N22" i="6"/>
  <c r="N19" i="6"/>
  <c r="O18" i="6"/>
  <c r="F19" i="6"/>
  <c r="M18" i="6"/>
  <c r="M17" i="6"/>
  <c r="P17" i="6" s="1"/>
  <c r="R17" i="6" s="1"/>
  <c r="F22" i="6"/>
  <c r="D22" i="6" s="1"/>
  <c r="E23" i="6"/>
  <c r="C22" i="6"/>
  <c r="L21" i="6"/>
  <c r="K21" i="6"/>
  <c r="B20" i="2"/>
  <c r="C20" i="2"/>
  <c r="C19" i="2"/>
  <c r="B19" i="2"/>
  <c r="C18" i="2"/>
  <c r="B18" i="2"/>
  <c r="B21" i="2"/>
  <c r="C21" i="2"/>
  <c r="B10" i="2"/>
  <c r="C10" i="2"/>
  <c r="C11" i="2"/>
  <c r="B11" i="2"/>
  <c r="B13" i="2"/>
  <c r="C13" i="2"/>
  <c r="B12" i="2"/>
  <c r="C12" i="2"/>
  <c r="B17" i="2"/>
  <c r="C17" i="2"/>
  <c r="C14" i="2"/>
  <c r="B14" i="2"/>
  <c r="C16" i="2"/>
  <c r="B16" i="2"/>
  <c r="E45" i="2"/>
  <c r="F45" i="2" s="1"/>
  <c r="B15" i="2"/>
  <c r="C15" i="2"/>
  <c r="B38" i="2" l="1"/>
  <c r="F40" i="2"/>
  <c r="H40" i="2" s="1"/>
  <c r="G39" i="2"/>
  <c r="F20" i="6"/>
  <c r="D20" i="6" s="1"/>
  <c r="M20" i="6" s="1"/>
  <c r="D19" i="6"/>
  <c r="M19" i="6" s="1"/>
  <c r="N23" i="6"/>
  <c r="O23" i="6" s="1"/>
  <c r="O22" i="6"/>
  <c r="N20" i="6"/>
  <c r="O20" i="6" s="1"/>
  <c r="O19" i="6"/>
  <c r="P18" i="6"/>
  <c r="R18" i="6" s="1"/>
  <c r="F23" i="6"/>
  <c r="D23" i="6" s="1"/>
  <c r="M21" i="6"/>
  <c r="P21" i="6" s="1"/>
  <c r="R21" i="6" s="1"/>
  <c r="L22" i="6"/>
  <c r="K22" i="6"/>
  <c r="E24" i="6"/>
  <c r="C23" i="6"/>
  <c r="B39" i="2" l="1"/>
  <c r="C39" i="2"/>
  <c r="B40" i="2"/>
  <c r="C40" i="2"/>
  <c r="P19" i="6"/>
  <c r="R19" i="6" s="1"/>
  <c r="C24" i="6"/>
  <c r="K24" i="6" s="1"/>
  <c r="E25" i="6"/>
  <c r="P20" i="6"/>
  <c r="R20" i="6" s="1"/>
  <c r="N24" i="6"/>
  <c r="O24" i="6" s="1"/>
  <c r="F24" i="6"/>
  <c r="D24" i="6" s="1"/>
  <c r="M22" i="6"/>
  <c r="P22" i="6" s="1"/>
  <c r="R22" i="6" s="1"/>
  <c r="L23" i="6"/>
  <c r="M23" i="6" s="1"/>
  <c r="K23" i="6"/>
  <c r="L24" i="6" l="1"/>
  <c r="M24" i="6" s="1"/>
  <c r="E26" i="6"/>
  <c r="C25" i="6"/>
  <c r="N25" i="6"/>
  <c r="O25" i="6" s="1"/>
  <c r="P23" i="6"/>
  <c r="R23" i="6" s="1"/>
  <c r="F25" i="6"/>
  <c r="D25" i="6" s="1"/>
  <c r="C26" i="6" l="1"/>
  <c r="E27" i="6"/>
  <c r="C27" i="6" s="1"/>
  <c r="K25" i="6"/>
  <c r="L25" i="6"/>
  <c r="M25" i="6" s="1"/>
  <c r="N26" i="6"/>
  <c r="O26" i="6" s="1"/>
  <c r="P24" i="6"/>
  <c r="R24" i="6" s="1"/>
  <c r="F26" i="6"/>
  <c r="L27" i="6" l="1"/>
  <c r="K27" i="6"/>
  <c r="L26" i="6"/>
  <c r="K26" i="6"/>
  <c r="F27" i="6"/>
  <c r="D27" i="6" s="1"/>
  <c r="D26" i="6"/>
  <c r="N27" i="6"/>
  <c r="O27" i="6" s="1"/>
  <c r="P25" i="6"/>
  <c r="R25" i="6" s="1"/>
  <c r="M26" i="6" l="1"/>
  <c r="P26" i="6"/>
  <c r="R26" i="6" s="1"/>
  <c r="M27" i="6"/>
  <c r="P27" i="6" s="1"/>
  <c r="R27" i="6" s="1"/>
</calcChain>
</file>

<file path=xl/sharedStrings.xml><?xml version="1.0" encoding="utf-8"?>
<sst xmlns="http://schemas.openxmlformats.org/spreadsheetml/2006/main" count="3784" uniqueCount="329">
  <si>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</si>
  <si>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</si>
  <si>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</si>
  <si>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</si>
  <si>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</si>
  <si>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</si>
  <si>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</si>
  <si>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</si>
  <si>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</si>
  <si>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</si>
  <si>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</si>
  <si>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</si>
  <si>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</si>
  <si>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</si>
  <si>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</si>
  <si>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</si>
  <si>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</si>
  <si>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</si>
  <si>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</si>
  <si>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</si>
  <si>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</si>
  <si>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</si>
  <si>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</si>
  <si>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</si>
  <si>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</si>
  <si>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</si>
  <si>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</si>
  <si>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</si>
  <si>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</si>
  <si>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</si>
  <si>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</si>
  <si>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</si>
  <si>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</si>
  <si>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</si>
  <si>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</si>
  <si>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</si>
  <si>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</si>
  <si>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</si>
  <si>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</si>
  <si>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</si>
  <si>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</si>
  <si>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</si>
  <si>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</si>
  <si>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</si>
  <si>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</si>
  <si>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</si>
  <si>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</si>
  <si>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</si>
  <si>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</si>
  <si>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</si>
  <si>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</si>
  <si>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</si>
  <si>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</si>
  <si>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</si>
  <si>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</si>
  <si>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</si>
  <si>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</si>
  <si>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</si>
  <si>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</si>
  <si>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</si>
  <si>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</si>
  <si>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</si>
  <si>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</si>
  <si>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</si>
  <si>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</si>
  <si>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</si>
  <si>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</si>
  <si>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</si>
  <si>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</si>
  <si>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</si>
  <si>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</si>
  <si>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</si>
  <si>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</si>
  <si>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</si>
  <si>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</si>
  <si>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</si>
  <si>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</si>
  <si>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</si>
  <si>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</si>
  <si>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</si>
  <si>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</si>
  <si>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</si>
  <si>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</si>
  <si>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</si>
  <si>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</si>
  <si>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</si>
  <si>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</si>
  <si>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</si>
  <si>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</si>
  <si>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</si>
  <si>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</si>
  <si>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</si>
  <si>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</si>
  <si>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</si>
  <si>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</si>
  <si>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</si>
  <si>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</si>
  <si>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</si>
  <si>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</si>
  <si>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</si>
  <si>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</si>
  <si>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</si>
  <si>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</si>
  <si>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</si>
  <si>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</si>
  <si>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</si>
  <si>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</si>
  <si>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</si>
  <si>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</si>
  <si>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</si>
  <si>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</si>
  <si>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</si>
  <si>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</si>
  <si>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</si>
  <si>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</si>
  <si>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</si>
  <si>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</si>
  <si>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</si>
  <si>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</si>
  <si>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</si>
  <si>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</si>
  <si>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</si>
  <si>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</si>
  <si>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</si>
  <si>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</si>
  <si>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</si>
  <si>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</si>
  <si>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</si>
  <si>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</si>
  <si>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</si>
  <si>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</si>
  <si>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</si>
  <si>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</si>
  <si>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</si>
  <si>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</si>
  <si>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</si>
  <si>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</si>
  <si>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</si>
  <si>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</si>
  <si>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</si>
  <si>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</si>
  <si>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</si>
  <si>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</si>
  <si>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</si>
  <si>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</si>
  <si>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</si>
  <si>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</si>
  <si>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</si>
  <si>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</si>
  <si>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</si>
  <si>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</si>
  <si>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</si>
  <si>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</si>
  <si>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</si>
  <si>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</si>
  <si>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proc succ</t>
  </si>
  <si>
    <t>proc gain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</si>
  <si>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</si>
  <si>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</si>
  <si>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</si>
  <si>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</si>
  <si>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</si>
  <si>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</si>
  <si>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</si>
  <si>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</si>
  <si>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</si>
  <si>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</si>
  <si>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</si>
  <si>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</si>
  <si>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</si>
  <si>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</si>
  <si>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</si>
  <si>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</si>
  <si>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</si>
  <si>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</si>
  <si>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</si>
  <si>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</si>
  <si>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</si>
  <si>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</si>
  <si>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</si>
  <si>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</si>
  <si>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</si>
  <si>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</si>
  <si>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</si>
  <si>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</si>
  <si>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</si>
  <si>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</si>
  <si>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</si>
  <si>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</si>
  <si>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</si>
  <si>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</si>
  <si>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</si>
  <si>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</si>
  <si>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</si>
  <si>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</si>
  <si>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</si>
  <si>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</si>
  <si>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</si>
  <si>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</si>
  <si>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</si>
  <si>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</si>
  <si>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</si>
  <si>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</si>
  <si>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</si>
  <si>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</si>
  <si>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</si>
  <si>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</si>
  <si>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</si>
  <si>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</si>
  <si>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</si>
  <si>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</si>
  <si>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</si>
  <si>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</si>
  <si>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</si>
  <si>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</si>
  <si>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</si>
  <si>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</si>
  <si>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</si>
  <si>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</si>
  <si>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</si>
  <si>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</si>
  <si>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</si>
  <si>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</si>
  <si>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</si>
  <si>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</si>
  <si>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</si>
  <si>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</si>
  <si>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</si>
  <si>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</si>
  <si>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</si>
  <si>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</si>
  <si>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</si>
  <si>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</si>
  <si>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</si>
  <si>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</si>
  <si>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</si>
  <si>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</si>
  <si>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</si>
  <si>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</si>
  <si>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</si>
  <si>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</si>
  <si>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</si>
  <si>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</si>
  <si>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</si>
  <si>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</si>
  <si>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</si>
  <si>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</si>
  <si>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</si>
  <si>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</si>
  <si>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</si>
  <si>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</si>
  <si>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</si>
  <si>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</si>
  <si>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</si>
  <si>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</si>
  <si>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</si>
  <si>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</si>
  <si>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</si>
  <si>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</si>
  <si>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</si>
  <si>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</si>
  <si>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</si>
  <si>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</si>
  <si>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</si>
  <si>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</si>
  <si>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</si>
  <si>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</si>
  <si>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</si>
  <si>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</si>
  <si>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</si>
  <si>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</si>
  <si>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</si>
  <si>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</si>
  <si>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</si>
  <si>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</si>
  <si>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</si>
  <si>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</si>
  <si>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</si>
  <si>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</si>
  <si>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</si>
  <si>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</si>
  <si>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</si>
  <si>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</si>
  <si>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</si>
  <si>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</si>
  <si>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</si>
  <si>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</si>
  <si>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</si>
  <si>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</si>
  <si>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</si>
  <si>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</si>
  <si>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</si>
  <si>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</si>
  <si>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</si>
  <si>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</si>
  <si>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</si>
  <si>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</si>
  <si>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</si>
  <si>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</si>
  <si>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</si>
  <si>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</si>
  <si>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</si>
  <si>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</si>
  <si>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</si>
  <si>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</si>
  <si>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</si>
  <si>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</si>
  <si>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med.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</si>
  <si>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</si>
  <si>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</si>
  <si>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</si>
  <si>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</si>
  <si>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</si>
  <si>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</si>
  <si>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</si>
  <si>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</si>
  <si>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</si>
  <si>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Med.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</si>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</sst>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ny" xfId="0" builtinId="0"/>
  </cellStyles>
  <dxfs count="22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99.40513935185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5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unt="6">
        <m/>
        <s v="low"/>
        <s v="med."/>
        <s v="high"/>
        <s v="Hero"/>
        <s v="s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tring="0" containsBlank="1" containsNumber="1" containsInteger="1" minValue="0" maxValue="1377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66062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s v="2*"/>
    <x v="0"/>
    <n v="0"/>
    <n v="0"/>
    <n v="11500"/>
    <n v="1512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0"/>
    <n v="0"/>
    <n v="2000"/>
    <n v="0"/>
    <n v="0"/>
    <m/>
  </r>
  <r>
    <x v="0"/>
    <x v="0"/>
    <x v="1"/>
    <n v="1401"/>
    <n v="0"/>
    <s v="Fod"/>
    <s v="2*"/>
    <x v="0"/>
    <n v="0"/>
    <n v="0"/>
    <n v="11500"/>
    <n v="15120"/>
    <m/>
  </r>
  <r>
    <x v="0"/>
    <x v="0"/>
    <x v="1"/>
    <n v="1705"/>
    <n v="1"/>
    <s v="Scroll"/>
    <n v="1"/>
    <x v="0"/>
    <n v="0"/>
    <n v="2000"/>
    <n v="0"/>
    <n v="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s v="2*"/>
    <x v="0"/>
    <n v="0"/>
    <n v="0"/>
    <n v="11500"/>
    <n v="1512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s v="1*"/>
    <x v="0"/>
    <n v="0"/>
    <n v="0"/>
    <n v="0"/>
    <n v="0"/>
    <m/>
  </r>
  <r>
    <x v="0"/>
    <x v="0"/>
    <x v="1"/>
    <n v="1881"/>
    <n v="2"/>
    <s v="Scroll"/>
    <n v="1"/>
    <x v="0"/>
    <n v="0"/>
    <n v="2000"/>
    <n v="0"/>
    <n v="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s v="1*"/>
    <x v="0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0"/>
    <n v="0"/>
    <n v="2000"/>
    <n v="0"/>
    <n v="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0"/>
    <n v="0"/>
    <n v="2000"/>
    <n v="0"/>
    <n v="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0"/>
    <n v="0"/>
    <n v="2000"/>
    <n v="0"/>
    <n v="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0"/>
    <n v="0"/>
    <n v="2000"/>
    <n v="0"/>
    <n v="0"/>
    <m/>
  </r>
  <r>
    <x v="0"/>
    <x v="0"/>
    <x v="1"/>
    <n v="999"/>
    <n v="1"/>
    <s v="Scroll"/>
    <n v="1"/>
    <x v="0"/>
    <n v="0"/>
    <n v="2000"/>
    <n v="0"/>
    <n v="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0"/>
    <n v="0"/>
    <n v="4000"/>
    <n v="0"/>
    <n v="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0"/>
    <n v="0"/>
    <n v="2000"/>
    <n v="0"/>
    <n v="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0"/>
    <n v="0"/>
    <n v="2000"/>
    <n v="0"/>
    <n v="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0"/>
    <n v="0"/>
    <n v="2000"/>
    <n v="0"/>
    <n v="0"/>
    <m/>
  </r>
  <r>
    <x v="1"/>
    <x v="0"/>
    <x v="0"/>
    <n v="1618"/>
    <n v="1"/>
    <s v="Scroll"/>
    <n v="1"/>
    <x v="0"/>
    <n v="0"/>
    <n v="2000"/>
    <n v="0"/>
    <n v="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0"/>
    <n v="0"/>
    <n v="2000"/>
    <n v="0"/>
    <n v="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0"/>
    <n v="0"/>
    <n v="2000"/>
    <n v="0"/>
    <n v="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s v="2*"/>
    <x v="0"/>
    <n v="0"/>
    <n v="0"/>
    <n v="11500"/>
    <n v="1512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s v="2*"/>
    <x v="0"/>
    <n v="0"/>
    <n v="0"/>
    <n v="11500"/>
    <n v="1512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0"/>
    <n v="0"/>
    <n v="4000"/>
    <n v="0"/>
    <n v="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0"/>
    <n v="0"/>
    <n v="2000"/>
    <n v="0"/>
    <n v="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0"/>
    <n v="0"/>
    <n v="4000"/>
    <n v="0"/>
    <n v="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0"/>
    <n v="0"/>
    <n v="4000"/>
    <n v="0"/>
    <n v="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0"/>
    <n v="0"/>
    <n v="4000"/>
    <n v="0"/>
    <n v="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0"/>
    <n v="0"/>
    <n v="4000"/>
    <n v="0"/>
    <n v="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0"/>
    <n v="0"/>
    <n v="4000"/>
    <n v="0"/>
    <n v="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0"/>
    <n v="0"/>
    <n v="4000"/>
    <n v="0"/>
    <n v="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0"/>
    <n v="0"/>
    <n v="2000"/>
    <n v="0"/>
    <n v="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0"/>
    <n v="0"/>
    <n v="2000"/>
    <n v="0"/>
    <n v="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0"/>
    <n v="0"/>
    <n v="2000"/>
    <n v="0"/>
    <n v="0"/>
    <m/>
  </r>
  <r>
    <x v="0"/>
    <x v="1"/>
    <x v="1"/>
    <n v="961"/>
    <n v="0"/>
    <m/>
    <m/>
    <x v="0"/>
    <n v="1159"/>
    <n v="1159"/>
    <n v="0"/>
    <n v="0"/>
    <m/>
  </r>
  <r>
    <x v="2"/>
    <x v="2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1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0"/>
    <n v="0"/>
    <n v="4000"/>
    <n v="0"/>
    <n v="0"/>
    <m/>
  </r>
  <r>
    <x v="0"/>
    <x v="1"/>
    <x v="1"/>
    <n v="621"/>
    <n v="1"/>
    <s v="Scroll"/>
    <n v="2"/>
    <x v="0"/>
    <n v="0"/>
    <n v="4000"/>
    <n v="0"/>
    <n v="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s v="2*"/>
    <x v="0"/>
    <n v="0"/>
    <n v="0"/>
    <n v="11500"/>
    <n v="15120"/>
    <m/>
  </r>
  <r>
    <x v="0"/>
    <x v="1"/>
    <x v="1"/>
    <n v="1295"/>
    <n v="0"/>
    <s v="Scroll"/>
    <n v="2"/>
    <x v="0"/>
    <n v="0"/>
    <n v="4000"/>
    <n v="0"/>
    <n v="0"/>
    <m/>
  </r>
  <r>
    <x v="0"/>
    <x v="1"/>
    <x v="1"/>
    <n v="2244"/>
    <n v="2"/>
    <s v="Rainb"/>
    <s v="2*"/>
    <x v="0"/>
    <n v="0"/>
    <n v="0"/>
    <n v="11500"/>
    <n v="66062"/>
    <m/>
  </r>
  <r>
    <x v="0"/>
    <x v="1"/>
    <x v="1"/>
    <n v="1719"/>
    <n v="1"/>
    <s v="Fod"/>
    <s v="1*"/>
    <x v="0"/>
    <n v="0"/>
    <n v="0"/>
    <n v="0"/>
    <n v="0"/>
    <m/>
  </r>
  <r>
    <x v="1"/>
    <x v="0"/>
    <x v="0"/>
    <n v="677"/>
    <n v="0"/>
    <s v="Fod"/>
    <s v="2*"/>
    <x v="0"/>
    <n v="0"/>
    <n v="0"/>
    <n v="11500"/>
    <n v="1512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0"/>
    <n v="0"/>
    <n v="2000"/>
    <n v="0"/>
    <n v="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s v="2*"/>
    <x v="0"/>
    <n v="0"/>
    <n v="0"/>
    <n v="11500"/>
    <n v="1512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0"/>
    <n v="0"/>
    <n v="2000"/>
    <n v="0"/>
    <n v="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0"/>
    <n v="0"/>
    <n v="2000"/>
    <n v="0"/>
    <n v="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0"/>
    <n v="0"/>
    <n v="2000"/>
    <n v="0"/>
    <n v="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0"/>
    <n v="0"/>
    <n v="2000"/>
    <n v="0"/>
    <n v="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0"/>
    <n v="0"/>
    <n v="2000"/>
    <n v="0"/>
    <n v="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0"/>
    <n v="0"/>
    <n v="2000"/>
    <n v="0"/>
    <n v="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0"/>
    <n v="0"/>
    <n v="2000"/>
    <n v="0"/>
    <n v="0"/>
    <m/>
  </r>
  <r>
    <x v="1"/>
    <x v="0"/>
    <x v="0"/>
    <n v="1954"/>
    <n v="1"/>
    <s v="Scroll"/>
    <n v="1"/>
    <x v="0"/>
    <n v="0"/>
    <n v="2000"/>
    <n v="0"/>
    <n v="0"/>
    <m/>
  </r>
  <r>
    <x v="1"/>
    <x v="0"/>
    <x v="0"/>
    <n v="1261"/>
    <n v="1"/>
    <s v="Scroll"/>
    <n v="1"/>
    <x v="0"/>
    <n v="0"/>
    <n v="2000"/>
    <n v="0"/>
    <n v="0"/>
    <m/>
  </r>
  <r>
    <x v="1"/>
    <x v="0"/>
    <x v="0"/>
    <n v="1559"/>
    <n v="1"/>
    <s v="Fod"/>
    <s v="2*"/>
    <x v="0"/>
    <n v="0"/>
    <n v="0"/>
    <n v="11500"/>
    <n v="1512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0"/>
    <n v="0"/>
    <n v="2000"/>
    <n v="0"/>
    <n v="0"/>
    <m/>
  </r>
  <r>
    <x v="1"/>
    <x v="0"/>
    <x v="0"/>
    <n v="1770"/>
    <n v="2"/>
    <s v="Scroll"/>
    <n v="1"/>
    <x v="0"/>
    <n v="0"/>
    <n v="2000"/>
    <n v="0"/>
    <n v="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0"/>
    <n v="0"/>
    <n v="2000"/>
    <n v="0"/>
    <n v="0"/>
    <m/>
  </r>
  <r>
    <x v="3"/>
    <x v="0"/>
    <x v="4"/>
    <n v="1346"/>
    <n v="1"/>
    <s v="Magic"/>
    <n v="2"/>
    <x v="1"/>
    <n v="0"/>
    <n v="0"/>
    <n v="0"/>
    <n v="0"/>
    <m/>
  </r>
  <r>
    <x v="3"/>
    <x v="0"/>
    <x v="4"/>
    <n v="1240"/>
    <n v="0"/>
    <s v="Scroll"/>
    <n v="2"/>
    <x v="0"/>
    <n v="0"/>
    <n v="4000"/>
    <n v="0"/>
    <n v="0"/>
    <m/>
  </r>
  <r>
    <x v="3"/>
    <x v="0"/>
    <x v="4"/>
    <n v="1238"/>
    <n v="0"/>
    <s v="Scroll"/>
    <n v="3"/>
    <x v="0"/>
    <n v="0"/>
    <n v="6000"/>
    <n v="0"/>
    <n v="0"/>
    <m/>
  </r>
  <r>
    <x v="3"/>
    <x v="0"/>
    <x v="4"/>
    <n v="1236"/>
    <n v="1"/>
    <s v="Scroll"/>
    <n v="2"/>
    <x v="0"/>
    <n v="0"/>
    <n v="4000"/>
    <n v="0"/>
    <n v="0"/>
    <m/>
  </r>
  <r>
    <x v="3"/>
    <x v="0"/>
    <x v="4"/>
    <n v="1365"/>
    <n v="1"/>
    <s v="Magic"/>
    <n v="1"/>
    <x v="2"/>
    <n v="0"/>
    <n v="0"/>
    <n v="0"/>
    <n v="0"/>
    <m/>
  </r>
  <r>
    <x v="3"/>
    <x v="0"/>
    <x v="4"/>
    <n v="1240"/>
    <n v="1"/>
    <s v="Scroll"/>
    <n v="3"/>
    <x v="0"/>
    <n v="0"/>
    <n v="6000"/>
    <n v="0"/>
    <n v="0"/>
    <m/>
  </r>
  <r>
    <x v="3"/>
    <x v="0"/>
    <x v="4"/>
    <n v="1209"/>
    <n v="1"/>
    <s v="Water"/>
    <n v="2"/>
    <x v="1"/>
    <n v="0"/>
    <n v="0"/>
    <n v="0"/>
    <n v="0"/>
    <m/>
  </r>
  <r>
    <x v="0"/>
    <x v="1"/>
    <x v="1"/>
    <n v="1206"/>
    <n v="0"/>
    <m/>
    <m/>
    <x v="0"/>
    <m/>
    <m/>
    <n v="0"/>
    <n v="0"/>
    <m/>
  </r>
  <r>
    <x v="4"/>
    <x v="3"/>
    <x v="5"/>
    <n v="1192"/>
    <n v="1"/>
    <s v="Rainb"/>
    <s v="2*"/>
    <x v="0"/>
    <n v="0"/>
    <n v="0"/>
    <n v="11500"/>
    <n v="6606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s v="2*"/>
    <x v="0"/>
    <n v="0"/>
    <n v="0"/>
    <n v="11500"/>
    <n v="15120"/>
    <m/>
  </r>
  <r>
    <x v="0"/>
    <x v="1"/>
    <x v="1"/>
    <n v="2224"/>
    <n v="2"/>
    <s v="Scroll"/>
    <n v="2"/>
    <x v="0"/>
    <n v="0"/>
    <n v="4000"/>
    <n v="0"/>
    <n v="0"/>
    <m/>
  </r>
  <r>
    <x v="0"/>
    <x v="1"/>
    <x v="1"/>
    <n v="1341"/>
    <n v="1"/>
    <s v="Fod"/>
    <s v="1*"/>
    <x v="0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0"/>
    <n v="0"/>
    <n v="4000"/>
    <n v="0"/>
    <n v="0"/>
    <m/>
  </r>
  <r>
    <x v="0"/>
    <x v="3"/>
    <x v="1"/>
    <n v="1597"/>
    <n v="1"/>
    <m/>
    <m/>
    <x v="0"/>
    <n v="2067"/>
    <n v="2067"/>
    <n v="0"/>
    <n v="0"/>
    <m/>
  </r>
  <r>
    <x v="0"/>
    <x v="3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0"/>
    <n v="0"/>
    <n v="2000"/>
    <n v="0"/>
    <n v="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0"/>
    <n v="0"/>
    <n v="2000"/>
    <n v="0"/>
    <n v="0"/>
    <m/>
  </r>
  <r>
    <x v="5"/>
    <x v="0"/>
    <x v="0"/>
    <n v="1156"/>
    <n v="0"/>
    <s v="Scroll"/>
    <n v="1"/>
    <x v="0"/>
    <n v="0"/>
    <n v="2000"/>
    <n v="0"/>
    <n v="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s v="2*"/>
    <x v="0"/>
    <n v="0"/>
    <n v="0"/>
    <n v="11500"/>
    <n v="15120"/>
    <m/>
  </r>
  <r>
    <x v="5"/>
    <x v="0"/>
    <x v="0"/>
    <n v="1291"/>
    <n v="1"/>
    <s v="Scroll"/>
    <n v="1"/>
    <x v="0"/>
    <n v="0"/>
    <n v="2000"/>
    <n v="0"/>
    <n v="0"/>
    <m/>
  </r>
  <r>
    <x v="5"/>
    <x v="0"/>
    <x v="0"/>
    <n v="1391"/>
    <n v="2"/>
    <s v="Fod"/>
    <s v="2*"/>
    <x v="0"/>
    <n v="0"/>
    <n v="0"/>
    <n v="11500"/>
    <n v="1512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0"/>
    <n v="0"/>
    <n v="2000"/>
    <n v="0"/>
    <n v="0"/>
    <m/>
  </r>
  <r>
    <x v="5"/>
    <x v="0"/>
    <x v="0"/>
    <n v="1376"/>
    <n v="1"/>
    <s v="Fod"/>
    <s v="2*"/>
    <x v="0"/>
    <n v="0"/>
    <n v="0"/>
    <n v="11500"/>
    <n v="1512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s v="2*"/>
    <x v="0"/>
    <n v="0"/>
    <n v="0"/>
    <n v="11500"/>
    <n v="15120"/>
    <m/>
  </r>
  <r>
    <x v="5"/>
    <x v="0"/>
    <x v="0"/>
    <n v="2414"/>
    <n v="0"/>
    <s v="Fod"/>
    <s v="2*"/>
    <x v="0"/>
    <n v="0"/>
    <n v="0"/>
    <n v="11500"/>
    <n v="15120"/>
    <m/>
  </r>
  <r>
    <x v="5"/>
    <x v="0"/>
    <x v="0"/>
    <n v="1779"/>
    <n v="1"/>
    <s v="Fod"/>
    <s v="2*"/>
    <x v="0"/>
    <n v="0"/>
    <n v="0"/>
    <n v="11500"/>
    <n v="1512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s v="2*"/>
    <x v="0"/>
    <n v="0"/>
    <n v="0"/>
    <n v="11500"/>
    <n v="1512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0"/>
    <n v="0"/>
    <n v="2000"/>
    <n v="0"/>
    <n v="0"/>
    <m/>
  </r>
  <r>
    <x v="5"/>
    <x v="0"/>
    <x v="0"/>
    <n v="1385"/>
    <n v="0"/>
    <s v="Scroll"/>
    <n v="1"/>
    <x v="0"/>
    <n v="0"/>
    <n v="2000"/>
    <n v="0"/>
    <n v="0"/>
    <m/>
  </r>
  <r>
    <x v="5"/>
    <x v="0"/>
    <x v="0"/>
    <n v="1562"/>
    <n v="1"/>
    <s v="Scroll"/>
    <n v="1"/>
    <x v="0"/>
    <n v="0"/>
    <n v="2000"/>
    <n v="0"/>
    <n v="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0"/>
    <n v="0"/>
    <n v="2000"/>
    <n v="0"/>
    <n v="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s v="2*"/>
    <x v="0"/>
    <n v="0"/>
    <n v="0"/>
    <n v="11500"/>
    <n v="1512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0"/>
    <n v="0"/>
    <n v="2000"/>
    <n v="0"/>
    <n v="0"/>
    <m/>
  </r>
  <r>
    <x v="5"/>
    <x v="0"/>
    <x v="0"/>
    <n v="1437"/>
    <n v="0"/>
    <s v="Scroll"/>
    <n v="1"/>
    <x v="0"/>
    <n v="0"/>
    <n v="2000"/>
    <n v="0"/>
    <n v="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0"/>
    <n v="0"/>
    <n v="2000"/>
    <n v="0"/>
    <n v="0"/>
    <m/>
  </r>
  <r>
    <x v="5"/>
    <x v="0"/>
    <x v="0"/>
    <n v="1913"/>
    <n v="1"/>
    <s v="Scroll"/>
    <n v="1"/>
    <x v="0"/>
    <n v="0"/>
    <n v="2000"/>
    <n v="0"/>
    <n v="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3"/>
    <x v="1"/>
    <n v="1484"/>
    <n v="2"/>
    <m/>
    <m/>
    <x v="0"/>
    <n v="1159"/>
    <n v="1159"/>
    <n v="0"/>
    <n v="0"/>
    <m/>
  </r>
  <r>
    <x v="0"/>
    <x v="3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0"/>
    <n v="0"/>
    <n v="2000"/>
    <n v="0"/>
    <n v="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0"/>
    <n v="0"/>
    <n v="2000"/>
    <n v="0"/>
    <n v="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0"/>
    <n v="0"/>
    <n v="2000"/>
    <n v="0"/>
    <n v="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0"/>
    <n v="0"/>
    <n v="2000"/>
    <n v="0"/>
    <n v="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0"/>
    <n v="0"/>
    <n v="2000"/>
    <n v="0"/>
    <n v="0"/>
    <m/>
  </r>
  <r>
    <x v="5"/>
    <x v="0"/>
    <x v="0"/>
    <n v="1054"/>
    <n v="0"/>
    <s v="Fod"/>
    <s v="2*"/>
    <x v="0"/>
    <n v="0"/>
    <n v="0"/>
    <n v="11500"/>
    <n v="1512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0"/>
    <n v="0"/>
    <n v="2000"/>
    <n v="0"/>
    <n v="0"/>
    <m/>
  </r>
  <r>
    <x v="3"/>
    <x v="0"/>
    <x v="3"/>
    <n v="1500"/>
    <n v="0"/>
    <s v="Magic"/>
    <n v="4"/>
    <x v="1"/>
    <n v="0"/>
    <n v="0"/>
    <n v="0"/>
    <n v="0"/>
    <m/>
  </r>
  <r>
    <x v="6"/>
    <x v="0"/>
    <x v="3"/>
    <n v="1500"/>
    <n v="0"/>
    <s v="Light"/>
    <n v="3"/>
    <x v="1"/>
    <n v="0"/>
    <n v="0"/>
    <n v="0"/>
    <n v="0"/>
    <m/>
  </r>
  <r>
    <x v="6"/>
    <x v="0"/>
    <x v="3"/>
    <n v="1782"/>
    <n v="0"/>
    <s v="Light"/>
    <n v="2"/>
    <x v="1"/>
    <n v="0"/>
    <n v="0"/>
    <n v="0"/>
    <n v="0"/>
    <m/>
  </r>
  <r>
    <x v="6"/>
    <x v="0"/>
    <x v="3"/>
    <n v="1666"/>
    <n v="1"/>
    <s v="Light"/>
    <n v="1"/>
    <x v="2"/>
    <n v="0"/>
    <n v="0"/>
    <n v="0"/>
    <n v="0"/>
    <m/>
  </r>
  <r>
    <x v="6"/>
    <x v="0"/>
    <x v="3"/>
    <n v="1556"/>
    <n v="0"/>
    <s v="Light"/>
    <n v="2"/>
    <x v="1"/>
    <n v="0"/>
    <n v="0"/>
    <n v="0"/>
    <n v="0"/>
    <m/>
  </r>
  <r>
    <x v="6"/>
    <x v="0"/>
    <x v="3"/>
    <n v="2860"/>
    <n v="0"/>
    <s v="Light"/>
    <n v="1"/>
    <x v="2"/>
    <n v="0"/>
    <n v="0"/>
    <n v="0"/>
    <n v="0"/>
    <m/>
  </r>
  <r>
    <x v="6"/>
    <x v="0"/>
    <x v="3"/>
    <n v="2986"/>
    <n v="0"/>
    <s v="Light"/>
    <n v="2"/>
    <x v="1"/>
    <n v="0"/>
    <n v="0"/>
    <n v="0"/>
    <n v="0"/>
    <m/>
  </r>
  <r>
    <x v="6"/>
    <x v="0"/>
    <x v="3"/>
    <n v="3172"/>
    <n v="1"/>
    <s v="SD(sala)"/>
    <s v="2*"/>
    <x v="0"/>
    <n v="0"/>
    <n v="0"/>
    <n v="0"/>
    <n v="0"/>
    <m/>
  </r>
  <r>
    <x v="6"/>
    <x v="0"/>
    <x v="3"/>
    <n v="1420"/>
    <n v="0"/>
    <s v="Light"/>
    <n v="2"/>
    <x v="2"/>
    <n v="0"/>
    <n v="0"/>
    <n v="0"/>
    <n v="0"/>
    <m/>
  </r>
  <r>
    <x v="6"/>
    <x v="0"/>
    <x v="3"/>
    <n v="1352"/>
    <n v="0"/>
    <s v="Light"/>
    <n v="1"/>
    <x v="2"/>
    <n v="0"/>
    <n v="0"/>
    <n v="0"/>
    <n v="0"/>
    <m/>
  </r>
  <r>
    <x v="6"/>
    <x v="0"/>
    <x v="3"/>
    <n v="1362"/>
    <n v="0"/>
    <s v="Scroll"/>
    <n v="4"/>
    <x v="0"/>
    <n v="0"/>
    <n v="8000"/>
    <n v="0"/>
    <n v="0"/>
    <m/>
  </r>
  <r>
    <x v="6"/>
    <x v="0"/>
    <x v="3"/>
    <n v="1428"/>
    <n v="1"/>
    <s v="SummStone"/>
    <n v="3"/>
    <x v="0"/>
    <n v="0"/>
    <n v="0"/>
    <n v="0"/>
    <n v="0"/>
    <m/>
  </r>
  <r>
    <x v="6"/>
    <x v="0"/>
    <x v="3"/>
    <n v="1500"/>
    <n v="4"/>
    <s v="Scroll"/>
    <n v="2"/>
    <x v="0"/>
    <n v="0"/>
    <n v="4000"/>
    <n v="0"/>
    <n v="0"/>
    <m/>
  </r>
  <r>
    <x v="6"/>
    <x v="0"/>
    <x v="3"/>
    <n v="1559"/>
    <n v="0"/>
    <s v="Light"/>
    <n v="1"/>
    <x v="2"/>
    <n v="0"/>
    <n v="0"/>
    <n v="0"/>
    <n v="0"/>
    <m/>
  </r>
  <r>
    <x v="6"/>
    <x v="0"/>
    <x v="3"/>
    <n v="1600"/>
    <n v="0"/>
    <s v="Light"/>
    <n v="3"/>
    <x v="2"/>
    <n v="0"/>
    <n v="0"/>
    <n v="0"/>
    <n v="0"/>
    <m/>
  </r>
  <r>
    <x v="6"/>
    <x v="0"/>
    <x v="3"/>
    <n v="1480"/>
    <n v="1"/>
    <s v="Scroll"/>
    <n v="2"/>
    <x v="0"/>
    <n v="0"/>
    <n v="4000"/>
    <n v="0"/>
    <n v="0"/>
    <m/>
  </r>
  <r>
    <x v="6"/>
    <x v="0"/>
    <x v="3"/>
    <n v="1389"/>
    <n v="0"/>
    <s v="Light"/>
    <n v="4"/>
    <x v="1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s v="2*"/>
    <x v="0"/>
    <n v="0"/>
    <n v="0"/>
    <n v="11500"/>
    <n v="1512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0"/>
    <n v="0"/>
    <n v="4000"/>
    <n v="0"/>
    <n v="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s v="3*"/>
    <x v="0"/>
    <n v="0"/>
    <n v="0"/>
    <n v="34500"/>
    <n v="6606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s v="2*"/>
    <x v="0"/>
    <n v="0"/>
    <n v="0"/>
    <n v="11500"/>
    <n v="6606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0"/>
    <n v="0"/>
    <n v="4000"/>
    <n v="0"/>
    <n v="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0"/>
    <n v="0"/>
    <n v="4000"/>
    <n v="0"/>
    <n v="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0"/>
    <n v="0"/>
    <n v="4000"/>
    <n v="0"/>
    <n v="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s v="2*"/>
    <x v="0"/>
    <n v="0"/>
    <n v="0"/>
    <n v="11500"/>
    <n v="15120"/>
    <m/>
  </r>
  <r>
    <x v="1"/>
    <x v="1"/>
    <x v="0"/>
    <n v="2502"/>
    <n v="2"/>
    <s v="Fod"/>
    <s v="2*"/>
    <x v="0"/>
    <n v="0"/>
    <n v="0"/>
    <n v="11500"/>
    <n v="1512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7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2"/>
    <n v="0"/>
    <n v="0"/>
    <n v="0"/>
    <n v="0"/>
    <m/>
  </r>
  <r>
    <x v="8"/>
    <x v="0"/>
    <x v="3"/>
    <n v="1000"/>
    <n v="0"/>
    <s v="Dark"/>
    <n v="5"/>
    <x v="1"/>
    <n v="0"/>
    <n v="0"/>
    <n v="0"/>
    <n v="0"/>
    <m/>
  </r>
  <r>
    <x v="0"/>
    <x v="3"/>
    <x v="1"/>
    <n v="1659"/>
    <n v="4"/>
    <m/>
    <m/>
    <x v="0"/>
    <n v="2067"/>
    <n v="2067"/>
    <n v="0"/>
    <n v="0"/>
    <m/>
  </r>
  <r>
    <x v="0"/>
    <x v="3"/>
    <x v="1"/>
    <n v="1881"/>
    <n v="1"/>
    <m/>
    <m/>
    <x v="0"/>
    <n v="1159"/>
    <n v="1159"/>
    <n v="0"/>
    <n v="0"/>
    <m/>
  </r>
  <r>
    <x v="0"/>
    <x v="3"/>
    <x v="1"/>
    <n v="2446"/>
    <n v="1"/>
    <m/>
    <m/>
    <x v="0"/>
    <n v="1159"/>
    <n v="1159"/>
    <n v="0"/>
    <n v="0"/>
    <m/>
  </r>
  <r>
    <x v="0"/>
    <x v="3"/>
    <x v="1"/>
    <n v="1899"/>
    <n v="0"/>
    <m/>
    <m/>
    <x v="0"/>
    <n v="1352"/>
    <n v="1352"/>
    <n v="0"/>
    <n v="0"/>
    <m/>
  </r>
  <r>
    <x v="0"/>
    <x v="3"/>
    <x v="1"/>
    <n v="1480"/>
    <n v="1"/>
    <m/>
    <m/>
    <x v="0"/>
    <n v="1159"/>
    <n v="1159"/>
    <n v="0"/>
    <n v="0"/>
    <m/>
  </r>
  <r>
    <x v="0"/>
    <x v="3"/>
    <x v="1"/>
    <n v="1725"/>
    <n v="2"/>
    <m/>
    <m/>
    <x v="0"/>
    <n v="1159"/>
    <n v="1159"/>
    <n v="0"/>
    <n v="0"/>
    <m/>
  </r>
  <r>
    <x v="0"/>
    <x v="3"/>
    <x v="1"/>
    <n v="1343"/>
    <n v="0"/>
    <s v="Scroll"/>
    <n v="3"/>
    <x v="0"/>
    <n v="0"/>
    <n v="6000"/>
    <n v="0"/>
    <n v="0"/>
    <m/>
  </r>
  <r>
    <x v="0"/>
    <x v="3"/>
    <x v="1"/>
    <n v="2733"/>
    <n v="0"/>
    <m/>
    <m/>
    <x v="0"/>
    <n v="1159"/>
    <n v="1159"/>
    <n v="0"/>
    <n v="0"/>
    <m/>
  </r>
  <r>
    <x v="0"/>
    <x v="3"/>
    <x v="1"/>
    <n v="2196"/>
    <n v="0"/>
    <m/>
    <m/>
    <x v="0"/>
    <n v="1159"/>
    <n v="1159"/>
    <n v="0"/>
    <n v="0"/>
    <m/>
  </r>
  <r>
    <x v="0"/>
    <x v="3"/>
    <x v="1"/>
    <n v="1326"/>
    <n v="0"/>
    <m/>
    <m/>
    <x v="0"/>
    <n v="1159"/>
    <n v="1159"/>
    <n v="0"/>
    <n v="0"/>
    <m/>
  </r>
  <r>
    <x v="0"/>
    <x v="3"/>
    <x v="1"/>
    <n v="2012"/>
    <n v="0"/>
    <s v="SweetCookie"/>
    <m/>
    <x v="0"/>
    <n v="0"/>
    <n v="0"/>
    <n v="0"/>
    <n v="0"/>
    <m/>
  </r>
  <r>
    <x v="0"/>
    <x v="3"/>
    <x v="1"/>
    <n v="1970"/>
    <n v="1"/>
    <m/>
    <m/>
    <x v="0"/>
    <n v="1546"/>
    <n v="1546"/>
    <n v="0"/>
    <n v="0"/>
    <m/>
  </r>
  <r>
    <x v="0"/>
    <x v="3"/>
    <x v="1"/>
    <n v="779"/>
    <n v="1"/>
    <s v="Scroll"/>
    <n v="3"/>
    <x v="0"/>
    <n v="0"/>
    <n v="6000"/>
    <n v="0"/>
    <n v="0"/>
    <m/>
  </r>
  <r>
    <x v="0"/>
    <x v="3"/>
    <x v="1"/>
    <n v="2074"/>
    <n v="1"/>
    <m/>
    <m/>
    <x v="0"/>
    <n v="1159"/>
    <n v="1159"/>
    <n v="0"/>
    <n v="0"/>
    <m/>
  </r>
  <r>
    <x v="0"/>
    <x v="3"/>
    <x v="1"/>
    <n v="1672"/>
    <n v="0"/>
    <m/>
    <m/>
    <x v="0"/>
    <n v="1159"/>
    <n v="1159"/>
    <n v="0"/>
    <n v="0"/>
    <m/>
  </r>
  <r>
    <x v="0"/>
    <x v="3"/>
    <x v="1"/>
    <n v="823"/>
    <n v="0"/>
    <m/>
    <m/>
    <x v="0"/>
    <n v="1159"/>
    <n v="1159"/>
    <n v="0"/>
    <n v="0"/>
    <m/>
  </r>
  <r>
    <x v="0"/>
    <x v="3"/>
    <x v="1"/>
    <n v="1454"/>
    <n v="3"/>
    <m/>
    <m/>
    <x v="0"/>
    <n v="1159"/>
    <n v="1159"/>
    <n v="0"/>
    <n v="0"/>
    <m/>
  </r>
  <r>
    <x v="0"/>
    <x v="3"/>
    <x v="1"/>
    <n v="1264"/>
    <n v="2"/>
    <s v="Scroll"/>
    <n v="3"/>
    <x v="0"/>
    <n v="0"/>
    <n v="6000"/>
    <n v="0"/>
    <n v="0"/>
    <m/>
  </r>
  <r>
    <x v="0"/>
    <x v="3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0"/>
    <n v="0"/>
    <n v="4000"/>
    <n v="0"/>
    <n v="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m/>
    <x v="0"/>
    <n v="0"/>
    <n v="0"/>
    <n v="0"/>
    <n v="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7"/>
    <x v="0"/>
    <x v="3"/>
    <n v="2351"/>
    <n v="2"/>
    <m/>
    <m/>
    <x v="0"/>
    <n v="3100"/>
    <n v="3100"/>
    <n v="0"/>
    <n v="0"/>
    <m/>
  </r>
  <r>
    <x v="7"/>
    <x v="0"/>
    <x v="3"/>
    <n v="2200"/>
    <n v="4"/>
    <m/>
    <m/>
    <x v="0"/>
    <n v="1300"/>
    <n v="1300"/>
    <n v="0"/>
    <n v="0"/>
    <m/>
  </r>
  <r>
    <x v="7"/>
    <x v="0"/>
    <x v="3"/>
    <n v="1737"/>
    <n v="2"/>
    <m/>
    <m/>
    <x v="0"/>
    <n v="1649"/>
    <n v="1649"/>
    <n v="0"/>
    <n v="0"/>
    <m/>
  </r>
  <r>
    <x v="7"/>
    <x v="0"/>
    <x v="3"/>
    <n v="2547"/>
    <n v="2"/>
    <s v="SweetCookie"/>
    <m/>
    <x v="0"/>
    <n v="0"/>
    <n v="0"/>
    <n v="0"/>
    <n v="0"/>
    <m/>
  </r>
  <r>
    <x v="7"/>
    <x v="0"/>
    <x v="3"/>
    <n v="2230"/>
    <n v="2"/>
    <s v="Scroll"/>
    <n v="2"/>
    <x v="0"/>
    <n v="0"/>
    <n v="4000"/>
    <n v="0"/>
    <n v="0"/>
    <m/>
  </r>
  <r>
    <x v="7"/>
    <x v="0"/>
    <x v="3"/>
    <n v="2500"/>
    <n v="2"/>
    <s v="Scroll"/>
    <n v="3"/>
    <x v="0"/>
    <n v="0"/>
    <n v="6000"/>
    <n v="0"/>
    <n v="0"/>
    <m/>
  </r>
  <r>
    <x v="7"/>
    <x v="0"/>
    <x v="3"/>
    <n v="2677"/>
    <n v="1"/>
    <m/>
    <m/>
    <x v="0"/>
    <n v="8882"/>
    <n v="8882"/>
    <n v="0"/>
    <n v="0"/>
    <m/>
  </r>
  <r>
    <x v="7"/>
    <x v="0"/>
    <x v="3"/>
    <n v="2500"/>
    <n v="1"/>
    <m/>
    <m/>
    <x v="0"/>
    <n v="4134"/>
    <n v="4134"/>
    <n v="0"/>
    <n v="0"/>
    <m/>
  </r>
  <r>
    <x v="7"/>
    <x v="0"/>
    <x v="3"/>
    <n v="2751"/>
    <n v="0"/>
    <m/>
    <m/>
    <x v="0"/>
    <n v="6615"/>
    <n v="6615"/>
    <n v="0"/>
    <n v="0"/>
    <m/>
  </r>
  <r>
    <x v="7"/>
    <x v="0"/>
    <x v="3"/>
    <n v="2004"/>
    <n v="2"/>
    <m/>
    <m/>
    <x v="0"/>
    <n v="13770"/>
    <n v="13770"/>
    <n v="0"/>
    <n v="0"/>
    <m/>
  </r>
  <r>
    <x v="7"/>
    <x v="0"/>
    <x v="3"/>
    <n v="1787"/>
    <n v="3"/>
    <m/>
    <m/>
    <x v="0"/>
    <n v="4134"/>
    <n v="4134"/>
    <n v="0"/>
    <n v="0"/>
    <m/>
  </r>
  <r>
    <x v="7"/>
    <x v="0"/>
    <x v="3"/>
    <n v="2747"/>
    <n v="1"/>
    <m/>
    <m/>
    <x v="0"/>
    <n v="3720"/>
    <n v="3720"/>
    <n v="0"/>
    <n v="0"/>
    <m/>
  </r>
  <r>
    <x v="7"/>
    <x v="0"/>
    <x v="3"/>
    <n v="2105"/>
    <n v="0"/>
    <s v="Scroll"/>
    <n v="3"/>
    <x v="0"/>
    <n v="0"/>
    <n v="6000"/>
    <n v="0"/>
    <n v="0"/>
    <m/>
  </r>
  <r>
    <x v="7"/>
    <x v="0"/>
    <x v="3"/>
    <n v="2230"/>
    <n v="2"/>
    <m/>
    <m/>
    <x v="0"/>
    <n v="2067"/>
    <n v="2067"/>
    <n v="0"/>
    <n v="0"/>
    <m/>
  </r>
  <r>
    <x v="7"/>
    <x v="0"/>
    <x v="3"/>
    <n v="2236"/>
    <n v="1"/>
    <s v="Scroll"/>
    <n v="4"/>
    <x v="0"/>
    <n v="0"/>
    <n v="8000"/>
    <n v="0"/>
    <n v="0"/>
    <m/>
  </r>
  <r>
    <x v="7"/>
    <x v="0"/>
    <x v="3"/>
    <n v="2339"/>
    <n v="3"/>
    <s v="Scroll"/>
    <n v="4"/>
    <x v="0"/>
    <n v="0"/>
    <n v="8000"/>
    <n v="0"/>
    <n v="0"/>
    <m/>
  </r>
  <r>
    <x v="0"/>
    <x v="3"/>
    <x v="1"/>
    <n v="1396"/>
    <n v="2"/>
    <m/>
    <m/>
    <x v="0"/>
    <n v="1159"/>
    <n v="1159"/>
    <n v="0"/>
    <n v="0"/>
    <m/>
  </r>
  <r>
    <x v="0"/>
    <x v="3"/>
    <x v="1"/>
    <n v="1382"/>
    <n v="1"/>
    <s v="Scroll"/>
    <n v="3"/>
    <x v="0"/>
    <n v="0"/>
    <n v="6000"/>
    <n v="0"/>
    <n v="0"/>
    <m/>
  </r>
  <r>
    <x v="0"/>
    <x v="3"/>
    <x v="1"/>
    <n v="823"/>
    <n v="1"/>
    <m/>
    <m/>
    <x v="0"/>
    <n v="1159"/>
    <n v="1159"/>
    <n v="0"/>
    <n v="0"/>
    <m/>
  </r>
  <r>
    <x v="0"/>
    <x v="3"/>
    <x v="1"/>
    <n v="1300"/>
    <n v="2"/>
    <m/>
    <m/>
    <x v="0"/>
    <n v="1159"/>
    <n v="1159"/>
    <n v="0"/>
    <n v="0"/>
    <m/>
  </r>
  <r>
    <x v="0"/>
    <x v="3"/>
    <x v="1"/>
    <n v="1617"/>
    <n v="0"/>
    <m/>
    <m/>
    <x v="0"/>
    <n v="1159"/>
    <n v="1159"/>
    <n v="0"/>
    <n v="0"/>
    <m/>
  </r>
  <r>
    <x v="0"/>
    <x v="3"/>
    <x v="1"/>
    <n v="1669"/>
    <n v="2"/>
    <m/>
    <m/>
    <x v="0"/>
    <n v="2067"/>
    <n v="2067"/>
    <n v="0"/>
    <n v="0"/>
    <m/>
  </r>
  <r>
    <x v="0"/>
    <x v="3"/>
    <x v="1"/>
    <n v="1400"/>
    <n v="0"/>
    <m/>
    <m/>
    <x v="0"/>
    <n v="2067"/>
    <n v="2067"/>
    <n v="0"/>
    <n v="0"/>
    <m/>
  </r>
  <r>
    <x v="0"/>
    <x v="3"/>
    <x v="1"/>
    <n v="1299"/>
    <n v="1"/>
    <m/>
    <m/>
    <x v="0"/>
    <n v="1159"/>
    <n v="1159"/>
    <n v="0"/>
    <n v="0"/>
    <m/>
  </r>
  <r>
    <x v="0"/>
    <x v="3"/>
    <x v="1"/>
    <n v="1135"/>
    <n v="1"/>
    <m/>
    <m/>
    <x v="0"/>
    <n v="1159"/>
    <n v="1159"/>
    <n v="0"/>
    <n v="0"/>
    <m/>
  </r>
  <r>
    <x v="0"/>
    <x v="3"/>
    <x v="1"/>
    <n v="1659"/>
    <n v="1"/>
    <m/>
    <m/>
    <x v="0"/>
    <n v="1546"/>
    <n v="1546"/>
    <n v="0"/>
    <n v="0"/>
    <m/>
  </r>
  <r>
    <x v="0"/>
    <x v="3"/>
    <x v="1"/>
    <n v="1820"/>
    <n v="2"/>
    <m/>
    <m/>
    <x v="0"/>
    <n v="1159"/>
    <n v="1159"/>
    <n v="0"/>
    <n v="0"/>
    <m/>
  </r>
  <r>
    <x v="0"/>
    <x v="3"/>
    <x v="1"/>
    <n v="1567"/>
    <n v="1"/>
    <m/>
    <m/>
    <x v="0"/>
    <n v="1352"/>
    <n v="1352"/>
    <n v="0"/>
    <n v="0"/>
    <m/>
  </r>
  <r>
    <x v="0"/>
    <x v="3"/>
    <x v="1"/>
    <n v="1417"/>
    <n v="1"/>
    <m/>
    <m/>
    <x v="0"/>
    <n v="2067"/>
    <n v="2067"/>
    <n v="0"/>
    <n v="0"/>
    <m/>
  </r>
  <r>
    <x v="0"/>
    <x v="3"/>
    <x v="1"/>
    <n v="1149"/>
    <n v="0"/>
    <m/>
    <m/>
    <x v="0"/>
    <n v="1546"/>
    <n v="1546"/>
    <n v="0"/>
    <n v="0"/>
    <m/>
  </r>
  <r>
    <x v="0"/>
    <x v="3"/>
    <x v="1"/>
    <n v="999"/>
    <n v="2"/>
    <m/>
    <m/>
    <x v="0"/>
    <n v="2067"/>
    <n v="2067"/>
    <n v="0"/>
    <n v="0"/>
    <m/>
  </r>
  <r>
    <x v="0"/>
    <x v="3"/>
    <x v="1"/>
    <n v="1041"/>
    <n v="1"/>
    <m/>
    <m/>
    <x v="0"/>
    <n v="1159"/>
    <n v="1159"/>
    <n v="0"/>
    <n v="0"/>
    <m/>
  </r>
  <r>
    <x v="0"/>
    <x v="3"/>
    <x v="1"/>
    <n v="1428"/>
    <n v="1"/>
    <m/>
    <m/>
    <x v="0"/>
    <n v="1352"/>
    <n v="1352"/>
    <n v="0"/>
    <n v="0"/>
    <m/>
  </r>
  <r>
    <x v="0"/>
    <x v="3"/>
    <x v="1"/>
    <n v="1853"/>
    <n v="0"/>
    <s v="Scroll"/>
    <n v="3"/>
    <x v="0"/>
    <n v="0"/>
    <n v="6000"/>
    <n v="0"/>
    <n v="0"/>
    <m/>
  </r>
  <r>
    <x v="0"/>
    <x v="3"/>
    <x v="1"/>
    <n v="2455"/>
    <n v="2"/>
    <m/>
    <m/>
    <x v="0"/>
    <n v="1159"/>
    <n v="1159"/>
    <n v="0"/>
    <n v="0"/>
    <m/>
  </r>
  <r>
    <x v="0"/>
    <x v="3"/>
    <x v="1"/>
    <n v="1681"/>
    <n v="1"/>
    <m/>
    <m/>
    <x v="0"/>
    <n v="1546"/>
    <n v="1546"/>
    <n v="0"/>
    <n v="0"/>
    <m/>
  </r>
  <r>
    <x v="0"/>
    <x v="3"/>
    <x v="1"/>
    <n v="824"/>
    <n v="0"/>
    <s v="Scroll"/>
    <n v="3"/>
    <x v="0"/>
    <n v="0"/>
    <n v="6000"/>
    <n v="0"/>
    <n v="0"/>
    <m/>
  </r>
  <r>
    <x v="0"/>
    <x v="3"/>
    <x v="1"/>
    <n v="1214"/>
    <n v="1"/>
    <m/>
    <m/>
    <x v="0"/>
    <n v="1159"/>
    <n v="1159"/>
    <n v="0"/>
    <n v="0"/>
    <m/>
  </r>
  <r>
    <x v="0"/>
    <x v="3"/>
    <x v="1"/>
    <n v="1917"/>
    <n v="2"/>
    <m/>
    <m/>
    <x v="0"/>
    <n v="1159"/>
    <n v="1159"/>
    <n v="0"/>
    <n v="0"/>
    <m/>
  </r>
  <r>
    <x v="0"/>
    <x v="3"/>
    <x v="1"/>
    <n v="404"/>
    <n v="0"/>
    <m/>
    <m/>
    <x v="0"/>
    <n v="2067"/>
    <n v="2067"/>
    <n v="0"/>
    <n v="0"/>
    <m/>
  </r>
  <r>
    <x v="0"/>
    <x v="3"/>
    <x v="1"/>
    <n v="991"/>
    <n v="0"/>
    <m/>
    <m/>
    <x v="0"/>
    <n v="1159"/>
    <n v="1159"/>
    <n v="0"/>
    <n v="0"/>
    <m/>
  </r>
  <r>
    <x v="0"/>
    <x v="3"/>
    <x v="1"/>
    <n v="1585"/>
    <n v="0"/>
    <m/>
    <m/>
    <x v="0"/>
    <n v="1159"/>
    <n v="1159"/>
    <n v="0"/>
    <n v="0"/>
    <m/>
  </r>
  <r>
    <x v="0"/>
    <x v="3"/>
    <x v="1"/>
    <n v="1099"/>
    <n v="1"/>
    <m/>
    <m/>
    <x v="0"/>
    <n v="1352"/>
    <n v="1352"/>
    <n v="0"/>
    <n v="0"/>
    <m/>
  </r>
  <r>
    <x v="0"/>
    <x v="3"/>
    <x v="1"/>
    <n v="1444"/>
    <n v="0"/>
    <m/>
    <m/>
    <x v="0"/>
    <n v="1739"/>
    <n v="1739"/>
    <n v="0"/>
    <n v="0"/>
    <m/>
  </r>
  <r>
    <x v="0"/>
    <x v="3"/>
    <x v="1"/>
    <n v="1206"/>
    <n v="1"/>
    <m/>
    <m/>
    <x v="0"/>
    <n v="1159"/>
    <n v="1159"/>
    <n v="0"/>
    <n v="0"/>
    <m/>
  </r>
  <r>
    <x v="0"/>
    <x v="3"/>
    <x v="1"/>
    <n v="2034"/>
    <n v="3"/>
    <m/>
    <m/>
    <x v="0"/>
    <n v="1159"/>
    <n v="1159"/>
    <n v="0"/>
    <n v="0"/>
    <m/>
  </r>
  <r>
    <x v="0"/>
    <x v="3"/>
    <x v="1"/>
    <n v="2474"/>
    <n v="0"/>
    <s v="Scroll"/>
    <n v="3"/>
    <x v="0"/>
    <n v="0"/>
    <n v="6000"/>
    <n v="0"/>
    <n v="0"/>
    <m/>
  </r>
  <r>
    <x v="0"/>
    <x v="3"/>
    <x v="1"/>
    <n v="1210"/>
    <n v="2"/>
    <m/>
    <m/>
    <x v="0"/>
    <n v="1352"/>
    <n v="1352"/>
    <n v="0"/>
    <n v="0"/>
    <m/>
  </r>
  <r>
    <x v="0"/>
    <x v="3"/>
    <x v="1"/>
    <n v="1838"/>
    <n v="0"/>
    <m/>
    <m/>
    <x v="0"/>
    <n v="1159"/>
    <n v="1159"/>
    <n v="0"/>
    <n v="0"/>
    <m/>
  </r>
  <r>
    <x v="0"/>
    <x v="3"/>
    <x v="1"/>
    <n v="1620"/>
    <n v="1"/>
    <m/>
    <m/>
    <x v="0"/>
    <n v="1159"/>
    <n v="1159"/>
    <n v="0"/>
    <n v="0"/>
    <m/>
  </r>
  <r>
    <x v="0"/>
    <x v="3"/>
    <x v="1"/>
    <n v="1629"/>
    <n v="1"/>
    <m/>
    <m/>
    <x v="0"/>
    <n v="2750"/>
    <n v="2750"/>
    <n v="0"/>
    <n v="0"/>
    <m/>
  </r>
  <r>
    <x v="0"/>
    <x v="3"/>
    <x v="1"/>
    <n v="1374"/>
    <n v="1"/>
    <s v="Scroll"/>
    <n v="3"/>
    <x v="0"/>
    <n v="0"/>
    <n v="6000"/>
    <n v="0"/>
    <n v="0"/>
    <m/>
  </r>
  <r>
    <x v="0"/>
    <x v="3"/>
    <x v="1"/>
    <n v="1637"/>
    <n v="0"/>
    <m/>
    <m/>
    <x v="0"/>
    <n v="1352"/>
    <n v="1352"/>
    <n v="0"/>
    <n v="0"/>
    <m/>
  </r>
  <r>
    <x v="0"/>
    <x v="3"/>
    <x v="1"/>
    <n v="1846"/>
    <n v="1"/>
    <m/>
    <m/>
    <x v="0"/>
    <n v="1159"/>
    <n v="1159"/>
    <n v="0"/>
    <n v="0"/>
    <m/>
  </r>
  <r>
    <x v="0"/>
    <x v="3"/>
    <x v="1"/>
    <n v="1617"/>
    <n v="1"/>
    <m/>
    <m/>
    <x v="0"/>
    <n v="2756"/>
    <n v="2756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990"/>
    <n v="0"/>
    <m/>
    <m/>
    <x v="0"/>
    <n v="1159"/>
    <n v="1159"/>
    <n v="0"/>
    <n v="0"/>
    <m/>
  </r>
  <r>
    <x v="0"/>
    <x v="3"/>
    <x v="1"/>
    <n v="1186"/>
    <n v="1"/>
    <m/>
    <m/>
    <x v="0"/>
    <n v="2756"/>
    <n v="2756"/>
    <n v="0"/>
    <n v="0"/>
    <m/>
  </r>
  <r>
    <x v="0"/>
    <x v="3"/>
    <x v="1"/>
    <n v="1193"/>
    <n v="2"/>
    <m/>
    <m/>
    <x v="0"/>
    <n v="1159"/>
    <n v="1159"/>
    <n v="0"/>
    <n v="0"/>
    <m/>
  </r>
  <r>
    <x v="0"/>
    <x v="3"/>
    <x v="1"/>
    <n v="1223"/>
    <n v="0"/>
    <m/>
    <m/>
    <x v="0"/>
    <n v="2067"/>
    <n v="2067"/>
    <n v="0"/>
    <n v="0"/>
    <m/>
  </r>
  <r>
    <x v="0"/>
    <x v="3"/>
    <x v="1"/>
    <n v="1833"/>
    <n v="0"/>
    <m/>
    <m/>
    <x v="0"/>
    <n v="2067"/>
    <n v="2067"/>
    <n v="0"/>
    <n v="0"/>
    <m/>
  </r>
  <r>
    <x v="0"/>
    <x v="3"/>
    <x v="1"/>
    <n v="1601"/>
    <n v="1"/>
    <m/>
    <m/>
    <x v="0"/>
    <n v="2067"/>
    <n v="2067"/>
    <n v="0"/>
    <n v="0"/>
    <m/>
  </r>
  <r>
    <x v="0"/>
    <x v="3"/>
    <x v="1"/>
    <n v="1381"/>
    <n v="0"/>
    <m/>
    <m/>
    <x v="0"/>
    <n v="2067"/>
    <n v="2067"/>
    <n v="0"/>
    <n v="0"/>
    <m/>
  </r>
  <r>
    <x v="0"/>
    <x v="3"/>
    <x v="1"/>
    <n v="1472"/>
    <n v="3"/>
    <m/>
    <m/>
    <x v="0"/>
    <n v="1159"/>
    <n v="1159"/>
    <n v="0"/>
    <n v="0"/>
    <m/>
  </r>
  <r>
    <x v="0"/>
    <x v="3"/>
    <x v="1"/>
    <n v="1210"/>
    <n v="1"/>
    <m/>
    <m/>
    <x v="0"/>
    <n v="1159"/>
    <n v="1159"/>
    <n v="0"/>
    <n v="0"/>
    <m/>
  </r>
  <r>
    <x v="0"/>
    <x v="3"/>
    <x v="1"/>
    <n v="1469"/>
    <n v="1"/>
    <s v="Fod"/>
    <s v="2*"/>
    <x v="0"/>
    <n v="0"/>
    <n v="0"/>
    <n v="11500"/>
    <n v="15120"/>
    <m/>
  </r>
  <r>
    <x v="0"/>
    <x v="3"/>
    <x v="1"/>
    <n v="1035"/>
    <n v="1"/>
    <m/>
    <m/>
    <x v="0"/>
    <n v="2067"/>
    <n v="2067"/>
    <n v="0"/>
    <n v="0"/>
    <m/>
  </r>
  <r>
    <x v="0"/>
    <x v="3"/>
    <x v="1"/>
    <n v="1877"/>
    <n v="1"/>
    <s v="Scroll"/>
    <n v="3"/>
    <x v="0"/>
    <n v="0"/>
    <n v="6000"/>
    <n v="0"/>
    <n v="0"/>
    <m/>
  </r>
  <r>
    <x v="0"/>
    <x v="3"/>
    <x v="1"/>
    <n v="849"/>
    <n v="1"/>
    <s v="Scroll"/>
    <n v="3"/>
    <x v="0"/>
    <n v="0"/>
    <n v="6000"/>
    <n v="0"/>
    <n v="0"/>
    <m/>
  </r>
  <r>
    <x v="0"/>
    <x v="3"/>
    <x v="1"/>
    <n v="1261"/>
    <n v="1"/>
    <s v="Scroll"/>
    <n v="3"/>
    <x v="0"/>
    <m/>
    <n v="6000"/>
    <n v="0"/>
    <n v="0"/>
    <m/>
  </r>
  <r>
    <x v="9"/>
    <x v="0"/>
    <x v="1"/>
    <n v="1940"/>
    <n v="0"/>
    <s v="Scroll"/>
    <n v="3"/>
    <x v="0"/>
    <n v="0"/>
    <n v="6000"/>
    <n v="0"/>
    <n v="0"/>
    <m/>
  </r>
  <r>
    <x v="0"/>
    <x v="3"/>
    <x v="1"/>
    <n v="2271"/>
    <n v="1"/>
    <s v="Scroll"/>
    <n v="3"/>
    <x v="0"/>
    <n v="0"/>
    <n v="6000"/>
    <n v="0"/>
    <n v="0"/>
    <m/>
  </r>
  <r>
    <x v="0"/>
    <x v="3"/>
    <x v="1"/>
    <n v="1066"/>
    <n v="0"/>
    <s v="Rainb"/>
    <s v="2*"/>
    <x v="0"/>
    <n v="0"/>
    <n v="0"/>
    <n v="11500"/>
    <n v="66062"/>
    <m/>
  </r>
  <r>
    <x v="0"/>
    <x v="3"/>
    <x v="1"/>
    <n v="1217"/>
    <n v="0"/>
    <m/>
    <m/>
    <x v="0"/>
    <n v="1159"/>
    <n v="1159"/>
    <n v="0"/>
    <n v="0"/>
    <m/>
  </r>
  <r>
    <x v="0"/>
    <x v="3"/>
    <x v="1"/>
    <n v="1369"/>
    <n v="0"/>
    <s v="Fod"/>
    <s v="3*"/>
    <x v="0"/>
    <m/>
    <n v="0"/>
    <n v="34500"/>
    <n v="66062"/>
    <m/>
  </r>
  <r>
    <x v="0"/>
    <x v="3"/>
    <x v="1"/>
    <n v="1200"/>
    <n v="1"/>
    <m/>
    <m/>
    <x v="0"/>
    <n v="1546"/>
    <n v="1546"/>
    <n v="0"/>
    <n v="0"/>
    <m/>
  </r>
  <r>
    <x v="0"/>
    <x v="3"/>
    <x v="1"/>
    <n v="2084"/>
    <n v="1"/>
    <m/>
    <m/>
    <x v="0"/>
    <n v="1159"/>
    <n v="1159"/>
    <n v="0"/>
    <n v="0"/>
    <m/>
  </r>
  <r>
    <x v="0"/>
    <x v="3"/>
    <x v="1"/>
    <n v="1041"/>
    <n v="2"/>
    <m/>
    <m/>
    <x v="0"/>
    <n v="1159"/>
    <n v="1159"/>
    <n v="0"/>
    <n v="0"/>
    <m/>
  </r>
  <r>
    <x v="0"/>
    <x v="3"/>
    <x v="1"/>
    <n v="1173"/>
    <n v="0"/>
    <s v="Scroll"/>
    <n v="3"/>
    <x v="0"/>
    <n v="0"/>
    <n v="6000"/>
    <n v="0"/>
    <n v="0"/>
    <m/>
  </r>
  <r>
    <x v="0"/>
    <x v="3"/>
    <x v="1"/>
    <n v="1203"/>
    <n v="0"/>
    <m/>
    <m/>
    <x v="0"/>
    <n v="1159"/>
    <n v="1159"/>
    <n v="0"/>
    <n v="0"/>
    <m/>
  </r>
  <r>
    <x v="0"/>
    <x v="3"/>
    <x v="1"/>
    <n v="1265"/>
    <n v="0"/>
    <m/>
    <m/>
    <x v="0"/>
    <n v="1159"/>
    <n v="1159"/>
    <n v="0"/>
    <n v="0"/>
    <m/>
  </r>
  <r>
    <x v="0"/>
    <x v="3"/>
    <x v="1"/>
    <n v="1133"/>
    <n v="0"/>
    <m/>
    <m/>
    <x v="0"/>
    <n v="1159"/>
    <n v="1159"/>
    <n v="0"/>
    <n v="0"/>
    <m/>
  </r>
  <r>
    <x v="0"/>
    <x v="3"/>
    <x v="1"/>
    <n v="967"/>
    <n v="1"/>
    <s v="Fod"/>
    <s v="1*"/>
    <x v="0"/>
    <n v="0"/>
    <n v="0"/>
    <n v="0"/>
    <n v="0"/>
    <m/>
  </r>
  <r>
    <x v="0"/>
    <x v="3"/>
    <x v="1"/>
    <n v="2246"/>
    <n v="1"/>
    <m/>
    <m/>
    <x v="0"/>
    <n v="2067"/>
    <n v="2067"/>
    <n v="0"/>
    <n v="0"/>
    <m/>
  </r>
  <r>
    <x v="0"/>
    <x v="3"/>
    <x v="1"/>
    <n v="1423"/>
    <n v="2"/>
    <m/>
    <m/>
    <x v="0"/>
    <n v="1159"/>
    <n v="1159"/>
    <n v="0"/>
    <n v="0"/>
    <m/>
  </r>
  <r>
    <x v="0"/>
    <x v="3"/>
    <x v="1"/>
    <n v="1858"/>
    <n v="0"/>
    <m/>
    <m/>
    <x v="0"/>
    <n v="2067"/>
    <n v="2067"/>
    <n v="0"/>
    <n v="0"/>
    <m/>
  </r>
  <r>
    <x v="0"/>
    <x v="3"/>
    <x v="1"/>
    <n v="1423"/>
    <n v="1"/>
    <m/>
    <m/>
    <x v="0"/>
    <n v="1546"/>
    <n v="1546"/>
    <n v="0"/>
    <n v="0"/>
    <m/>
  </r>
  <r>
    <x v="0"/>
    <x v="3"/>
    <x v="1"/>
    <n v="2042"/>
    <n v="1"/>
    <m/>
    <m/>
    <x v="0"/>
    <n v="1159"/>
    <n v="1159"/>
    <n v="0"/>
    <n v="0"/>
    <m/>
  </r>
  <r>
    <x v="0"/>
    <x v="3"/>
    <x v="1"/>
    <n v="2001"/>
    <n v="1"/>
    <s v="Fod"/>
    <s v="1*"/>
    <x v="0"/>
    <n v="0"/>
    <n v="0"/>
    <n v="0"/>
    <n v="0"/>
    <m/>
  </r>
  <r>
    <x v="0"/>
    <x v="3"/>
    <x v="1"/>
    <n v="1540"/>
    <n v="0"/>
    <s v="Fod"/>
    <s v="1*"/>
    <x v="0"/>
    <n v="0"/>
    <n v="0"/>
    <n v="0"/>
    <n v="0"/>
    <m/>
  </r>
  <r>
    <x v="0"/>
    <x v="3"/>
    <x v="1"/>
    <n v="1699"/>
    <n v="1"/>
    <m/>
    <m/>
    <x v="0"/>
    <n v="2067"/>
    <n v="2067"/>
    <n v="0"/>
    <n v="0"/>
    <m/>
  </r>
  <r>
    <x v="0"/>
    <x v="3"/>
    <x v="1"/>
    <n v="1916"/>
    <n v="1"/>
    <m/>
    <m/>
    <x v="0"/>
    <n v="1159"/>
    <n v="1159"/>
    <n v="0"/>
    <n v="0"/>
    <m/>
  </r>
  <r>
    <x v="0"/>
    <x v="3"/>
    <x v="1"/>
    <n v="2501"/>
    <n v="0"/>
    <m/>
    <m/>
    <x v="0"/>
    <n v="2067"/>
    <n v="2067"/>
    <n v="0"/>
    <n v="0"/>
    <m/>
  </r>
  <r>
    <x v="0"/>
    <x v="3"/>
    <x v="1"/>
    <n v="1812"/>
    <n v="1"/>
    <s v="Scroll"/>
    <n v="3"/>
    <x v="0"/>
    <m/>
    <n v="6000"/>
    <n v="0"/>
    <n v="0"/>
    <m/>
  </r>
  <r>
    <x v="0"/>
    <x v="3"/>
    <x v="1"/>
    <n v="1215"/>
    <n v="0"/>
    <m/>
    <m/>
    <x v="0"/>
    <n v="1159"/>
    <n v="1159"/>
    <n v="0"/>
    <n v="0"/>
    <m/>
  </r>
  <r>
    <x v="0"/>
    <x v="3"/>
    <x v="1"/>
    <n v="422"/>
    <n v="1"/>
    <m/>
    <m/>
    <x v="0"/>
    <n v="2756"/>
    <n v="2756"/>
    <n v="0"/>
    <n v="0"/>
    <m/>
  </r>
  <r>
    <x v="0"/>
    <x v="3"/>
    <x v="1"/>
    <n v="1105"/>
    <n v="0"/>
    <s v="Fod"/>
    <s v="2*"/>
    <x v="0"/>
    <n v="0"/>
    <n v="0"/>
    <n v="11500"/>
    <n v="15120"/>
    <m/>
  </r>
  <r>
    <x v="0"/>
    <x v="3"/>
    <x v="1"/>
    <n v="821"/>
    <n v="1"/>
    <m/>
    <m/>
    <x v="0"/>
    <n v="1159"/>
    <n v="1159"/>
    <n v="0"/>
    <n v="0"/>
    <m/>
  </r>
  <r>
    <x v="0"/>
    <x v="3"/>
    <x v="1"/>
    <n v="1748"/>
    <n v="1"/>
    <s v="SweetCookie"/>
    <m/>
    <x v="0"/>
    <n v="0"/>
    <n v="0"/>
    <n v="0"/>
    <n v="0"/>
    <m/>
  </r>
  <r>
    <x v="0"/>
    <x v="3"/>
    <x v="1"/>
    <n v="1840"/>
    <n v="0"/>
    <s v="SweetCookie"/>
    <m/>
    <x v="0"/>
    <n v="0"/>
    <n v="0"/>
    <n v="0"/>
    <n v="0"/>
    <m/>
  </r>
  <r>
    <x v="0"/>
    <x v="3"/>
    <x v="1"/>
    <n v="1395"/>
    <n v="2"/>
    <m/>
    <m/>
    <x v="0"/>
    <n v="1159"/>
    <n v="1159"/>
    <n v="0"/>
    <n v="0"/>
    <m/>
  </r>
  <r>
    <x v="0"/>
    <x v="3"/>
    <x v="1"/>
    <n v="1292"/>
    <n v="2"/>
    <m/>
    <m/>
    <x v="0"/>
    <n v="1159"/>
    <n v="1159"/>
    <n v="0"/>
    <n v="0"/>
    <m/>
  </r>
  <r>
    <x v="0"/>
    <x v="3"/>
    <x v="1"/>
    <n v="1574"/>
    <n v="0"/>
    <m/>
    <m/>
    <x v="0"/>
    <n v="1159"/>
    <n v="1159"/>
    <n v="0"/>
    <n v="0"/>
    <m/>
  </r>
  <r>
    <x v="0"/>
    <x v="3"/>
    <x v="1"/>
    <n v="1388"/>
    <n v="0"/>
    <m/>
    <m/>
    <x v="0"/>
    <n v="1159"/>
    <n v="1159"/>
    <n v="0"/>
    <n v="0"/>
    <m/>
  </r>
  <r>
    <x v="0"/>
    <x v="3"/>
    <x v="1"/>
    <n v="3326"/>
    <n v="0"/>
    <s v="Scroll"/>
    <n v="3"/>
    <x v="0"/>
    <n v="0"/>
    <n v="6000"/>
    <n v="0"/>
    <n v="0"/>
    <m/>
  </r>
  <r>
    <x v="0"/>
    <x v="3"/>
    <x v="1"/>
    <n v="999"/>
    <n v="1"/>
    <s v="SweetCookie"/>
    <m/>
    <x v="0"/>
    <n v="0"/>
    <n v="0"/>
    <n v="0"/>
    <n v="0"/>
    <m/>
  </r>
  <r>
    <x v="0"/>
    <x v="3"/>
    <x v="1"/>
    <n v="1225"/>
    <n v="0"/>
    <m/>
    <m/>
    <x v="0"/>
    <n v="2411"/>
    <n v="2411"/>
    <n v="0"/>
    <n v="0"/>
    <m/>
  </r>
  <r>
    <x v="0"/>
    <x v="3"/>
    <x v="1"/>
    <n v="1362"/>
    <n v="2"/>
    <s v="Fod"/>
    <s v="1*"/>
    <x v="0"/>
    <m/>
    <n v="0"/>
    <n v="0"/>
    <n v="0"/>
    <m/>
  </r>
  <r>
    <x v="0"/>
    <x v="3"/>
    <x v="1"/>
    <n v="1149"/>
    <n v="2"/>
    <m/>
    <m/>
    <x v="0"/>
    <n v="1159"/>
    <n v="1159"/>
    <n v="0"/>
    <n v="0"/>
    <m/>
  </r>
  <r>
    <x v="0"/>
    <x v="3"/>
    <x v="1"/>
    <n v="1186"/>
    <n v="1"/>
    <m/>
    <m/>
    <x v="0"/>
    <n v="2067"/>
    <n v="2067"/>
    <n v="0"/>
    <n v="0"/>
    <m/>
  </r>
  <r>
    <x v="0"/>
    <x v="3"/>
    <x v="1"/>
    <n v="1366"/>
    <n v="1"/>
    <m/>
    <m/>
    <x v="0"/>
    <n v="2411"/>
    <n v="2411"/>
    <n v="0"/>
    <n v="0"/>
    <m/>
  </r>
  <r>
    <x v="0"/>
    <x v="3"/>
    <x v="1"/>
    <n v="2407"/>
    <n v="4"/>
    <s v="Fod"/>
    <s v="2*"/>
    <x v="0"/>
    <n v="0"/>
    <n v="0"/>
    <n v="11500"/>
    <n v="15120"/>
    <m/>
  </r>
  <r>
    <x v="0"/>
    <x v="3"/>
    <x v="1"/>
    <n v="2050"/>
    <n v="1"/>
    <m/>
    <m/>
    <x v="0"/>
    <n v="2067"/>
    <n v="2067"/>
    <n v="0"/>
    <n v="0"/>
    <m/>
  </r>
  <r>
    <x v="0"/>
    <x v="3"/>
    <x v="1"/>
    <n v="2063"/>
    <n v="1"/>
    <s v="Fod"/>
    <s v="1*"/>
    <x v="0"/>
    <m/>
    <n v="0"/>
    <n v="0"/>
    <n v="0"/>
    <m/>
  </r>
  <r>
    <x v="0"/>
    <x v="3"/>
    <x v="1"/>
    <n v="1086"/>
    <n v="0"/>
    <m/>
    <m/>
    <x v="0"/>
    <n v="1546"/>
    <n v="1546"/>
    <n v="0"/>
    <n v="0"/>
    <m/>
  </r>
  <r>
    <x v="0"/>
    <x v="3"/>
    <x v="1"/>
    <n v="1248"/>
    <n v="2"/>
    <s v="Scroll"/>
    <n v="3"/>
    <x v="0"/>
    <n v="0"/>
    <n v="6000"/>
    <n v="0"/>
    <n v="0"/>
    <m/>
  </r>
  <r>
    <x v="0"/>
    <x v="3"/>
    <x v="1"/>
    <n v="1342"/>
    <n v="1"/>
    <s v="SweetCookie"/>
    <m/>
    <x v="0"/>
    <n v="0"/>
    <n v="0"/>
    <n v="0"/>
    <n v="0"/>
    <m/>
  </r>
  <r>
    <x v="0"/>
    <x v="3"/>
    <x v="1"/>
    <n v="2048"/>
    <n v="0"/>
    <m/>
    <m/>
    <x v="0"/>
    <n v="1159"/>
    <n v="1159"/>
    <n v="0"/>
    <n v="0"/>
    <m/>
  </r>
  <r>
    <x v="0"/>
    <x v="3"/>
    <x v="1"/>
    <n v="2152"/>
    <n v="2"/>
    <s v="Fod"/>
    <s v="1*"/>
    <x v="0"/>
    <n v="0"/>
    <n v="0"/>
    <n v="0"/>
    <n v="0"/>
    <m/>
  </r>
  <r>
    <x v="0"/>
    <x v="3"/>
    <x v="1"/>
    <n v="1171"/>
    <n v="1"/>
    <m/>
    <m/>
    <x v="0"/>
    <n v="2067"/>
    <n v="2067"/>
    <n v="0"/>
    <n v="0"/>
    <m/>
  </r>
  <r>
    <x v="0"/>
    <x v="3"/>
    <x v="1"/>
    <n v="2951"/>
    <n v="2"/>
    <m/>
    <m/>
    <x v="0"/>
    <n v="2411"/>
    <n v="2411"/>
    <n v="0"/>
    <n v="0"/>
    <m/>
  </r>
  <r>
    <x v="0"/>
    <x v="3"/>
    <x v="1"/>
    <n v="1340"/>
    <n v="0"/>
    <m/>
    <m/>
    <x v="0"/>
    <n v="1159"/>
    <n v="1159"/>
    <n v="0"/>
    <n v="0"/>
    <m/>
  </r>
  <r>
    <x v="0"/>
    <x v="3"/>
    <x v="1"/>
    <n v="1120"/>
    <n v="1"/>
    <m/>
    <m/>
    <x v="0"/>
    <n v="1546"/>
    <n v="1546"/>
    <n v="0"/>
    <n v="0"/>
    <m/>
  </r>
  <r>
    <x v="0"/>
    <x v="3"/>
    <x v="1"/>
    <n v="805"/>
    <n v="1"/>
    <m/>
    <m/>
    <x v="0"/>
    <n v="2067"/>
    <n v="2067"/>
    <n v="0"/>
    <n v="0"/>
    <m/>
  </r>
  <r>
    <x v="0"/>
    <x v="3"/>
    <x v="1"/>
    <n v="1611"/>
    <n v="3"/>
    <m/>
    <m/>
    <x v="0"/>
    <n v="1159"/>
    <n v="1159"/>
    <n v="0"/>
    <n v="0"/>
    <m/>
  </r>
  <r>
    <x v="0"/>
    <x v="3"/>
    <x v="1"/>
    <n v="1332"/>
    <n v="0"/>
    <m/>
    <m/>
    <x v="0"/>
    <n v="1159"/>
    <n v="1159"/>
    <n v="0"/>
    <n v="0"/>
    <m/>
  </r>
  <r>
    <x v="0"/>
    <x v="3"/>
    <x v="1"/>
    <n v="1613"/>
    <n v="1"/>
    <m/>
    <m/>
    <x v="0"/>
    <n v="2411"/>
    <n v="2411"/>
    <n v="0"/>
    <n v="0"/>
    <m/>
  </r>
  <r>
    <x v="0"/>
    <x v="3"/>
    <x v="1"/>
    <n v="1375"/>
    <n v="1"/>
    <m/>
    <m/>
    <x v="0"/>
    <n v="1159"/>
    <n v="1159"/>
    <n v="0"/>
    <n v="0"/>
    <m/>
  </r>
  <r>
    <x v="0"/>
    <x v="3"/>
    <x v="1"/>
    <n v="1277"/>
    <n v="1"/>
    <m/>
    <m/>
    <x v="0"/>
    <n v="1159"/>
    <n v="1159"/>
    <n v="0"/>
    <n v="0"/>
    <m/>
  </r>
  <r>
    <x v="0"/>
    <x v="3"/>
    <x v="1"/>
    <n v="1167"/>
    <n v="0"/>
    <m/>
    <m/>
    <x v="0"/>
    <n v="2067"/>
    <n v="2067"/>
    <n v="0"/>
    <n v="0"/>
    <m/>
  </r>
  <r>
    <x v="0"/>
    <x v="3"/>
    <x v="1"/>
    <n v="1156"/>
    <n v="2"/>
    <m/>
    <m/>
    <x v="0"/>
    <n v="1352"/>
    <n v="1352"/>
    <n v="0"/>
    <n v="0"/>
    <m/>
  </r>
  <r>
    <x v="0"/>
    <x v="3"/>
    <x v="1"/>
    <n v="1404"/>
    <n v="0"/>
    <s v="Fod"/>
    <s v="3*"/>
    <x v="0"/>
    <n v="0"/>
    <n v="0"/>
    <n v="34500"/>
    <n v="66062"/>
    <m/>
  </r>
  <r>
    <x v="0"/>
    <x v="3"/>
    <x v="1"/>
    <n v="1462"/>
    <n v="0"/>
    <m/>
    <m/>
    <x v="0"/>
    <n v="1159"/>
    <n v="1159"/>
    <n v="0"/>
    <n v="0"/>
    <m/>
  </r>
  <r>
    <x v="0"/>
    <x v="3"/>
    <x v="1"/>
    <n v="1957"/>
    <n v="2"/>
    <s v="SweetCookie"/>
    <m/>
    <x v="0"/>
    <n v="0"/>
    <n v="0"/>
    <n v="0"/>
    <n v="0"/>
    <m/>
  </r>
  <r>
    <x v="0"/>
    <x v="3"/>
    <x v="1"/>
    <n v="1051"/>
    <n v="0"/>
    <m/>
    <m/>
    <x v="0"/>
    <n v="2411"/>
    <n v="2411"/>
    <n v="0"/>
    <n v="0"/>
    <m/>
  </r>
  <r>
    <x v="0"/>
    <x v="3"/>
    <x v="1"/>
    <n v="1187"/>
    <n v="2"/>
    <m/>
    <m/>
    <x v="0"/>
    <n v="1159"/>
    <n v="1159"/>
    <n v="0"/>
    <n v="0"/>
    <m/>
  </r>
  <r>
    <x v="0"/>
    <x v="3"/>
    <x v="1"/>
    <n v="1798"/>
    <n v="2"/>
    <s v="Scroll"/>
    <n v="3"/>
    <x v="0"/>
    <m/>
    <n v="6000"/>
    <n v="0"/>
    <n v="0"/>
    <m/>
  </r>
  <r>
    <x v="0"/>
    <x v="3"/>
    <x v="1"/>
    <n v="1909"/>
    <n v="3"/>
    <m/>
    <m/>
    <x v="0"/>
    <n v="1159"/>
    <n v="1159"/>
    <n v="0"/>
    <n v="0"/>
    <m/>
  </r>
  <r>
    <x v="0"/>
    <x v="3"/>
    <x v="1"/>
    <n v="829"/>
    <n v="2"/>
    <m/>
    <m/>
    <x v="0"/>
    <n v="1159"/>
    <n v="1159"/>
    <n v="0"/>
    <n v="0"/>
    <m/>
  </r>
  <r>
    <x v="0"/>
    <x v="3"/>
    <x v="1"/>
    <n v="1201"/>
    <n v="2"/>
    <s v="Scroll"/>
    <n v="3"/>
    <x v="0"/>
    <n v="0"/>
    <n v="6000"/>
    <n v="0"/>
    <n v="0"/>
    <m/>
  </r>
  <r>
    <x v="0"/>
    <x v="3"/>
    <x v="1"/>
    <n v="1770"/>
    <n v="0"/>
    <m/>
    <m/>
    <x v="0"/>
    <n v="1159"/>
    <n v="1159"/>
    <n v="0"/>
    <n v="0"/>
    <m/>
  </r>
  <r>
    <x v="0"/>
    <x v="3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0"/>
    <n v="0"/>
    <n v="2000"/>
    <n v="0"/>
    <n v="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0"/>
    <n v="0"/>
    <n v="2000"/>
    <n v="0"/>
    <n v="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0"/>
    <n v="0"/>
    <n v="2000"/>
    <n v="0"/>
    <n v="0"/>
    <m/>
  </r>
  <r>
    <x v="0"/>
    <x v="1"/>
    <x v="1"/>
    <n v="2474"/>
    <n v="3"/>
    <s v="Scroll"/>
    <n v="2"/>
    <x v="0"/>
    <n v="0"/>
    <n v="4000"/>
    <n v="0"/>
    <n v="0"/>
    <m/>
  </r>
  <r>
    <x v="0"/>
    <x v="3"/>
    <x v="1"/>
    <n v="920"/>
    <n v="2"/>
    <s v="Scroll"/>
    <n v="3"/>
    <x v="0"/>
    <n v="0"/>
    <n v="6000"/>
    <n v="0"/>
    <n v="0"/>
    <m/>
  </r>
  <r>
    <x v="0"/>
    <x v="3"/>
    <x v="1"/>
    <n v="1475"/>
    <n v="3"/>
    <m/>
    <m/>
    <x v="0"/>
    <n v="2756"/>
    <n v="2756"/>
    <n v="0"/>
    <n v="0"/>
    <m/>
  </r>
  <r>
    <x v="0"/>
    <x v="3"/>
    <x v="1"/>
    <n v="1500"/>
    <n v="3"/>
    <s v="Fod"/>
    <s v="3*"/>
    <x v="0"/>
    <n v="0"/>
    <n v="0"/>
    <n v="34500"/>
    <n v="66062"/>
    <m/>
  </r>
  <r>
    <x v="0"/>
    <x v="3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182"/>
    <n v="0"/>
    <s v="Magic"/>
    <n v="4"/>
    <x v="1"/>
    <n v="0"/>
    <n v="0"/>
    <n v="0"/>
    <n v="0"/>
    <m/>
  </r>
  <r>
    <x v="7"/>
    <x v="0"/>
    <x v="2"/>
    <n v="2090"/>
    <n v="2"/>
    <m/>
    <m/>
    <x v="0"/>
    <n v="1971"/>
    <n v="1971"/>
    <n v="0"/>
    <n v="0"/>
    <m/>
  </r>
  <r>
    <x v="7"/>
    <x v="0"/>
    <x v="2"/>
    <n v="2783"/>
    <n v="2"/>
    <s v="Scroll"/>
    <n v="3"/>
    <x v="0"/>
    <n v="0"/>
    <n v="6000"/>
    <n v="0"/>
    <n v="0"/>
    <m/>
  </r>
  <r>
    <x v="7"/>
    <x v="0"/>
    <x v="2"/>
    <n v="2090"/>
    <n v="0"/>
    <m/>
    <m/>
    <x v="0"/>
    <n v="12000"/>
    <n v="12000"/>
    <n v="0"/>
    <n v="0"/>
    <m/>
  </r>
  <r>
    <x v="7"/>
    <x v="0"/>
    <x v="2"/>
    <n v="2367"/>
    <n v="0"/>
    <s v="Rainb"/>
    <s v="2*"/>
    <x v="0"/>
    <n v="0"/>
    <n v="0"/>
    <n v="11500"/>
    <n v="66062"/>
    <m/>
  </r>
  <r>
    <x v="7"/>
    <x v="0"/>
    <x v="2"/>
    <n v="3236"/>
    <n v="1"/>
    <m/>
    <m/>
    <x v="0"/>
    <n v="1236"/>
    <n v="1236"/>
    <n v="0"/>
    <n v="0"/>
    <m/>
  </r>
  <r>
    <x v="7"/>
    <x v="0"/>
    <x v="2"/>
    <n v="2638"/>
    <n v="0"/>
    <s v="SweetCookie"/>
    <m/>
    <x v="0"/>
    <n v="0"/>
    <n v="0"/>
    <n v="0"/>
    <n v="0"/>
    <m/>
  </r>
  <r>
    <x v="7"/>
    <x v="0"/>
    <x v="2"/>
    <n v="2603"/>
    <n v="0"/>
    <s v="Scroll"/>
    <n v="4"/>
    <x v="0"/>
    <n v="0"/>
    <n v="8000"/>
    <n v="0"/>
    <n v="0"/>
    <m/>
  </r>
  <r>
    <x v="7"/>
    <x v="0"/>
    <x v="2"/>
    <n v="2600"/>
    <n v="2"/>
    <m/>
    <m/>
    <x v="0"/>
    <n v="3916"/>
    <n v="3916"/>
    <n v="0"/>
    <n v="0"/>
    <m/>
  </r>
  <r>
    <x v="7"/>
    <x v="0"/>
    <x v="2"/>
    <n v="2913"/>
    <n v="0"/>
    <m/>
    <m/>
    <x v="0"/>
    <n v="3789"/>
    <n v="3789"/>
    <n v="0"/>
    <n v="0"/>
    <m/>
  </r>
  <r>
    <x v="7"/>
    <x v="0"/>
    <x v="2"/>
    <n v="2460"/>
    <n v="1"/>
    <s v="Scroll"/>
    <n v="4"/>
    <x v="0"/>
    <n v="0"/>
    <n v="8000"/>
    <n v="0"/>
    <n v="0"/>
    <m/>
  </r>
  <r>
    <x v="10"/>
    <x v="0"/>
    <x v="7"/>
    <n v="2498"/>
    <n v="2"/>
    <s v="Water"/>
    <n v="3"/>
    <x v="1"/>
    <n v="0"/>
    <n v="0"/>
    <n v="0"/>
    <n v="0"/>
    <m/>
  </r>
  <r>
    <x v="10"/>
    <x v="0"/>
    <x v="6"/>
    <n v="2073"/>
    <n v="0"/>
    <s v="Water"/>
    <n v="1"/>
    <x v="2"/>
    <n v="0"/>
    <n v="0"/>
    <n v="0"/>
    <n v="0"/>
    <m/>
  </r>
  <r>
    <x v="10"/>
    <x v="0"/>
    <x v="6"/>
    <n v="2143"/>
    <n v="0"/>
    <s v="Water"/>
    <n v="3"/>
    <x v="1"/>
    <n v="0"/>
    <n v="0"/>
    <n v="0"/>
    <n v="0"/>
    <m/>
  </r>
  <r>
    <x v="10"/>
    <x v="0"/>
    <x v="6"/>
    <n v="1852"/>
    <n v="1"/>
    <s v="Water"/>
    <n v="1"/>
    <x v="2"/>
    <n v="0"/>
    <n v="0"/>
    <n v="0"/>
    <n v="0"/>
    <m/>
  </r>
  <r>
    <x v="10"/>
    <x v="0"/>
    <x v="6"/>
    <n v="2417"/>
    <n v="0"/>
    <s v="SumStone"/>
    <n v="1"/>
    <x v="0"/>
    <n v="0"/>
    <n v="0"/>
    <n v="862.5"/>
    <n v="1651.5500000000002"/>
    <m/>
  </r>
  <r>
    <x v="10"/>
    <x v="0"/>
    <x v="7"/>
    <n v="2146"/>
    <n v="0"/>
    <s v="Water"/>
    <n v="2"/>
    <x v="2"/>
    <n v="0"/>
    <n v="0"/>
    <n v="0"/>
    <n v="0"/>
    <m/>
  </r>
  <r>
    <x v="10"/>
    <x v="0"/>
    <x v="7"/>
    <n v="2968"/>
    <n v="0"/>
    <s v="Scroll"/>
    <n v="4"/>
    <x v="0"/>
    <n v="0"/>
    <n v="8000"/>
    <n v="0"/>
    <n v="0"/>
    <m/>
  </r>
  <r>
    <x v="10"/>
    <x v="0"/>
    <x v="7"/>
    <n v="2237"/>
    <n v="0"/>
    <s v="Scroll"/>
    <n v="4"/>
    <x v="0"/>
    <n v="0"/>
    <n v="8000"/>
    <n v="0"/>
    <n v="0"/>
    <m/>
  </r>
  <r>
    <x v="10"/>
    <x v="0"/>
    <x v="7"/>
    <n v="2223"/>
    <n v="1"/>
    <s v="Water"/>
    <n v="5"/>
    <x v="1"/>
    <n v="0"/>
    <n v="0"/>
    <n v="0"/>
    <n v="0"/>
    <m/>
  </r>
  <r>
    <x v="10"/>
    <x v="0"/>
    <x v="7"/>
    <n v="2246"/>
    <n v="2"/>
    <s v="Scroll"/>
    <n v="4"/>
    <x v="0"/>
    <n v="0"/>
    <n v="8000"/>
    <n v="0"/>
    <n v="0"/>
    <m/>
  </r>
  <r>
    <x v="10"/>
    <x v="0"/>
    <x v="7"/>
    <n v="1945"/>
    <n v="0"/>
    <s v="Scroll"/>
    <n v="4"/>
    <x v="0"/>
    <n v="0"/>
    <n v="8000"/>
    <n v="0"/>
    <n v="0"/>
    <m/>
  </r>
  <r>
    <x v="10"/>
    <x v="0"/>
    <x v="7"/>
    <n v="2404"/>
    <n v="1"/>
    <s v="Water"/>
    <n v="4"/>
    <x v="1"/>
    <n v="0"/>
    <n v="0"/>
    <n v="0"/>
    <n v="0"/>
    <m/>
  </r>
  <r>
    <x v="10"/>
    <x v="0"/>
    <x v="7"/>
    <n v="3017"/>
    <n v="1"/>
    <s v="Water"/>
    <n v="4"/>
    <x v="1"/>
    <n v="0"/>
    <n v="0"/>
    <n v="0"/>
    <n v="0"/>
    <m/>
  </r>
  <r>
    <x v="10"/>
    <x v="0"/>
    <x v="7"/>
    <n v="2175"/>
    <n v="0"/>
    <s v="SweetCookie"/>
    <n v="1"/>
    <x v="0"/>
    <n v="0"/>
    <n v="0"/>
    <n v="0"/>
    <n v="0"/>
    <m/>
  </r>
  <r>
    <x v="10"/>
    <x v="0"/>
    <x v="7"/>
    <n v="2276"/>
    <n v="0"/>
    <s v="Water"/>
    <n v="4"/>
    <x v="1"/>
    <n v="0"/>
    <n v="0"/>
    <n v="0"/>
    <n v="0"/>
    <m/>
  </r>
  <r>
    <x v="10"/>
    <x v="0"/>
    <x v="7"/>
    <n v="2576"/>
    <n v="3"/>
    <s v="Water"/>
    <n v="4"/>
    <x v="1"/>
    <n v="0"/>
    <n v="0"/>
    <n v="0"/>
    <n v="0"/>
    <m/>
  </r>
  <r>
    <x v="10"/>
    <x v="0"/>
    <x v="7"/>
    <n v="2058"/>
    <n v="1"/>
    <s v="Water"/>
    <n v="5"/>
    <x v="1"/>
    <n v="0"/>
    <n v="0"/>
    <n v="0"/>
    <n v="0"/>
    <m/>
  </r>
  <r>
    <x v="10"/>
    <x v="0"/>
    <x v="7"/>
    <n v="2086"/>
    <n v="1"/>
    <s v="Scroll"/>
    <n v="4"/>
    <x v="0"/>
    <n v="0"/>
    <n v="8000"/>
    <n v="0"/>
    <n v="0"/>
    <m/>
  </r>
  <r>
    <x v="10"/>
    <x v="0"/>
    <x v="7"/>
    <n v="2586"/>
    <n v="3"/>
    <s v="Scroll"/>
    <n v="4"/>
    <x v="0"/>
    <n v="0"/>
    <n v="8000"/>
    <n v="0"/>
    <n v="0"/>
    <m/>
  </r>
  <r>
    <x v="10"/>
    <x v="0"/>
    <x v="7"/>
    <n v="2500"/>
    <n v="1"/>
    <s v="Scroll"/>
    <n v="5"/>
    <x v="0"/>
    <n v="0"/>
    <n v="10000"/>
    <n v="0"/>
    <n v="0"/>
    <m/>
  </r>
  <r>
    <x v="10"/>
    <x v="0"/>
    <x v="7"/>
    <n v="2526"/>
    <n v="0"/>
    <s v="Water"/>
    <n v="1"/>
    <x v="3"/>
    <n v="0"/>
    <n v="0"/>
    <n v="0"/>
    <n v="0"/>
    <m/>
  </r>
  <r>
    <x v="10"/>
    <x v="0"/>
    <x v="7"/>
    <n v="2483"/>
    <n v="3"/>
    <s v="Water"/>
    <n v="1"/>
    <x v="3"/>
    <n v="0"/>
    <n v="0"/>
    <n v="0"/>
    <n v="0"/>
    <m/>
  </r>
  <r>
    <x v="10"/>
    <x v="0"/>
    <x v="7"/>
    <n v="2491"/>
    <n v="0"/>
    <s v="SD(Bearman)"/>
    <n v="0"/>
    <x v="0"/>
    <n v="0"/>
    <n v="0"/>
    <n v="0"/>
    <n v="0"/>
    <m/>
  </r>
  <r>
    <x v="10"/>
    <x v="0"/>
    <x v="7"/>
    <n v="2730"/>
    <n v="0"/>
    <s v="Scroll"/>
    <n v="4"/>
    <x v="0"/>
    <n v="0"/>
    <n v="8000"/>
    <n v="0"/>
    <n v="0"/>
    <m/>
  </r>
  <r>
    <x v="10"/>
    <x v="0"/>
    <x v="7"/>
    <n v="2671"/>
    <n v="2"/>
    <s v="Water"/>
    <n v="4"/>
    <x v="1"/>
    <n v="0"/>
    <n v="0"/>
    <n v="0"/>
    <n v="0"/>
    <m/>
  </r>
  <r>
    <x v="10"/>
    <x v="0"/>
    <x v="7"/>
    <n v="2186"/>
    <n v="1"/>
    <s v="Angelmon"/>
    <s v="1*"/>
    <x v="0"/>
    <n v="0"/>
    <n v="0"/>
    <n v="0"/>
    <n v="0"/>
    <m/>
  </r>
  <r>
    <x v="10"/>
    <x v="0"/>
    <x v="7"/>
    <n v="2316"/>
    <n v="0"/>
    <s v="Water"/>
    <n v="3"/>
    <x v="1"/>
    <n v="0"/>
    <n v="0"/>
    <n v="0"/>
    <n v="0"/>
    <m/>
  </r>
  <r>
    <x v="10"/>
    <x v="0"/>
    <x v="7"/>
    <n v="2046"/>
    <n v="1"/>
    <s v="Water"/>
    <n v="4"/>
    <x v="1"/>
    <n v="0"/>
    <n v="0"/>
    <n v="0"/>
    <n v="0"/>
    <m/>
  </r>
  <r>
    <x v="10"/>
    <x v="0"/>
    <x v="7"/>
    <n v="2303"/>
    <n v="3"/>
    <s v="Water"/>
    <n v="1"/>
    <x v="2"/>
    <n v="0"/>
    <n v="0"/>
    <n v="0"/>
    <n v="0"/>
    <m/>
  </r>
  <r>
    <x v="10"/>
    <x v="0"/>
    <x v="7"/>
    <n v="2396"/>
    <n v="1"/>
    <s v="Water"/>
    <n v="1"/>
    <x v="2"/>
    <n v="0"/>
    <n v="0"/>
    <n v="0"/>
    <n v="0"/>
    <m/>
  </r>
  <r>
    <x v="10"/>
    <x v="0"/>
    <x v="7"/>
    <n v="2325"/>
    <n v="1"/>
    <s v="Water"/>
    <n v="2"/>
    <x v="3"/>
    <n v="0"/>
    <n v="0"/>
    <n v="0"/>
    <n v="0"/>
    <m/>
  </r>
  <r>
    <x v="10"/>
    <x v="0"/>
    <x v="7"/>
    <n v="2398"/>
    <n v="1"/>
    <s v="Water"/>
    <n v="3"/>
    <x v="1"/>
    <n v="0"/>
    <n v="0"/>
    <n v="0"/>
    <n v="0"/>
    <m/>
  </r>
  <r>
    <x v="10"/>
    <x v="0"/>
    <x v="7"/>
    <n v="2668"/>
    <n v="0"/>
    <s v="Water"/>
    <n v="3"/>
    <x v="3"/>
    <n v="0"/>
    <n v="0"/>
    <n v="0"/>
    <n v="0"/>
    <m/>
  </r>
  <r>
    <x v="3"/>
    <x v="0"/>
    <x v="6"/>
    <n v="3002"/>
    <n v="2"/>
    <s v="Magic"/>
    <n v="2"/>
    <x v="2"/>
    <n v="0"/>
    <n v="0"/>
    <n v="0"/>
    <n v="0"/>
    <m/>
  </r>
  <r>
    <x v="3"/>
    <x v="0"/>
    <x v="6"/>
    <n v="2021"/>
    <n v="1"/>
    <s v="Magic"/>
    <n v="1"/>
    <x v="2"/>
    <n v="0"/>
    <n v="0"/>
    <n v="0"/>
    <n v="0"/>
    <m/>
  </r>
  <r>
    <x v="3"/>
    <x v="0"/>
    <x v="6"/>
    <n v="2168"/>
    <n v="0"/>
    <s v="Magic"/>
    <n v="4"/>
    <x v="1"/>
    <n v="0"/>
    <n v="0"/>
    <n v="0"/>
    <n v="0"/>
    <m/>
  </r>
  <r>
    <x v="3"/>
    <x v="0"/>
    <x v="6"/>
    <n v="2540"/>
    <n v="3"/>
    <s v="Magic"/>
    <n v="1"/>
    <x v="2"/>
    <n v="0"/>
    <n v="0"/>
    <n v="0"/>
    <n v="0"/>
    <m/>
  </r>
  <r>
    <x v="3"/>
    <x v="0"/>
    <x v="6"/>
    <n v="2251"/>
    <n v="1"/>
    <s v="Magic"/>
    <n v="1"/>
    <x v="2"/>
    <n v="0"/>
    <n v="0"/>
    <n v="0"/>
    <n v="0"/>
    <m/>
  </r>
  <r>
    <x v="3"/>
    <x v="0"/>
    <x v="6"/>
    <n v="2591"/>
    <n v="1"/>
    <s v="Magic"/>
    <n v="4"/>
    <x v="1"/>
    <n v="0"/>
    <n v="0"/>
    <n v="0"/>
    <n v="0"/>
    <m/>
  </r>
  <r>
    <x v="3"/>
    <x v="0"/>
    <x v="6"/>
    <n v="2238"/>
    <n v="1"/>
    <s v="Magic"/>
    <n v="3"/>
    <x v="2"/>
    <n v="0"/>
    <n v="0"/>
    <n v="0"/>
    <n v="0"/>
    <m/>
  </r>
  <r>
    <x v="3"/>
    <x v="0"/>
    <x v="6"/>
    <n v="2506"/>
    <n v="0"/>
    <s v="Magic"/>
    <n v="3"/>
    <x v="2"/>
    <n v="0"/>
    <n v="0"/>
    <n v="0"/>
    <n v="0"/>
    <m/>
  </r>
  <r>
    <x v="3"/>
    <x v="0"/>
    <x v="6"/>
    <n v="2339"/>
    <n v="0"/>
    <s v="Magic"/>
    <n v="4"/>
    <x v="1"/>
    <n v="0"/>
    <n v="0"/>
    <n v="0"/>
    <n v="0"/>
    <m/>
  </r>
  <r>
    <x v="3"/>
    <x v="0"/>
    <x v="6"/>
    <n v="2207"/>
    <n v="1"/>
    <s v="Magic"/>
    <n v="3"/>
    <x v="1"/>
    <n v="0"/>
    <n v="0"/>
    <n v="0"/>
    <n v="0"/>
    <m/>
  </r>
  <r>
    <x v="3"/>
    <x v="0"/>
    <x v="6"/>
    <n v="1988"/>
    <n v="0"/>
    <s v="Water"/>
    <n v="3"/>
    <x v="1"/>
    <n v="0"/>
    <n v="0"/>
    <n v="0"/>
    <n v="0"/>
    <m/>
  </r>
  <r>
    <x v="3"/>
    <x v="0"/>
    <x v="6"/>
    <n v="2659"/>
    <n v="0"/>
    <s v="Magic"/>
    <n v="5"/>
    <x v="1"/>
    <n v="0"/>
    <n v="0"/>
    <n v="0"/>
    <n v="0"/>
    <m/>
  </r>
  <r>
    <x v="3"/>
    <x v="0"/>
    <x v="6"/>
    <n v="2237"/>
    <n v="0"/>
    <s v="Scroll"/>
    <n v="4"/>
    <x v="0"/>
    <n v="0"/>
    <n v="8000"/>
    <n v="0"/>
    <n v="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1"/>
    <n v="0"/>
    <n v="0"/>
    <n v="0"/>
    <n v="0"/>
    <m/>
  </r>
  <r>
    <x v="3"/>
    <x v="0"/>
    <x v="6"/>
    <n v="2248"/>
    <n v="1"/>
    <s v="Magic"/>
    <n v="2"/>
    <x v="3"/>
    <n v="0"/>
    <n v="0"/>
    <n v="0"/>
    <n v="0"/>
    <m/>
  </r>
  <r>
    <x v="7"/>
    <x v="0"/>
    <x v="2"/>
    <n v="2097"/>
    <n v="2"/>
    <s v="Fatal"/>
    <s v="4*"/>
    <x v="4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s v="2*"/>
    <x v="0"/>
    <n v="0"/>
    <n v="0"/>
    <n v="11500"/>
    <n v="15120"/>
    <m/>
  </r>
  <r>
    <x v="1"/>
    <x v="1"/>
    <x v="8"/>
    <n v="1442"/>
    <n v="1"/>
    <s v="Fod"/>
    <s v="2*"/>
    <x v="0"/>
    <n v="0"/>
    <n v="0"/>
    <n v="11500"/>
    <n v="1512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0"/>
    <n v="0"/>
    <n v="4000"/>
    <n v="0"/>
    <n v="0"/>
    <m/>
  </r>
  <r>
    <x v="1"/>
    <x v="1"/>
    <x v="8"/>
    <n v="1532"/>
    <n v="1"/>
    <s v="Scroll"/>
    <n v="2"/>
    <x v="0"/>
    <n v="0"/>
    <n v="4000"/>
    <n v="0"/>
    <n v="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0"/>
    <n v="0"/>
    <n v="4000"/>
    <n v="0"/>
    <n v="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0"/>
    <n v="0"/>
    <n v="4000"/>
    <n v="0"/>
    <n v="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s v="2*"/>
    <x v="0"/>
    <n v="0"/>
    <n v="0"/>
    <n v="11500"/>
    <n v="15120"/>
    <m/>
  </r>
  <r>
    <x v="1"/>
    <x v="1"/>
    <x v="8"/>
    <n v="1287"/>
    <n v="4"/>
    <s v="Scroll"/>
    <n v="2"/>
    <x v="0"/>
    <n v="0"/>
    <n v="4000"/>
    <n v="0"/>
    <n v="0"/>
    <m/>
  </r>
  <r>
    <x v="1"/>
    <x v="1"/>
    <x v="8"/>
    <n v="1485"/>
    <n v="1"/>
    <s v="Scroll"/>
    <n v="2"/>
    <x v="0"/>
    <n v="0"/>
    <n v="4000"/>
    <n v="0"/>
    <n v="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0"/>
    <n v="0"/>
    <n v="4000"/>
    <n v="0"/>
    <n v="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s v="2*"/>
    <x v="0"/>
    <n v="0"/>
    <n v="0"/>
    <n v="11500"/>
    <n v="1512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3"/>
    <x v="1"/>
    <n v="1628"/>
    <n v="2"/>
    <m/>
    <m/>
    <x v="0"/>
    <n v="1159"/>
    <n v="1159"/>
    <n v="0"/>
    <n v="0"/>
    <m/>
  </r>
  <r>
    <x v="0"/>
    <x v="3"/>
    <x v="1"/>
    <n v="1636"/>
    <n v="2"/>
    <m/>
    <m/>
    <x v="0"/>
    <n v="1159"/>
    <n v="1159"/>
    <n v="0"/>
    <n v="0"/>
    <m/>
  </r>
  <r>
    <x v="0"/>
    <x v="3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0"/>
    <n v="0"/>
    <n v="4000"/>
    <n v="0"/>
    <n v="0"/>
    <m/>
  </r>
  <r>
    <x v="1"/>
    <x v="1"/>
    <x v="8"/>
    <n v="1918"/>
    <n v="0"/>
    <s v="Scroll"/>
    <n v="2"/>
    <x v="0"/>
    <n v="0"/>
    <n v="4000"/>
    <n v="0"/>
    <n v="0"/>
    <m/>
  </r>
  <r>
    <x v="1"/>
    <x v="1"/>
    <x v="8"/>
    <n v="1961"/>
    <n v="1"/>
    <s v="Scroll"/>
    <n v="2"/>
    <x v="0"/>
    <n v="0"/>
    <n v="4000"/>
    <n v="0"/>
    <n v="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0"/>
    <n v="0"/>
    <n v="4000"/>
    <n v="0"/>
    <n v="0"/>
    <m/>
  </r>
  <r>
    <x v="0"/>
    <x v="3"/>
    <x v="9"/>
    <n v="1836"/>
    <n v="1"/>
    <m/>
    <m/>
    <x v="0"/>
    <n v="1352"/>
    <n v="1352"/>
    <n v="0"/>
    <n v="0"/>
    <m/>
  </r>
  <r>
    <x v="0"/>
    <x v="3"/>
    <x v="9"/>
    <n v="1596"/>
    <n v="1"/>
    <s v="Scroll"/>
    <n v="3"/>
    <x v="0"/>
    <n v="0"/>
    <n v="6000"/>
    <n v="0"/>
    <n v="0"/>
    <m/>
  </r>
  <r>
    <x v="0"/>
    <x v="3"/>
    <x v="9"/>
    <n v="1249"/>
    <n v="1"/>
    <m/>
    <m/>
    <x v="0"/>
    <n v="1352"/>
    <n v="1352"/>
    <n v="0"/>
    <n v="0"/>
    <m/>
  </r>
  <r>
    <x v="0"/>
    <x v="3"/>
    <x v="9"/>
    <n v="1211"/>
    <n v="1"/>
    <m/>
    <m/>
    <x v="0"/>
    <n v="1352"/>
    <n v="1352"/>
    <n v="0"/>
    <n v="0"/>
    <m/>
  </r>
  <r>
    <x v="0"/>
    <x v="3"/>
    <x v="9"/>
    <n v="1264"/>
    <n v="2"/>
    <m/>
    <m/>
    <x v="0"/>
    <n v="2411"/>
    <n v="2411"/>
    <n v="0"/>
    <n v="0"/>
    <m/>
  </r>
  <r>
    <x v="0"/>
    <x v="3"/>
    <x v="9"/>
    <n v="2595"/>
    <n v="0"/>
    <m/>
    <m/>
    <x v="0"/>
    <n v="2067"/>
    <n v="2067"/>
    <n v="0"/>
    <n v="0"/>
    <m/>
  </r>
  <r>
    <x v="0"/>
    <x v="3"/>
    <x v="9"/>
    <n v="1424"/>
    <n v="2"/>
    <m/>
    <m/>
    <x v="0"/>
    <n v="1159"/>
    <n v="1159"/>
    <n v="0"/>
    <n v="0"/>
    <m/>
  </r>
  <r>
    <x v="0"/>
    <x v="3"/>
    <x v="9"/>
    <n v="1971"/>
    <n v="1"/>
    <m/>
    <m/>
    <x v="0"/>
    <n v="1159"/>
    <n v="1159"/>
    <n v="0"/>
    <n v="0"/>
    <m/>
  </r>
  <r>
    <x v="0"/>
    <x v="3"/>
    <x v="9"/>
    <n v="2145"/>
    <n v="0"/>
    <m/>
    <m/>
    <x v="0"/>
    <n v="2067"/>
    <n v="2067"/>
    <n v="0"/>
    <n v="0"/>
    <m/>
  </r>
  <r>
    <x v="0"/>
    <x v="3"/>
    <x v="9"/>
    <n v="2223"/>
    <n v="0"/>
    <m/>
    <m/>
    <x v="0"/>
    <n v="1546"/>
    <n v="1546"/>
    <n v="0"/>
    <n v="0"/>
    <m/>
  </r>
  <r>
    <x v="0"/>
    <x v="3"/>
    <x v="9"/>
    <n v="2364"/>
    <n v="1"/>
    <m/>
    <m/>
    <x v="0"/>
    <n v="1159"/>
    <n v="1159"/>
    <n v="0"/>
    <n v="0"/>
    <m/>
  </r>
  <r>
    <x v="0"/>
    <x v="3"/>
    <x v="9"/>
    <n v="781"/>
    <n v="0"/>
    <m/>
    <m/>
    <x v="0"/>
    <n v="2067"/>
    <n v="2067"/>
    <n v="0"/>
    <n v="0"/>
    <m/>
  </r>
  <r>
    <x v="0"/>
    <x v="3"/>
    <x v="9"/>
    <n v="904"/>
    <n v="2"/>
    <s v="Scroll"/>
    <n v="3"/>
    <x v="0"/>
    <n v="0"/>
    <n v="6000"/>
    <n v="0"/>
    <n v="0"/>
    <m/>
  </r>
  <r>
    <x v="0"/>
    <x v="3"/>
    <x v="9"/>
    <n v="1500"/>
    <n v="0"/>
    <m/>
    <m/>
    <x v="0"/>
    <n v="1159"/>
    <n v="1159"/>
    <n v="0"/>
    <n v="0"/>
    <m/>
  </r>
  <r>
    <x v="0"/>
    <x v="3"/>
    <x v="9"/>
    <n v="1071"/>
    <n v="0"/>
    <m/>
    <m/>
    <x v="0"/>
    <n v="1159"/>
    <n v="1159"/>
    <n v="0"/>
    <n v="0"/>
    <m/>
  </r>
  <r>
    <x v="0"/>
    <x v="3"/>
    <x v="9"/>
    <n v="1683"/>
    <n v="2"/>
    <m/>
    <m/>
    <x v="0"/>
    <n v="1159"/>
    <n v="1159"/>
    <n v="0"/>
    <n v="0"/>
    <m/>
  </r>
  <r>
    <x v="0"/>
    <x v="3"/>
    <x v="9"/>
    <n v="1102"/>
    <n v="0"/>
    <m/>
    <m/>
    <x v="0"/>
    <n v="1159"/>
    <n v="1159"/>
    <n v="0"/>
    <n v="0"/>
    <m/>
  </r>
  <r>
    <x v="0"/>
    <x v="3"/>
    <x v="9"/>
    <n v="1495"/>
    <n v="1"/>
    <s v="Scroll"/>
    <n v="3"/>
    <x v="0"/>
    <n v="0"/>
    <n v="6000"/>
    <n v="0"/>
    <n v="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1"/>
    <n v="0"/>
    <n v="0"/>
    <n v="0"/>
    <n v="0"/>
    <m/>
  </r>
  <r>
    <x v="3"/>
    <x v="0"/>
    <x v="6"/>
    <n v="2191"/>
    <n v="1"/>
    <s v="Magic"/>
    <n v="1"/>
    <x v="3"/>
    <n v="0"/>
    <n v="0"/>
    <n v="0"/>
    <n v="0"/>
    <m/>
  </r>
  <r>
    <x v="3"/>
    <x v="0"/>
    <x v="6"/>
    <n v="2209"/>
    <n v="0"/>
    <s v="Magic"/>
    <n v="1"/>
    <x v="2"/>
    <n v="0"/>
    <n v="0"/>
    <n v="0"/>
    <n v="0"/>
    <m/>
  </r>
  <r>
    <x v="3"/>
    <x v="0"/>
    <x v="6"/>
    <n v="2202"/>
    <n v="1"/>
    <s v="Water"/>
    <n v="1"/>
    <x v="2"/>
    <n v="0"/>
    <n v="0"/>
    <n v="0"/>
    <n v="0"/>
    <m/>
  </r>
  <r>
    <x v="3"/>
    <x v="0"/>
    <x v="6"/>
    <n v="2118"/>
    <n v="0"/>
    <s v="Scroll"/>
    <n v="4"/>
    <x v="0"/>
    <n v="0"/>
    <n v="8000"/>
    <n v="0"/>
    <n v="0"/>
    <m/>
  </r>
  <r>
    <x v="3"/>
    <x v="0"/>
    <x v="6"/>
    <n v="2413"/>
    <n v="1"/>
    <s v="Magic"/>
    <n v="1"/>
    <x v="2"/>
    <n v="0"/>
    <n v="0"/>
    <n v="0"/>
    <n v="0"/>
    <m/>
  </r>
  <r>
    <x v="3"/>
    <x v="0"/>
    <x v="6"/>
    <n v="2546"/>
    <n v="2"/>
    <s v="Scroll"/>
    <n v="4"/>
    <x v="0"/>
    <n v="0"/>
    <n v="8000"/>
    <n v="0"/>
    <n v="0"/>
    <m/>
  </r>
  <r>
    <x v="3"/>
    <x v="0"/>
    <x v="6"/>
    <n v="1950"/>
    <n v="0"/>
    <s v="Magic"/>
    <n v="1"/>
    <x v="2"/>
    <n v="0"/>
    <n v="0"/>
    <n v="0"/>
    <n v="0"/>
    <m/>
  </r>
  <r>
    <x v="3"/>
    <x v="0"/>
    <x v="6"/>
    <n v="2444"/>
    <n v="1"/>
    <s v="Magic"/>
    <n v="5"/>
    <x v="1"/>
    <n v="0"/>
    <n v="0"/>
    <n v="0"/>
    <n v="0"/>
    <m/>
  </r>
  <r>
    <x v="3"/>
    <x v="0"/>
    <x v="6"/>
    <n v="2293"/>
    <n v="1"/>
    <s v="Magic"/>
    <n v="4"/>
    <x v="1"/>
    <n v="0"/>
    <n v="0"/>
    <n v="0"/>
    <n v="0"/>
    <m/>
  </r>
  <r>
    <x v="3"/>
    <x v="0"/>
    <x v="6"/>
    <n v="2100"/>
    <n v="0"/>
    <s v="Magic"/>
    <n v="2"/>
    <x v="2"/>
    <n v="0"/>
    <n v="0"/>
    <n v="0"/>
    <n v="0"/>
    <m/>
  </r>
  <r>
    <x v="3"/>
    <x v="0"/>
    <x v="6"/>
    <n v="2235"/>
    <n v="1"/>
    <s v="Magic"/>
    <n v="1"/>
    <x v="2"/>
    <n v="0"/>
    <n v="0"/>
    <n v="0"/>
    <n v="0"/>
    <m/>
  </r>
  <r>
    <x v="3"/>
    <x v="0"/>
    <x v="6"/>
    <n v="2213"/>
    <n v="0"/>
    <s v="Magic"/>
    <n v="3"/>
    <x v="1"/>
    <n v="0"/>
    <n v="0"/>
    <n v="0"/>
    <n v="0"/>
    <m/>
  </r>
  <r>
    <x v="3"/>
    <x v="0"/>
    <x v="6"/>
    <n v="2376"/>
    <n v="1"/>
    <s v="Wind"/>
    <n v="1"/>
    <x v="2"/>
    <n v="0"/>
    <n v="0"/>
    <n v="0"/>
    <n v="0"/>
    <m/>
  </r>
  <r>
    <x v="3"/>
    <x v="0"/>
    <x v="6"/>
    <n v="2190"/>
    <n v="0"/>
    <s v="Wind"/>
    <n v="2"/>
    <x v="2"/>
    <n v="0"/>
    <n v="0"/>
    <n v="0"/>
    <n v="0"/>
    <m/>
  </r>
  <r>
    <x v="3"/>
    <x v="0"/>
    <x v="6"/>
    <n v="2435"/>
    <n v="1"/>
    <s v="Magic"/>
    <n v="5"/>
    <x v="1"/>
    <n v="0"/>
    <n v="0"/>
    <n v="0"/>
    <n v="0"/>
    <m/>
  </r>
  <r>
    <x v="3"/>
    <x v="0"/>
    <x v="6"/>
    <n v="2777"/>
    <n v="0"/>
    <s v="Rainb"/>
    <s v="2*"/>
    <x v="0"/>
    <n v="0"/>
    <n v="0"/>
    <n v="11500"/>
    <n v="66062"/>
    <m/>
  </r>
  <r>
    <x v="3"/>
    <x v="0"/>
    <x v="6"/>
    <n v="2127"/>
    <n v="0"/>
    <s v="Magic"/>
    <n v="3"/>
    <x v="1"/>
    <n v="0"/>
    <n v="0"/>
    <n v="0"/>
    <n v="0"/>
    <m/>
  </r>
  <r>
    <x v="3"/>
    <x v="0"/>
    <x v="6"/>
    <n v="2217"/>
    <n v="1"/>
    <s v="Magic"/>
    <n v="4"/>
    <x v="1"/>
    <n v="0"/>
    <n v="0"/>
    <n v="0"/>
    <n v="0"/>
    <m/>
  </r>
  <r>
    <x v="3"/>
    <x v="0"/>
    <x v="6"/>
    <n v="2126"/>
    <n v="0"/>
    <s v="Wind"/>
    <n v="3"/>
    <x v="2"/>
    <n v="0"/>
    <n v="0"/>
    <n v="0"/>
    <n v="0"/>
    <m/>
  </r>
  <r>
    <x v="3"/>
    <x v="0"/>
    <x v="6"/>
    <n v="2061"/>
    <n v="0"/>
    <s v="Magic"/>
    <n v="5"/>
    <x v="1"/>
    <n v="0"/>
    <n v="0"/>
    <n v="0"/>
    <n v="0"/>
    <m/>
  </r>
  <r>
    <x v="3"/>
    <x v="0"/>
    <x v="6"/>
    <n v="1946"/>
    <n v="0"/>
    <s v="Fire"/>
    <n v="2"/>
    <x v="3"/>
    <n v="0"/>
    <n v="0"/>
    <n v="0"/>
    <n v="0"/>
    <m/>
  </r>
  <r>
    <x v="3"/>
    <x v="0"/>
    <x v="6"/>
    <n v="2497"/>
    <n v="1"/>
    <s v="Magic"/>
    <n v="5"/>
    <x v="1"/>
    <n v="0"/>
    <n v="0"/>
    <n v="0"/>
    <n v="0"/>
    <m/>
  </r>
  <r>
    <x v="3"/>
    <x v="0"/>
    <x v="6"/>
    <n v="1941"/>
    <n v="0"/>
    <s v="Wind"/>
    <n v="1"/>
    <x v="2"/>
    <n v="0"/>
    <n v="0"/>
    <n v="0"/>
    <n v="0"/>
    <m/>
  </r>
  <r>
    <x v="7"/>
    <x v="0"/>
    <x v="7"/>
    <n v="3681"/>
    <n v="1"/>
    <s v="Blue"/>
    <s v="4*"/>
    <x v="0"/>
    <m/>
    <n v="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0"/>
    <n v="0"/>
    <n v="8000"/>
    <n v="0"/>
    <n v="0"/>
    <m/>
  </r>
  <r>
    <x v="3"/>
    <x v="0"/>
    <x v="6"/>
    <n v="2683"/>
    <n v="0"/>
    <s v="Magic"/>
    <n v="1"/>
    <x v="2"/>
    <n v="0"/>
    <n v="0"/>
    <n v="0"/>
    <n v="0"/>
    <m/>
  </r>
  <r>
    <x v="3"/>
    <x v="0"/>
    <x v="6"/>
    <n v="2361"/>
    <n v="3"/>
    <s v="Magic"/>
    <n v="1"/>
    <x v="3"/>
    <n v="0"/>
    <n v="0"/>
    <n v="0"/>
    <n v="0"/>
    <m/>
  </r>
  <r>
    <x v="3"/>
    <x v="0"/>
    <x v="6"/>
    <n v="2012"/>
    <n v="1"/>
    <s v="Magic"/>
    <n v="1"/>
    <x v="2"/>
    <n v="0"/>
    <n v="0"/>
    <n v="0"/>
    <n v="0"/>
    <m/>
  </r>
  <r>
    <x v="3"/>
    <x v="0"/>
    <x v="6"/>
    <n v="2525"/>
    <n v="0"/>
    <s v="Wind"/>
    <n v="1"/>
    <x v="2"/>
    <n v="0"/>
    <n v="0"/>
    <n v="0"/>
    <n v="0"/>
    <m/>
  </r>
  <r>
    <x v="3"/>
    <x v="0"/>
    <x v="6"/>
    <n v="2271"/>
    <n v="0"/>
    <s v="Magic"/>
    <n v="4"/>
    <x v="1"/>
    <n v="0"/>
    <n v="0"/>
    <n v="0"/>
    <n v="0"/>
    <m/>
  </r>
  <r>
    <x v="3"/>
    <x v="0"/>
    <x v="6"/>
    <n v="2602"/>
    <n v="1"/>
    <s v="Fire"/>
    <n v="1"/>
    <x v="3"/>
    <n v="0"/>
    <n v="0"/>
    <n v="0"/>
    <n v="0"/>
    <m/>
  </r>
  <r>
    <x v="3"/>
    <x v="0"/>
    <x v="6"/>
    <n v="2453"/>
    <n v="0"/>
    <s v="Magic"/>
    <n v="1"/>
    <x v="2"/>
    <n v="0"/>
    <n v="0"/>
    <n v="0"/>
    <n v="0"/>
    <m/>
  </r>
  <r>
    <x v="3"/>
    <x v="0"/>
    <x v="6"/>
    <n v="2244"/>
    <n v="0"/>
    <s v="Magic"/>
    <n v="5"/>
    <x v="1"/>
    <n v="0"/>
    <n v="0"/>
    <n v="0"/>
    <n v="0"/>
    <m/>
  </r>
  <r>
    <x v="3"/>
    <x v="0"/>
    <x v="6"/>
    <n v="2817"/>
    <n v="0"/>
    <s v="Magic"/>
    <n v="1"/>
    <x v="3"/>
    <n v="0"/>
    <n v="0"/>
    <n v="0"/>
    <n v="0"/>
    <m/>
  </r>
  <r>
    <x v="3"/>
    <x v="0"/>
    <x v="6"/>
    <n v="2234"/>
    <n v="1"/>
    <s v="Magic"/>
    <n v="3"/>
    <x v="1"/>
    <n v="0"/>
    <n v="0"/>
    <n v="0"/>
    <n v="0"/>
    <m/>
  </r>
  <r>
    <x v="3"/>
    <x v="0"/>
    <x v="6"/>
    <n v="2463"/>
    <n v="0"/>
    <s v="Scroll"/>
    <n v="4"/>
    <x v="0"/>
    <n v="0"/>
    <n v="8000"/>
    <n v="0"/>
    <n v="0"/>
    <m/>
  </r>
  <r>
    <x v="3"/>
    <x v="0"/>
    <x v="6"/>
    <n v="2474"/>
    <n v="0"/>
    <s v="Magic"/>
    <n v="5"/>
    <x v="1"/>
    <n v="0"/>
    <n v="0"/>
    <n v="0"/>
    <n v="0"/>
    <m/>
  </r>
  <r>
    <x v="3"/>
    <x v="0"/>
    <x v="6"/>
    <n v="2455"/>
    <n v="0"/>
    <s v="Magic"/>
    <n v="1"/>
    <x v="2"/>
    <n v="0"/>
    <n v="0"/>
    <n v="0"/>
    <n v="0"/>
    <m/>
  </r>
  <r>
    <x v="3"/>
    <x v="0"/>
    <x v="6"/>
    <n v="2373"/>
    <n v="1"/>
    <s v="Magic"/>
    <n v="1"/>
    <x v="3"/>
    <n v="0"/>
    <n v="0"/>
    <n v="0"/>
    <n v="0"/>
    <m/>
  </r>
  <r>
    <x v="3"/>
    <x v="0"/>
    <x v="6"/>
    <n v="2131"/>
    <n v="1"/>
    <s v="Magic"/>
    <n v="1"/>
    <x v="2"/>
    <n v="0"/>
    <n v="0"/>
    <n v="0"/>
    <n v="0"/>
    <m/>
  </r>
  <r>
    <x v="3"/>
    <x v="0"/>
    <x v="6"/>
    <n v="2300"/>
    <n v="0"/>
    <s v="Scroll"/>
    <n v="4"/>
    <x v="0"/>
    <n v="0"/>
    <n v="8000"/>
    <n v="0"/>
    <n v="0"/>
    <m/>
  </r>
  <r>
    <x v="3"/>
    <x v="0"/>
    <x v="6"/>
    <n v="2089"/>
    <n v="0"/>
    <s v="Magic"/>
    <n v="3"/>
    <x v="1"/>
    <n v="0"/>
    <n v="0"/>
    <n v="0"/>
    <n v="0"/>
    <m/>
  </r>
  <r>
    <x v="3"/>
    <x v="0"/>
    <x v="6"/>
    <n v="2291"/>
    <n v="1"/>
    <s v="Magic"/>
    <n v="4"/>
    <x v="1"/>
    <n v="0"/>
    <n v="0"/>
    <n v="0"/>
    <n v="0"/>
    <m/>
  </r>
  <r>
    <x v="8"/>
    <x v="0"/>
    <x v="6"/>
    <n v="2217"/>
    <n v="0"/>
    <s v="Dark"/>
    <n v="2"/>
    <x v="2"/>
    <n v="0"/>
    <n v="0"/>
    <n v="0"/>
    <n v="0"/>
    <m/>
  </r>
  <r>
    <x v="8"/>
    <x v="0"/>
    <x v="7"/>
    <n v="2635"/>
    <n v="0"/>
    <s v="Scroll"/>
    <n v="5"/>
    <x v="0"/>
    <n v="0"/>
    <n v="10000"/>
    <n v="0"/>
    <n v="0"/>
    <m/>
  </r>
  <r>
    <x v="8"/>
    <x v="0"/>
    <x v="7"/>
    <n v="2286"/>
    <n v="0"/>
    <s v="Dark"/>
    <n v="2"/>
    <x v="2"/>
    <n v="0"/>
    <n v="0"/>
    <n v="0"/>
    <n v="0"/>
    <m/>
  </r>
  <r>
    <x v="8"/>
    <x v="0"/>
    <x v="7"/>
    <n v="2828"/>
    <n v="0"/>
    <s v="Dark"/>
    <n v="1"/>
    <x v="2"/>
    <n v="0"/>
    <n v="0"/>
    <n v="0"/>
    <n v="0"/>
    <m/>
  </r>
  <r>
    <x v="8"/>
    <x v="0"/>
    <x v="10"/>
    <n v="2917"/>
    <n v="2"/>
    <s v="Dark"/>
    <n v="3"/>
    <x v="2"/>
    <n v="0"/>
    <n v="0"/>
    <n v="0"/>
    <n v="0"/>
    <m/>
  </r>
  <r>
    <x v="8"/>
    <x v="0"/>
    <x v="11"/>
    <n v="2771"/>
    <n v="0"/>
    <s v="Dark"/>
    <n v="1"/>
    <x v="2"/>
    <n v="0"/>
    <n v="0"/>
    <n v="0"/>
    <n v="0"/>
    <m/>
  </r>
  <r>
    <x v="8"/>
    <x v="0"/>
    <x v="11"/>
    <n v="3158"/>
    <n v="1"/>
    <s v="Dark"/>
    <n v="3"/>
    <x v="3"/>
    <n v="0"/>
    <n v="0"/>
    <n v="0"/>
    <n v="0"/>
    <m/>
  </r>
  <r>
    <x v="8"/>
    <x v="0"/>
    <x v="11"/>
    <n v="3080"/>
    <n v="0"/>
    <s v="Dark"/>
    <n v="5"/>
    <x v="1"/>
    <n v="0"/>
    <n v="0"/>
    <n v="0"/>
    <n v="0"/>
    <m/>
  </r>
  <r>
    <x v="8"/>
    <x v="0"/>
    <x v="11"/>
    <n v="3091"/>
    <n v="2"/>
    <s v="Dark"/>
    <n v="5"/>
    <x v="1"/>
    <n v="0"/>
    <n v="0"/>
    <n v="0"/>
    <n v="0"/>
    <m/>
  </r>
  <r>
    <x v="3"/>
    <x v="0"/>
    <x v="10"/>
    <n v="2945"/>
    <n v="1"/>
    <s v="Magic"/>
    <n v="2"/>
    <x v="3"/>
    <n v="0"/>
    <n v="0"/>
    <n v="0"/>
    <n v="0"/>
    <m/>
  </r>
  <r>
    <x v="3"/>
    <x v="0"/>
    <x v="10"/>
    <n v="2556"/>
    <n v="1"/>
    <s v="Magic"/>
    <n v="1"/>
    <x v="2"/>
    <n v="0"/>
    <n v="0"/>
    <n v="0"/>
    <n v="0"/>
    <m/>
  </r>
  <r>
    <x v="3"/>
    <x v="0"/>
    <x v="10"/>
    <n v="2925"/>
    <n v="0"/>
    <s v="Magic"/>
    <n v="5"/>
    <x v="1"/>
    <n v="0"/>
    <n v="0"/>
    <n v="0"/>
    <n v="0"/>
    <m/>
  </r>
  <r>
    <x v="3"/>
    <x v="0"/>
    <x v="10"/>
    <n v="2776"/>
    <n v="1"/>
    <s v="Magic"/>
    <n v="5"/>
    <x v="1"/>
    <n v="0"/>
    <n v="0"/>
    <n v="0"/>
    <n v="0"/>
    <m/>
  </r>
  <r>
    <x v="3"/>
    <x v="0"/>
    <x v="10"/>
    <n v="2669"/>
    <n v="0"/>
    <s v="Magic"/>
    <n v="1"/>
    <x v="2"/>
    <n v="0"/>
    <n v="0"/>
    <n v="0"/>
    <n v="0"/>
    <m/>
  </r>
  <r>
    <x v="3"/>
    <x v="0"/>
    <x v="10"/>
    <n v="2813"/>
    <n v="1"/>
    <s v="Magic"/>
    <n v="5"/>
    <x v="1"/>
    <n v="0"/>
    <n v="0"/>
    <n v="0"/>
    <n v="0"/>
    <m/>
  </r>
  <r>
    <x v="3"/>
    <x v="0"/>
    <x v="10"/>
    <n v="2871"/>
    <n v="0"/>
    <s v="Magic"/>
    <n v="2"/>
    <x v="2"/>
    <n v="0"/>
    <n v="0"/>
    <n v="0"/>
    <n v="0"/>
    <m/>
  </r>
  <r>
    <x v="3"/>
    <x v="0"/>
    <x v="10"/>
    <n v="2829"/>
    <n v="0"/>
    <s v="Magic"/>
    <n v="3"/>
    <x v="1"/>
    <n v="0"/>
    <n v="0"/>
    <n v="0"/>
    <n v="0"/>
    <m/>
  </r>
  <r>
    <x v="3"/>
    <x v="0"/>
    <x v="10"/>
    <n v="2312"/>
    <n v="1"/>
    <s v="Rainb"/>
    <s v="2*"/>
    <x v="0"/>
    <n v="0"/>
    <n v="0"/>
    <n v="11500"/>
    <n v="66062"/>
    <m/>
  </r>
  <r>
    <x v="7"/>
    <x v="0"/>
    <x v="7"/>
    <n v="3502"/>
    <n v="1"/>
    <s v="Blue"/>
    <s v="5*"/>
    <x v="0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3"/>
    <n v="0"/>
    <n v="0"/>
    <n v="0"/>
    <n v="0"/>
    <m/>
  </r>
  <r>
    <x v="3"/>
    <x v="0"/>
    <x v="10"/>
    <n v="2958"/>
    <n v="0"/>
    <s v="Rainb"/>
    <s v="2*"/>
    <x v="0"/>
    <n v="0"/>
    <n v="0"/>
    <n v="11500"/>
    <n v="66062"/>
    <m/>
  </r>
  <r>
    <x v="3"/>
    <x v="0"/>
    <x v="10"/>
    <n v="2545"/>
    <n v="2"/>
    <s v="Magic"/>
    <n v="3"/>
    <x v="2"/>
    <n v="0"/>
    <n v="0"/>
    <n v="0"/>
    <n v="0"/>
    <m/>
  </r>
  <r>
    <x v="3"/>
    <x v="0"/>
    <x v="10"/>
    <n v="2649"/>
    <n v="3"/>
    <s v="Water"/>
    <n v="2"/>
    <x v="2"/>
    <n v="0"/>
    <n v="0"/>
    <n v="0"/>
    <n v="0"/>
    <m/>
  </r>
  <r>
    <x v="3"/>
    <x v="0"/>
    <x v="10"/>
    <n v="2432"/>
    <n v="0"/>
    <s v="Water"/>
    <n v="4"/>
    <x v="1"/>
    <n v="0"/>
    <n v="0"/>
    <n v="0"/>
    <n v="0"/>
    <m/>
  </r>
  <r>
    <x v="3"/>
    <x v="0"/>
    <x v="10"/>
    <n v="2881"/>
    <n v="0"/>
    <s v="Magic"/>
    <n v="1"/>
    <x v="3"/>
    <n v="0"/>
    <n v="0"/>
    <n v="0"/>
    <n v="0"/>
    <m/>
  </r>
  <r>
    <x v="1"/>
    <x v="1"/>
    <x v="8"/>
    <n v="1977"/>
    <n v="0"/>
    <s v="Fod"/>
    <s v="3*"/>
    <x v="0"/>
    <n v="0"/>
    <n v="0"/>
    <n v="34500"/>
    <n v="6606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0"/>
    <n v="0"/>
    <n v="4000"/>
    <n v="0"/>
    <n v="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s v="2*"/>
    <x v="0"/>
    <m/>
    <n v="0"/>
    <n v="11500"/>
    <n v="66062"/>
    <m/>
  </r>
  <r>
    <x v="5"/>
    <x v="1"/>
    <x v="8"/>
    <n v="1819"/>
    <n v="0"/>
    <s v="Fod"/>
    <s v="2*"/>
    <x v="0"/>
    <m/>
    <n v="0"/>
    <n v="11500"/>
    <n v="1512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7"/>
    <x v="0"/>
    <x v="7"/>
    <n v="3665"/>
    <n v="1"/>
    <s v="Blue"/>
    <s v="4*"/>
    <x v="0"/>
    <n v="3307"/>
    <n v="3307"/>
    <n v="0"/>
    <n v="0"/>
    <m/>
  </r>
  <r>
    <x v="3"/>
    <x v="0"/>
    <x v="10"/>
    <n v="2824"/>
    <n v="1"/>
    <s v="Magic"/>
    <n v="1"/>
    <x v="2"/>
    <n v="0"/>
    <n v="0"/>
    <n v="0"/>
    <n v="0"/>
    <m/>
  </r>
  <r>
    <x v="3"/>
    <x v="0"/>
    <x v="10"/>
    <n v="2951"/>
    <n v="3"/>
    <s v="Magic"/>
    <n v="2"/>
    <x v="2"/>
    <n v="0"/>
    <n v="0"/>
    <n v="0"/>
    <n v="0"/>
    <m/>
  </r>
  <r>
    <x v="3"/>
    <x v="0"/>
    <x v="10"/>
    <n v="2543"/>
    <n v="1"/>
    <s v="Magic"/>
    <n v="4"/>
    <x v="1"/>
    <n v="0"/>
    <n v="0"/>
    <n v="0"/>
    <n v="0"/>
    <m/>
  </r>
  <r>
    <x v="3"/>
    <x v="0"/>
    <x v="10"/>
    <n v="2872"/>
    <n v="1"/>
    <s v="Magic"/>
    <n v="1"/>
    <x v="3"/>
    <n v="0"/>
    <n v="0"/>
    <n v="0"/>
    <n v="0"/>
    <m/>
  </r>
  <r>
    <x v="3"/>
    <x v="0"/>
    <x v="10"/>
    <n v="2837"/>
    <n v="1"/>
    <s v="Scroll"/>
    <n v="4"/>
    <x v="0"/>
    <n v="0"/>
    <n v="8000"/>
    <n v="0"/>
    <n v="0"/>
    <m/>
  </r>
  <r>
    <x v="11"/>
    <x v="0"/>
    <x v="10"/>
    <n v="2891"/>
    <n v="0"/>
    <s v="Scroll"/>
    <n v="4"/>
    <x v="0"/>
    <n v="0"/>
    <n v="8000"/>
    <n v="0"/>
    <n v="0"/>
    <m/>
  </r>
  <r>
    <x v="11"/>
    <x v="0"/>
    <x v="10"/>
    <n v="2801"/>
    <n v="0"/>
    <s v="Fire"/>
    <n v="4"/>
    <x v="1"/>
    <n v="0"/>
    <n v="0"/>
    <n v="0"/>
    <n v="0"/>
    <m/>
  </r>
  <r>
    <x v="11"/>
    <x v="0"/>
    <x v="10"/>
    <n v="2407"/>
    <n v="0"/>
    <s v="Fire"/>
    <n v="1"/>
    <x v="2"/>
    <n v="0"/>
    <n v="0"/>
    <n v="0"/>
    <n v="0"/>
    <m/>
  </r>
  <r>
    <x v="11"/>
    <x v="0"/>
    <x v="10"/>
    <n v="2748"/>
    <n v="0"/>
    <m/>
    <m/>
    <x v="0"/>
    <n v="0"/>
    <n v="0"/>
    <n v="0"/>
    <n v="0"/>
    <m/>
  </r>
  <r>
    <x v="11"/>
    <x v="0"/>
    <x v="10"/>
    <n v="2679"/>
    <n v="1"/>
    <s v="Rainb"/>
    <s v="2*"/>
    <x v="0"/>
    <n v="0"/>
    <n v="0"/>
    <n v="11500"/>
    <n v="66062"/>
    <m/>
  </r>
  <r>
    <x v="11"/>
    <x v="0"/>
    <x v="11"/>
    <n v="2720"/>
    <n v="0"/>
    <s v="Fire"/>
    <n v="1"/>
    <x v="2"/>
    <n v="0"/>
    <n v="0"/>
    <n v="0"/>
    <n v="0"/>
    <m/>
  </r>
  <r>
    <x v="11"/>
    <x v="0"/>
    <x v="11"/>
    <n v="0"/>
    <n v="0"/>
    <m/>
    <m/>
    <x v="0"/>
    <n v="0"/>
    <n v="0"/>
    <n v="0"/>
    <n v="0"/>
    <s v="Y"/>
  </r>
  <r>
    <x v="11"/>
    <x v="0"/>
    <x v="10"/>
    <n v="2875"/>
    <n v="0"/>
    <s v="Angelmon"/>
    <s v="1*"/>
    <x v="0"/>
    <n v="0"/>
    <n v="0"/>
    <n v="0"/>
    <n v="0"/>
    <m/>
  </r>
  <r>
    <x v="11"/>
    <x v="0"/>
    <x v="10"/>
    <n v="2734"/>
    <n v="0"/>
    <s v="Fire"/>
    <n v="3"/>
    <x v="3"/>
    <n v="0"/>
    <n v="0"/>
    <n v="0"/>
    <n v="0"/>
    <m/>
  </r>
  <r>
    <x v="11"/>
    <x v="0"/>
    <x v="10"/>
    <n v="3073"/>
    <n v="0"/>
    <s v="Fire"/>
    <n v="2"/>
    <x v="2"/>
    <n v="0"/>
    <n v="0"/>
    <n v="0"/>
    <n v="0"/>
    <m/>
  </r>
  <r>
    <x v="11"/>
    <x v="0"/>
    <x v="10"/>
    <n v="2813"/>
    <n v="0"/>
    <s v="Fire"/>
    <n v="2"/>
    <x v="2"/>
    <n v="0"/>
    <n v="0"/>
    <n v="0"/>
    <n v="0"/>
    <m/>
  </r>
  <r>
    <x v="11"/>
    <x v="0"/>
    <x v="10"/>
    <n v="2758"/>
    <n v="0"/>
    <s v="Candy"/>
    <n v="3"/>
    <x v="0"/>
    <n v="0"/>
    <n v="0"/>
    <n v="0"/>
    <n v="0"/>
    <m/>
  </r>
  <r>
    <x v="11"/>
    <x v="0"/>
    <x v="10"/>
    <n v="2313"/>
    <n v="1"/>
    <s v="Fire"/>
    <n v="3"/>
    <x v="2"/>
    <n v="0"/>
    <n v="0"/>
    <n v="0"/>
    <n v="0"/>
    <m/>
  </r>
  <r>
    <x v="11"/>
    <x v="0"/>
    <x v="10"/>
    <n v="2625"/>
    <n v="1"/>
    <s v="Fire"/>
    <n v="3"/>
    <x v="2"/>
    <n v="0"/>
    <n v="0"/>
    <n v="0"/>
    <n v="0"/>
    <m/>
  </r>
  <r>
    <x v="11"/>
    <x v="0"/>
    <x v="10"/>
    <n v="2515"/>
    <n v="0"/>
    <s v="Fire"/>
    <n v="1"/>
    <x v="3"/>
    <n v="0"/>
    <n v="0"/>
    <n v="0"/>
    <n v="0"/>
    <m/>
  </r>
  <r>
    <x v="11"/>
    <x v="0"/>
    <x v="10"/>
    <n v="2516"/>
    <n v="1"/>
    <s v="Candy"/>
    <n v="1"/>
    <x v="0"/>
    <n v="0"/>
    <n v="0"/>
    <n v="0"/>
    <n v="0"/>
    <m/>
  </r>
  <r>
    <x v="11"/>
    <x v="0"/>
    <x v="10"/>
    <n v="2850"/>
    <n v="2"/>
    <s v="EoFire(low)"/>
    <n v="3"/>
    <x v="1"/>
    <n v="0"/>
    <n v="0"/>
    <n v="0"/>
    <n v="0"/>
    <m/>
  </r>
  <r>
    <x v="3"/>
    <x v="0"/>
    <x v="10"/>
    <n v="2559"/>
    <n v="3"/>
    <s v="Magic"/>
    <n v="3"/>
    <x v="2"/>
    <n v="0"/>
    <n v="0"/>
    <n v="0"/>
    <n v="0"/>
    <m/>
  </r>
  <r>
    <x v="7"/>
    <x v="0"/>
    <x v="7"/>
    <n v="3425"/>
    <n v="0"/>
    <s v="Blue"/>
    <s v="4*"/>
    <x v="0"/>
    <n v="3445"/>
    <n v="3445"/>
    <n v="0"/>
    <n v="0"/>
    <m/>
  </r>
  <r>
    <x v="11"/>
    <x v="0"/>
    <x v="10"/>
    <n v="2517"/>
    <n v="0"/>
    <s v="Candy"/>
    <n v="2"/>
    <x v="0"/>
    <n v="0"/>
    <n v="0"/>
    <n v="0"/>
    <n v="0"/>
    <m/>
  </r>
  <r>
    <x v="11"/>
    <x v="0"/>
    <x v="10"/>
    <n v="2615"/>
    <n v="2"/>
    <s v="Fire"/>
    <n v="2"/>
    <x v="3"/>
    <n v="0"/>
    <n v="0"/>
    <n v="0"/>
    <n v="0"/>
    <m/>
  </r>
  <r>
    <x v="11"/>
    <x v="0"/>
    <x v="10"/>
    <n v="2798"/>
    <n v="2"/>
    <s v="Rainb"/>
    <s v="2*"/>
    <x v="0"/>
    <n v="0"/>
    <n v="0"/>
    <n v="11500"/>
    <n v="66062"/>
    <m/>
  </r>
  <r>
    <x v="11"/>
    <x v="0"/>
    <x v="10"/>
    <n v="2602"/>
    <n v="0"/>
    <s v="Fire"/>
    <n v="3"/>
    <x v="2"/>
    <n v="0"/>
    <n v="0"/>
    <n v="0"/>
    <n v="0"/>
    <m/>
  </r>
  <r>
    <x v="11"/>
    <x v="0"/>
    <x v="10"/>
    <n v="2901"/>
    <n v="1"/>
    <s v="Fire"/>
    <n v="1"/>
    <x v="2"/>
    <n v="0"/>
    <n v="0"/>
    <n v="0"/>
    <n v="0"/>
    <m/>
  </r>
  <r>
    <x v="11"/>
    <x v="0"/>
    <x v="10"/>
    <n v="540"/>
    <n v="0"/>
    <m/>
    <m/>
    <x v="0"/>
    <n v="0"/>
    <n v="0"/>
    <n v="0"/>
    <n v="0"/>
    <s v="Y"/>
  </r>
  <r>
    <x v="11"/>
    <x v="0"/>
    <x v="10"/>
    <n v="3199"/>
    <n v="0"/>
    <s v="Fire"/>
    <n v="1"/>
    <x v="2"/>
    <n v="0"/>
    <n v="0"/>
    <n v="0"/>
    <n v="0"/>
    <m/>
  </r>
  <r>
    <x v="11"/>
    <x v="0"/>
    <x v="10"/>
    <n v="2926"/>
    <n v="1"/>
    <s v="Fire"/>
    <n v="1"/>
    <x v="2"/>
    <n v="0"/>
    <n v="0"/>
    <n v="0"/>
    <n v="0"/>
    <m/>
  </r>
  <r>
    <x v="11"/>
    <x v="0"/>
    <x v="10"/>
    <n v="2560"/>
    <n v="1"/>
    <s v="Fire"/>
    <n v="4"/>
    <x v="1"/>
    <n v="0"/>
    <n v="0"/>
    <n v="0"/>
    <n v="0"/>
    <m/>
  </r>
  <r>
    <x v="11"/>
    <x v="0"/>
    <x v="10"/>
    <n v="2313"/>
    <n v="1"/>
    <s v="Fire"/>
    <n v="4"/>
    <x v="1"/>
    <n v="0"/>
    <n v="0"/>
    <n v="0"/>
    <n v="0"/>
    <m/>
  </r>
  <r>
    <x v="11"/>
    <x v="0"/>
    <x v="10"/>
    <n v="3329"/>
    <n v="2"/>
    <s v="Fire"/>
    <n v="3"/>
    <x v="1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0"/>
    <n v="0"/>
    <n v="4000"/>
    <n v="0"/>
    <n v="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0"/>
    <n v="0"/>
    <n v="4000"/>
    <n v="0"/>
    <n v="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0"/>
    <m/>
    <n v="4000"/>
    <n v="0"/>
    <n v="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0"/>
    <n v="0"/>
    <n v="4000"/>
    <n v="0"/>
    <n v="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0"/>
    <n v="0"/>
    <n v="4000"/>
    <n v="0"/>
    <n v="0"/>
    <m/>
  </r>
  <r>
    <x v="11"/>
    <x v="0"/>
    <x v="10"/>
    <n v="2634"/>
    <n v="1"/>
    <s v="Fire"/>
    <n v="1"/>
    <x v="0"/>
    <n v="0"/>
    <n v="0"/>
    <n v="0"/>
    <n v="0"/>
    <m/>
  </r>
  <r>
    <x v="7"/>
    <x v="0"/>
    <x v="7"/>
    <n v="3118"/>
    <n v="0"/>
    <s v="Blue"/>
    <s v="5*"/>
    <x v="0"/>
    <m/>
    <n v="0"/>
    <n v="0"/>
    <n v="0"/>
    <m/>
  </r>
  <r>
    <x v="7"/>
    <x v="0"/>
    <x v="7"/>
    <n v="3166"/>
    <n v="3"/>
    <s v="Scroll"/>
    <n v="5"/>
    <x v="0"/>
    <m/>
    <n v="10000"/>
    <n v="0"/>
    <n v="0"/>
    <m/>
  </r>
  <r>
    <x v="7"/>
    <x v="0"/>
    <x v="7"/>
    <n v="3825"/>
    <n v="1"/>
    <s v="Candy"/>
    <n v="1"/>
    <x v="0"/>
    <m/>
    <n v="0"/>
    <n v="0"/>
    <n v="0"/>
    <m/>
  </r>
  <r>
    <x v="7"/>
    <x v="0"/>
    <x v="7"/>
    <n v="3553"/>
    <n v="0"/>
    <s v="Blue"/>
    <s v="5*"/>
    <x v="0"/>
    <m/>
    <n v="0"/>
    <n v="0"/>
    <n v="0"/>
    <m/>
  </r>
  <r>
    <x v="7"/>
    <x v="0"/>
    <x v="7"/>
    <n v="3574"/>
    <n v="1"/>
    <s v="Pink"/>
    <s v="4*"/>
    <x v="0"/>
    <n v="4134"/>
    <n v="4134"/>
    <n v="0"/>
    <n v="0"/>
    <m/>
  </r>
  <r>
    <x v="7"/>
    <x v="0"/>
    <x v="7"/>
    <n v="3456"/>
    <n v="3"/>
    <s v="Blue"/>
    <s v="4*"/>
    <x v="0"/>
    <n v="2411"/>
    <n v="2411"/>
    <n v="0"/>
    <n v="0"/>
    <m/>
  </r>
  <r>
    <x v="7"/>
    <x v="0"/>
    <x v="7"/>
    <n v="3185"/>
    <n v="0"/>
    <s v="Blue"/>
    <s v="5*"/>
    <x v="0"/>
    <n v="6502"/>
    <n v="6502"/>
    <n v="0"/>
    <n v="0"/>
    <m/>
  </r>
  <r>
    <x v="7"/>
    <x v="0"/>
    <x v="7"/>
    <n v="3742"/>
    <n v="4"/>
    <s v="Blue"/>
    <s v="4*"/>
    <x v="0"/>
    <n v="4593"/>
    <n v="4593"/>
    <n v="0"/>
    <n v="0"/>
    <m/>
  </r>
  <r>
    <x v="10"/>
    <x v="0"/>
    <x v="10"/>
    <n v="2924"/>
    <n v="1"/>
    <s v="Water"/>
    <n v="1"/>
    <x v="2"/>
    <n v="0"/>
    <n v="0"/>
    <n v="0"/>
    <n v="0"/>
    <m/>
  </r>
  <r>
    <x v="10"/>
    <x v="0"/>
    <x v="10"/>
    <n v="3192"/>
    <n v="2"/>
    <s v="Water"/>
    <n v="2"/>
    <x v="2"/>
    <n v="0"/>
    <n v="0"/>
    <n v="0"/>
    <n v="0"/>
    <m/>
  </r>
  <r>
    <x v="10"/>
    <x v="0"/>
    <x v="10"/>
    <n v="2967"/>
    <n v="1"/>
    <s v="Water"/>
    <n v="2"/>
    <x v="2"/>
    <n v="0"/>
    <n v="0"/>
    <n v="0"/>
    <n v="0"/>
    <m/>
  </r>
  <r>
    <x v="10"/>
    <x v="0"/>
    <x v="10"/>
    <n v="2926"/>
    <n v="0"/>
    <s v="Water"/>
    <n v="3"/>
    <x v="1"/>
    <n v="0"/>
    <n v="0"/>
    <n v="0"/>
    <n v="0"/>
    <m/>
  </r>
  <r>
    <x v="10"/>
    <x v="0"/>
    <x v="10"/>
    <n v="2801"/>
    <n v="1"/>
    <s v="Water"/>
    <n v="3"/>
    <x v="1"/>
    <n v="0"/>
    <n v="0"/>
    <n v="0"/>
    <n v="0"/>
    <m/>
  </r>
  <r>
    <x v="10"/>
    <x v="0"/>
    <x v="10"/>
    <n v="2800"/>
    <n v="0"/>
    <s v="SD"/>
    <s v="Vagabond"/>
    <x v="0"/>
    <n v="0"/>
    <n v="0"/>
    <n v="0"/>
    <n v="0"/>
    <m/>
  </r>
  <r>
    <x v="10"/>
    <x v="0"/>
    <x v="10"/>
    <n v="2913"/>
    <n v="0"/>
    <s v="Water"/>
    <n v="1"/>
    <x v="3"/>
    <n v="0"/>
    <n v="0"/>
    <n v="0"/>
    <n v="0"/>
    <m/>
  </r>
  <r>
    <x v="10"/>
    <x v="0"/>
    <x v="10"/>
    <n v="2812"/>
    <n v="1"/>
    <s v="Water"/>
    <n v="1"/>
    <x v="2"/>
    <n v="0"/>
    <n v="0"/>
    <n v="0"/>
    <n v="0"/>
    <m/>
  </r>
  <r>
    <x v="10"/>
    <x v="0"/>
    <x v="10"/>
    <n v="2449"/>
    <n v="0"/>
    <s v="Rainb"/>
    <s v="2*"/>
    <x v="0"/>
    <n v="0"/>
    <n v="0"/>
    <n v="11500"/>
    <n v="66062"/>
    <m/>
  </r>
  <r>
    <x v="10"/>
    <x v="0"/>
    <x v="10"/>
    <n v="2754"/>
    <n v="1"/>
    <s v="Myst.Scroll"/>
    <n v="1"/>
    <x v="0"/>
    <n v="0"/>
    <n v="0"/>
    <n v="0"/>
    <n v="0"/>
    <m/>
  </r>
  <r>
    <x v="10"/>
    <x v="0"/>
    <x v="10"/>
    <n v="2824"/>
    <n v="1"/>
    <s v="SD"/>
    <s v="Pixie"/>
    <x v="0"/>
    <n v="0"/>
    <n v="0"/>
    <n v="0"/>
    <n v="0"/>
    <m/>
  </r>
  <r>
    <x v="10"/>
    <x v="0"/>
    <x v="10"/>
    <n v="2980"/>
    <n v="0"/>
    <s v="Water"/>
    <n v="1"/>
    <x v="2"/>
    <n v="0"/>
    <n v="0"/>
    <n v="0"/>
    <n v="0"/>
    <m/>
  </r>
  <r>
    <x v="10"/>
    <x v="0"/>
    <x v="10"/>
    <n v="2957"/>
    <n v="0"/>
    <s v="Angelmon"/>
    <s v="1*"/>
    <x v="0"/>
    <n v="0"/>
    <n v="0"/>
    <n v="0"/>
    <n v="0"/>
    <m/>
  </r>
  <r>
    <x v="10"/>
    <x v="0"/>
    <x v="10"/>
    <n v="2417"/>
    <n v="0"/>
    <s v="Scroll"/>
    <n v="4"/>
    <x v="0"/>
    <n v="0"/>
    <n v="8000"/>
    <n v="0"/>
    <n v="0"/>
    <m/>
  </r>
  <r>
    <x v="10"/>
    <x v="0"/>
    <x v="10"/>
    <n v="2671"/>
    <n v="0"/>
    <s v="Water"/>
    <n v="5"/>
    <x v="1"/>
    <n v="0"/>
    <n v="0"/>
    <n v="0"/>
    <n v="0"/>
    <m/>
  </r>
  <r>
    <x v="10"/>
    <x v="0"/>
    <x v="10"/>
    <n v="2947"/>
    <n v="1"/>
    <s v="Water"/>
    <n v="1"/>
    <x v="3"/>
    <n v="0"/>
    <n v="0"/>
    <n v="0"/>
    <n v="0"/>
    <m/>
  </r>
  <r>
    <x v="10"/>
    <x v="0"/>
    <x v="10"/>
    <n v="3358"/>
    <n v="1"/>
    <s v="Scroll"/>
    <n v="4"/>
    <x v="0"/>
    <n v="0"/>
    <n v="8000"/>
    <n v="0"/>
    <n v="0"/>
    <m/>
  </r>
  <r>
    <x v="10"/>
    <x v="0"/>
    <x v="10"/>
    <n v="2184"/>
    <n v="0"/>
    <s v="Water"/>
    <n v="4"/>
    <x v="1"/>
    <n v="0"/>
    <n v="0"/>
    <n v="0"/>
    <n v="0"/>
    <m/>
  </r>
  <r>
    <x v="10"/>
    <x v="0"/>
    <x v="10"/>
    <n v="2654"/>
    <n v="3"/>
    <s v="Water"/>
    <n v="1"/>
    <x v="2"/>
    <n v="0"/>
    <n v="0"/>
    <n v="0"/>
    <n v="0"/>
    <m/>
  </r>
  <r>
    <x v="10"/>
    <x v="0"/>
    <x v="10"/>
    <n v="2592"/>
    <n v="1"/>
    <s v="Water"/>
    <n v="1"/>
    <x v="2"/>
    <n v="0"/>
    <n v="0"/>
    <n v="0"/>
    <n v="0"/>
    <m/>
  </r>
  <r>
    <x v="10"/>
    <x v="0"/>
    <x v="10"/>
    <n v="2625"/>
    <n v="0"/>
    <s v="Water"/>
    <n v="1"/>
    <x v="3"/>
    <n v="0"/>
    <n v="0"/>
    <n v="0"/>
    <n v="0"/>
    <m/>
  </r>
  <r>
    <x v="10"/>
    <x v="0"/>
    <x v="10"/>
    <n v="3029"/>
    <n v="0"/>
    <s v="Water"/>
    <n v="1"/>
    <x v="2"/>
    <n v="0"/>
    <n v="0"/>
    <n v="0"/>
    <n v="0"/>
    <m/>
  </r>
  <r>
    <x v="10"/>
    <x v="0"/>
    <x v="10"/>
    <n v="2865"/>
    <n v="1"/>
    <s v="Water"/>
    <n v="1"/>
    <x v="2"/>
    <n v="0"/>
    <n v="0"/>
    <n v="0"/>
    <n v="0"/>
    <m/>
  </r>
  <r>
    <x v="10"/>
    <x v="0"/>
    <x v="10"/>
    <n v="3075"/>
    <n v="3"/>
    <s v="Water"/>
    <n v="5"/>
    <x v="1"/>
    <n v="0"/>
    <n v="0"/>
    <n v="0"/>
    <n v="0"/>
    <m/>
  </r>
  <r>
    <x v="10"/>
    <x v="0"/>
    <x v="10"/>
    <n v="3767"/>
    <n v="2"/>
    <s v="Water"/>
    <n v="4"/>
    <x v="1"/>
    <n v="0"/>
    <n v="0"/>
    <n v="0"/>
    <n v="0"/>
    <m/>
  </r>
  <r>
    <x v="10"/>
    <x v="0"/>
    <x v="10"/>
    <n v="3007"/>
    <n v="2"/>
    <s v="Water"/>
    <n v="3"/>
    <x v="2"/>
    <n v="0"/>
    <n v="0"/>
    <n v="0"/>
    <n v="0"/>
    <m/>
  </r>
  <r>
    <x v="10"/>
    <x v="0"/>
    <x v="10"/>
    <n v="2942"/>
    <n v="0"/>
    <s v="Water"/>
    <n v="1"/>
    <x v="2"/>
    <n v="0"/>
    <n v="0"/>
    <n v="0"/>
    <n v="0"/>
    <m/>
  </r>
  <r>
    <x v="10"/>
    <x v="0"/>
    <x v="10"/>
    <n v="2701"/>
    <n v="0"/>
    <s v="Water"/>
    <n v="5"/>
    <x v="1"/>
    <n v="0"/>
    <n v="0"/>
    <n v="0"/>
    <n v="0"/>
    <m/>
  </r>
  <r>
    <x v="10"/>
    <x v="0"/>
    <x v="10"/>
    <n v="3320"/>
    <n v="0"/>
    <s v="Water"/>
    <n v="3"/>
    <x v="3"/>
    <n v="0"/>
    <n v="0"/>
    <n v="0"/>
    <n v="0"/>
    <m/>
  </r>
  <r>
    <x v="10"/>
    <x v="0"/>
    <x v="10"/>
    <n v="2890"/>
    <n v="2"/>
    <s v="Water"/>
    <n v="3"/>
    <x v="1"/>
    <n v="0"/>
    <n v="0"/>
    <n v="0"/>
    <n v="0"/>
    <m/>
  </r>
  <r>
    <x v="10"/>
    <x v="0"/>
    <x v="10"/>
    <n v="3274"/>
    <n v="1"/>
    <s v="Water"/>
    <n v="2"/>
    <x v="3"/>
    <n v="0"/>
    <n v="0"/>
    <n v="0"/>
    <n v="0"/>
    <m/>
  </r>
  <r>
    <x v="10"/>
    <x v="0"/>
    <x v="10"/>
    <n v="2847"/>
    <n v="1"/>
    <s v="Water"/>
    <n v="1"/>
    <x v="3"/>
    <n v="0"/>
    <n v="0"/>
    <n v="0"/>
    <n v="0"/>
    <m/>
  </r>
  <r>
    <x v="10"/>
    <x v="0"/>
    <x v="10"/>
    <n v="2602"/>
    <n v="0"/>
    <s v="Water"/>
    <n v="4"/>
    <x v="1"/>
    <n v="0"/>
    <n v="0"/>
    <n v="0"/>
    <n v="0"/>
    <m/>
  </r>
  <r>
    <x v="10"/>
    <x v="0"/>
    <x v="10"/>
    <n v="2901"/>
    <n v="1"/>
    <s v="SD"/>
    <s v="Golem"/>
    <x v="0"/>
    <n v="0"/>
    <n v="0"/>
    <n v="0"/>
    <n v="0"/>
    <m/>
  </r>
  <r>
    <x v="10"/>
    <x v="0"/>
    <x v="10"/>
    <n v="2768"/>
    <n v="0"/>
    <s v="Water"/>
    <n v="5"/>
    <x v="1"/>
    <n v="0"/>
    <n v="0"/>
    <n v="0"/>
    <n v="0"/>
    <m/>
  </r>
  <r>
    <x v="10"/>
    <x v="0"/>
    <x v="10"/>
    <n v="2401"/>
    <n v="1"/>
    <s v="Water"/>
    <n v="1"/>
    <x v="2"/>
    <n v="0"/>
    <n v="0"/>
    <n v="0"/>
    <n v="0"/>
    <m/>
  </r>
  <r>
    <x v="10"/>
    <x v="0"/>
    <x v="10"/>
    <n v="2915"/>
    <n v="0"/>
    <s v="SumStone"/>
    <n v="3"/>
    <x v="0"/>
    <n v="0"/>
    <n v="0"/>
    <n v="2587.5"/>
    <n v="4954.6499999999996"/>
    <m/>
  </r>
  <r>
    <x v="10"/>
    <x v="0"/>
    <x v="10"/>
    <n v="2978"/>
    <n v="0"/>
    <s v="Water"/>
    <n v="4"/>
    <x v="1"/>
    <n v="0"/>
    <n v="0"/>
    <n v="0"/>
    <n v="0"/>
    <m/>
  </r>
  <r>
    <x v="10"/>
    <x v="0"/>
    <x v="10"/>
    <n v="2956"/>
    <n v="0"/>
    <s v="Water"/>
    <n v="5"/>
    <x v="1"/>
    <n v="0"/>
    <n v="0"/>
    <n v="0"/>
    <n v="0"/>
    <m/>
  </r>
  <r>
    <x v="10"/>
    <x v="0"/>
    <x v="10"/>
    <n v="2657"/>
    <n v="1"/>
    <s v="Water"/>
    <n v="5"/>
    <x v="1"/>
    <n v="0"/>
    <n v="0"/>
    <n v="0"/>
    <n v="0"/>
    <m/>
  </r>
  <r>
    <x v="10"/>
    <x v="0"/>
    <x v="10"/>
    <n v="2789"/>
    <n v="0"/>
    <s v="Angelmon"/>
    <s v="1*"/>
    <x v="0"/>
    <n v="0"/>
    <n v="0"/>
    <n v="0"/>
    <n v="0"/>
    <m/>
  </r>
  <r>
    <x v="10"/>
    <x v="0"/>
    <x v="10"/>
    <n v="2793"/>
    <n v="1"/>
    <s v="Water"/>
    <n v="5"/>
    <x v="1"/>
    <n v="0"/>
    <n v="0"/>
    <n v="0"/>
    <n v="0"/>
    <m/>
  </r>
  <r>
    <x v="10"/>
    <x v="0"/>
    <x v="10"/>
    <n v="2869"/>
    <n v="2"/>
    <s v="Water"/>
    <n v="4"/>
    <x v="1"/>
    <n v="0"/>
    <n v="0"/>
    <n v="0"/>
    <n v="0"/>
    <m/>
  </r>
  <r>
    <x v="10"/>
    <x v="0"/>
    <x v="10"/>
    <n v="2638"/>
    <n v="1"/>
    <s v="Angelmon"/>
    <s v="1*"/>
    <x v="0"/>
    <n v="0"/>
    <n v="0"/>
    <n v="0"/>
    <n v="0"/>
    <m/>
  </r>
  <r>
    <x v="10"/>
    <x v="0"/>
    <x v="10"/>
    <n v="2929"/>
    <n v="1"/>
    <s v="Water"/>
    <n v="1"/>
    <x v="2"/>
    <n v="0"/>
    <n v="0"/>
    <n v="0"/>
    <n v="0"/>
    <m/>
  </r>
  <r>
    <x v="10"/>
    <x v="0"/>
    <x v="10"/>
    <n v="2423"/>
    <n v="1"/>
    <s v="Water"/>
    <n v="3"/>
    <x v="1"/>
    <n v="0"/>
    <n v="0"/>
    <n v="0"/>
    <n v="0"/>
    <m/>
  </r>
  <r>
    <x v="10"/>
    <x v="0"/>
    <x v="10"/>
    <n v="2881"/>
    <n v="0"/>
    <s v="Water"/>
    <n v="5"/>
    <x v="1"/>
    <n v="0"/>
    <n v="0"/>
    <n v="0"/>
    <n v="0"/>
    <m/>
  </r>
  <r>
    <x v="10"/>
    <x v="0"/>
    <x v="10"/>
    <n v="3128"/>
    <n v="1"/>
    <s v="Water"/>
    <n v="4"/>
    <x v="1"/>
    <n v="0"/>
    <n v="0"/>
    <n v="0"/>
    <n v="0"/>
    <m/>
  </r>
  <r>
    <x v="10"/>
    <x v="0"/>
    <x v="10"/>
    <n v="3042"/>
    <n v="0"/>
    <s v="Water"/>
    <n v="3"/>
    <x v="3"/>
    <n v="0"/>
    <n v="0"/>
    <n v="0"/>
    <n v="0"/>
    <m/>
  </r>
  <r>
    <x v="10"/>
    <x v="0"/>
    <x v="10"/>
    <n v="2846"/>
    <n v="1"/>
    <s v="Water"/>
    <n v="1"/>
    <x v="3"/>
    <n v="0"/>
    <n v="0"/>
    <n v="0"/>
    <n v="0"/>
    <m/>
  </r>
  <r>
    <x v="10"/>
    <x v="0"/>
    <x v="10"/>
    <n v="3112"/>
    <n v="1"/>
    <s v="Water"/>
    <n v="1"/>
    <x v="3"/>
    <n v="0"/>
    <n v="0"/>
    <n v="0"/>
    <n v="0"/>
    <m/>
  </r>
  <r>
    <x v="10"/>
    <x v="0"/>
    <x v="10"/>
    <n v="2928"/>
    <n v="1"/>
    <s v="Water"/>
    <n v="4"/>
    <x v="1"/>
    <n v="0"/>
    <n v="0"/>
    <n v="0"/>
    <n v="0"/>
    <m/>
  </r>
  <r>
    <x v="10"/>
    <x v="0"/>
    <x v="10"/>
    <n v="2702"/>
    <n v="1"/>
    <s v="Water"/>
    <n v="2"/>
    <x v="2"/>
    <n v="0"/>
    <n v="0"/>
    <n v="0"/>
    <n v="0"/>
    <m/>
  </r>
  <r>
    <x v="12"/>
    <x v="0"/>
    <x v="12"/>
    <n v="6071"/>
    <n v="0"/>
    <s v="SumStone"/>
    <n v="4"/>
    <x v="0"/>
    <n v="0"/>
    <n v="0"/>
    <n v="3450"/>
    <n v="6606.2000000000007"/>
    <m/>
  </r>
  <r>
    <x v="12"/>
    <x v="0"/>
    <x v="12"/>
    <n v="5719"/>
    <n v="0"/>
    <s v="SumStone"/>
    <n v="4"/>
    <x v="0"/>
    <n v="0"/>
    <n v="0"/>
    <n v="3450"/>
    <n v="6606.2000000000007"/>
    <m/>
  </r>
  <r>
    <x v="12"/>
    <x v="0"/>
    <x v="12"/>
    <n v="5444"/>
    <n v="0"/>
    <s v="SumStone"/>
    <n v="4"/>
    <x v="0"/>
    <n v="0"/>
    <n v="0"/>
    <n v="3450"/>
    <n v="6606.2000000000007"/>
    <m/>
  </r>
  <r>
    <x v="12"/>
    <x v="0"/>
    <x v="12"/>
    <n v="5741"/>
    <n v="0"/>
    <s v="SumStone"/>
    <n v="4"/>
    <x v="0"/>
    <n v="0"/>
    <n v="0"/>
    <n v="3450"/>
    <n v="6606.2000000000007"/>
    <m/>
  </r>
  <r>
    <x v="12"/>
    <x v="0"/>
    <x v="12"/>
    <n v="6031"/>
    <n v="0"/>
    <s v="SumStone"/>
    <n v="4"/>
    <x v="0"/>
    <n v="0"/>
    <n v="0"/>
    <n v="3450"/>
    <n v="6606.2000000000007"/>
    <m/>
  </r>
  <r>
    <x v="12"/>
    <x v="0"/>
    <x v="12"/>
    <n v="5574"/>
    <n v="0"/>
    <s v="SumStone"/>
    <n v="4"/>
    <x v="0"/>
    <n v="0"/>
    <n v="0"/>
    <n v="3450"/>
    <n v="6606.2000000000007"/>
    <m/>
  </r>
  <r>
    <x v="12"/>
    <x v="0"/>
    <x v="12"/>
    <n v="6065"/>
    <n v="0"/>
    <s v="SumStone"/>
    <n v="4"/>
    <x v="0"/>
    <n v="0"/>
    <n v="0"/>
    <n v="3450"/>
    <n v="6606.2000000000007"/>
    <m/>
  </r>
  <r>
    <x v="12"/>
    <x v="0"/>
    <x v="12"/>
    <n v="5631"/>
    <n v="0"/>
    <s v="SumStone"/>
    <n v="4"/>
    <x v="0"/>
    <n v="0"/>
    <n v="0"/>
    <n v="3450"/>
    <n v="6606.2000000000007"/>
    <m/>
  </r>
  <r>
    <x v="10"/>
    <x v="0"/>
    <x v="10"/>
    <n v="2671"/>
    <n v="0"/>
    <s v="Water"/>
    <n v="1"/>
    <x v="2"/>
    <n v="0"/>
    <n v="0"/>
    <n v="0"/>
    <n v="0"/>
    <m/>
  </r>
  <r>
    <x v="10"/>
    <x v="0"/>
    <x v="10"/>
    <n v="2940"/>
    <n v="0"/>
    <s v="Water"/>
    <n v="1"/>
    <x v="3"/>
    <n v="0"/>
    <n v="0"/>
    <n v="0"/>
    <n v="0"/>
    <m/>
  </r>
  <r>
    <x v="10"/>
    <x v="0"/>
    <x v="10"/>
    <n v="2643"/>
    <n v="2"/>
    <s v="Water"/>
    <n v="1"/>
    <x v="3"/>
    <n v="0"/>
    <n v="0"/>
    <n v="0"/>
    <n v="0"/>
    <m/>
  </r>
  <r>
    <x v="10"/>
    <x v="0"/>
    <x v="10"/>
    <n v="2968"/>
    <n v="0"/>
    <s v="Water"/>
    <n v="3"/>
    <x v="2"/>
    <n v="0"/>
    <n v="0"/>
    <n v="0"/>
    <n v="0"/>
    <m/>
  </r>
  <r>
    <x v="10"/>
    <x v="0"/>
    <x v="10"/>
    <n v="2502"/>
    <n v="2"/>
    <s v="Water"/>
    <n v="2"/>
    <x v="2"/>
    <n v="0"/>
    <n v="0"/>
    <n v="0"/>
    <n v="0"/>
    <m/>
  </r>
  <r>
    <x v="10"/>
    <x v="0"/>
    <x v="10"/>
    <n v="2719"/>
    <n v="3"/>
    <s v="SD"/>
    <s v="Serpent"/>
    <x v="0"/>
    <n v="0"/>
    <n v="0"/>
    <n v="0"/>
    <n v="0"/>
    <m/>
  </r>
  <r>
    <x v="10"/>
    <x v="0"/>
    <x v="10"/>
    <n v="2733"/>
    <n v="1"/>
    <s v="Water"/>
    <n v="1"/>
    <x v="2"/>
    <n v="0"/>
    <n v="0"/>
    <n v="0"/>
    <n v="0"/>
    <m/>
  </r>
  <r>
    <x v="10"/>
    <x v="0"/>
    <x v="10"/>
    <n v="2917"/>
    <n v="1"/>
    <s v="Water"/>
    <n v="1"/>
    <x v="2"/>
    <n v="0"/>
    <n v="0"/>
    <n v="0"/>
    <n v="0"/>
    <m/>
  </r>
  <r>
    <x v="10"/>
    <x v="0"/>
    <x v="10"/>
    <n v="2662"/>
    <n v="0"/>
    <s v="Water"/>
    <n v="3"/>
    <x v="3"/>
    <n v="0"/>
    <n v="0"/>
    <n v="0"/>
    <n v="0"/>
    <m/>
  </r>
  <r>
    <x v="10"/>
    <x v="0"/>
    <x v="10"/>
    <n v="2980"/>
    <n v="1"/>
    <s v="Water"/>
    <n v="2"/>
    <x v="2"/>
    <n v="0"/>
    <n v="0"/>
    <n v="0"/>
    <n v="0"/>
    <m/>
  </r>
  <r>
    <x v="10"/>
    <x v="0"/>
    <x v="10"/>
    <n v="2778"/>
    <n v="0"/>
    <s v="Rainb"/>
    <s v="3*"/>
    <x v="0"/>
    <n v="0"/>
    <n v="0"/>
    <n v="0"/>
    <n v="0"/>
    <m/>
  </r>
  <r>
    <x v="10"/>
    <x v="0"/>
    <x v="10"/>
    <n v="2383"/>
    <n v="0"/>
    <s v="Scroll"/>
    <n v="5"/>
    <x v="0"/>
    <n v="0"/>
    <n v="10000"/>
    <n v="0"/>
    <n v="0"/>
    <m/>
  </r>
  <r>
    <x v="10"/>
    <x v="0"/>
    <x v="10"/>
    <n v="2705"/>
    <n v="1"/>
    <s v="Water"/>
    <n v="1"/>
    <x v="3"/>
    <n v="0"/>
    <n v="0"/>
    <n v="0"/>
    <n v="0"/>
    <m/>
  </r>
  <r>
    <x v="10"/>
    <x v="0"/>
    <x v="10"/>
    <n v="2769"/>
    <n v="1"/>
    <s v="Water"/>
    <n v="1"/>
    <x v="3"/>
    <n v="0"/>
    <n v="0"/>
    <n v="0"/>
    <n v="0"/>
    <m/>
  </r>
  <r>
    <x v="3"/>
    <x v="0"/>
    <x v="10"/>
    <n v="2432"/>
    <n v="1"/>
    <s v="Magic"/>
    <n v="5"/>
    <x v="1"/>
    <n v="0"/>
    <n v="0"/>
    <n v="0"/>
    <n v="0"/>
    <m/>
  </r>
  <r>
    <x v="13"/>
    <x v="0"/>
    <x v="10"/>
    <n v="2838"/>
    <n v="0"/>
    <s v="Wind"/>
    <n v="4"/>
    <x v="1"/>
    <n v="0"/>
    <n v="0"/>
    <n v="0"/>
    <n v="0"/>
    <m/>
  </r>
  <r>
    <x v="13"/>
    <x v="0"/>
    <x v="10"/>
    <n v="2427"/>
    <n v="1"/>
    <s v="Candy"/>
    <n v="3"/>
    <x v="0"/>
    <n v="0"/>
    <n v="0"/>
    <n v="0"/>
    <n v="0"/>
    <m/>
  </r>
  <r>
    <x v="13"/>
    <x v="0"/>
    <x v="10"/>
    <n v="3047"/>
    <n v="2"/>
    <s v="Wind"/>
    <n v="1"/>
    <x v="2"/>
    <n v="0"/>
    <n v="0"/>
    <n v="0"/>
    <n v="0"/>
    <m/>
  </r>
  <r>
    <x v="13"/>
    <x v="0"/>
    <x v="10"/>
    <n v="2866"/>
    <n v="1"/>
    <s v="Angelmon"/>
    <s v="1*"/>
    <x v="0"/>
    <n v="0"/>
    <n v="0"/>
    <n v="0"/>
    <n v="0"/>
    <m/>
  </r>
  <r>
    <x v="13"/>
    <x v="0"/>
    <x v="10"/>
    <n v="2763"/>
    <n v="0"/>
    <s v="Candy"/>
    <n v="2"/>
    <x v="0"/>
    <n v="0"/>
    <n v="0"/>
    <n v="0"/>
    <n v="0"/>
    <m/>
  </r>
  <r>
    <x v="13"/>
    <x v="0"/>
    <x v="10"/>
    <n v="3056"/>
    <n v="1"/>
    <s v="Candy"/>
    <n v="1"/>
    <x v="0"/>
    <n v="0"/>
    <n v="0"/>
    <n v="0"/>
    <n v="0"/>
    <m/>
  </r>
  <r>
    <x v="13"/>
    <x v="0"/>
    <x v="10"/>
    <n v="2719"/>
    <n v="0"/>
    <s v="Wind"/>
    <n v="5"/>
    <x v="1"/>
    <n v="0"/>
    <n v="0"/>
    <n v="0"/>
    <n v="0"/>
    <m/>
  </r>
  <r>
    <x v="13"/>
    <x v="0"/>
    <x v="10"/>
    <n v="2911"/>
    <n v="1"/>
    <s v="Wind"/>
    <n v="5"/>
    <x v="1"/>
    <n v="0"/>
    <n v="0"/>
    <n v="0"/>
    <n v="0"/>
    <m/>
  </r>
  <r>
    <x v="13"/>
    <x v="0"/>
    <x v="10"/>
    <n v="2858"/>
    <n v="0"/>
    <s v="Wind"/>
    <n v="1"/>
    <x v="2"/>
    <n v="0"/>
    <n v="0"/>
    <n v="0"/>
    <n v="0"/>
    <m/>
  </r>
  <r>
    <x v="13"/>
    <x v="0"/>
    <x v="10"/>
    <n v="2965"/>
    <n v="1"/>
    <s v="Wind"/>
    <n v="3"/>
    <x v="2"/>
    <n v="0"/>
    <n v="0"/>
    <n v="0"/>
    <n v="0"/>
    <m/>
  </r>
  <r>
    <x v="13"/>
    <x v="0"/>
    <x v="10"/>
    <n v="3486"/>
    <n v="1"/>
    <s v="Angelmon"/>
    <s v="1*"/>
    <x v="0"/>
    <n v="0"/>
    <n v="0"/>
    <n v="0"/>
    <n v="0"/>
    <m/>
  </r>
  <r>
    <x v="13"/>
    <x v="0"/>
    <x v="10"/>
    <n v="2992"/>
    <n v="0"/>
    <s v="Rainb"/>
    <s v="3*"/>
    <x v="0"/>
    <n v="0"/>
    <n v="0"/>
    <n v="0"/>
    <n v="0"/>
    <m/>
  </r>
  <r>
    <x v="13"/>
    <x v="0"/>
    <x v="10"/>
    <n v="2961"/>
    <n v="1"/>
    <s v="Scroll"/>
    <n v="5"/>
    <x v="0"/>
    <n v="0"/>
    <n v="10000"/>
    <n v="0"/>
    <n v="0"/>
    <m/>
  </r>
  <r>
    <x v="13"/>
    <x v="0"/>
    <x v="10"/>
    <n v="2744"/>
    <n v="1"/>
    <s v="Wind"/>
    <n v="1"/>
    <x v="3"/>
    <n v="0"/>
    <n v="0"/>
    <n v="0"/>
    <n v="0"/>
    <m/>
  </r>
  <r>
    <x v="13"/>
    <x v="0"/>
    <x v="10"/>
    <n v="2564"/>
    <n v="0"/>
    <s v="Wind"/>
    <n v="5"/>
    <x v="1"/>
    <n v="0"/>
    <n v="0"/>
    <n v="0"/>
    <n v="0"/>
    <m/>
  </r>
  <r>
    <x v="13"/>
    <x v="0"/>
    <x v="10"/>
    <n v="2876"/>
    <n v="2"/>
    <s v="Rainb"/>
    <s v="3*"/>
    <x v="0"/>
    <n v="0"/>
    <n v="0"/>
    <n v="0"/>
    <n v="0"/>
    <m/>
  </r>
  <r>
    <x v="13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2"/>
    <n v="0"/>
    <n v="0"/>
    <n v="0"/>
    <n v="0"/>
    <m/>
  </r>
  <r>
    <x v="13"/>
    <x v="0"/>
    <x v="10"/>
    <n v="3032"/>
    <n v="0"/>
    <s v="Wind"/>
    <n v="5"/>
    <x v="1"/>
    <n v="0"/>
    <n v="0"/>
    <n v="0"/>
    <n v="0"/>
    <m/>
  </r>
  <r>
    <x v="13"/>
    <x v="0"/>
    <x v="10"/>
    <n v="2865"/>
    <n v="1"/>
    <s v="Rainb"/>
    <s v="3*"/>
    <x v="0"/>
    <n v="0"/>
    <n v="0"/>
    <n v="0"/>
    <n v="0"/>
    <m/>
  </r>
  <r>
    <x v="13"/>
    <x v="0"/>
    <x v="10"/>
    <n v="2891"/>
    <n v="2"/>
    <s v="Wind"/>
    <n v="1"/>
    <x v="2"/>
    <n v="0"/>
    <n v="0"/>
    <n v="0"/>
    <n v="0"/>
    <m/>
  </r>
  <r>
    <x v="13"/>
    <x v="0"/>
    <x v="10"/>
    <n v="2799"/>
    <n v="0"/>
    <s v="Wind"/>
    <n v="2"/>
    <x v="2"/>
    <n v="0"/>
    <n v="0"/>
    <n v="0"/>
    <n v="0"/>
    <m/>
  </r>
  <r>
    <x v="13"/>
    <x v="0"/>
    <x v="10"/>
    <n v="3197"/>
    <n v="1"/>
    <s v="Wind"/>
    <n v="2"/>
    <x v="2"/>
    <n v="0"/>
    <n v="0"/>
    <n v="0"/>
    <n v="0"/>
    <m/>
  </r>
  <r>
    <x v="13"/>
    <x v="0"/>
    <x v="10"/>
    <n v="3013"/>
    <n v="0"/>
    <s v="Wind"/>
    <n v="4"/>
    <x v="1"/>
    <n v="0"/>
    <n v="0"/>
    <n v="0"/>
    <n v="0"/>
    <m/>
  </r>
  <r>
    <x v="13"/>
    <x v="0"/>
    <x v="10"/>
    <n v="3393"/>
    <n v="1"/>
    <s v="Wind"/>
    <n v="4"/>
    <x v="1"/>
    <n v="0"/>
    <n v="0"/>
    <n v="0"/>
    <n v="0"/>
    <m/>
  </r>
  <r>
    <x v="13"/>
    <x v="0"/>
    <x v="10"/>
    <n v="3290"/>
    <n v="0"/>
    <s v="Myst.Scroll"/>
    <n v="1"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1:N38" firstHeaderRow="1" firstDataRow="2" firstDataCol="1"/>
  <pivotFields count="13">
    <pivotField axis="axisRow" showAll="0">
      <items count="16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4"/>
        <item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9" firstHeaderRow="1" firstDataRow="2" firstDataCol="1" rowPageCount="1" colPageCount="1"/>
  <pivotFields count="13">
    <pivotField axis="axisPage" multipleItemSelectionAllowed="1" showAll="0">
      <items count="16">
        <item h="1" x="5"/>
        <item h="1" x="1"/>
        <item h="1" x="2"/>
        <item x="3"/>
        <item h="1" x="4"/>
        <item h="1" x="0"/>
        <item h="1" x="14"/>
        <item x="6"/>
        <item h="1" x="7"/>
        <item x="8"/>
        <item h="1" x="9"/>
        <item x="10"/>
        <item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6">
        <item x="4"/>
        <item x="3"/>
        <item x="1"/>
        <item x="2"/>
        <item m="1" x="5"/>
        <item x="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5">
    <i>
      <x v="1"/>
    </i>
    <i>
      <x v="2"/>
    </i>
    <i>
      <x v="3"/>
    </i>
    <i>
      <x v="5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6">
        <item x="5"/>
        <item x="1"/>
        <item x="2"/>
        <item x="3"/>
        <item x="4"/>
        <item x="0"/>
        <item h="1" x="14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2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20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9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8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7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6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5" totalsRowShown="0">
  <autoFilter ref="A1:V95"/>
  <sortState ref="A2:V96">
    <sortCondition descending="1" ref="R2:R96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5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4">
      <calculatedColumnFormula>4*LocFeatures[[#This Row],[XP Gain per member]]</calculatedColumnFormula>
    </tableColumn>
    <tableColumn id="11" name="XP Train Gain"/>
    <tableColumn id="22" name="XP drop" dataDxfId="13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2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1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7" tableBorderDxfId="6">
  <autoFilter ref="Q3:W6"/>
  <tableColumns count="7">
    <tableColumn id="1" name="Kolumna1">
      <calculatedColumnFormula>G5</calculatedColumnFormula>
    </tableColumn>
    <tableColumn id="2" name="4" dataDxfId="5"/>
    <tableColumn id="3" name="5" dataDxfId="4"/>
    <tableColumn id="4" name="7" dataDxfId="3"/>
    <tableColumn id="5" name="8" dataDxfId="2"/>
    <tableColumn id="6" name="9" dataDxfId="1"/>
    <tableColumn id="7" name="10" dataDxfId="0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workbookViewId="0">
      <selection activeCell="B2" sqref="B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159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131</v>
      </c>
      <c r="N2" t="s">
        <v>132</v>
      </c>
      <c r="O2" t="s">
        <v>135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133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134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137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179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180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136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131</v>
      </c>
      <c r="N14" t="s">
        <v>132</v>
      </c>
      <c r="O14" t="s">
        <v>135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133</v>
      </c>
      <c r="M15">
        <v>0</v>
      </c>
      <c r="N15">
        <v>0</v>
      </c>
      <c r="O15" s="1">
        <v>0</v>
      </c>
      <c r="Q15" t="s">
        <v>155</v>
      </c>
      <c r="R15" t="s">
        <v>156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134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137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179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180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136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255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131</v>
      </c>
      <c r="N27" t="s">
        <v>132</v>
      </c>
      <c r="O27" t="s">
        <v>135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133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10</v>
      </c>
      <c r="N29">
        <v>3</v>
      </c>
      <c r="O29" s="1">
        <f>M29*$B$5</f>
        <v>1897500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13</v>
      </c>
      <c r="N30">
        <v>3</v>
      </c>
      <c r="O30" s="1"/>
    </row>
    <row r="31" spans="4:17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0</v>
      </c>
      <c r="N31">
        <v>13</v>
      </c>
      <c r="O31" s="1">
        <f>M31*$B$4</f>
        <v>0</v>
      </c>
    </row>
    <row r="32" spans="4:17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38</v>
      </c>
      <c r="N32">
        <v>1</v>
      </c>
      <c r="O32" s="1"/>
    </row>
    <row r="33" spans="4:15">
      <c r="D33">
        <v>32</v>
      </c>
      <c r="I33">
        <v>43048</v>
      </c>
      <c r="J33">
        <v>51990</v>
      </c>
      <c r="L33" t="s">
        <v>134</v>
      </c>
      <c r="M33">
        <f>3+M32-Tabela610[[#This Row],[Done]]</f>
        <v>41</v>
      </c>
      <c r="N33">
        <v>0</v>
      </c>
      <c r="O33" s="1">
        <f>M33*$B$3</f>
        <v>1468702</v>
      </c>
    </row>
    <row r="34" spans="4:15">
      <c r="D34">
        <v>33</v>
      </c>
      <c r="I34">
        <v>49617</v>
      </c>
      <c r="J34">
        <v>59924</v>
      </c>
      <c r="L34" s="6" t="s">
        <v>137</v>
      </c>
      <c r="M34" s="6">
        <f>2*(M31+M32-10)-Tabela610[[#This Row],[Done]]</f>
        <v>31</v>
      </c>
      <c r="N34">
        <v>25</v>
      </c>
      <c r="O34" s="45"/>
    </row>
    <row r="35" spans="4:15">
      <c r="D35">
        <v>34</v>
      </c>
      <c r="I35">
        <v>57188</v>
      </c>
      <c r="J35">
        <v>69068</v>
      </c>
      <c r="L35" t="s">
        <v>179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180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136</v>
      </c>
      <c r="O37" s="44">
        <f>SUM(Tabela610[XP to gain])+4*B6</f>
        <v>5152790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tabSelected="1" zoomScale="85" zoomScaleNormal="85" workbookViewId="0">
      <pane ySplit="1" topLeftCell="A957" activePane="bottomLeft" state="frozen"/>
      <selection pane="bottomLeft" activeCell="H978" sqref="H978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222</v>
      </c>
      <c r="I1" t="s">
        <v>193</v>
      </c>
      <c r="J1" t="s">
        <v>192</v>
      </c>
      <c r="K1" t="s">
        <v>199</v>
      </c>
      <c r="L1" t="s">
        <v>197</v>
      </c>
      <c r="M1" t="s">
        <v>297</v>
      </c>
      <c r="O1" t="s">
        <v>11</v>
      </c>
      <c r="P1" t="s">
        <v>222</v>
      </c>
      <c r="Q1" t="s">
        <v>192</v>
      </c>
      <c r="R1" t="s">
        <v>199</v>
      </c>
      <c r="S1" t="s">
        <v>197</v>
      </c>
      <c r="T1" t="s">
        <v>327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>
        <v>2000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326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0</v>
      </c>
      <c r="O8" t="s">
        <v>226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286</v>
      </c>
      <c r="G120">
        <v>2</v>
      </c>
      <c r="H120" t="s">
        <v>306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286</v>
      </c>
      <c r="G170">
        <v>2</v>
      </c>
      <c r="H170" t="s">
        <v>306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286</v>
      </c>
      <c r="G174">
        <v>1</v>
      </c>
      <c r="H174" t="s">
        <v>307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283</v>
      </c>
      <c r="G176">
        <v>2</v>
      </c>
      <c r="H176" t="s">
        <v>306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286</v>
      </c>
      <c r="G284">
        <v>4</v>
      </c>
      <c r="H284" t="s">
        <v>306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157</v>
      </c>
      <c r="B285" t="s">
        <v>9</v>
      </c>
      <c r="C285">
        <v>5</v>
      </c>
      <c r="D285">
        <v>1500</v>
      </c>
      <c r="E285">
        <v>0</v>
      </c>
      <c r="F285" t="s">
        <v>309</v>
      </c>
      <c r="G285">
        <v>3</v>
      </c>
      <c r="H285" t="s">
        <v>306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157</v>
      </c>
      <c r="B286" t="s">
        <v>9</v>
      </c>
      <c r="C286">
        <v>5</v>
      </c>
      <c r="D286">
        <v>1782</v>
      </c>
      <c r="E286">
        <v>0</v>
      </c>
      <c r="F286" t="s">
        <v>309</v>
      </c>
      <c r="G286">
        <v>2</v>
      </c>
      <c r="H286" t="s">
        <v>306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157</v>
      </c>
      <c r="B287" t="s">
        <v>9</v>
      </c>
      <c r="C287">
        <v>5</v>
      </c>
      <c r="D287">
        <v>1666</v>
      </c>
      <c r="E287">
        <v>1</v>
      </c>
      <c r="F287" t="s">
        <v>309</v>
      </c>
      <c r="G287">
        <v>1</v>
      </c>
      <c r="H287" t="s">
        <v>307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157</v>
      </c>
      <c r="B288" t="s">
        <v>9</v>
      </c>
      <c r="C288">
        <v>5</v>
      </c>
      <c r="D288">
        <v>1556</v>
      </c>
      <c r="E288">
        <v>0</v>
      </c>
      <c r="F288" t="s">
        <v>309</v>
      </c>
      <c r="G288">
        <v>2</v>
      </c>
      <c r="H288" t="s">
        <v>306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157</v>
      </c>
      <c r="B289" t="s">
        <v>9</v>
      </c>
      <c r="C289">
        <v>5</v>
      </c>
      <c r="D289">
        <v>2860</v>
      </c>
      <c r="E289">
        <v>0</v>
      </c>
      <c r="F289" t="s">
        <v>309</v>
      </c>
      <c r="G289">
        <v>1</v>
      </c>
      <c r="H289" t="s">
        <v>307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157</v>
      </c>
      <c r="B290" t="s">
        <v>9</v>
      </c>
      <c r="C290">
        <v>5</v>
      </c>
      <c r="D290">
        <v>2986</v>
      </c>
      <c r="E290">
        <v>0</v>
      </c>
      <c r="F290" t="s">
        <v>309</v>
      </c>
      <c r="G290">
        <v>2</v>
      </c>
      <c r="H290" t="s">
        <v>306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157</v>
      </c>
      <c r="B291" t="s">
        <v>9</v>
      </c>
      <c r="C291">
        <v>5</v>
      </c>
      <c r="D291">
        <v>3172</v>
      </c>
      <c r="E291">
        <v>1</v>
      </c>
      <c r="F291" t="s">
        <v>158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157</v>
      </c>
      <c r="B292" t="s">
        <v>9</v>
      </c>
      <c r="C292">
        <v>5</v>
      </c>
      <c r="D292">
        <v>1420</v>
      </c>
      <c r="E292">
        <v>0</v>
      </c>
      <c r="F292" t="s">
        <v>309</v>
      </c>
      <c r="G292">
        <v>2</v>
      </c>
      <c r="H292" t="s">
        <v>307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157</v>
      </c>
      <c r="B293" t="s">
        <v>9</v>
      </c>
      <c r="C293">
        <v>5</v>
      </c>
      <c r="D293">
        <v>1352</v>
      </c>
      <c r="E293">
        <v>0</v>
      </c>
      <c r="F293" t="s">
        <v>309</v>
      </c>
      <c r="G293">
        <v>1</v>
      </c>
      <c r="H293" t="s">
        <v>307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157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0</v>
      </c>
    </row>
    <row r="295" spans="1:12">
      <c r="A295" t="s">
        <v>157</v>
      </c>
      <c r="B295" t="s">
        <v>9</v>
      </c>
      <c r="C295">
        <v>5</v>
      </c>
      <c r="D295">
        <v>1428</v>
      </c>
      <c r="E295">
        <v>1</v>
      </c>
      <c r="F295" t="s">
        <v>226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157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0</v>
      </c>
    </row>
    <row r="297" spans="1:12">
      <c r="A297" t="s">
        <v>157</v>
      </c>
      <c r="B297" t="s">
        <v>9</v>
      </c>
      <c r="C297">
        <v>5</v>
      </c>
      <c r="D297">
        <v>1559</v>
      </c>
      <c r="E297">
        <v>0</v>
      </c>
      <c r="F297" t="s">
        <v>309</v>
      </c>
      <c r="G297">
        <v>1</v>
      </c>
      <c r="H297" t="s">
        <v>307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157</v>
      </c>
      <c r="B298" t="s">
        <v>9</v>
      </c>
      <c r="C298">
        <v>5</v>
      </c>
      <c r="D298">
        <v>1600</v>
      </c>
      <c r="E298">
        <v>0</v>
      </c>
      <c r="F298" t="s">
        <v>309</v>
      </c>
      <c r="G298">
        <v>3</v>
      </c>
      <c r="H298" t="s">
        <v>307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157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0</v>
      </c>
    </row>
    <row r="300" spans="1:12">
      <c r="A300" t="s">
        <v>157</v>
      </c>
      <c r="B300" t="s">
        <v>9</v>
      </c>
      <c r="C300">
        <v>5</v>
      </c>
      <c r="D300">
        <v>1389</v>
      </c>
      <c r="E300">
        <v>0</v>
      </c>
      <c r="F300" t="s">
        <v>309</v>
      </c>
      <c r="G300">
        <v>4</v>
      </c>
      <c r="H300" t="s">
        <v>306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161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190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286</v>
      </c>
      <c r="G335">
        <v>1</v>
      </c>
      <c r="H335" t="s">
        <v>307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191</v>
      </c>
      <c r="B336" t="s">
        <v>9</v>
      </c>
      <c r="C336">
        <v>5</v>
      </c>
      <c r="D336">
        <v>1000</v>
      </c>
      <c r="E336">
        <v>0</v>
      </c>
      <c r="F336" t="s">
        <v>285</v>
      </c>
      <c r="G336">
        <v>5</v>
      </c>
      <c r="H336" t="s">
        <v>306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161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190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190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190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190</v>
      </c>
      <c r="B370" t="s">
        <v>9</v>
      </c>
      <c r="C370">
        <v>5</v>
      </c>
      <c r="D370">
        <v>2547</v>
      </c>
      <c r="E370">
        <v>2</v>
      </c>
      <c r="F370" t="s">
        <v>161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190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0</v>
      </c>
    </row>
    <row r="372" spans="1:12">
      <c r="A372" t="s">
        <v>190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0</v>
      </c>
    </row>
    <row r="373" spans="1:12">
      <c r="A373" t="s">
        <v>190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190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190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190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190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190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190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0</v>
      </c>
    </row>
    <row r="380" spans="1:12">
      <c r="A380" t="s">
        <v>190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190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0</v>
      </c>
    </row>
    <row r="382" spans="1:12">
      <c r="A382" t="s">
        <v>190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0</v>
      </c>
    </row>
    <row r="438" spans="1:12">
      <c r="A438" t="s">
        <v>196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161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161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161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161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161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286</v>
      </c>
      <c r="G522">
        <v>1</v>
      </c>
      <c r="H522" t="s">
        <v>307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286</v>
      </c>
      <c r="G523">
        <v>1</v>
      </c>
      <c r="H523" t="s">
        <v>307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286</v>
      </c>
      <c r="G524">
        <v>4</v>
      </c>
      <c r="H524" t="s">
        <v>306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190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190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190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190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190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190</v>
      </c>
      <c r="B530" t="s">
        <v>9</v>
      </c>
      <c r="C530">
        <v>6</v>
      </c>
      <c r="D530">
        <v>2638</v>
      </c>
      <c r="E530">
        <v>0</v>
      </c>
      <c r="F530" t="s">
        <v>161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190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190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190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190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228</v>
      </c>
      <c r="B535" t="s">
        <v>9</v>
      </c>
      <c r="C535">
        <v>8</v>
      </c>
      <c r="D535">
        <v>2498</v>
      </c>
      <c r="E535">
        <v>2</v>
      </c>
      <c r="F535" t="s">
        <v>283</v>
      </c>
      <c r="G535">
        <v>3</v>
      </c>
      <c r="H535" t="s">
        <v>306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228</v>
      </c>
      <c r="B536" t="s">
        <v>9</v>
      </c>
      <c r="C536">
        <v>7</v>
      </c>
      <c r="D536">
        <v>2073</v>
      </c>
      <c r="E536">
        <v>0</v>
      </c>
      <c r="F536" t="s">
        <v>283</v>
      </c>
      <c r="G536">
        <v>1</v>
      </c>
      <c r="H536" t="s">
        <v>307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228</v>
      </c>
      <c r="B537" t="s">
        <v>9</v>
      </c>
      <c r="C537">
        <v>7</v>
      </c>
      <c r="D537">
        <v>2143</v>
      </c>
      <c r="E537">
        <v>0</v>
      </c>
      <c r="F537" t="s">
        <v>283</v>
      </c>
      <c r="G537">
        <v>3</v>
      </c>
      <c r="H537" t="s">
        <v>306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228</v>
      </c>
      <c r="B538" t="s">
        <v>9</v>
      </c>
      <c r="C538">
        <v>7</v>
      </c>
      <c r="D538">
        <v>1852</v>
      </c>
      <c r="E538">
        <v>1</v>
      </c>
      <c r="F538" t="s">
        <v>283</v>
      </c>
      <c r="G538">
        <v>1</v>
      </c>
      <c r="H538" t="s">
        <v>307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228</v>
      </c>
      <c r="B539" t="s">
        <v>9</v>
      </c>
      <c r="C539">
        <v>7</v>
      </c>
      <c r="D539">
        <v>2417</v>
      </c>
      <c r="E539">
        <v>0</v>
      </c>
      <c r="F539" t="s">
        <v>226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228</v>
      </c>
      <c r="B540" t="s">
        <v>9</v>
      </c>
      <c r="C540">
        <v>8</v>
      </c>
      <c r="D540">
        <v>2146</v>
      </c>
      <c r="E540">
        <v>0</v>
      </c>
      <c r="F540" t="s">
        <v>283</v>
      </c>
      <c r="G540">
        <v>2</v>
      </c>
      <c r="H540" t="s">
        <v>307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228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0</v>
      </c>
    </row>
    <row r="542" spans="1:12">
      <c r="A542" s="10" t="s">
        <v>228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228</v>
      </c>
      <c r="B543" t="s">
        <v>9</v>
      </c>
      <c r="C543">
        <v>8</v>
      </c>
      <c r="D543">
        <v>2223</v>
      </c>
      <c r="E543">
        <v>1</v>
      </c>
      <c r="F543" t="s">
        <v>283</v>
      </c>
      <c r="G543">
        <v>5</v>
      </c>
      <c r="H543" t="s">
        <v>306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228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0</v>
      </c>
    </row>
    <row r="545" spans="1:12">
      <c r="A545" s="10" t="s">
        <v>228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228</v>
      </c>
      <c r="B546" t="s">
        <v>9</v>
      </c>
      <c r="C546">
        <v>8</v>
      </c>
      <c r="D546">
        <v>2404</v>
      </c>
      <c r="E546">
        <v>1</v>
      </c>
      <c r="F546" t="s">
        <v>283</v>
      </c>
      <c r="G546">
        <v>4</v>
      </c>
      <c r="H546" t="s">
        <v>306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228</v>
      </c>
      <c r="B547" t="s">
        <v>9</v>
      </c>
      <c r="C547">
        <v>8</v>
      </c>
      <c r="D547">
        <v>3017</v>
      </c>
      <c r="E547">
        <v>1</v>
      </c>
      <c r="F547" t="s">
        <v>283</v>
      </c>
      <c r="G547">
        <v>4</v>
      </c>
      <c r="H547" t="s">
        <v>306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228</v>
      </c>
      <c r="B548" t="s">
        <v>9</v>
      </c>
      <c r="C548">
        <v>8</v>
      </c>
      <c r="D548">
        <v>2175</v>
      </c>
      <c r="E548">
        <v>0</v>
      </c>
      <c r="F548" t="s">
        <v>161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228</v>
      </c>
      <c r="B549" t="s">
        <v>9</v>
      </c>
      <c r="C549">
        <v>8</v>
      </c>
      <c r="D549">
        <v>2276</v>
      </c>
      <c r="E549">
        <v>0</v>
      </c>
      <c r="F549" t="s">
        <v>283</v>
      </c>
      <c r="G549">
        <v>4</v>
      </c>
      <c r="H549" t="s">
        <v>306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228</v>
      </c>
      <c r="B550" t="s">
        <v>9</v>
      </c>
      <c r="C550">
        <v>8</v>
      </c>
      <c r="D550">
        <v>2576</v>
      </c>
      <c r="E550">
        <v>3</v>
      </c>
      <c r="F550" t="s">
        <v>283</v>
      </c>
      <c r="G550">
        <v>4</v>
      </c>
      <c r="H550" t="s">
        <v>306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228</v>
      </c>
      <c r="B551" t="s">
        <v>9</v>
      </c>
      <c r="C551">
        <v>8</v>
      </c>
      <c r="D551">
        <v>2058</v>
      </c>
      <c r="E551">
        <v>1</v>
      </c>
      <c r="F551" t="s">
        <v>283</v>
      </c>
      <c r="G551">
        <v>5</v>
      </c>
      <c r="H551" t="s">
        <v>306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228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0</v>
      </c>
    </row>
    <row r="553" spans="1:12">
      <c r="A553" s="10" t="s">
        <v>228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0</v>
      </c>
    </row>
    <row r="554" spans="1:12">
      <c r="A554" s="10" t="s">
        <v>228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228</v>
      </c>
      <c r="B555" t="s">
        <v>9</v>
      </c>
      <c r="C555">
        <v>8</v>
      </c>
      <c r="D555">
        <v>2526</v>
      </c>
      <c r="E555">
        <v>0</v>
      </c>
      <c r="F555" t="s">
        <v>283</v>
      </c>
      <c r="G555">
        <v>1</v>
      </c>
      <c r="H555" t="s">
        <v>308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228</v>
      </c>
      <c r="B556" t="s">
        <v>9</v>
      </c>
      <c r="C556">
        <v>8</v>
      </c>
      <c r="D556">
        <v>2483</v>
      </c>
      <c r="E556">
        <v>3</v>
      </c>
      <c r="F556" t="s">
        <v>283</v>
      </c>
      <c r="G556">
        <v>1</v>
      </c>
      <c r="H556" t="s">
        <v>308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228</v>
      </c>
      <c r="B557" t="s">
        <v>9</v>
      </c>
      <c r="C557">
        <v>8</v>
      </c>
      <c r="D557">
        <v>2491</v>
      </c>
      <c r="E557">
        <v>0</v>
      </c>
      <c r="F557" t="s">
        <v>249</v>
      </c>
      <c r="G557" t="s">
        <v>328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228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228</v>
      </c>
      <c r="B559" t="s">
        <v>9</v>
      </c>
      <c r="C559">
        <v>8</v>
      </c>
      <c r="D559">
        <v>2671</v>
      </c>
      <c r="E559">
        <v>2</v>
      </c>
      <c r="F559" t="s">
        <v>283</v>
      </c>
      <c r="G559">
        <v>4</v>
      </c>
      <c r="H559" t="s">
        <v>306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228</v>
      </c>
      <c r="B560" t="s">
        <v>9</v>
      </c>
      <c r="C560">
        <v>8</v>
      </c>
      <c r="D560">
        <v>2186</v>
      </c>
      <c r="E560">
        <v>1</v>
      </c>
      <c r="F560" t="s">
        <v>227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228</v>
      </c>
      <c r="B561" t="s">
        <v>9</v>
      </c>
      <c r="C561">
        <v>8</v>
      </c>
      <c r="D561">
        <v>2316</v>
      </c>
      <c r="E561">
        <v>0</v>
      </c>
      <c r="F561" t="s">
        <v>283</v>
      </c>
      <c r="G561">
        <v>3</v>
      </c>
      <c r="H561" t="s">
        <v>306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228</v>
      </c>
      <c r="B562" t="s">
        <v>9</v>
      </c>
      <c r="C562">
        <v>8</v>
      </c>
      <c r="D562">
        <v>2046</v>
      </c>
      <c r="E562">
        <v>1</v>
      </c>
      <c r="F562" t="s">
        <v>283</v>
      </c>
      <c r="G562">
        <v>4</v>
      </c>
      <c r="H562" t="s">
        <v>306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228</v>
      </c>
      <c r="B563" t="s">
        <v>9</v>
      </c>
      <c r="C563">
        <v>8</v>
      </c>
      <c r="D563">
        <v>2303</v>
      </c>
      <c r="E563">
        <v>3</v>
      </c>
      <c r="F563" t="s">
        <v>283</v>
      </c>
      <c r="G563">
        <v>1</v>
      </c>
      <c r="H563" t="s">
        <v>307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228</v>
      </c>
      <c r="B564" t="s">
        <v>9</v>
      </c>
      <c r="C564">
        <v>8</v>
      </c>
      <c r="D564">
        <v>2396</v>
      </c>
      <c r="E564">
        <v>1</v>
      </c>
      <c r="F564" t="s">
        <v>283</v>
      </c>
      <c r="G564">
        <v>1</v>
      </c>
      <c r="H564" t="s">
        <v>307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228</v>
      </c>
      <c r="B565" t="s">
        <v>9</v>
      </c>
      <c r="C565">
        <v>8</v>
      </c>
      <c r="D565">
        <v>2325</v>
      </c>
      <c r="E565">
        <v>1</v>
      </c>
      <c r="F565" t="s">
        <v>283</v>
      </c>
      <c r="G565">
        <v>2</v>
      </c>
      <c r="H565" t="s">
        <v>308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228</v>
      </c>
      <c r="B566" t="s">
        <v>9</v>
      </c>
      <c r="C566">
        <v>8</v>
      </c>
      <c r="D566">
        <v>2398</v>
      </c>
      <c r="E566">
        <v>1</v>
      </c>
      <c r="F566" t="s">
        <v>283</v>
      </c>
      <c r="G566">
        <v>3</v>
      </c>
      <c r="H566" t="s">
        <v>306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228</v>
      </c>
      <c r="B567" t="s">
        <v>9</v>
      </c>
      <c r="C567">
        <v>8</v>
      </c>
      <c r="D567">
        <v>2668</v>
      </c>
      <c r="E567">
        <v>0</v>
      </c>
      <c r="F567" t="s">
        <v>283</v>
      </c>
      <c r="G567">
        <v>3</v>
      </c>
      <c r="H567" t="s">
        <v>308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286</v>
      </c>
      <c r="G568">
        <v>2</v>
      </c>
      <c r="H568" t="s">
        <v>307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286</v>
      </c>
      <c r="G569">
        <v>1</v>
      </c>
      <c r="H569" t="s">
        <v>307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286</v>
      </c>
      <c r="G570">
        <v>4</v>
      </c>
      <c r="H570" t="s">
        <v>306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286</v>
      </c>
      <c r="G571">
        <v>1</v>
      </c>
      <c r="H571" t="s">
        <v>307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286</v>
      </c>
      <c r="G572">
        <v>1</v>
      </c>
      <c r="H572" t="s">
        <v>307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286</v>
      </c>
      <c r="G573">
        <v>4</v>
      </c>
      <c r="H573" t="s">
        <v>306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286</v>
      </c>
      <c r="G574">
        <v>3</v>
      </c>
      <c r="H574" t="s">
        <v>307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286</v>
      </c>
      <c r="G575">
        <v>3</v>
      </c>
      <c r="H575" t="s">
        <v>307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286</v>
      </c>
      <c r="G576">
        <v>4</v>
      </c>
      <c r="H576" t="s">
        <v>306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286</v>
      </c>
      <c r="G577">
        <v>3</v>
      </c>
      <c r="H577" t="s">
        <v>306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283</v>
      </c>
      <c r="G578">
        <v>3</v>
      </c>
      <c r="H578" t="s">
        <v>306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286</v>
      </c>
      <c r="G579">
        <v>5</v>
      </c>
      <c r="H579" t="s">
        <v>306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161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286</v>
      </c>
      <c r="G582">
        <v>3</v>
      </c>
      <c r="H582" t="s">
        <v>306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286</v>
      </c>
      <c r="G583">
        <v>2</v>
      </c>
      <c r="H583" t="s">
        <v>308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190</v>
      </c>
      <c r="B584" t="s">
        <v>9</v>
      </c>
      <c r="C584">
        <v>6</v>
      </c>
      <c r="D584">
        <v>2097</v>
      </c>
      <c r="E584">
        <v>2</v>
      </c>
      <c r="F584" t="s">
        <v>93</v>
      </c>
      <c r="G584" t="s">
        <v>231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286</v>
      </c>
      <c r="G655">
        <v>4</v>
      </c>
      <c r="H655" t="s">
        <v>306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286</v>
      </c>
      <c r="G656">
        <v>1</v>
      </c>
      <c r="H656" t="s">
        <v>308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286</v>
      </c>
      <c r="G657">
        <v>1</v>
      </c>
      <c r="H657" t="s">
        <v>307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283</v>
      </c>
      <c r="G658">
        <v>1</v>
      </c>
      <c r="H658" t="s">
        <v>307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286</v>
      </c>
      <c r="G660">
        <v>1</v>
      </c>
      <c r="H660" t="s">
        <v>307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286</v>
      </c>
      <c r="G662">
        <v>1</v>
      </c>
      <c r="H662" t="s">
        <v>307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286</v>
      </c>
      <c r="G663">
        <v>5</v>
      </c>
      <c r="H663" t="s">
        <v>306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286</v>
      </c>
      <c r="G664">
        <v>4</v>
      </c>
      <c r="H664" t="s">
        <v>306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286</v>
      </c>
      <c r="G665">
        <v>2</v>
      </c>
      <c r="H665" t="s">
        <v>307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286</v>
      </c>
      <c r="G666">
        <v>1</v>
      </c>
      <c r="H666" t="s">
        <v>307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286</v>
      </c>
      <c r="G667">
        <v>3</v>
      </c>
      <c r="H667" t="s">
        <v>306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284</v>
      </c>
      <c r="G668">
        <v>1</v>
      </c>
      <c r="H668" t="s">
        <v>307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284</v>
      </c>
      <c r="G669">
        <v>2</v>
      </c>
      <c r="H669" t="s">
        <v>307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286</v>
      </c>
      <c r="G670">
        <v>5</v>
      </c>
      <c r="H670" t="s">
        <v>306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286</v>
      </c>
      <c r="G672">
        <v>3</v>
      </c>
      <c r="H672" t="s">
        <v>306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286</v>
      </c>
      <c r="G673">
        <v>4</v>
      </c>
      <c r="H673" t="s">
        <v>306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284</v>
      </c>
      <c r="G674">
        <v>3</v>
      </c>
      <c r="H674" t="s">
        <v>307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286</v>
      </c>
      <c r="G675">
        <v>5</v>
      </c>
      <c r="H675" t="s">
        <v>306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308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286</v>
      </c>
      <c r="G677">
        <v>5</v>
      </c>
      <c r="H677" t="s">
        <v>306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284</v>
      </c>
      <c r="G678">
        <v>1</v>
      </c>
      <c r="H678" t="s">
        <v>307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190</v>
      </c>
      <c r="B679" t="s">
        <v>9</v>
      </c>
      <c r="C679">
        <v>8</v>
      </c>
      <c r="D679">
        <v>3681</v>
      </c>
      <c r="E679">
        <v>1</v>
      </c>
      <c r="F679" t="s">
        <v>294</v>
      </c>
      <c r="G679">
        <v>1</v>
      </c>
      <c r="H679" t="s">
        <v>27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286</v>
      </c>
      <c r="G690">
        <v>1</v>
      </c>
      <c r="H690" t="s">
        <v>307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286</v>
      </c>
      <c r="G691">
        <v>1</v>
      </c>
      <c r="H691" t="s">
        <v>308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286</v>
      </c>
      <c r="G692">
        <v>1</v>
      </c>
      <c r="H692" t="s">
        <v>307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284</v>
      </c>
      <c r="G693">
        <v>1</v>
      </c>
      <c r="H693" t="s">
        <v>307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286</v>
      </c>
      <c r="G694">
        <v>4</v>
      </c>
      <c r="H694" t="s">
        <v>306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308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286</v>
      </c>
      <c r="G696">
        <v>1</v>
      </c>
      <c r="H696" t="s">
        <v>307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286</v>
      </c>
      <c r="G697">
        <v>5</v>
      </c>
      <c r="H697" t="s">
        <v>306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286</v>
      </c>
      <c r="G698">
        <v>1</v>
      </c>
      <c r="H698" t="s">
        <v>308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286</v>
      </c>
      <c r="G699">
        <v>3</v>
      </c>
      <c r="H699" t="s">
        <v>306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286</v>
      </c>
      <c r="G701">
        <v>5</v>
      </c>
      <c r="H701" t="s">
        <v>306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286</v>
      </c>
      <c r="G702">
        <v>1</v>
      </c>
      <c r="H702" t="s">
        <v>307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286</v>
      </c>
      <c r="G703">
        <v>1</v>
      </c>
      <c r="H703" t="s">
        <v>308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286</v>
      </c>
      <c r="G704">
        <v>1</v>
      </c>
      <c r="H704" t="s">
        <v>307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286</v>
      </c>
      <c r="G706">
        <v>3</v>
      </c>
      <c r="H706" t="s">
        <v>306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286</v>
      </c>
      <c r="G707">
        <v>4</v>
      </c>
      <c r="H707" t="s">
        <v>306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191</v>
      </c>
      <c r="B708" t="s">
        <v>9</v>
      </c>
      <c r="C708">
        <v>7</v>
      </c>
      <c r="D708">
        <v>2217</v>
      </c>
      <c r="E708">
        <v>0</v>
      </c>
      <c r="F708" t="s">
        <v>285</v>
      </c>
      <c r="G708">
        <v>2</v>
      </c>
      <c r="H708" t="s">
        <v>307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191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191</v>
      </c>
      <c r="B710" t="s">
        <v>9</v>
      </c>
      <c r="C710">
        <v>8</v>
      </c>
      <c r="D710">
        <v>2286</v>
      </c>
      <c r="E710">
        <v>0</v>
      </c>
      <c r="F710" t="s">
        <v>285</v>
      </c>
      <c r="G710">
        <v>2</v>
      </c>
      <c r="H710" t="s">
        <v>307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191</v>
      </c>
      <c r="B711" t="s">
        <v>9</v>
      </c>
      <c r="C711">
        <v>8</v>
      </c>
      <c r="D711">
        <v>2828</v>
      </c>
      <c r="E711">
        <v>0</v>
      </c>
      <c r="F711" t="s">
        <v>285</v>
      </c>
      <c r="G711">
        <v>1</v>
      </c>
      <c r="H711" t="s">
        <v>307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191</v>
      </c>
      <c r="B712" t="s">
        <v>9</v>
      </c>
      <c r="C712">
        <v>9</v>
      </c>
      <c r="D712">
        <v>2917</v>
      </c>
      <c r="E712">
        <v>2</v>
      </c>
      <c r="F712" t="s">
        <v>285</v>
      </c>
      <c r="G712">
        <v>3</v>
      </c>
      <c r="H712" t="s">
        <v>307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191</v>
      </c>
      <c r="B713" t="s">
        <v>9</v>
      </c>
      <c r="C713">
        <v>10</v>
      </c>
      <c r="D713">
        <v>2771</v>
      </c>
      <c r="E713">
        <v>0</v>
      </c>
      <c r="F713" t="s">
        <v>285</v>
      </c>
      <c r="G713">
        <v>1</v>
      </c>
      <c r="H713" t="s">
        <v>307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191</v>
      </c>
      <c r="B714" t="s">
        <v>9</v>
      </c>
      <c r="C714">
        <v>10</v>
      </c>
      <c r="D714">
        <v>3158</v>
      </c>
      <c r="E714">
        <v>1</v>
      </c>
      <c r="F714" t="s">
        <v>285</v>
      </c>
      <c r="G714">
        <v>3</v>
      </c>
      <c r="H714" t="s">
        <v>308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191</v>
      </c>
      <c r="B715" t="s">
        <v>9</v>
      </c>
      <c r="C715">
        <v>10</v>
      </c>
      <c r="D715">
        <v>3080</v>
      </c>
      <c r="E715">
        <v>0</v>
      </c>
      <c r="F715" t="s">
        <v>285</v>
      </c>
      <c r="G715">
        <v>5</v>
      </c>
      <c r="H715" t="s">
        <v>306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191</v>
      </c>
      <c r="B716" t="s">
        <v>9</v>
      </c>
      <c r="C716">
        <v>10</v>
      </c>
      <c r="D716">
        <v>3091</v>
      </c>
      <c r="E716">
        <v>2</v>
      </c>
      <c r="F716" t="s">
        <v>285</v>
      </c>
      <c r="G716">
        <v>5</v>
      </c>
      <c r="H716" t="s">
        <v>306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286</v>
      </c>
      <c r="G717">
        <v>2</v>
      </c>
      <c r="H717" t="s">
        <v>308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286</v>
      </c>
      <c r="G718">
        <v>1</v>
      </c>
      <c r="H718" t="s">
        <v>307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286</v>
      </c>
      <c r="G719">
        <v>5</v>
      </c>
      <c r="H719" t="s">
        <v>306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286</v>
      </c>
      <c r="G720">
        <v>5</v>
      </c>
      <c r="H720" t="s">
        <v>306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286</v>
      </c>
      <c r="G721">
        <v>1</v>
      </c>
      <c r="H721" t="s">
        <v>307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286</v>
      </c>
      <c r="G722">
        <v>5</v>
      </c>
      <c r="H722" t="s">
        <v>306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286</v>
      </c>
      <c r="G723">
        <v>2</v>
      </c>
      <c r="H723" t="s">
        <v>307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286</v>
      </c>
      <c r="G724">
        <v>3</v>
      </c>
      <c r="H724" t="s">
        <v>306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190</v>
      </c>
      <c r="B726" t="s">
        <v>9</v>
      </c>
      <c r="C726">
        <v>8</v>
      </c>
      <c r="D726">
        <v>3502</v>
      </c>
      <c r="E726">
        <v>1</v>
      </c>
      <c r="F726" t="s">
        <v>294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225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286</v>
      </c>
      <c r="G728">
        <v>1</v>
      </c>
      <c r="H728" t="s">
        <v>308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286</v>
      </c>
      <c r="G730">
        <v>3</v>
      </c>
      <c r="H730" t="s">
        <v>307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283</v>
      </c>
      <c r="G731">
        <v>2</v>
      </c>
      <c r="H731" t="s">
        <v>307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283</v>
      </c>
      <c r="G732">
        <v>4</v>
      </c>
      <c r="H732" t="s">
        <v>306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286</v>
      </c>
      <c r="G733">
        <v>1</v>
      </c>
      <c r="H733" t="s">
        <v>308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190</v>
      </c>
      <c r="B755" t="s">
        <v>9</v>
      </c>
      <c r="C755">
        <v>8</v>
      </c>
      <c r="D755">
        <v>3665</v>
      </c>
      <c r="E755">
        <v>1</v>
      </c>
      <c r="F755" t="s">
        <v>294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286</v>
      </c>
      <c r="G756">
        <v>1</v>
      </c>
      <c r="H756" t="s">
        <v>307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286</v>
      </c>
      <c r="G757">
        <v>2</v>
      </c>
      <c r="H757" t="s">
        <v>307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286</v>
      </c>
      <c r="G758">
        <v>4</v>
      </c>
      <c r="H758" t="s">
        <v>306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286</v>
      </c>
      <c r="G759">
        <v>1</v>
      </c>
      <c r="H759" t="s">
        <v>308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0</v>
      </c>
    </row>
    <row r="761" spans="1:13">
      <c r="A761" t="s">
        <v>298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298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306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298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307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298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298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298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307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298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225</v>
      </c>
    </row>
    <row r="768" spans="1:13">
      <c r="A768" t="s">
        <v>298</v>
      </c>
      <c r="B768" t="s">
        <v>9</v>
      </c>
      <c r="C768">
        <v>9</v>
      </c>
      <c r="D768">
        <v>2875</v>
      </c>
      <c r="E768">
        <v>0</v>
      </c>
      <c r="F768" t="s">
        <v>227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298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308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298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307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298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307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298</v>
      </c>
      <c r="B772" t="s">
        <v>9</v>
      </c>
      <c r="C772">
        <v>9</v>
      </c>
      <c r="D772">
        <v>2758</v>
      </c>
      <c r="E772">
        <v>0</v>
      </c>
      <c r="F772" t="s">
        <v>300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298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307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298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307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298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308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298</v>
      </c>
      <c r="B776" t="s">
        <v>9</v>
      </c>
      <c r="C776">
        <v>9</v>
      </c>
      <c r="D776">
        <v>2516</v>
      </c>
      <c r="E776">
        <v>1</v>
      </c>
      <c r="F776" t="s">
        <v>300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298</v>
      </c>
      <c r="B777" t="s">
        <v>9</v>
      </c>
      <c r="C777">
        <v>9</v>
      </c>
      <c r="D777">
        <v>2850</v>
      </c>
      <c r="E777">
        <v>2</v>
      </c>
      <c r="F777" t="s">
        <v>299</v>
      </c>
      <c r="G777">
        <v>3</v>
      </c>
      <c r="H777" t="s">
        <v>306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286</v>
      </c>
      <c r="G778">
        <v>3</v>
      </c>
      <c r="H778" t="s">
        <v>307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190</v>
      </c>
      <c r="B779" t="s">
        <v>9</v>
      </c>
      <c r="C779">
        <v>8</v>
      </c>
      <c r="D779">
        <v>3425</v>
      </c>
      <c r="E779">
        <v>0</v>
      </c>
      <c r="F779" t="s">
        <v>301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298</v>
      </c>
      <c r="B780" t="s">
        <v>9</v>
      </c>
      <c r="C780">
        <v>9</v>
      </c>
      <c r="D780">
        <v>2517</v>
      </c>
      <c r="E780">
        <v>0</v>
      </c>
      <c r="F780" t="s">
        <v>300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298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308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298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298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307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298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307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298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225</v>
      </c>
    </row>
    <row r="786" spans="1:13">
      <c r="A786" t="s">
        <v>298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307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298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307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298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306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298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306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298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306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300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298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190</v>
      </c>
      <c r="B813" t="s">
        <v>9</v>
      </c>
      <c r="C813">
        <v>8</v>
      </c>
      <c r="D813">
        <v>3118</v>
      </c>
      <c r="E813">
        <v>0</v>
      </c>
      <c r="F813" t="s">
        <v>294</v>
      </c>
      <c r="G813">
        <v>1</v>
      </c>
      <c r="H813" t="s">
        <v>28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190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190</v>
      </c>
      <c r="B815" t="s">
        <v>9</v>
      </c>
      <c r="C815">
        <v>8</v>
      </c>
      <c r="D815">
        <v>3825</v>
      </c>
      <c r="E815">
        <v>1</v>
      </c>
      <c r="F815" t="s">
        <v>300</v>
      </c>
      <c r="G815">
        <v>1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190</v>
      </c>
      <c r="B816" t="s">
        <v>9</v>
      </c>
      <c r="C816">
        <v>8</v>
      </c>
      <c r="D816">
        <v>3553</v>
      </c>
      <c r="E816">
        <v>0</v>
      </c>
      <c r="F816" t="s">
        <v>294</v>
      </c>
      <c r="G816">
        <v>1</v>
      </c>
      <c r="H816" t="s">
        <v>28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190</v>
      </c>
      <c r="B817" t="s">
        <v>9</v>
      </c>
      <c r="C817">
        <v>8</v>
      </c>
      <c r="D817">
        <v>3574</v>
      </c>
      <c r="E817">
        <v>1</v>
      </c>
      <c r="F817" t="s">
        <v>302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190</v>
      </c>
      <c r="B818" t="s">
        <v>9</v>
      </c>
      <c r="C818">
        <v>8</v>
      </c>
      <c r="D818">
        <v>3456</v>
      </c>
      <c r="E818">
        <v>3</v>
      </c>
      <c r="F818" t="s">
        <v>294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190</v>
      </c>
      <c r="B819" t="s">
        <v>9</v>
      </c>
      <c r="C819">
        <v>8</v>
      </c>
      <c r="D819">
        <v>3185</v>
      </c>
      <c r="E819">
        <v>0</v>
      </c>
      <c r="F819" t="s">
        <v>294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190</v>
      </c>
      <c r="B820" t="s">
        <v>9</v>
      </c>
      <c r="C820">
        <v>8</v>
      </c>
      <c r="D820">
        <v>3742</v>
      </c>
      <c r="E820">
        <v>4</v>
      </c>
      <c r="F820" t="s">
        <v>294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228</v>
      </c>
      <c r="B821" t="s">
        <v>9</v>
      </c>
      <c r="C821">
        <v>9</v>
      </c>
      <c r="D821">
        <v>2924</v>
      </c>
      <c r="E821">
        <v>1</v>
      </c>
      <c r="F821" t="s">
        <v>283</v>
      </c>
      <c r="G821">
        <v>1</v>
      </c>
      <c r="H821" t="s">
        <v>307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228</v>
      </c>
      <c r="B822" t="s">
        <v>9</v>
      </c>
      <c r="C822">
        <v>9</v>
      </c>
      <c r="D822">
        <v>3192</v>
      </c>
      <c r="E822">
        <v>2</v>
      </c>
      <c r="F822" t="s">
        <v>283</v>
      </c>
      <c r="G822">
        <v>2</v>
      </c>
      <c r="H822" t="s">
        <v>307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228</v>
      </c>
      <c r="B823" t="s">
        <v>9</v>
      </c>
      <c r="C823">
        <v>9</v>
      </c>
      <c r="D823">
        <v>2967</v>
      </c>
      <c r="E823">
        <v>1</v>
      </c>
      <c r="F823" t="s">
        <v>283</v>
      </c>
      <c r="G823">
        <v>2</v>
      </c>
      <c r="H823" t="s">
        <v>307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228</v>
      </c>
      <c r="B824" t="s">
        <v>9</v>
      </c>
      <c r="C824">
        <v>9</v>
      </c>
      <c r="D824">
        <v>2926</v>
      </c>
      <c r="E824">
        <v>0</v>
      </c>
      <c r="F824" t="s">
        <v>283</v>
      </c>
      <c r="G824">
        <v>3</v>
      </c>
      <c r="H824" t="s">
        <v>306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228</v>
      </c>
      <c r="B825" t="s">
        <v>9</v>
      </c>
      <c r="C825">
        <v>9</v>
      </c>
      <c r="D825">
        <v>2801</v>
      </c>
      <c r="E825">
        <v>1</v>
      </c>
      <c r="F825" t="s">
        <v>283</v>
      </c>
      <c r="G825">
        <v>3</v>
      </c>
      <c r="H825" t="s">
        <v>306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228</v>
      </c>
      <c r="B826" t="s">
        <v>9</v>
      </c>
      <c r="C826">
        <v>9</v>
      </c>
      <c r="D826">
        <v>2800</v>
      </c>
      <c r="E826">
        <v>0</v>
      </c>
      <c r="F826" t="s">
        <v>249</v>
      </c>
      <c r="G826" t="s">
        <v>303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228</v>
      </c>
      <c r="B827" t="s">
        <v>9</v>
      </c>
      <c r="C827">
        <v>9</v>
      </c>
      <c r="D827">
        <v>2913</v>
      </c>
      <c r="E827">
        <v>0</v>
      </c>
      <c r="F827" t="s">
        <v>283</v>
      </c>
      <c r="G827">
        <v>1</v>
      </c>
      <c r="H827" t="s">
        <v>308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228</v>
      </c>
      <c r="B828" t="s">
        <v>9</v>
      </c>
      <c r="C828">
        <v>9</v>
      </c>
      <c r="D828">
        <v>2812</v>
      </c>
      <c r="E828">
        <v>1</v>
      </c>
      <c r="F828" t="s">
        <v>283</v>
      </c>
      <c r="G828">
        <v>1</v>
      </c>
      <c r="H828" t="s">
        <v>307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228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228</v>
      </c>
      <c r="B830" t="s">
        <v>9</v>
      </c>
      <c r="C830">
        <v>9</v>
      </c>
      <c r="D830">
        <v>2754</v>
      </c>
      <c r="E830">
        <v>1</v>
      </c>
      <c r="F830" t="s">
        <v>326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228</v>
      </c>
      <c r="B831" t="s">
        <v>9</v>
      </c>
      <c r="C831">
        <v>9</v>
      </c>
      <c r="D831">
        <v>2824</v>
      </c>
      <c r="E831">
        <v>1</v>
      </c>
      <c r="F831" t="s">
        <v>249</v>
      </c>
      <c r="G831" t="s">
        <v>304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228</v>
      </c>
      <c r="B832" t="s">
        <v>9</v>
      </c>
      <c r="C832">
        <v>9</v>
      </c>
      <c r="D832">
        <v>2980</v>
      </c>
      <c r="E832">
        <v>0</v>
      </c>
      <c r="F832" t="s">
        <v>283</v>
      </c>
      <c r="G832">
        <v>1</v>
      </c>
      <c r="H832" t="s">
        <v>307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228</v>
      </c>
      <c r="B833" t="s">
        <v>9</v>
      </c>
      <c r="C833">
        <v>9</v>
      </c>
      <c r="D833">
        <v>2957</v>
      </c>
      <c r="E833">
        <v>0</v>
      </c>
      <c r="F833" t="s">
        <v>227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228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228</v>
      </c>
      <c r="B835" t="s">
        <v>9</v>
      </c>
      <c r="C835">
        <v>9</v>
      </c>
      <c r="D835">
        <v>2671</v>
      </c>
      <c r="E835">
        <v>0</v>
      </c>
      <c r="F835" t="s">
        <v>283</v>
      </c>
      <c r="G835">
        <v>5</v>
      </c>
      <c r="H835" t="s">
        <v>306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228</v>
      </c>
      <c r="B836" t="s">
        <v>9</v>
      </c>
      <c r="C836">
        <v>9</v>
      </c>
      <c r="D836">
        <v>2947</v>
      </c>
      <c r="E836">
        <v>1</v>
      </c>
      <c r="F836" t="s">
        <v>283</v>
      </c>
      <c r="G836">
        <v>1</v>
      </c>
      <c r="H836" t="s">
        <v>308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228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228</v>
      </c>
      <c r="B838" t="s">
        <v>9</v>
      </c>
      <c r="C838">
        <v>9</v>
      </c>
      <c r="D838">
        <v>2184</v>
      </c>
      <c r="E838">
        <v>0</v>
      </c>
      <c r="F838" t="s">
        <v>283</v>
      </c>
      <c r="G838">
        <v>4</v>
      </c>
      <c r="H838" t="s">
        <v>306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228</v>
      </c>
      <c r="B839" t="s">
        <v>9</v>
      </c>
      <c r="C839">
        <v>9</v>
      </c>
      <c r="D839">
        <v>2654</v>
      </c>
      <c r="E839">
        <v>3</v>
      </c>
      <c r="F839" t="s">
        <v>283</v>
      </c>
      <c r="G839">
        <v>1</v>
      </c>
      <c r="H839" t="s">
        <v>307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228</v>
      </c>
      <c r="B840" t="s">
        <v>9</v>
      </c>
      <c r="C840">
        <v>9</v>
      </c>
      <c r="D840">
        <v>2592</v>
      </c>
      <c r="E840">
        <v>1</v>
      </c>
      <c r="F840" t="s">
        <v>283</v>
      </c>
      <c r="G840">
        <v>1</v>
      </c>
      <c r="H840" t="s">
        <v>307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228</v>
      </c>
      <c r="B841" t="s">
        <v>9</v>
      </c>
      <c r="C841">
        <v>9</v>
      </c>
      <c r="D841">
        <v>2625</v>
      </c>
      <c r="E841">
        <v>0</v>
      </c>
      <c r="F841" t="s">
        <v>283</v>
      </c>
      <c r="G841">
        <v>1</v>
      </c>
      <c r="H841" t="s">
        <v>308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228</v>
      </c>
      <c r="B842" t="s">
        <v>9</v>
      </c>
      <c r="C842">
        <v>9</v>
      </c>
      <c r="D842">
        <v>3029</v>
      </c>
      <c r="E842">
        <v>0</v>
      </c>
      <c r="F842" t="s">
        <v>283</v>
      </c>
      <c r="G842">
        <v>1</v>
      </c>
      <c r="H842" t="s">
        <v>307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228</v>
      </c>
      <c r="B843" t="s">
        <v>9</v>
      </c>
      <c r="C843">
        <v>9</v>
      </c>
      <c r="D843">
        <v>2865</v>
      </c>
      <c r="E843">
        <v>1</v>
      </c>
      <c r="F843" t="s">
        <v>283</v>
      </c>
      <c r="G843">
        <v>1</v>
      </c>
      <c r="H843" t="s">
        <v>307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228</v>
      </c>
      <c r="B844" t="s">
        <v>9</v>
      </c>
      <c r="C844">
        <v>9</v>
      </c>
      <c r="D844">
        <v>3075</v>
      </c>
      <c r="E844">
        <v>3</v>
      </c>
      <c r="F844" t="s">
        <v>283</v>
      </c>
      <c r="G844">
        <v>5</v>
      </c>
      <c r="H844" t="s">
        <v>306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228</v>
      </c>
      <c r="B845" t="s">
        <v>9</v>
      </c>
      <c r="C845">
        <v>9</v>
      </c>
      <c r="D845">
        <v>3767</v>
      </c>
      <c r="E845">
        <v>2</v>
      </c>
      <c r="F845" t="s">
        <v>283</v>
      </c>
      <c r="G845">
        <v>4</v>
      </c>
      <c r="H845" t="s">
        <v>306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228</v>
      </c>
      <c r="B846" t="s">
        <v>9</v>
      </c>
      <c r="C846">
        <v>9</v>
      </c>
      <c r="D846">
        <v>3007</v>
      </c>
      <c r="E846">
        <v>2</v>
      </c>
      <c r="F846" t="s">
        <v>283</v>
      </c>
      <c r="G846">
        <v>3</v>
      </c>
      <c r="H846" t="s">
        <v>307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228</v>
      </c>
      <c r="B847" t="s">
        <v>9</v>
      </c>
      <c r="C847">
        <v>9</v>
      </c>
      <c r="D847">
        <v>2942</v>
      </c>
      <c r="E847">
        <v>0</v>
      </c>
      <c r="F847" t="s">
        <v>283</v>
      </c>
      <c r="G847">
        <v>1</v>
      </c>
      <c r="H847" t="s">
        <v>307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228</v>
      </c>
      <c r="B848" t="s">
        <v>9</v>
      </c>
      <c r="C848">
        <v>9</v>
      </c>
      <c r="D848">
        <v>2701</v>
      </c>
      <c r="E848">
        <v>0</v>
      </c>
      <c r="F848" t="s">
        <v>283</v>
      </c>
      <c r="G848">
        <v>5</v>
      </c>
      <c r="H848" t="s">
        <v>306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228</v>
      </c>
      <c r="B849" t="s">
        <v>9</v>
      </c>
      <c r="C849">
        <v>9</v>
      </c>
      <c r="D849">
        <v>3320</v>
      </c>
      <c r="E849">
        <v>0</v>
      </c>
      <c r="F849" t="s">
        <v>283</v>
      </c>
      <c r="G849">
        <v>3</v>
      </c>
      <c r="H849" t="s">
        <v>308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228</v>
      </c>
      <c r="B850" t="s">
        <v>9</v>
      </c>
      <c r="C850">
        <v>9</v>
      </c>
      <c r="D850">
        <v>2890</v>
      </c>
      <c r="E850">
        <v>2</v>
      </c>
      <c r="F850" t="s">
        <v>283</v>
      </c>
      <c r="G850">
        <v>3</v>
      </c>
      <c r="H850" t="s">
        <v>306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228</v>
      </c>
      <c r="B851" t="s">
        <v>9</v>
      </c>
      <c r="C851">
        <v>9</v>
      </c>
      <c r="D851">
        <v>3274</v>
      </c>
      <c r="E851">
        <v>1</v>
      </c>
      <c r="F851" t="s">
        <v>283</v>
      </c>
      <c r="G851">
        <v>2</v>
      </c>
      <c r="H851" t="s">
        <v>308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228</v>
      </c>
      <c r="B852" t="s">
        <v>9</v>
      </c>
      <c r="C852">
        <v>9</v>
      </c>
      <c r="D852">
        <v>2847</v>
      </c>
      <c r="E852">
        <v>1</v>
      </c>
      <c r="F852" t="s">
        <v>283</v>
      </c>
      <c r="G852">
        <v>1</v>
      </c>
      <c r="H852" t="s">
        <v>308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228</v>
      </c>
      <c r="B853" t="s">
        <v>9</v>
      </c>
      <c r="C853">
        <v>9</v>
      </c>
      <c r="D853">
        <v>2602</v>
      </c>
      <c r="E853">
        <v>0</v>
      </c>
      <c r="F853" t="s">
        <v>283</v>
      </c>
      <c r="G853">
        <v>4</v>
      </c>
      <c r="H853" t="s">
        <v>306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228</v>
      </c>
      <c r="B854" t="s">
        <v>9</v>
      </c>
      <c r="C854">
        <v>9</v>
      </c>
      <c r="D854">
        <v>2901</v>
      </c>
      <c r="E854">
        <v>1</v>
      </c>
      <c r="F854" t="s">
        <v>249</v>
      </c>
      <c r="G854" t="s">
        <v>321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228</v>
      </c>
      <c r="B855" t="s">
        <v>9</v>
      </c>
      <c r="C855">
        <v>9</v>
      </c>
      <c r="D855">
        <v>2768</v>
      </c>
      <c r="E855">
        <v>0</v>
      </c>
      <c r="F855" t="s">
        <v>283</v>
      </c>
      <c r="G855">
        <v>5</v>
      </c>
      <c r="H855" t="s">
        <v>306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228</v>
      </c>
      <c r="B856" t="s">
        <v>9</v>
      </c>
      <c r="C856">
        <v>9</v>
      </c>
      <c r="D856">
        <v>2401</v>
      </c>
      <c r="E856">
        <v>1</v>
      </c>
      <c r="F856" t="s">
        <v>283</v>
      </c>
      <c r="G856">
        <v>1</v>
      </c>
      <c r="H856" t="s">
        <v>307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228</v>
      </c>
      <c r="B857" t="s">
        <v>9</v>
      </c>
      <c r="C857">
        <v>9</v>
      </c>
      <c r="D857">
        <v>2915</v>
      </c>
      <c r="E857">
        <v>0</v>
      </c>
      <c r="F857" t="s">
        <v>226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228</v>
      </c>
      <c r="B858" t="s">
        <v>9</v>
      </c>
      <c r="C858">
        <v>9</v>
      </c>
      <c r="D858">
        <v>2978</v>
      </c>
      <c r="E858">
        <v>0</v>
      </c>
      <c r="F858" t="s">
        <v>283</v>
      </c>
      <c r="G858">
        <v>4</v>
      </c>
      <c r="H858" t="s">
        <v>306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228</v>
      </c>
      <c r="B859" t="s">
        <v>9</v>
      </c>
      <c r="C859">
        <v>9</v>
      </c>
      <c r="D859">
        <v>2956</v>
      </c>
      <c r="E859">
        <v>0</v>
      </c>
      <c r="F859" t="s">
        <v>283</v>
      </c>
      <c r="G859">
        <v>5</v>
      </c>
      <c r="H859" t="s">
        <v>306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228</v>
      </c>
      <c r="B860" t="s">
        <v>9</v>
      </c>
      <c r="C860">
        <v>9</v>
      </c>
      <c r="D860">
        <v>2657</v>
      </c>
      <c r="E860">
        <v>1</v>
      </c>
      <c r="F860" t="s">
        <v>283</v>
      </c>
      <c r="G860">
        <v>5</v>
      </c>
      <c r="H860" t="s">
        <v>306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228</v>
      </c>
      <c r="B861" t="s">
        <v>9</v>
      </c>
      <c r="C861">
        <v>9</v>
      </c>
      <c r="D861">
        <v>2789</v>
      </c>
      <c r="E861">
        <v>0</v>
      </c>
      <c r="F861" t="s">
        <v>227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228</v>
      </c>
      <c r="B862" t="s">
        <v>9</v>
      </c>
      <c r="C862">
        <v>9</v>
      </c>
      <c r="D862">
        <v>2793</v>
      </c>
      <c r="E862">
        <v>1</v>
      </c>
      <c r="F862" t="s">
        <v>283</v>
      </c>
      <c r="G862">
        <v>5</v>
      </c>
      <c r="H862" t="s">
        <v>306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228</v>
      </c>
      <c r="B863" t="s">
        <v>9</v>
      </c>
      <c r="C863">
        <v>9</v>
      </c>
      <c r="D863">
        <v>2869</v>
      </c>
      <c r="E863">
        <v>2</v>
      </c>
      <c r="F863" t="s">
        <v>283</v>
      </c>
      <c r="G863">
        <v>4</v>
      </c>
      <c r="H863" t="s">
        <v>306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228</v>
      </c>
      <c r="B864" t="s">
        <v>9</v>
      </c>
      <c r="C864">
        <v>9</v>
      </c>
      <c r="D864">
        <v>2638</v>
      </c>
      <c r="E864">
        <v>1</v>
      </c>
      <c r="F864" t="s">
        <v>227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228</v>
      </c>
      <c r="B865" t="s">
        <v>9</v>
      </c>
      <c r="C865">
        <v>9</v>
      </c>
      <c r="D865">
        <v>2929</v>
      </c>
      <c r="E865">
        <v>1</v>
      </c>
      <c r="F865" t="s">
        <v>283</v>
      </c>
      <c r="G865">
        <v>1</v>
      </c>
      <c r="H865" t="s">
        <v>307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228</v>
      </c>
      <c r="B866" t="s">
        <v>9</v>
      </c>
      <c r="C866">
        <v>9</v>
      </c>
      <c r="D866">
        <v>2423</v>
      </c>
      <c r="E866">
        <v>1</v>
      </c>
      <c r="F866" t="s">
        <v>283</v>
      </c>
      <c r="G866">
        <v>3</v>
      </c>
      <c r="H866" t="s">
        <v>306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228</v>
      </c>
      <c r="B867" t="s">
        <v>9</v>
      </c>
      <c r="C867">
        <v>9</v>
      </c>
      <c r="D867">
        <v>2881</v>
      </c>
      <c r="E867">
        <v>0</v>
      </c>
      <c r="F867" t="s">
        <v>283</v>
      </c>
      <c r="G867">
        <v>5</v>
      </c>
      <c r="H867" t="s">
        <v>306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228</v>
      </c>
      <c r="B868" t="s">
        <v>9</v>
      </c>
      <c r="C868">
        <v>9</v>
      </c>
      <c r="D868">
        <v>3128</v>
      </c>
      <c r="E868">
        <v>1</v>
      </c>
      <c r="F868" t="s">
        <v>283</v>
      </c>
      <c r="G868">
        <v>4</v>
      </c>
      <c r="H868" t="s">
        <v>306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228</v>
      </c>
      <c r="B869" t="s">
        <v>9</v>
      </c>
      <c r="C869">
        <v>9</v>
      </c>
      <c r="D869">
        <v>3042</v>
      </c>
      <c r="E869">
        <v>0</v>
      </c>
      <c r="F869" t="s">
        <v>283</v>
      </c>
      <c r="G869">
        <v>3</v>
      </c>
      <c r="H869" t="s">
        <v>308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228</v>
      </c>
      <c r="B870" t="s">
        <v>9</v>
      </c>
      <c r="C870">
        <v>9</v>
      </c>
      <c r="D870">
        <v>2846</v>
      </c>
      <c r="E870">
        <v>1</v>
      </c>
      <c r="F870" t="s">
        <v>283</v>
      </c>
      <c r="G870">
        <v>1</v>
      </c>
      <c r="H870" t="s">
        <v>308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228</v>
      </c>
      <c r="B871" t="s">
        <v>9</v>
      </c>
      <c r="C871">
        <v>9</v>
      </c>
      <c r="D871">
        <v>3112</v>
      </c>
      <c r="E871">
        <v>1</v>
      </c>
      <c r="F871" t="s">
        <v>283</v>
      </c>
      <c r="G871">
        <v>1</v>
      </c>
      <c r="H871" t="s">
        <v>308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228</v>
      </c>
      <c r="B872" t="s">
        <v>9</v>
      </c>
      <c r="C872">
        <v>9</v>
      </c>
      <c r="D872">
        <v>2928</v>
      </c>
      <c r="E872">
        <v>1</v>
      </c>
      <c r="F872" t="s">
        <v>283</v>
      </c>
      <c r="G872">
        <v>4</v>
      </c>
      <c r="H872" t="s">
        <v>306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228</v>
      </c>
      <c r="B873" t="s">
        <v>9</v>
      </c>
      <c r="C873">
        <v>9</v>
      </c>
      <c r="D873">
        <v>2702</v>
      </c>
      <c r="E873">
        <v>1</v>
      </c>
      <c r="F873" t="s">
        <v>283</v>
      </c>
      <c r="G873">
        <v>2</v>
      </c>
      <c r="H873" t="s">
        <v>307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249</v>
      </c>
      <c r="B874" t="s">
        <v>9</v>
      </c>
      <c r="C874" t="s">
        <v>26</v>
      </c>
      <c r="D874">
        <v>6071</v>
      </c>
      <c r="E874">
        <v>0</v>
      </c>
      <c r="F874" t="s">
        <v>226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249</v>
      </c>
      <c r="B875" t="s">
        <v>9</v>
      </c>
      <c r="C875" t="s">
        <v>26</v>
      </c>
      <c r="D875">
        <v>5719</v>
      </c>
      <c r="E875">
        <v>0</v>
      </c>
      <c r="F875" t="s">
        <v>226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249</v>
      </c>
      <c r="B876" t="s">
        <v>9</v>
      </c>
      <c r="C876" t="s">
        <v>26</v>
      </c>
      <c r="D876">
        <v>5444</v>
      </c>
      <c r="E876">
        <v>0</v>
      </c>
      <c r="F876" t="s">
        <v>226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249</v>
      </c>
      <c r="B877" t="s">
        <v>9</v>
      </c>
      <c r="C877" t="s">
        <v>26</v>
      </c>
      <c r="D877">
        <v>5741</v>
      </c>
      <c r="E877">
        <v>0</v>
      </c>
      <c r="F877" t="s">
        <v>226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249</v>
      </c>
      <c r="B878" t="s">
        <v>9</v>
      </c>
      <c r="C878" t="s">
        <v>26</v>
      </c>
      <c r="D878">
        <v>6031</v>
      </c>
      <c r="E878">
        <v>0</v>
      </c>
      <c r="F878" t="s">
        <v>226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249</v>
      </c>
      <c r="B879" t="s">
        <v>9</v>
      </c>
      <c r="C879" t="s">
        <v>26</v>
      </c>
      <c r="D879">
        <v>5574</v>
      </c>
      <c r="E879">
        <v>0</v>
      </c>
      <c r="F879" t="s">
        <v>226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249</v>
      </c>
      <c r="B880" t="s">
        <v>9</v>
      </c>
      <c r="C880" t="s">
        <v>26</v>
      </c>
      <c r="D880">
        <v>6065</v>
      </c>
      <c r="E880">
        <v>0</v>
      </c>
      <c r="F880" t="s">
        <v>226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249</v>
      </c>
      <c r="B881" t="s">
        <v>9</v>
      </c>
      <c r="C881" t="s">
        <v>26</v>
      </c>
      <c r="D881">
        <v>5631</v>
      </c>
      <c r="E881">
        <v>0</v>
      </c>
      <c r="F881" t="s">
        <v>226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228</v>
      </c>
      <c r="B882" t="s">
        <v>9</v>
      </c>
      <c r="C882">
        <v>9</v>
      </c>
      <c r="D882">
        <v>2671</v>
      </c>
      <c r="E882">
        <v>0</v>
      </c>
      <c r="F882" t="s">
        <v>283</v>
      </c>
      <c r="G882">
        <v>1</v>
      </c>
      <c r="H882" t="s">
        <v>307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228</v>
      </c>
      <c r="B883" t="s">
        <v>9</v>
      </c>
      <c r="C883">
        <v>9</v>
      </c>
      <c r="D883">
        <v>2940</v>
      </c>
      <c r="E883">
        <v>0</v>
      </c>
      <c r="F883" t="s">
        <v>283</v>
      </c>
      <c r="G883">
        <v>1</v>
      </c>
      <c r="H883" t="s">
        <v>308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228</v>
      </c>
      <c r="B884" t="s">
        <v>9</v>
      </c>
      <c r="C884">
        <v>9</v>
      </c>
      <c r="D884">
        <v>2643</v>
      </c>
      <c r="E884">
        <v>2</v>
      </c>
      <c r="F884" t="s">
        <v>283</v>
      </c>
      <c r="G884">
        <v>1</v>
      </c>
      <c r="H884" t="s">
        <v>308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228</v>
      </c>
      <c r="B885" t="s">
        <v>9</v>
      </c>
      <c r="C885">
        <v>9</v>
      </c>
      <c r="D885">
        <v>2968</v>
      </c>
      <c r="E885">
        <v>0</v>
      </c>
      <c r="F885" t="s">
        <v>283</v>
      </c>
      <c r="G885">
        <v>3</v>
      </c>
      <c r="H885" t="s">
        <v>307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228</v>
      </c>
      <c r="B886" t="s">
        <v>9</v>
      </c>
      <c r="C886">
        <v>9</v>
      </c>
      <c r="D886">
        <v>2502</v>
      </c>
      <c r="E886">
        <v>2</v>
      </c>
      <c r="F886" t="s">
        <v>283</v>
      </c>
      <c r="G886">
        <v>2</v>
      </c>
      <c r="H886" t="s">
        <v>307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228</v>
      </c>
      <c r="B887" t="s">
        <v>9</v>
      </c>
      <c r="C887">
        <v>9</v>
      </c>
      <c r="D887">
        <v>2719</v>
      </c>
      <c r="E887">
        <v>3</v>
      </c>
      <c r="F887" t="s">
        <v>249</v>
      </c>
      <c r="G887" t="s">
        <v>322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228</v>
      </c>
      <c r="B888" t="s">
        <v>9</v>
      </c>
      <c r="C888">
        <v>9</v>
      </c>
      <c r="D888">
        <v>2733</v>
      </c>
      <c r="E888">
        <v>1</v>
      </c>
      <c r="F888" t="s">
        <v>283</v>
      </c>
      <c r="G888">
        <v>1</v>
      </c>
      <c r="H888" t="s">
        <v>307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228</v>
      </c>
      <c r="B889" t="s">
        <v>9</v>
      </c>
      <c r="C889">
        <v>9</v>
      </c>
      <c r="D889">
        <v>2917</v>
      </c>
      <c r="E889">
        <v>1</v>
      </c>
      <c r="F889" t="s">
        <v>283</v>
      </c>
      <c r="G889">
        <v>1</v>
      </c>
      <c r="H889" t="s">
        <v>307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228</v>
      </c>
      <c r="B890" t="s">
        <v>9</v>
      </c>
      <c r="C890">
        <v>9</v>
      </c>
      <c r="D890">
        <v>2662</v>
      </c>
      <c r="E890">
        <v>0</v>
      </c>
      <c r="F890" t="s">
        <v>283</v>
      </c>
      <c r="G890">
        <v>3</v>
      </c>
      <c r="H890" t="s">
        <v>308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228</v>
      </c>
      <c r="B891" t="s">
        <v>9</v>
      </c>
      <c r="C891">
        <v>9</v>
      </c>
      <c r="D891">
        <v>2980</v>
      </c>
      <c r="E891">
        <v>1</v>
      </c>
      <c r="F891" t="s">
        <v>283</v>
      </c>
      <c r="G891">
        <v>2</v>
      </c>
      <c r="H891" t="s">
        <v>307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228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228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228</v>
      </c>
      <c r="B894" t="s">
        <v>9</v>
      </c>
      <c r="C894">
        <v>9</v>
      </c>
      <c r="D894">
        <v>2705</v>
      </c>
      <c r="E894">
        <v>1</v>
      </c>
      <c r="F894" t="s">
        <v>283</v>
      </c>
      <c r="G894">
        <v>1</v>
      </c>
      <c r="H894" t="s">
        <v>308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228</v>
      </c>
      <c r="B895" t="s">
        <v>9</v>
      </c>
      <c r="C895">
        <v>9</v>
      </c>
      <c r="D895">
        <v>2769</v>
      </c>
      <c r="E895">
        <v>1</v>
      </c>
      <c r="F895" t="s">
        <v>283</v>
      </c>
      <c r="G895">
        <v>1</v>
      </c>
      <c r="H895" t="s">
        <v>308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286</v>
      </c>
      <c r="G896">
        <v>5</v>
      </c>
      <c r="H896" t="s">
        <v>306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323</v>
      </c>
      <c r="B897" t="s">
        <v>9</v>
      </c>
      <c r="C897">
        <v>9</v>
      </c>
      <c r="D897">
        <v>2838</v>
      </c>
      <c r="E897">
        <v>0</v>
      </c>
      <c r="F897" t="s">
        <v>284</v>
      </c>
      <c r="G897">
        <v>4</v>
      </c>
      <c r="H897" t="s">
        <v>306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323</v>
      </c>
      <c r="B898" t="s">
        <v>9</v>
      </c>
      <c r="C898">
        <v>9</v>
      </c>
      <c r="D898">
        <v>2427</v>
      </c>
      <c r="E898">
        <v>1</v>
      </c>
      <c r="F898" t="s">
        <v>300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323</v>
      </c>
      <c r="B899" t="s">
        <v>9</v>
      </c>
      <c r="C899">
        <v>9</v>
      </c>
      <c r="D899">
        <v>3047</v>
      </c>
      <c r="E899">
        <v>2</v>
      </c>
      <c r="F899" t="s">
        <v>284</v>
      </c>
      <c r="G899">
        <v>1</v>
      </c>
      <c r="H899" t="s">
        <v>307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323</v>
      </c>
      <c r="B900" t="s">
        <v>9</v>
      </c>
      <c r="C900">
        <v>9</v>
      </c>
      <c r="D900">
        <v>2866</v>
      </c>
      <c r="E900">
        <v>1</v>
      </c>
      <c r="F900" t="s">
        <v>227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323</v>
      </c>
      <c r="B901" t="s">
        <v>9</v>
      </c>
      <c r="C901">
        <v>9</v>
      </c>
      <c r="D901">
        <v>2763</v>
      </c>
      <c r="E901">
        <v>0</v>
      </c>
      <c r="F901" t="s">
        <v>300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323</v>
      </c>
      <c r="B902" t="s">
        <v>9</v>
      </c>
      <c r="C902">
        <v>9</v>
      </c>
      <c r="D902">
        <v>3056</v>
      </c>
      <c r="E902">
        <v>1</v>
      </c>
      <c r="F902" t="s">
        <v>300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323</v>
      </c>
      <c r="B903" t="s">
        <v>9</v>
      </c>
      <c r="C903">
        <v>9</v>
      </c>
      <c r="D903">
        <v>2719</v>
      </c>
      <c r="E903">
        <v>0</v>
      </c>
      <c r="F903" t="s">
        <v>284</v>
      </c>
      <c r="G903">
        <v>5</v>
      </c>
      <c r="H903" t="s">
        <v>306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323</v>
      </c>
      <c r="B904" t="s">
        <v>9</v>
      </c>
      <c r="C904">
        <v>9</v>
      </c>
      <c r="D904">
        <v>2911</v>
      </c>
      <c r="E904">
        <v>1</v>
      </c>
      <c r="F904" t="s">
        <v>284</v>
      </c>
      <c r="G904">
        <v>5</v>
      </c>
      <c r="H904" t="s">
        <v>306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323</v>
      </c>
      <c r="B905" t="s">
        <v>9</v>
      </c>
      <c r="C905">
        <v>9</v>
      </c>
      <c r="D905">
        <v>2858</v>
      </c>
      <c r="E905">
        <v>0</v>
      </c>
      <c r="F905" t="s">
        <v>284</v>
      </c>
      <c r="G905">
        <v>1</v>
      </c>
      <c r="H905" t="s">
        <v>307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323</v>
      </c>
      <c r="B906" t="s">
        <v>9</v>
      </c>
      <c r="C906">
        <v>9</v>
      </c>
      <c r="D906">
        <v>2965</v>
      </c>
      <c r="E906">
        <v>1</v>
      </c>
      <c r="F906" t="s">
        <v>284</v>
      </c>
      <c r="G906">
        <v>3</v>
      </c>
      <c r="H906" t="s">
        <v>307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323</v>
      </c>
      <c r="B907" t="s">
        <v>9</v>
      </c>
      <c r="C907">
        <v>9</v>
      </c>
      <c r="D907">
        <v>3486</v>
      </c>
      <c r="E907">
        <v>1</v>
      </c>
      <c r="F907" t="s">
        <v>227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323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323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323</v>
      </c>
      <c r="B910" t="s">
        <v>9</v>
      </c>
      <c r="C910">
        <v>9</v>
      </c>
      <c r="D910">
        <v>2744</v>
      </c>
      <c r="E910">
        <v>1</v>
      </c>
      <c r="F910" t="s">
        <v>284</v>
      </c>
      <c r="G910">
        <v>1</v>
      </c>
      <c r="H910" t="s">
        <v>308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323</v>
      </c>
      <c r="B911" t="s">
        <v>9</v>
      </c>
      <c r="C911">
        <v>9</v>
      </c>
      <c r="D911">
        <v>2564</v>
      </c>
      <c r="E911">
        <v>0</v>
      </c>
      <c r="F911" t="s">
        <v>284</v>
      </c>
      <c r="G911">
        <v>5</v>
      </c>
      <c r="H911" t="s">
        <v>306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323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323</v>
      </c>
      <c r="B913" t="s">
        <v>9</v>
      </c>
      <c r="C913">
        <v>9</v>
      </c>
      <c r="D913">
        <v>2779</v>
      </c>
      <c r="E913">
        <v>0</v>
      </c>
      <c r="F913" t="s">
        <v>300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286</v>
      </c>
      <c r="G914">
        <v>3</v>
      </c>
      <c r="H914" t="s">
        <v>307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323</v>
      </c>
      <c r="B915" t="s">
        <v>9</v>
      </c>
      <c r="C915">
        <v>9</v>
      </c>
      <c r="D915">
        <v>3032</v>
      </c>
      <c r="E915">
        <v>0</v>
      </c>
      <c r="F915" t="s">
        <v>284</v>
      </c>
      <c r="G915">
        <v>5</v>
      </c>
      <c r="H915" t="s">
        <v>306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323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323</v>
      </c>
      <c r="B917" t="s">
        <v>9</v>
      </c>
      <c r="C917">
        <v>9</v>
      </c>
      <c r="D917">
        <v>2891</v>
      </c>
      <c r="E917">
        <v>2</v>
      </c>
      <c r="F917" t="s">
        <v>284</v>
      </c>
      <c r="G917">
        <v>1</v>
      </c>
      <c r="H917" t="s">
        <v>307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323</v>
      </c>
      <c r="B918" t="s">
        <v>9</v>
      </c>
      <c r="C918">
        <v>9</v>
      </c>
      <c r="D918">
        <v>2799</v>
      </c>
      <c r="E918">
        <v>0</v>
      </c>
      <c r="F918" t="s">
        <v>284</v>
      </c>
      <c r="G918">
        <v>2</v>
      </c>
      <c r="H918" t="s">
        <v>307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323</v>
      </c>
      <c r="B919" t="s">
        <v>9</v>
      </c>
      <c r="C919">
        <v>9</v>
      </c>
      <c r="D919">
        <v>3197</v>
      </c>
      <c r="E919">
        <v>1</v>
      </c>
      <c r="F919" t="s">
        <v>284</v>
      </c>
      <c r="G919">
        <v>2</v>
      </c>
      <c r="H919" t="s">
        <v>307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323</v>
      </c>
      <c r="B920" t="s">
        <v>9</v>
      </c>
      <c r="C920">
        <v>9</v>
      </c>
      <c r="D920">
        <v>3013</v>
      </c>
      <c r="E920">
        <v>0</v>
      </c>
      <c r="F920" t="s">
        <v>284</v>
      </c>
      <c r="G920">
        <v>4</v>
      </c>
      <c r="H920" t="s">
        <v>306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323</v>
      </c>
      <c r="B921" t="s">
        <v>9</v>
      </c>
      <c r="C921">
        <v>9</v>
      </c>
      <c r="D921">
        <v>3393</v>
      </c>
      <c r="E921">
        <v>1</v>
      </c>
      <c r="F921" t="s">
        <v>284</v>
      </c>
      <c r="G921">
        <v>4</v>
      </c>
      <c r="H921" t="s">
        <v>306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323</v>
      </c>
      <c r="B922" t="s">
        <v>9</v>
      </c>
      <c r="C922">
        <v>9</v>
      </c>
      <c r="D922">
        <v>3290</v>
      </c>
      <c r="E922">
        <v>0</v>
      </c>
      <c r="F922" t="s">
        <v>326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324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323</v>
      </c>
      <c r="B924" t="s">
        <v>9</v>
      </c>
      <c r="C924">
        <v>9</v>
      </c>
      <c r="D924">
        <v>2551</v>
      </c>
      <c r="E924">
        <v>1</v>
      </c>
      <c r="F924" t="s">
        <v>249</v>
      </c>
      <c r="G924" t="s">
        <v>325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323</v>
      </c>
      <c r="B925" t="s">
        <v>9</v>
      </c>
      <c r="C925">
        <v>9</v>
      </c>
      <c r="D925">
        <v>2856</v>
      </c>
      <c r="E925">
        <v>0</v>
      </c>
      <c r="F925" t="s">
        <v>284</v>
      </c>
      <c r="G925">
        <v>1</v>
      </c>
      <c r="H925" t="s">
        <v>308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323</v>
      </c>
      <c r="B926" t="s">
        <v>9</v>
      </c>
      <c r="C926">
        <v>9</v>
      </c>
      <c r="D926">
        <v>2488</v>
      </c>
      <c r="E926">
        <v>1</v>
      </c>
      <c r="F926" t="s">
        <v>284</v>
      </c>
      <c r="G926">
        <v>3</v>
      </c>
      <c r="H926" t="s">
        <v>307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323</v>
      </c>
      <c r="B927" t="s">
        <v>9</v>
      </c>
      <c r="C927">
        <v>9</v>
      </c>
      <c r="D927">
        <v>2583</v>
      </c>
      <c r="E927">
        <v>0</v>
      </c>
      <c r="F927" t="s">
        <v>284</v>
      </c>
      <c r="G927">
        <v>5</v>
      </c>
      <c r="H927" t="s">
        <v>306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323</v>
      </c>
      <c r="B928" t="s">
        <v>9</v>
      </c>
      <c r="C928">
        <v>9</v>
      </c>
      <c r="D928">
        <v>2394</v>
      </c>
      <c r="E928">
        <v>0</v>
      </c>
      <c r="F928" t="s">
        <v>284</v>
      </c>
      <c r="G928">
        <v>4</v>
      </c>
      <c r="H928" t="s">
        <v>306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323</v>
      </c>
      <c r="B929" t="s">
        <v>9</v>
      </c>
      <c r="C929">
        <v>9</v>
      </c>
      <c r="D929">
        <v>2703</v>
      </c>
      <c r="E929">
        <v>0</v>
      </c>
      <c r="F929" t="s">
        <v>284</v>
      </c>
      <c r="G929">
        <v>1</v>
      </c>
      <c r="H929" t="s">
        <v>308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323</v>
      </c>
      <c r="B930" t="s">
        <v>9</v>
      </c>
      <c r="C930">
        <v>9</v>
      </c>
      <c r="D930">
        <v>2880</v>
      </c>
      <c r="E930">
        <v>1</v>
      </c>
      <c r="F930" t="s">
        <v>284</v>
      </c>
      <c r="G930">
        <v>4</v>
      </c>
      <c r="H930" t="s">
        <v>306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323</v>
      </c>
      <c r="B931" t="s">
        <v>9</v>
      </c>
      <c r="C931">
        <v>9</v>
      </c>
      <c r="D931">
        <v>2802</v>
      </c>
      <c r="E931">
        <v>0</v>
      </c>
      <c r="F931" t="s">
        <v>284</v>
      </c>
      <c r="G931">
        <v>3</v>
      </c>
      <c r="H931" t="s">
        <v>307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323</v>
      </c>
      <c r="B932" t="s">
        <v>9</v>
      </c>
      <c r="C932">
        <v>9</v>
      </c>
      <c r="D932">
        <v>2784</v>
      </c>
      <c r="E932">
        <v>2</v>
      </c>
      <c r="F932" t="s">
        <v>300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323</v>
      </c>
      <c r="B933" t="s">
        <v>9</v>
      </c>
      <c r="C933">
        <v>9</v>
      </c>
      <c r="D933">
        <v>2856</v>
      </c>
      <c r="E933">
        <v>0</v>
      </c>
      <c r="F933" t="s">
        <v>284</v>
      </c>
      <c r="G933">
        <v>3</v>
      </c>
      <c r="H933" t="s">
        <v>307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323</v>
      </c>
      <c r="B934" t="s">
        <v>9</v>
      </c>
      <c r="C934">
        <v>9</v>
      </c>
      <c r="D934">
        <v>3481</v>
      </c>
      <c r="E934">
        <v>0</v>
      </c>
      <c r="F934" t="s">
        <v>284</v>
      </c>
      <c r="G934">
        <v>4</v>
      </c>
      <c r="H934" t="s">
        <v>306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323</v>
      </c>
      <c r="B935" t="s">
        <v>9</v>
      </c>
      <c r="C935">
        <v>9</v>
      </c>
      <c r="D935">
        <v>2701</v>
      </c>
      <c r="E935">
        <v>0</v>
      </c>
      <c r="F935" t="s">
        <v>60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323</v>
      </c>
      <c r="B936" t="s">
        <v>9</v>
      </c>
      <c r="C936">
        <v>9</v>
      </c>
      <c r="D936">
        <v>2809</v>
      </c>
      <c r="E936">
        <v>1</v>
      </c>
      <c r="F936" t="s">
        <v>227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323</v>
      </c>
      <c r="B937" t="s">
        <v>9</v>
      </c>
      <c r="C937">
        <v>9</v>
      </c>
      <c r="D937">
        <v>2999</v>
      </c>
      <c r="E937">
        <v>0</v>
      </c>
      <c r="F937" t="s">
        <v>284</v>
      </c>
      <c r="G937">
        <v>5</v>
      </c>
      <c r="H937" t="s">
        <v>306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323</v>
      </c>
      <c r="B938" t="s">
        <v>9</v>
      </c>
      <c r="C938">
        <v>9</v>
      </c>
      <c r="D938">
        <v>2639</v>
      </c>
      <c r="E938">
        <v>1</v>
      </c>
      <c r="F938" t="s">
        <v>284</v>
      </c>
      <c r="G938">
        <v>2</v>
      </c>
      <c r="H938" t="s">
        <v>307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323</v>
      </c>
      <c r="B939" t="s">
        <v>9</v>
      </c>
      <c r="C939">
        <v>9</v>
      </c>
      <c r="D939">
        <v>2853</v>
      </c>
      <c r="E939">
        <v>0</v>
      </c>
      <c r="F939" t="s">
        <v>284</v>
      </c>
      <c r="G939">
        <v>2</v>
      </c>
      <c r="H939" t="s">
        <v>308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323</v>
      </c>
      <c r="B940" t="s">
        <v>9</v>
      </c>
      <c r="C940">
        <v>9</v>
      </c>
      <c r="D940">
        <v>3206</v>
      </c>
      <c r="E940">
        <v>1</v>
      </c>
      <c r="F940" t="s">
        <v>284</v>
      </c>
      <c r="G940">
        <v>4</v>
      </c>
      <c r="H940" t="s">
        <v>306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323</v>
      </c>
      <c r="B941" t="s">
        <v>9</v>
      </c>
      <c r="C941">
        <v>9</v>
      </c>
      <c r="D941">
        <v>3218</v>
      </c>
      <c r="E941">
        <v>0</v>
      </c>
      <c r="F941" t="s">
        <v>284</v>
      </c>
      <c r="G941">
        <v>3</v>
      </c>
      <c r="H941" t="s">
        <v>307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323</v>
      </c>
      <c r="B942" t="s">
        <v>9</v>
      </c>
      <c r="C942">
        <v>9</v>
      </c>
      <c r="D942">
        <v>2853</v>
      </c>
      <c r="E942">
        <v>2</v>
      </c>
      <c r="F942" t="s">
        <v>284</v>
      </c>
      <c r="G942">
        <v>3</v>
      </c>
      <c r="H942" t="s">
        <v>308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323</v>
      </c>
      <c r="B943" t="s">
        <v>9</v>
      </c>
      <c r="C943">
        <v>9</v>
      </c>
      <c r="D943">
        <v>2921</v>
      </c>
      <c r="E943">
        <v>0</v>
      </c>
      <c r="F943" t="s">
        <v>284</v>
      </c>
      <c r="G943">
        <v>1</v>
      </c>
      <c r="H943" t="s">
        <v>308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323</v>
      </c>
      <c r="B944" t="s">
        <v>9</v>
      </c>
      <c r="C944">
        <v>9</v>
      </c>
      <c r="D944">
        <v>2840</v>
      </c>
      <c r="E944">
        <v>0</v>
      </c>
      <c r="F944" t="s">
        <v>227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323</v>
      </c>
      <c r="B945" t="s">
        <v>9</v>
      </c>
      <c r="C945">
        <v>9</v>
      </c>
      <c r="D945">
        <v>3444</v>
      </c>
      <c r="E945">
        <v>0</v>
      </c>
      <c r="F945" t="s">
        <v>300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323</v>
      </c>
      <c r="B946" t="s">
        <v>9</v>
      </c>
      <c r="C946">
        <v>9</v>
      </c>
      <c r="D946">
        <v>2844</v>
      </c>
      <c r="E946">
        <v>0</v>
      </c>
      <c r="F946" t="s">
        <v>284</v>
      </c>
      <c r="G946">
        <v>2</v>
      </c>
      <c r="H946" t="s">
        <v>307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323</v>
      </c>
      <c r="B947" t="s">
        <v>9</v>
      </c>
      <c r="C947">
        <v>9</v>
      </c>
      <c r="D947">
        <v>2720</v>
      </c>
      <c r="E947">
        <v>0</v>
      </c>
      <c r="F947" t="s">
        <v>284</v>
      </c>
      <c r="G947">
        <v>4</v>
      </c>
      <c r="H947" t="s">
        <v>306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323</v>
      </c>
      <c r="B948" t="s">
        <v>9</v>
      </c>
      <c r="C948">
        <v>9</v>
      </c>
      <c r="D948">
        <v>2990</v>
      </c>
      <c r="E948">
        <v>1</v>
      </c>
      <c r="F948" t="s">
        <v>284</v>
      </c>
      <c r="G948">
        <v>4</v>
      </c>
      <c r="H948" t="s">
        <v>306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323</v>
      </c>
      <c r="B949" t="s">
        <v>9</v>
      </c>
      <c r="C949">
        <v>9</v>
      </c>
      <c r="D949">
        <v>2846</v>
      </c>
      <c r="E949">
        <v>4</v>
      </c>
      <c r="F949" t="s">
        <v>284</v>
      </c>
      <c r="G949">
        <v>1</v>
      </c>
      <c r="H949" t="s">
        <v>307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323</v>
      </c>
      <c r="B950" t="s">
        <v>9</v>
      </c>
      <c r="C950">
        <v>9</v>
      </c>
      <c r="D950">
        <v>2740</v>
      </c>
      <c r="E950">
        <v>1</v>
      </c>
      <c r="F950" t="s">
        <v>300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323</v>
      </c>
      <c r="B951" t="s">
        <v>9</v>
      </c>
      <c r="C951">
        <v>9</v>
      </c>
      <c r="D951">
        <v>2619</v>
      </c>
      <c r="E951">
        <v>2</v>
      </c>
      <c r="F951" t="s">
        <v>284</v>
      </c>
      <c r="G951">
        <v>1</v>
      </c>
      <c r="H951" t="s">
        <v>307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323</v>
      </c>
      <c r="B952" t="s">
        <v>9</v>
      </c>
      <c r="C952">
        <v>9</v>
      </c>
      <c r="D952">
        <v>3000</v>
      </c>
      <c r="E952">
        <v>1</v>
      </c>
      <c r="F952" t="s">
        <v>284</v>
      </c>
      <c r="G952">
        <v>2</v>
      </c>
      <c r="H952" t="s">
        <v>307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323</v>
      </c>
      <c r="B953" t="s">
        <v>9</v>
      </c>
      <c r="C953">
        <v>9</v>
      </c>
      <c r="D953">
        <v>2846</v>
      </c>
      <c r="E953">
        <v>3</v>
      </c>
      <c r="F953" t="s">
        <v>284</v>
      </c>
      <c r="G953">
        <v>4</v>
      </c>
      <c r="H953" t="s">
        <v>306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323</v>
      </c>
      <c r="B954" t="s">
        <v>9</v>
      </c>
      <c r="C954">
        <v>9</v>
      </c>
      <c r="D954">
        <v>2824</v>
      </c>
      <c r="E954">
        <v>2</v>
      </c>
      <c r="F954" t="s">
        <v>300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323</v>
      </c>
      <c r="B955" t="s">
        <v>9</v>
      </c>
      <c r="C955">
        <v>9</v>
      </c>
      <c r="D955">
        <v>3201</v>
      </c>
      <c r="E955">
        <v>0</v>
      </c>
      <c r="F955" t="s">
        <v>284</v>
      </c>
      <c r="G955">
        <v>5</v>
      </c>
      <c r="H955" t="s">
        <v>306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323</v>
      </c>
      <c r="B956" t="s">
        <v>9</v>
      </c>
      <c r="C956">
        <v>9</v>
      </c>
      <c r="D956">
        <v>2638</v>
      </c>
      <c r="E956">
        <v>0</v>
      </c>
      <c r="F956" t="s">
        <v>284</v>
      </c>
      <c r="G956">
        <v>3</v>
      </c>
      <c r="H956" t="s">
        <v>306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323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>
        <v>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323</v>
      </c>
      <c r="B958" t="s">
        <v>9</v>
      </c>
      <c r="C958">
        <v>9</v>
      </c>
      <c r="D958">
        <v>2399</v>
      </c>
      <c r="E958">
        <v>0</v>
      </c>
      <c r="F958" t="s">
        <v>284</v>
      </c>
      <c r="G958">
        <v>3</v>
      </c>
      <c r="H958" t="s">
        <v>308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323</v>
      </c>
      <c r="B959" t="s">
        <v>9</v>
      </c>
      <c r="C959">
        <v>9</v>
      </c>
      <c r="D959">
        <v>3055</v>
      </c>
      <c r="E959">
        <v>1</v>
      </c>
      <c r="F959" t="s">
        <v>284</v>
      </c>
      <c r="G959">
        <v>1</v>
      </c>
      <c r="H959" t="s">
        <v>307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323</v>
      </c>
      <c r="B960" t="s">
        <v>9</v>
      </c>
      <c r="C960">
        <v>9</v>
      </c>
      <c r="D960">
        <v>2841</v>
      </c>
      <c r="E960">
        <v>0</v>
      </c>
      <c r="F960" t="s">
        <v>284</v>
      </c>
      <c r="G960">
        <v>5</v>
      </c>
      <c r="H960" t="s">
        <v>306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323</v>
      </c>
      <c r="B961" t="s">
        <v>9</v>
      </c>
      <c r="C961">
        <v>9</v>
      </c>
      <c r="D961">
        <v>2937</v>
      </c>
      <c r="E961">
        <v>0</v>
      </c>
      <c r="F961" t="s">
        <v>249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323</v>
      </c>
      <c r="B962" t="s">
        <v>9</v>
      </c>
      <c r="C962">
        <v>9</v>
      </c>
      <c r="D962">
        <v>2426</v>
      </c>
      <c r="E962">
        <v>0</v>
      </c>
      <c r="F962" t="s">
        <v>284</v>
      </c>
      <c r="G962">
        <v>1</v>
      </c>
      <c r="H962" t="s">
        <v>308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323</v>
      </c>
      <c r="B963" t="s">
        <v>9</v>
      </c>
      <c r="C963">
        <v>9</v>
      </c>
      <c r="D963">
        <v>2552</v>
      </c>
      <c r="E963">
        <v>1</v>
      </c>
      <c r="F963" t="s">
        <v>284</v>
      </c>
      <c r="G963">
        <v>3</v>
      </c>
      <c r="H963" t="s">
        <v>307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323</v>
      </c>
      <c r="B964" t="s">
        <v>9</v>
      </c>
      <c r="C964">
        <v>9</v>
      </c>
      <c r="D964">
        <v>2771</v>
      </c>
      <c r="E964">
        <v>2</v>
      </c>
      <c r="F964" t="s">
        <v>284</v>
      </c>
      <c r="G964">
        <v>1</v>
      </c>
      <c r="H964" t="s">
        <v>307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323</v>
      </c>
      <c r="B965" t="s">
        <v>9</v>
      </c>
      <c r="C965">
        <v>9</v>
      </c>
      <c r="D965">
        <v>2652</v>
      </c>
      <c r="E965">
        <v>2</v>
      </c>
      <c r="F965" t="s">
        <v>284</v>
      </c>
      <c r="G965">
        <v>4</v>
      </c>
      <c r="H965" t="s">
        <v>306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323</v>
      </c>
      <c r="B966" t="s">
        <v>9</v>
      </c>
      <c r="C966">
        <v>9</v>
      </c>
      <c r="D966">
        <v>2708</v>
      </c>
      <c r="E966">
        <v>0</v>
      </c>
      <c r="F966" t="s">
        <v>284</v>
      </c>
      <c r="G966">
        <v>1</v>
      </c>
      <c r="H966" t="s">
        <v>308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323</v>
      </c>
      <c r="B967" t="s">
        <v>9</v>
      </c>
      <c r="C967">
        <v>9</v>
      </c>
      <c r="D967">
        <v>2684</v>
      </c>
      <c r="E967">
        <v>1</v>
      </c>
      <c r="F967" t="s">
        <v>284</v>
      </c>
      <c r="G967">
        <v>1</v>
      </c>
      <c r="H967" t="s">
        <v>308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323</v>
      </c>
      <c r="B968" t="s">
        <v>9</v>
      </c>
      <c r="C968">
        <v>9</v>
      </c>
      <c r="D968">
        <v>3108</v>
      </c>
      <c r="E968">
        <v>3</v>
      </c>
      <c r="F968" t="s">
        <v>284</v>
      </c>
      <c r="G968">
        <v>4</v>
      </c>
      <c r="H968" t="s">
        <v>306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323</v>
      </c>
      <c r="B969" t="s">
        <v>9</v>
      </c>
      <c r="C969">
        <v>9</v>
      </c>
      <c r="D969">
        <v>2839</v>
      </c>
      <c r="E969">
        <v>1</v>
      </c>
      <c r="F969" t="s">
        <v>284</v>
      </c>
      <c r="G969">
        <v>1</v>
      </c>
      <c r="H969" t="s">
        <v>308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62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62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62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62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62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>
        <v>1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62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62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62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62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>
        <v>1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0</v>
      </c>
    </row>
    <row r="979" spans="1:12">
      <c r="A979" t="s">
        <v>62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>
        <v>1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>
        <v>1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>
        <v>1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62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>
        <v>1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286</v>
      </c>
      <c r="G989">
        <v>5</v>
      </c>
      <c r="H989" t="s">
        <v>306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190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J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0</v>
      </c>
    </row>
    <row r="993" spans="10:12">
      <c r="J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0:12"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0</v>
      </c>
    </row>
    <row r="995" spans="10:12">
      <c r="J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0:12"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0</v>
      </c>
    </row>
    <row r="997" spans="10:12">
      <c r="J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0:12">
      <c r="J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0:12">
      <c r="J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0:12">
      <c r="J1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0:12">
      <c r="J10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0:12">
      <c r="J10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0:12">
      <c r="J10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0:12"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0</v>
      </c>
    </row>
    <row r="1005" spans="10:12"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0</v>
      </c>
    </row>
    <row r="1006" spans="10:12">
      <c r="J10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0:12">
      <c r="J10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0:12">
      <c r="J10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0:12"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0</v>
      </c>
    </row>
    <row r="1010" spans="10:12">
      <c r="J10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0:12">
      <c r="J10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0:12">
      <c r="J10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0:12">
      <c r="J10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0:12">
      <c r="J10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0:12">
      <c r="J10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0:12"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0:12"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0</v>
      </c>
      <c r="L1017" s="49">
        <f>IFERROR(SUMIFS(Tabela10[Exp Gain only 2*+],Tabela10[Drop],DropAnalityka[[#This Row],[Drop]],Tabela10[Grade],DropAnalityka[[#This Row],[Grade]])*DropAnalityka[[#This Row],[Quality/Quantity]],0)</f>
        <v>0</v>
      </c>
    </row>
    <row r="1018" spans="10:12">
      <c r="J10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0:12"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0</v>
      </c>
    </row>
    <row r="1020" spans="10:12"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0:12"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0:12"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0</v>
      </c>
    </row>
    <row r="1023" spans="10:12">
      <c r="J10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0:12"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0</v>
      </c>
    </row>
    <row r="1025" spans="10:12"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0</v>
      </c>
    </row>
    <row r="1026" spans="10:12">
      <c r="J10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0:12">
      <c r="J10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0:12"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0</v>
      </c>
    </row>
    <row r="1029" spans="10:12"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0</v>
      </c>
    </row>
    <row r="1030" spans="10:12"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0</v>
      </c>
    </row>
    <row r="1031" spans="10:12">
      <c r="J10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0:12"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0</v>
      </c>
    </row>
    <row r="1033" spans="10:12">
      <c r="J10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0:12">
      <c r="J10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0:12"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0</v>
      </c>
    </row>
    <row r="1036" spans="10:12">
      <c r="J10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0:12">
      <c r="J10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0:12"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0</v>
      </c>
    </row>
    <row r="1039" spans="10:12"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</row>
    <row r="1040" spans="10:12"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0</v>
      </c>
    </row>
    <row r="1041" spans="10:12"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0</v>
      </c>
    </row>
    <row r="1042" spans="10:12">
      <c r="J10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0:12">
      <c r="J10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0:12">
      <c r="J10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0:12">
      <c r="J10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0:12">
      <c r="J10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0:12">
      <c r="J10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0:12"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0:12"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0:12">
      <c r="J10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0:12"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0</v>
      </c>
    </row>
    <row r="1052" spans="10:12">
      <c r="J10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0:12">
      <c r="J10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0:12">
      <c r="J10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0:12"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0</v>
      </c>
    </row>
    <row r="1056" spans="10:12"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0</v>
      </c>
    </row>
    <row r="1057" spans="10:12"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0</v>
      </c>
    </row>
    <row r="1058" spans="10:12">
      <c r="J10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0:12">
      <c r="J10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0:12">
      <c r="J10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0:12">
      <c r="J10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0:12"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0</v>
      </c>
    </row>
    <row r="1063" spans="10:12">
      <c r="J10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0:12">
      <c r="J10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0:12"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0:12"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0:12"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0:12"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0:12"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0:12"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0:12"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0:12"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0:12"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0:12"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0:12"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0:12"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0:12"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0:12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0:12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0:12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0:12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0:12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0:12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0:12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0:12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0:12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0:12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0:12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zoomScale="85" zoomScaleNormal="85" workbookViewId="0">
      <selection activeCell="M11" sqref="M11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57" t="s">
        <v>254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9"/>
    </row>
    <row r="3" spans="1:16" ht="15">
      <c r="A3" s="37" t="s">
        <v>232</v>
      </c>
      <c r="B3" s="36" t="s">
        <v>247</v>
      </c>
      <c r="C3" s="36" t="s">
        <v>253</v>
      </c>
      <c r="D3" s="36" t="s">
        <v>237</v>
      </c>
      <c r="E3" s="36" t="s">
        <v>247</v>
      </c>
      <c r="F3" s="36" t="s">
        <v>253</v>
      </c>
      <c r="G3" s="36" t="s">
        <v>242</v>
      </c>
      <c r="H3" s="36" t="s">
        <v>247</v>
      </c>
      <c r="I3" s="36" t="s">
        <v>253</v>
      </c>
      <c r="J3" s="57"/>
      <c r="K3" s="36" t="s">
        <v>247</v>
      </c>
      <c r="L3" s="58" t="s">
        <v>253</v>
      </c>
    </row>
    <row r="4" spans="1:16">
      <c r="A4" s="5" t="s">
        <v>235</v>
      </c>
      <c r="B4" s="6" t="s">
        <v>248</v>
      </c>
      <c r="C4" s="6" t="s">
        <v>225</v>
      </c>
      <c r="D4" s="6" t="s">
        <v>238</v>
      </c>
      <c r="E4" s="6" t="s">
        <v>248</v>
      </c>
      <c r="F4" s="6"/>
      <c r="G4" s="6" t="s">
        <v>243</v>
      </c>
      <c r="H4" s="6" t="s">
        <v>248</v>
      </c>
      <c r="I4" s="62" t="s">
        <v>225</v>
      </c>
      <c r="J4" s="59" t="s">
        <v>251</v>
      </c>
      <c r="K4" s="59" t="s">
        <v>34</v>
      </c>
      <c r="L4" s="60" t="s">
        <v>225</v>
      </c>
    </row>
    <row r="5" spans="1:16">
      <c r="A5" s="5" t="s">
        <v>234</v>
      </c>
      <c r="B5" s="6" t="s">
        <v>249</v>
      </c>
      <c r="C5" s="6" t="s">
        <v>225</v>
      </c>
      <c r="D5" s="6" t="s">
        <v>239</v>
      </c>
      <c r="E5" s="6" t="s">
        <v>249</v>
      </c>
      <c r="F5" s="62" t="s">
        <v>225</v>
      </c>
      <c r="G5" s="6" t="s">
        <v>244</v>
      </c>
      <c r="H5" s="6" t="s">
        <v>34</v>
      </c>
      <c r="I5" s="6" t="s">
        <v>225</v>
      </c>
      <c r="J5" s="6"/>
      <c r="K5" s="6"/>
      <c r="L5" s="61"/>
    </row>
    <row r="6" spans="1:16">
      <c r="A6" s="5" t="s">
        <v>233</v>
      </c>
      <c r="B6" s="6" t="s">
        <v>249</v>
      </c>
      <c r="C6" s="62" t="s">
        <v>225</v>
      </c>
      <c r="D6" s="6" t="s">
        <v>240</v>
      </c>
      <c r="E6" s="6" t="s">
        <v>249</v>
      </c>
      <c r="F6" s="6" t="s">
        <v>225</v>
      </c>
      <c r="G6" s="6" t="s">
        <v>245</v>
      </c>
      <c r="H6" s="6" t="s">
        <v>248</v>
      </c>
      <c r="I6" s="62" t="s">
        <v>225</v>
      </c>
      <c r="J6" s="6"/>
      <c r="K6" s="6"/>
      <c r="L6" s="61"/>
    </row>
    <row r="7" spans="1:16" ht="15" thickBot="1">
      <c r="A7" s="7" t="s">
        <v>236</v>
      </c>
      <c r="B7" s="8" t="s">
        <v>252</v>
      </c>
      <c r="C7" s="8" t="s">
        <v>225</v>
      </c>
      <c r="D7" s="8" t="s">
        <v>241</v>
      </c>
      <c r="E7" s="8" t="s">
        <v>250</v>
      </c>
      <c r="F7" s="8" t="s">
        <v>225</v>
      </c>
      <c r="G7" s="8" t="s">
        <v>246</v>
      </c>
      <c r="H7" s="8" t="s">
        <v>250</v>
      </c>
      <c r="I7" s="8" t="s">
        <v>225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0" t="s">
        <v>255</v>
      </c>
      <c r="E9" s="161"/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2"/>
    </row>
    <row r="10" spans="1:16" ht="15">
      <c r="A10" s="37" t="s">
        <v>256</v>
      </c>
      <c r="B10" s="36" t="s">
        <v>247</v>
      </c>
      <c r="C10" s="36" t="s">
        <v>253</v>
      </c>
      <c r="D10" s="72" t="s">
        <v>257</v>
      </c>
      <c r="E10" s="71" t="s">
        <v>247</v>
      </c>
      <c r="F10" s="71" t="s">
        <v>253</v>
      </c>
      <c r="G10" s="71" t="s">
        <v>258</v>
      </c>
      <c r="H10" s="71" t="s">
        <v>247</v>
      </c>
      <c r="I10" s="71" t="s">
        <v>253</v>
      </c>
      <c r="J10" s="71" t="s">
        <v>202</v>
      </c>
      <c r="K10" s="71"/>
      <c r="L10" s="71" t="s">
        <v>247</v>
      </c>
      <c r="M10" s="71" t="s">
        <v>253</v>
      </c>
      <c r="N10" s="65"/>
      <c r="O10" s="71" t="s">
        <v>247</v>
      </c>
      <c r="P10" s="73" t="s">
        <v>253</v>
      </c>
    </row>
    <row r="11" spans="1:16">
      <c r="A11" s="5" t="s">
        <v>272</v>
      </c>
      <c r="B11" s="6" t="s">
        <v>249</v>
      </c>
      <c r="C11" s="74" t="s">
        <v>225</v>
      </c>
      <c r="D11" s="69" t="s">
        <v>259</v>
      </c>
      <c r="E11" s="65" t="s">
        <v>249</v>
      </c>
      <c r="F11" s="65" t="s">
        <v>225</v>
      </c>
      <c r="G11" s="65" t="s">
        <v>263</v>
      </c>
      <c r="H11" s="65" t="s">
        <v>34</v>
      </c>
      <c r="I11" s="65" t="s">
        <v>225</v>
      </c>
      <c r="J11" s="65" t="s">
        <v>267</v>
      </c>
      <c r="K11" s="65"/>
      <c r="L11" s="65" t="s">
        <v>34</v>
      </c>
      <c r="M11" s="65"/>
      <c r="N11" s="65" t="s">
        <v>271</v>
      </c>
      <c r="O11" s="65"/>
      <c r="P11" s="66" t="s">
        <v>225</v>
      </c>
    </row>
    <row r="12" spans="1:16">
      <c r="A12" s="5" t="s">
        <v>273</v>
      </c>
      <c r="B12" s="6" t="s">
        <v>34</v>
      </c>
      <c r="C12" s="74" t="s">
        <v>225</v>
      </c>
      <c r="D12" s="69" t="s">
        <v>260</v>
      </c>
      <c r="E12" s="65" t="s">
        <v>34</v>
      </c>
      <c r="F12" s="65" t="s">
        <v>225</v>
      </c>
      <c r="G12" s="65" t="s">
        <v>264</v>
      </c>
      <c r="H12" s="65" t="s">
        <v>248</v>
      </c>
      <c r="I12" s="65" t="s">
        <v>225</v>
      </c>
      <c r="J12" s="65" t="s">
        <v>268</v>
      </c>
      <c r="K12" s="65"/>
      <c r="L12" s="65" t="s">
        <v>248</v>
      </c>
      <c r="M12" s="65" t="s">
        <v>225</v>
      </c>
      <c r="N12" s="65"/>
      <c r="O12" s="65"/>
      <c r="P12" s="66"/>
    </row>
    <row r="13" spans="1:16">
      <c r="A13" s="5" t="s">
        <v>274</v>
      </c>
      <c r="B13" s="6" t="s">
        <v>249</v>
      </c>
      <c r="C13" s="74" t="s">
        <v>225</v>
      </c>
      <c r="D13" s="69" t="s">
        <v>261</v>
      </c>
      <c r="E13" s="65" t="s">
        <v>249</v>
      </c>
      <c r="F13" s="65" t="s">
        <v>225</v>
      </c>
      <c r="G13" s="65" t="s">
        <v>265</v>
      </c>
      <c r="H13" s="65" t="s">
        <v>249</v>
      </c>
      <c r="I13" s="65" t="s">
        <v>225</v>
      </c>
      <c r="J13" s="65" t="s">
        <v>269</v>
      </c>
      <c r="K13" s="65"/>
      <c r="L13" s="65" t="s">
        <v>248</v>
      </c>
      <c r="M13" s="65" t="s">
        <v>225</v>
      </c>
      <c r="N13" s="65"/>
      <c r="O13" s="65"/>
      <c r="P13" s="66"/>
    </row>
    <row r="14" spans="1:16" ht="15" thickBot="1">
      <c r="A14" s="7" t="s">
        <v>275</v>
      </c>
      <c r="B14" s="8" t="s">
        <v>248</v>
      </c>
      <c r="C14" s="75" t="s">
        <v>225</v>
      </c>
      <c r="D14" s="70" t="s">
        <v>262</v>
      </c>
      <c r="E14" s="67" t="s">
        <v>276</v>
      </c>
      <c r="F14" s="67" t="s">
        <v>225</v>
      </c>
      <c r="G14" s="67" t="s">
        <v>266</v>
      </c>
      <c r="H14" s="67" t="s">
        <v>276</v>
      </c>
      <c r="I14" s="67" t="s">
        <v>225</v>
      </c>
      <c r="J14" s="67" t="s">
        <v>270</v>
      </c>
      <c r="K14" s="67"/>
      <c r="L14" s="67" t="s">
        <v>276</v>
      </c>
      <c r="M14" s="67" t="s">
        <v>225</v>
      </c>
      <c r="N14" s="67"/>
      <c r="O14" s="67"/>
      <c r="P14" s="68"/>
    </row>
    <row r="17" spans="1:20" ht="15" thickBot="1"/>
    <row r="18" spans="1:20" ht="15" thickBot="1">
      <c r="F18" s="163" t="s">
        <v>283</v>
      </c>
      <c r="G18" s="164"/>
      <c r="H18" s="165"/>
      <c r="I18" s="166" t="s">
        <v>284</v>
      </c>
      <c r="J18" s="167"/>
      <c r="K18" s="168"/>
      <c r="L18" s="169" t="s">
        <v>18</v>
      </c>
      <c r="M18" s="170"/>
      <c r="N18" s="171"/>
      <c r="O18" s="172" t="s">
        <v>286</v>
      </c>
      <c r="P18" s="173"/>
      <c r="Q18" s="174"/>
      <c r="R18" s="154" t="s">
        <v>285</v>
      </c>
      <c r="S18" s="155"/>
      <c r="T18" s="156"/>
    </row>
    <row r="19" spans="1:20" ht="15.75" thickBot="1">
      <c r="C19" s="37" t="s">
        <v>279</v>
      </c>
      <c r="D19" s="36" t="s">
        <v>280</v>
      </c>
      <c r="E19" s="58" t="s">
        <v>281</v>
      </c>
      <c r="F19" s="91" t="s">
        <v>287</v>
      </c>
      <c r="G19" s="92" t="s">
        <v>317</v>
      </c>
      <c r="H19" s="93" t="s">
        <v>288</v>
      </c>
      <c r="I19" s="99" t="s">
        <v>287</v>
      </c>
      <c r="J19" s="100" t="s">
        <v>317</v>
      </c>
      <c r="K19" s="101" t="s">
        <v>288</v>
      </c>
      <c r="L19" s="107" t="s">
        <v>287</v>
      </c>
      <c r="M19" s="108" t="s">
        <v>317</v>
      </c>
      <c r="N19" s="109" t="s">
        <v>288</v>
      </c>
      <c r="O19" s="125" t="s">
        <v>287</v>
      </c>
      <c r="P19" s="126" t="s">
        <v>317</v>
      </c>
      <c r="Q19" s="127" t="s">
        <v>288</v>
      </c>
      <c r="R19" s="115" t="s">
        <v>287</v>
      </c>
      <c r="S19" s="116" t="s">
        <v>317</v>
      </c>
      <c r="T19" s="117" t="s">
        <v>288</v>
      </c>
    </row>
    <row r="20" spans="1:20" ht="15">
      <c r="A20" s="76" t="s">
        <v>282</v>
      </c>
      <c r="B20" s="81" t="s">
        <v>257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282</v>
      </c>
      <c r="B21" s="82" t="s">
        <v>259</v>
      </c>
      <c r="C21" s="5" t="s">
        <v>225</v>
      </c>
      <c r="D21" s="82" t="s">
        <v>291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282</v>
      </c>
      <c r="B22" s="82" t="s">
        <v>260</v>
      </c>
      <c r="C22" s="5" t="s">
        <v>225</v>
      </c>
      <c r="D22" s="82" t="s">
        <v>291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282</v>
      </c>
      <c r="B23" s="82" t="s">
        <v>261</v>
      </c>
      <c r="C23" s="5" t="s">
        <v>225</v>
      </c>
      <c r="D23" s="82" t="s">
        <v>291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282</v>
      </c>
      <c r="B24" s="83" t="s">
        <v>262</v>
      </c>
      <c r="C24" s="5" t="s">
        <v>225</v>
      </c>
      <c r="D24" s="5" t="s">
        <v>225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282</v>
      </c>
      <c r="B25" s="81" t="s">
        <v>258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282</v>
      </c>
      <c r="B26" s="82" t="s">
        <v>263</v>
      </c>
      <c r="C26" s="5" t="s">
        <v>225</v>
      </c>
      <c r="D26" s="82" t="s">
        <v>292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282</v>
      </c>
      <c r="B27" s="82" t="s">
        <v>264</v>
      </c>
      <c r="C27" s="5" t="s">
        <v>225</v>
      </c>
      <c r="D27" s="82" t="s">
        <v>292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282</v>
      </c>
      <c r="B28" s="82" t="s">
        <v>265</v>
      </c>
      <c r="C28" s="5" t="s">
        <v>225</v>
      </c>
      <c r="D28" s="82" t="s">
        <v>292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282</v>
      </c>
      <c r="B29" s="83" t="s">
        <v>266</v>
      </c>
      <c r="C29" s="5" t="s">
        <v>225</v>
      </c>
      <c r="D29" s="5" t="s">
        <v>225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282</v>
      </c>
      <c r="B30" s="81" t="s">
        <v>202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282</v>
      </c>
      <c r="B31" s="148" t="s">
        <v>267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282</v>
      </c>
      <c r="B32" s="82" t="s">
        <v>268</v>
      </c>
      <c r="C32" s="5" t="s">
        <v>225</v>
      </c>
      <c r="D32" s="82" t="s">
        <v>292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282</v>
      </c>
      <c r="B33" s="82" t="s">
        <v>269</v>
      </c>
      <c r="C33" s="5" t="s">
        <v>225</v>
      </c>
      <c r="D33" s="82" t="s">
        <v>292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282</v>
      </c>
      <c r="B34" s="83" t="s">
        <v>270</v>
      </c>
      <c r="C34" s="5" t="s">
        <v>225</v>
      </c>
      <c r="D34" s="5" t="s">
        <v>225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282</v>
      </c>
      <c r="B35" s="84" t="s">
        <v>271</v>
      </c>
      <c r="C35" s="7" t="s">
        <v>225</v>
      </c>
      <c r="D35" s="83" t="s">
        <v>292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289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290</v>
      </c>
      <c r="F37" s="95">
        <v>258</v>
      </c>
      <c r="G37" s="95">
        <v>61</v>
      </c>
      <c r="H37" s="95">
        <v>27</v>
      </c>
      <c r="I37" s="103">
        <v>107</v>
      </c>
      <c r="J37" s="103">
        <v>57</v>
      </c>
      <c r="K37" s="103">
        <v>29</v>
      </c>
      <c r="L37" s="111">
        <v>53</v>
      </c>
      <c r="M37" s="111">
        <v>23</v>
      </c>
      <c r="N37" s="111">
        <v>12</v>
      </c>
      <c r="O37" s="129">
        <v>159</v>
      </c>
      <c r="P37" s="129">
        <v>34</v>
      </c>
      <c r="Q37" s="129">
        <v>21</v>
      </c>
      <c r="R37" s="119">
        <v>19</v>
      </c>
      <c r="S37" s="119">
        <v>16</v>
      </c>
      <c r="T37" s="120">
        <v>5</v>
      </c>
    </row>
    <row r="38" spans="1:21" ht="15.75" thickBot="1">
      <c r="E38" s="86" t="s">
        <v>131</v>
      </c>
      <c r="F38" s="98">
        <f>MAXA(F36-F37,0)</f>
        <v>0</v>
      </c>
      <c r="G38" s="98">
        <f t="shared" ref="G38:T38" si="1">MAXA(G36-G37,0)</f>
        <v>4</v>
      </c>
      <c r="H38" s="98">
        <f t="shared" si="1"/>
        <v>0</v>
      </c>
      <c r="I38" s="106">
        <f t="shared" si="1"/>
        <v>0</v>
      </c>
      <c r="J38" s="106">
        <f t="shared" si="1"/>
        <v>8</v>
      </c>
      <c r="K38" s="106">
        <f t="shared" si="1"/>
        <v>0</v>
      </c>
      <c r="L38" s="114">
        <f t="shared" si="1"/>
        <v>0</v>
      </c>
      <c r="M38" s="114">
        <f t="shared" si="1"/>
        <v>42</v>
      </c>
      <c r="N38" s="114">
        <f t="shared" si="1"/>
        <v>13</v>
      </c>
      <c r="O38" s="132">
        <f t="shared" si="1"/>
        <v>0</v>
      </c>
      <c r="P38" s="132">
        <f t="shared" si="1"/>
        <v>98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2" t="s">
        <v>319</v>
      </c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3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7.1044776119402986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14.208955223880597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74.597014925373131</v>
      </c>
      <c r="N40" s="136">
        <f>N$38/VLOOKUP(N$19,Tabela11[#All],6,FALSE)</f>
        <v>48.34375</v>
      </c>
      <c r="O40" s="136">
        <f>O$38/VLOOKUP(O$19,Tabela11[#All],6,FALSE)</f>
        <v>0</v>
      </c>
      <c r="P40" s="136">
        <f>P$38/VLOOKUP(P$19,Tabela11[#All],6,FALSE)</f>
        <v>174.0597014925373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18.285714285714285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36.571428571428569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192</v>
      </c>
      <c r="N41" s="136">
        <f>N$38/VLOOKUP(N$19,Tabela11[#All],5,FALSE)</f>
        <v>59.428571428571431</v>
      </c>
      <c r="O41" s="136">
        <f>O$38/VLOOKUP(O$19,Tabela11[#All],5,FALSE)</f>
        <v>0</v>
      </c>
      <c r="P41" s="136">
        <f>P$38/VLOOKUP(P$19,Tabela11[#All],5,FALSE)</f>
        <v>448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7.243243243243243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14.486486486486486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76.054054054054049</v>
      </c>
      <c r="N42" s="138">
        <f>N$38/VLOOKUP(N$19,Tabela11[#All],4,FALSE)</f>
        <v>96.777777777777771</v>
      </c>
      <c r="O42" s="138">
        <f>O$38/VLOOKUP(O$19,Tabela11[#All],4,FALSE)</f>
        <v>0</v>
      </c>
      <c r="P42" s="138">
        <f>P$38/VLOOKUP(P$19,Tabela11[#All],4,FALSE)</f>
        <v>177.45945945945945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49" t="s">
        <v>318</v>
      </c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1"/>
      <c r="U44" s="140" t="s">
        <v>320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44.189850746268654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88.379701492537308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463.99343283582084</v>
      </c>
      <c r="N45" s="144">
        <f>N$38/VLOOKUP(N$19,Tabela11[#All],6,FALSE)*(7-12*0.065)</f>
        <v>300.698125</v>
      </c>
      <c r="O45" s="144">
        <f>O$38/VLOOKUP(O$19,Tabela11[#All],6,FALSE)*(7-12*0.065)</f>
        <v>0</v>
      </c>
      <c r="P45" s="144">
        <f>P$38/VLOOKUP(P$19,Tabela11[#All],6,FALSE)*(7-12*0.065)</f>
        <v>1082.651343283582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1679.2143283582088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113.73714285714284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227.47428571428568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1194.24</v>
      </c>
      <c r="N46" s="144">
        <f>N$38/VLOOKUP(N$19,Tabela11[#All],5,FALSE)*(7-12*0.065)</f>
        <v>369.64571428571429</v>
      </c>
      <c r="O46" s="144">
        <f>O$38/VLOOKUP(O$19,Tabela11[#All],5,FALSE)*(7-12*0.065)</f>
        <v>0</v>
      </c>
      <c r="P46" s="144">
        <f>P$38/VLOOKUP(P$19,Tabela11[#All],5,FALSE)*(7-12*0.065)</f>
        <v>2786.56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4322.011428571428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37.809729729729725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75.619459459459449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397.00216216216211</v>
      </c>
      <c r="N47" s="146">
        <f>N$38/VLOOKUP(N$19,Tabela11[#All],4,FALSE)*(6-12*0.065)</f>
        <v>505.17999999999995</v>
      </c>
      <c r="O47" s="146">
        <f>O$38/VLOOKUP(O$19,Tabela11[#All],4,FALSE)*(6-12*0.065)</f>
        <v>0</v>
      </c>
      <c r="P47" s="146">
        <f>P$38/VLOOKUP(P$19,Tabela11[#All],4,FALSE)*(6-12*0.065)</f>
        <v>926.33837837837825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1544.9475675675674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5"/>
  <sheetViews>
    <sheetView workbookViewId="0">
      <selection activeCell="A2" sqref="A2:C2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194</v>
      </c>
      <c r="J1" s="85" t="s">
        <v>22</v>
      </c>
      <c r="K1" s="85" t="s">
        <v>57</v>
      </c>
      <c r="L1" s="85" t="s">
        <v>56</v>
      </c>
      <c r="M1" s="85" t="s">
        <v>198</v>
      </c>
      <c r="N1" s="85" t="s">
        <v>195</v>
      </c>
      <c r="O1" s="85" t="s">
        <v>200</v>
      </c>
      <c r="P1" s="85" t="s">
        <v>24</v>
      </c>
      <c r="Q1" s="85" t="s">
        <v>277</v>
      </c>
      <c r="R1" s="85" t="s">
        <v>293</v>
      </c>
      <c r="S1" s="85" t="s">
        <v>145</v>
      </c>
      <c r="T1" s="85" t="s">
        <v>144</v>
      </c>
      <c r="U1" t="s">
        <v>147</v>
      </c>
      <c r="V1" t="s">
        <v>148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4413.1379310344828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0</v>
      </c>
      <c r="N2" s="56">
        <f>LocFeatures[[#This Row],[Drop worth gain]]/(LocFeatures[[#This Row],[E. Cost]]-LocFeatures[[#This Row],[Energy gain]])</f>
        <v>1391.0978260869565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1255.8260869565217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5047.6931438127094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0</v>
      </c>
      <c r="N3" s="56">
        <f>LocFeatures[[#This Row],[Drop worth gain]]/(LocFeatures[[#This Row],[E. Cost]]-LocFeatures[[#This Row],[Energy gain]])</f>
        <v>1792.2906403940885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1133.5566502463053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190</v>
      </c>
      <c r="B4" s="10" t="s">
        <v>9</v>
      </c>
      <c r="C4" s="10">
        <v>5</v>
      </c>
      <c r="D4" s="10">
        <v>6</v>
      </c>
      <c r="E4" s="10">
        <v>605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4" s="19">
        <f>AVERAGEIFS(DropAnalityka[Energy Drop],DropAnalityka[Location],LocFeatures[[#This Row],[Location]],DropAnalityka[LVL],LocFeatures[[#This Row],[LVL]],DropAnalityka[Stage],LocFeatures[[#This Row],[Stage]])</f>
        <v>1.75</v>
      </c>
      <c r="K4" s="10">
        <f>5*LocFeatures[[#This Row],[XP Gain per member]]</f>
        <v>3025</v>
      </c>
      <c r="L4">
        <f>3*LocFeatures[[#This Row],[XP Gain per member]]</f>
        <v>1815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1739.8823529411766</v>
      </c>
      <c r="O4" s="56">
        <f>LocFeatures[[#This Row],[XP Train Gain]]/(LocFeatures[[#This Row],[E. Cost]]-LocFeatures[[#This Row],[Energy gain]])</f>
        <v>427.05882352941177</v>
      </c>
      <c r="P4" s="56">
        <f>(LocFeatures[[#This Row],[XP Train Gain]]+LocFeatures[[#This Row],[XP drop]])/(LocFeatures[[#This Row],[E. Cost]]-LocFeatures[[#This Row],[Energy gain]])</f>
        <v>427.05882352941177</v>
      </c>
      <c r="Q4" s="53">
        <f>COUNTIFS(DropAnalityka[Location],LocFeatures[[#This Row],[Location]],DropAnalityka[LVL],LocFeatures[[#This Row],[LVL]],DropAnalityka[Stage],LocFeatures[[#This Row],[Stage]])</f>
        <v>16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4742.6588235294112</v>
      </c>
      <c r="S4"/>
      <c r="T4"/>
      <c r="U4"/>
      <c r="V4"/>
    </row>
    <row r="5" spans="1:22" s="10" customFormat="1">
      <c r="A5" s="10" t="s">
        <v>62</v>
      </c>
      <c r="B5" s="10" t="s">
        <v>9</v>
      </c>
      <c r="C5" s="10">
        <v>2</v>
      </c>
      <c r="D5" s="10">
        <v>3</v>
      </c>
      <c r="E5" s="10">
        <v>804</v>
      </c>
      <c r="F5" s="10">
        <v>13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6">
        <f>AVERAGEIFS(DropAnalityka[Exp Gain],DropAnalityka[Location],LocFeatures[[#This Row],[Location]],DropAnalityka[LVL],LocFeatures[[#This Row],[LVL]],DropAnalityka[Stage],LocFeatures[[#This Row],[Stage]])</f>
        <v>0</v>
      </c>
      <c r="N5" s="56">
        <f>LocFeatures[[#This Row],[Drop worth gain]]/(LocFeatures[[#This Row],[E. Cost]]-LocFeatures[[#This Row],[Energy gain]])</f>
        <v>1130.6666666666667</v>
      </c>
      <c r="O5" s="56">
        <f>LocFeatures[[#This Row],[XP Train Gain]]/(LocFeatures[[#This Row],[E. Cost]]-LocFeatures[[#This Row],[Energy gain]])</f>
        <v>804</v>
      </c>
      <c r="P5" s="56">
        <f>(LocFeatures[[#This Row],[XP Train Gain]]+LocFeatures[[#This Row],[XP drop]])/(LocFeatures[[#This Row],[E. Cost]]-LocFeatures[[#This Row],[Energy gain]])</f>
        <v>804</v>
      </c>
      <c r="Q5" s="53">
        <f>COUNTIFS(DropAnalityka[Location],LocFeatures[[#This Row],[Location]],DropAnalityka[LVL],LocFeatures[[#This Row],[LVL]],DropAnalityka[Stage],LocFeatures[[#This Row],[Stage]])</f>
        <v>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0</v>
      </c>
      <c r="N6" s="56">
        <f>LocFeatures[[#This Row],[Drop worth gain]]/(LocFeatures[[#This Row],[E. Cost]]-LocFeatures[[#This Row],[Energy gain]])</f>
        <v>1518.4476744186045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1068.0697674418604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833.06976744186045</v>
      </c>
      <c r="N7" s="56">
        <f>LocFeatures[[#This Row],[Drop worth gain]]/(LocFeatures[[#This Row],[E. Cost]]-LocFeatures[[#This Row],[Energy gain]])</f>
        <v>1768.050724637681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1452.3623188405797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31</v>
      </c>
      <c r="B8" s="10" t="s">
        <v>30</v>
      </c>
      <c r="C8" s="10">
        <v>11</v>
      </c>
      <c r="D8" s="10">
        <v>4</v>
      </c>
      <c r="E8" s="10">
        <v>1276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4804.5925925925931</v>
      </c>
      <c r="J8" s="19">
        <f>AVERAGEIFS(DropAnalityka[Energy Drop],DropAnalityka[Location],LocFeatures[[#This Row],[Location]],DropAnalityka[LVL],LocFeatures[[#This Row],[LVL]],DropAnalityka[Stage],LocFeatures[[#This Row],[Stage]])</f>
        <v>0.92592592592592593</v>
      </c>
      <c r="K8" s="10">
        <f>4*LocFeatures[[#This Row],[XP Gain per member]]</f>
        <v>5104</v>
      </c>
      <c r="L8">
        <f>3*LocFeatures[[#This Row],[XP Gain per member]]</f>
        <v>3828</v>
      </c>
      <c r="M8" s="56">
        <f>AVERAGEIFS(DropAnalityka[Exp Gain],DropAnalityka[Location],LocFeatures[[#This Row],[Location]],DropAnalityka[LVL],LocFeatures[[#This Row],[LVL]],DropAnalityka[Stage],LocFeatures[[#This Row],[Stage]])</f>
        <v>442.24691358024694</v>
      </c>
      <c r="N8" s="56">
        <f>LocFeatures[[#This Row],[Drop worth gain]]/(LocFeatures[[#This Row],[E. Cost]]-LocFeatures[[#This Row],[Energy gain]])</f>
        <v>1562.9397590361448</v>
      </c>
      <c r="O8" s="56">
        <f>LocFeatures[[#This Row],[XP Train Gain]]/(LocFeatures[[#This Row],[E. Cost]]-LocFeatures[[#This Row],[Energy gain]])</f>
        <v>1245.2530120481929</v>
      </c>
      <c r="P8" s="56">
        <f>(LocFeatures[[#This Row],[XP Train Gain]]+LocFeatures[[#This Row],[XP drop]])/(LocFeatures[[#This Row],[E. Cost]]-LocFeatures[[#This Row],[Energy gain]])</f>
        <v>1389.1164658634539</v>
      </c>
      <c r="Q8" s="49">
        <f>COUNTIFS(DropAnalityka[Location],LocFeatures[[#This Row],[Location]],DropAnalityka[LVL],LocFeatures[[#This Row],[LVL]],DropAnalityka[Stage],LocFeatures[[#This Row],[Stage]])</f>
        <v>81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4683.3210512937821</v>
      </c>
      <c r="S8">
        <v>58</v>
      </c>
      <c r="T8" s="10" t="s">
        <v>278</v>
      </c>
      <c r="U8"/>
      <c r="V8"/>
    </row>
    <row r="9" spans="1:22" s="10" customFormat="1">
      <c r="A9" s="10" t="s">
        <v>62</v>
      </c>
      <c r="B9" s="10" t="s">
        <v>9</v>
      </c>
      <c r="C9" s="10">
        <v>3</v>
      </c>
      <c r="D9" s="10">
        <v>3</v>
      </c>
      <c r="E9" s="10">
        <v>804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6">
        <f>AVERAGEIFS(DropAnalityka[Exp Gain],DropAnalityka[Location],LocFeatures[[#This Row],[Location]],DropAnalityka[LVL],LocFeatures[[#This Row],[LVL]],DropAnalityka[Stage],LocFeatures[[#This Row],[Stage]])</f>
        <v>0</v>
      </c>
      <c r="N9" s="56">
        <f>LocFeatures[[#This Row],[Drop worth gain]]/(LocFeatures[[#This Row],[E. Cost]]-LocFeatures[[#This Row],[Energy gain]])</f>
        <v>988</v>
      </c>
      <c r="O9" s="56">
        <f>LocFeatures[[#This Row],[XP Train Gain]]/(LocFeatures[[#This Row],[E. Cost]]-LocFeatures[[#This Row],[Energy gain]])</f>
        <v>804</v>
      </c>
      <c r="P9" s="56">
        <f>(LocFeatures[[#This Row],[XP Train Gain]]+LocFeatures[[#This Row],[XP drop]])/(LocFeatures[[#This Row],[E. Cost]]-LocFeatures[[#This Row],[Energy gain]])</f>
        <v>804</v>
      </c>
      <c r="Q9" s="53">
        <f>COUNTIFS(DropAnalityka[Location],LocFeatures[[#This Row],[Location]],DropAnalityka[LVL],LocFeatures[[#This Row],[LVL]],DropAnalityka[Stage],LocFeatures[[#This Row],[Stage]])</f>
        <v>2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t="s">
        <v>249</v>
      </c>
      <c r="B10" t="s">
        <v>9</v>
      </c>
      <c r="C10" t="s">
        <v>26</v>
      </c>
      <c r="D10">
        <v>5</v>
      </c>
      <c r="E10">
        <v>0</v>
      </c>
      <c r="F10">
        <v>12</v>
      </c>
      <c r="G10" t="s">
        <v>18</v>
      </c>
      <c r="H10" t="s">
        <v>21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0" s="19">
        <f>AVERAGEIFS(DropAnalityka[Energy Drop],DropAnalityka[Location],LocFeatures[[#This Row],[Location]],DropAnalityka[LVL],LocFeatures[[#This Row],[LVL]],DropAnalityka[Stage],LocFeatures[[#This Row],[Stage]])</f>
        <v>0</v>
      </c>
      <c r="K10">
        <f>4*LocFeatures[[#This Row],[XP Gain per member]]</f>
        <v>0</v>
      </c>
      <c r="L10">
        <f>3*LocFeatures[[#This Row],[XP Gain per member]]</f>
        <v>0</v>
      </c>
      <c r="M10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10" s="56">
        <f>LocFeatures[[#This Row],[Drop worth gain]]/(LocFeatures[[#This Row],[E. Cost]]-LocFeatures[[#This Row],[Energy gain]])</f>
        <v>1846.9</v>
      </c>
      <c r="O10" s="56">
        <f>LocFeatures[[#This Row],[XP Train Gain]]/(LocFeatures[[#This Row],[E. Cost]]-LocFeatures[[#This Row],[Energy gain]])</f>
        <v>0</v>
      </c>
      <c r="P10" s="56">
        <f>(LocFeatures[[#This Row],[XP Train Gain]]+LocFeatures[[#This Row],[XP drop]])/(LocFeatures[[#This Row],[E. Cost]]-LocFeatures[[#This Row],[Energy gain]])</f>
        <v>716.44</v>
      </c>
      <c r="Q10" s="49">
        <f>COUNTIFS(DropAnalityka[Location],LocFeatures[[#This Row],[Location]],DropAnalityka[LVL],LocFeatures[[#This Row],[LVL]],DropAnalityka[Stage],LocFeatures[[#This Row],[Stage]])</f>
        <v>8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0"/>
      <c r="T10"/>
      <c r="U10"/>
      <c r="V10"/>
    </row>
    <row r="11" spans="1:22" s="10" customFormat="1">
      <c r="A11" s="10" t="s">
        <v>8</v>
      </c>
      <c r="B11" s="10" t="s">
        <v>32</v>
      </c>
      <c r="C11" s="10">
        <v>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1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688.88461538461536</v>
      </c>
      <c r="N11" s="56">
        <f>LocFeatures[[#This Row],[Drop worth gain]]/(LocFeatures[[#This Row],[E. Cost]]-LocFeatures[[#This Row],[Energy gain]])</f>
        <v>1097.8548644338116</v>
      </c>
      <c r="O11" s="56">
        <f>LocFeatures[[#This Row],[XP Train Gain]]/(LocFeatures[[#This Row],[E. Cost]]-LocFeatures[[#This Row],[Energy gain]])</f>
        <v>1343.5406698564593</v>
      </c>
      <c r="P11" s="56">
        <f>(LocFeatures[[#This Row],[XP Train Gain]]+LocFeatures[[#This Row],[XP drop]])/(LocFeatures[[#This Row],[E. Cost]]-LocFeatures[[#This Row],[Energy gain]])</f>
        <v>1514.9377990430621</v>
      </c>
      <c r="Q11" s="53">
        <f>COUNTIFS(DropAnalityka[Location],LocFeatures[[#This Row],[Location]],DropAnalityka[LVL],LocFeatures[[#This Row],[LVL]],DropAnalityka[Stage],LocFeatures[[#This Row],[Stage]])</f>
        <v>156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1"/>
    </row>
    <row r="12" spans="1:22" s="10" customFormat="1">
      <c r="A12" s="10" t="s">
        <v>8</v>
      </c>
      <c r="B12" s="10" t="s">
        <v>32</v>
      </c>
      <c r="C12" s="10">
        <v>13</v>
      </c>
      <c r="D12" s="10">
        <v>5</v>
      </c>
      <c r="E12" s="10">
        <v>1800</v>
      </c>
      <c r="F12" s="10">
        <v>12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2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2" s="10">
        <f>4*LocFeatures[[#This Row],[XP Gain per member]]</f>
        <v>7200</v>
      </c>
      <c r="L12">
        <f>3*LocFeatures[[#This Row],[XP Gain per member]]</f>
        <v>5400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916.54666666666662</v>
      </c>
      <c r="O12" s="56">
        <f>LocFeatures[[#This Row],[XP Train Gain]]/(LocFeatures[[#This Row],[E. Cost]]-LocFeatures[[#This Row],[Energy gain]])</f>
        <v>1296</v>
      </c>
      <c r="P12" s="56">
        <f>(LocFeatures[[#This Row],[XP Train Gain]]+LocFeatures[[#This Row],[XP drop]])/(LocFeatures[[#This Row],[E. Cost]]-LocFeatures[[#This Row],[Energy gain]])</f>
        <v>1296</v>
      </c>
      <c r="Q12" s="53">
        <f>COUNTIFS(DropAnalityka[Location],LocFeatures[[#This Row],[Location]],DropAnalityka[LVL],LocFeatures[[#This Row],[LVL]],DropAnalityka[Stage],LocFeatures[[#This Row],[Stage]])</f>
        <v>18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2">
        <v>92</v>
      </c>
      <c r="T12" s="10" t="s">
        <v>278</v>
      </c>
      <c r="U12"/>
      <c r="V12"/>
    </row>
    <row r="13" spans="1:22">
      <c r="A13" t="s">
        <v>8</v>
      </c>
      <c r="B13" t="s">
        <v>9</v>
      </c>
      <c r="C13">
        <v>3</v>
      </c>
      <c r="D13">
        <v>3</v>
      </c>
      <c r="E13">
        <v>642</v>
      </c>
      <c r="F13">
        <v>12</v>
      </c>
      <c r="G13" t="s">
        <v>18</v>
      </c>
      <c r="H13" t="s">
        <v>21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3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3">
        <f>4*LocFeatures[[#This Row],[XP Gain per member]]</f>
        <v>2568</v>
      </c>
      <c r="L13">
        <f>3*LocFeatures[[#This Row],[XP Gain per member]]</f>
        <v>1926</v>
      </c>
      <c r="M13" s="56">
        <f>AVERAGEIFS(DropAnalityka[Exp Gain],DropAnalityka[Location],LocFeatures[[#This Row],[Location]],DropAnalityka[LVL],LocFeatures[[#This Row],[LVL]],DropAnalityka[Stage],LocFeatures[[#This Row],[Stage]])</f>
        <v>0</v>
      </c>
      <c r="N13" s="56">
        <f>LocFeatures[[#This Row],[Drop worth gain]]/(LocFeatures[[#This Row],[E. Cost]]-LocFeatures[[#This Row],[Energy gain]])</f>
        <v>1284.4719101123596</v>
      </c>
      <c r="O13" s="56">
        <f>LocFeatures[[#This Row],[XP Train Gain]]/(LocFeatures[[#This Row],[E. Cost]]-LocFeatures[[#This Row],[Energy gain]])</f>
        <v>887.25842696629206</v>
      </c>
      <c r="P13" s="56">
        <f>(LocFeatures[[#This Row],[XP Train Gain]]+LocFeatures[[#This Row],[XP drop]])/(LocFeatures[[#This Row],[E. Cost]]-LocFeatures[[#This Row],[Energy gain]])</f>
        <v>887.25842696629206</v>
      </c>
      <c r="Q13" s="49">
        <f>COUNTIFS(DropAnalityka[Location],LocFeatures[[#This Row],[Location]],DropAnalityka[LVL],LocFeatures[[#This Row],[LVL]],DropAnalityka[Stage],LocFeatures[[#This Row],[Stage]])</f>
        <v>41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4" spans="1:22">
      <c r="A14" s="10" t="s">
        <v>8</v>
      </c>
      <c r="B14" s="10" t="s">
        <v>30</v>
      </c>
      <c r="C14" s="10">
        <v>3</v>
      </c>
      <c r="D14" s="10">
        <v>4</v>
      </c>
      <c r="E14" s="10">
        <v>1098</v>
      </c>
      <c r="F14" s="10">
        <v>12</v>
      </c>
      <c r="G14" s="10" t="s">
        <v>18</v>
      </c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4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4" s="10">
        <f>4*LocFeatures[[#This Row],[XP Gain per member]]</f>
        <v>4392</v>
      </c>
      <c r="L14">
        <f>3*LocFeatures[[#This Row],[XP Gain per member]]</f>
        <v>3294</v>
      </c>
      <c r="M14" s="56">
        <f>AVERAGEIFS(DropAnalityka[Exp Gain],DropAnalityka[Location],LocFeatures[[#This Row],[Location]],DropAnalityka[LVL],LocFeatures[[#This Row],[LVL]],DropAnalityka[Stage],LocFeatures[[#This Row],[Stage]])</f>
        <v>0</v>
      </c>
      <c r="N14" s="56">
        <f>LocFeatures[[#This Row],[Drop worth gain]]/(LocFeatures[[#This Row],[E. Cost]]-LocFeatures[[#This Row],[Energy gain]])</f>
        <v>1324.3554216867471</v>
      </c>
      <c r="O14" s="56">
        <f>LocFeatures[[#This Row],[XP Train Gain]]/(LocFeatures[[#This Row],[E. Cost]]-LocFeatures[[#This Row],[Energy gain]])</f>
        <v>1051.698795180723</v>
      </c>
      <c r="P14" s="56">
        <f>(LocFeatures[[#This Row],[XP Train Gain]]+LocFeatures[[#This Row],[XP drop]])/(LocFeatures[[#This Row],[E. Cost]]-LocFeatures[[#This Row],[Energy gain]])</f>
        <v>1051.698795180723</v>
      </c>
      <c r="Q14" s="53">
        <f>COUNTIFS(DropAnalityka[Location],LocFeatures[[#This Row],[Location]],DropAnalityka[LVL],LocFeatures[[#This Row],[LVL]],DropAnalityka[Stage],LocFeatures[[#This Row],[Stage]])</f>
        <v>53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4" s="10"/>
      <c r="U14" s="10"/>
      <c r="V14" s="10"/>
    </row>
    <row r="15" spans="1:22">
      <c r="A15" s="10" t="s">
        <v>190</v>
      </c>
      <c r="B15" s="10" t="s">
        <v>9</v>
      </c>
      <c r="C15" s="10">
        <v>6</v>
      </c>
      <c r="D15" s="10">
        <v>7</v>
      </c>
      <c r="E15" s="10">
        <v>760</v>
      </c>
      <c r="F15" s="10"/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5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5" s="10">
        <f>5*LocFeatures[[#This Row],[XP Gain per member]]</f>
        <v>3800</v>
      </c>
      <c r="L15">
        <f>3*LocFeatures[[#This Row],[XP Gain per member]]</f>
        <v>2280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1307.4029850746269</v>
      </c>
      <c r="O15" s="56">
        <f>LocFeatures[[#This Row],[XP Train Gain]]/(LocFeatures[[#This Row],[E. Cost]]-LocFeatures[[#This Row],[Energy gain]])</f>
        <v>374.32835820895525</v>
      </c>
      <c r="P15" s="56">
        <f>(LocFeatures[[#This Row],[XP Train Gain]]+LocFeatures[[#This Row],[XP drop]])/(LocFeatures[[#This Row],[E. Cost]]-LocFeatures[[#This Row],[Energy gain]])</f>
        <v>374.32835820895525</v>
      </c>
      <c r="Q15" s="53">
        <f>COUNTIFS(DropAnalityka[Location],LocFeatures[[#This Row],[Location]],DropAnalityka[LVL],LocFeatures[[#This Row],[LVL]],DropAnalityka[Stage],LocFeatures[[#This Row],[Stage]])</f>
        <v>11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3119.4985074626866</v>
      </c>
    </row>
    <row r="16" spans="1:22">
      <c r="A16" s="10" t="s">
        <v>8</v>
      </c>
      <c r="B16" s="10" t="s">
        <v>30</v>
      </c>
      <c r="C16" s="10">
        <v>6</v>
      </c>
      <c r="D16" s="10">
        <v>5</v>
      </c>
      <c r="E16" s="10">
        <v>1116</v>
      </c>
      <c r="F16" s="10">
        <v>12</v>
      </c>
      <c r="G16" s="10"/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6" s="19">
        <f>AVERAGEIFS(DropAnalityka[Energy Drop],DropAnalityka[Location],LocFeatures[[#This Row],[Location]],DropAnalityka[LVL],LocFeatures[[#This Row],[LVL]],DropAnalityka[Stage],LocFeatures[[#This Row],[Stage]])</f>
        <v>1</v>
      </c>
      <c r="K16" s="10">
        <f>4*LocFeatures[[#This Row],[XP Gain per member]]</f>
        <v>4464</v>
      </c>
      <c r="L16">
        <f>3*LocFeatures[[#This Row],[XP Gain per member]]</f>
        <v>3348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663</v>
      </c>
      <c r="O16" s="56">
        <f>LocFeatures[[#This Row],[XP Train Gain]]/(LocFeatures[[#This Row],[E. Cost]]-LocFeatures[[#This Row],[Energy gain]])</f>
        <v>837</v>
      </c>
      <c r="P16" s="56">
        <f>(LocFeatures[[#This Row],[XP Train Gain]]+LocFeatures[[#This Row],[XP drop]])/(LocFeatures[[#This Row],[E. Cost]]-LocFeatures[[#This Row],[Energy gain]])</f>
        <v>837</v>
      </c>
      <c r="Q16" s="53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6" s="10"/>
      <c r="U16" s="10"/>
      <c r="V16" s="10"/>
    </row>
    <row r="17" spans="1:22">
      <c r="A17" t="s">
        <v>324</v>
      </c>
      <c r="B17" t="s">
        <v>32</v>
      </c>
      <c r="C17">
        <v>5</v>
      </c>
      <c r="D17">
        <v>5</v>
      </c>
      <c r="E17">
        <f>2400*3/4</f>
        <v>1800</v>
      </c>
      <c r="F17">
        <v>12</v>
      </c>
      <c r="G17" t="s">
        <v>18</v>
      </c>
      <c r="H17" t="s">
        <v>21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7" s="19">
        <f>AVERAGEIFS(DropAnalityka[Energy Drop],DropAnalityka[Location],LocFeatures[[#This Row],[Location]],DropAnalityka[LVL],LocFeatures[[#This Row],[LVL]],DropAnalityka[Stage],LocFeatures[[#This Row],[Stage]])</f>
        <v>0</v>
      </c>
      <c r="K17">
        <f>4*LocFeatures[[#This Row],[XP Gain per member]]</f>
        <v>7200</v>
      </c>
      <c r="L17">
        <f>3*LocFeatures[[#This Row],[XP Gain per member]]</f>
        <v>5400</v>
      </c>
      <c r="M17" s="56">
        <f>AVERAGEIFS(DropAnalityka[Exp Gain],DropAnalityka[Location],LocFeatures[[#This Row],[Location]],DropAnalityka[LVL],LocFeatures[[#This Row],[LVL]],DropAnalityka[Stage],LocFeatures[[#This Row],[Stage]])</f>
        <v>0</v>
      </c>
      <c r="N17" s="56">
        <f>LocFeatures[[#This Row],[Drop worth gain]]/(LocFeatures[[#This Row],[E. Cost]]-LocFeatures[[#This Row],[Energy gain]])</f>
        <v>509.4</v>
      </c>
      <c r="O17" s="56">
        <f>LocFeatures[[#This Row],[XP Train Gain]]/(LocFeatures[[#This Row],[E. Cost]]-LocFeatures[[#This Row],[Energy gain]])</f>
        <v>1080</v>
      </c>
      <c r="P17" s="56">
        <f>(LocFeatures[[#This Row],[XP Train Gain]]+LocFeatures[[#This Row],[XP drop]])/(LocFeatures[[#This Row],[E. Cost]]-LocFeatures[[#This Row],[Energy gain]])</f>
        <v>1080</v>
      </c>
      <c r="Q17" s="49">
        <f>COUNTIFS(DropAnalityka[Location],LocFeatures[[#This Row],[Location]],DropAnalityka[LVL],LocFeatures[[#This Row],[LVL]],DropAnalityka[Stage],LocFeatures[[#This Row],[Stage]])</f>
        <v>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8" spans="1:22">
      <c r="A18" t="s">
        <v>8</v>
      </c>
      <c r="B18" t="s">
        <v>9</v>
      </c>
      <c r="C18">
        <v>3</v>
      </c>
      <c r="D18">
        <v>3</v>
      </c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8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8">
        <f>4*LocFeatures[[#This Row],[XP Gain per member]]</f>
        <v>0</v>
      </c>
      <c r="L18">
        <f>3*LocFeatures[[#This Row],[XP Gain per member]]</f>
        <v>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1284.4719101123596</v>
      </c>
      <c r="O18" s="56">
        <f>LocFeatures[[#This Row],[XP Train Gain]]/(LocFeatures[[#This Row],[E. Cost]]-LocFeatures[[#This Row],[Energy gain]])</f>
        <v>0</v>
      </c>
      <c r="P18" s="56">
        <f>(LocFeatures[[#This Row],[XP Train Gain]]+LocFeatures[[#This Row],[XP drop]])/(LocFeatures[[#This Row],[E. Cost]]-LocFeatures[[#This Row],[Energy gain]])</f>
        <v>0</v>
      </c>
      <c r="Q18" s="49">
        <f>COUNTIFS(DropAnalityka[Location],LocFeatures[[#This Row],[Location]],DropAnalityka[LVL],LocFeatures[[#This Row],[LVL]],DropAnalityka[Stage],LocFeatures[[#This Row],[Stage]])</f>
        <v>41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9" spans="1:22">
      <c r="A19" s="10" t="s">
        <v>61</v>
      </c>
      <c r="B19" s="10" t="s">
        <v>32</v>
      </c>
      <c r="C19" s="10">
        <v>2</v>
      </c>
      <c r="D19" s="10">
        <v>5</v>
      </c>
      <c r="E19" s="10">
        <v>1500</v>
      </c>
      <c r="F19" s="10">
        <v>10</v>
      </c>
      <c r="G19" s="10"/>
      <c r="H19" s="10"/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9" s="19">
        <f>AVERAGEIFS(DropAnalityka[Energy Drop],DropAnalityka[Location],LocFeatures[[#This Row],[Location]],DropAnalityka[LVL],LocFeatures[[#This Row],[LVL]],DropAnalityka[Stage],LocFeatures[[#This Row],[Stage]])</f>
        <v>1</v>
      </c>
      <c r="K19" s="10">
        <f>4*LocFeatures[[#This Row],[XP Gain per member]]</f>
        <v>6000</v>
      </c>
      <c r="L19">
        <f>3*LocFeatures[[#This Row],[XP Gain per member]]</f>
        <v>4500</v>
      </c>
      <c r="M19" s="56">
        <f>AVERAGEIFS(DropAnalityka[Exp Gain],DropAnalityka[Location],LocFeatures[[#This Row],[Location]],DropAnalityka[LVL],LocFeatures[[#This Row],[LVL]],DropAnalityka[Stage],LocFeatures[[#This Row],[Stage]])</f>
        <v>0</v>
      </c>
      <c r="N19" s="56">
        <f>LocFeatures[[#This Row],[Drop worth gain]]/(LocFeatures[[#This Row],[E. Cost]]-LocFeatures[[#This Row],[Energy gain]])</f>
        <v>3173</v>
      </c>
      <c r="O19" s="56">
        <f>LocFeatures[[#This Row],[XP Train Gain]]/(LocFeatures[[#This Row],[E. Cost]]-LocFeatures[[#This Row],[Energy gain]])</f>
        <v>1125</v>
      </c>
      <c r="P19" s="56">
        <f>(LocFeatures[[#This Row],[XP Train Gain]]+LocFeatures[[#This Row],[XP drop]])/(LocFeatures[[#This Row],[E. Cost]]-LocFeatures[[#This Row],[Energy gain]])</f>
        <v>1125</v>
      </c>
      <c r="Q19" s="53">
        <f>COUNTIFS(DropAnalityka[Location],LocFeatures[[#This Row],[Location]],DropAnalityka[LVL],LocFeatures[[#This Row],[LVL]],DropAnalityka[Stage],LocFeatures[[#This Row],[Stage]])</f>
        <v>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9" s="10"/>
      <c r="U19" s="10"/>
      <c r="V19" s="10"/>
    </row>
    <row r="20" spans="1:22">
      <c r="A20" s="10" t="s">
        <v>228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1801.3529850746268</v>
      </c>
      <c r="N20" s="56">
        <f>LocFeatures[[#This Row],[Drop worth gain]]/(LocFeatures[[#This Row],[E. Cost]]-LocFeatures[[#This Row],[Energy gain]])</f>
        <v>922.49280575539558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598.87925659472421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0</v>
      </c>
      <c r="N21" s="56">
        <f>LocFeatures[[#This Row],[Drop worth gain]]/(LocFeatures[[#This Row],[E. Cost]]-LocFeatures[[#This Row],[Energy gain]])</f>
        <v>605.169642857143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341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298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0</v>
      </c>
      <c r="N22" s="56">
        <f>LocFeatures[[#This Row],[Drop worth gain]]/(LocFeatures[[#This Row],[E. Cost]]-LocFeatures[[#This Row],[Energy gain]])</f>
        <v>596.11627906976742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302.33720930232556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228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5*LocFeatures[[#This Row],[XP Gain per member]]</f>
        <v>3210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0</v>
      </c>
      <c r="N23" s="56">
        <f>LocFeatures[[#This Row],[Drop worth gain]]/(LocFeatures[[#This Row],[E. Cost]]-LocFeatures[[#This Row],[Energy gain]])</f>
        <v>778.62068965517244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321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t="s">
        <v>37</v>
      </c>
      <c r="B24" t="s">
        <v>9</v>
      </c>
      <c r="C24">
        <v>9</v>
      </c>
      <c r="D24">
        <v>7</v>
      </c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4" s="19">
        <f>AVERAGEIFS(DropAnalityka[Energy Drop],DropAnalityka[Location],LocFeatures[[#This Row],[Location]],DropAnalityka[LVL],LocFeatures[[#This Row],[LVL]],DropAnalityka[Stage],LocFeatures[[#This Row],[Stage]])</f>
        <v>0.92</v>
      </c>
      <c r="K24">
        <f>4*LocFeatures[[#This Row],[XP Gain per member]]</f>
        <v>0</v>
      </c>
      <c r="L24">
        <f>3*LocFeatures[[#This Row],[XP Gain per member]]</f>
        <v>0</v>
      </c>
      <c r="M24" s="56">
        <f>AVERAGEIFS(DropAnalityka[Exp Gain],DropAnalityka[Location],LocFeatures[[#This Row],[Location]],DropAnalityka[LVL],LocFeatures[[#This Row],[LVL]],DropAnalityka[Stage],LocFeatures[[#This Row],[Stage]])</f>
        <v>0</v>
      </c>
      <c r="N24" s="56">
        <f>LocFeatures[[#This Row],[Drop worth gain]]/(LocFeatures[[#This Row],[E. Cost]]-LocFeatures[[#This Row],[Energy gain]])</f>
        <v>635.48026315789468</v>
      </c>
      <c r="O24" s="56">
        <f>LocFeatures[[#This Row],[XP Train Gain]]/(LocFeatures[[#This Row],[E. Cost]]-LocFeatures[[#This Row],[Energy gain]])</f>
        <v>0</v>
      </c>
      <c r="P24" s="56">
        <f>(LocFeatures[[#This Row],[XP Train Gain]]+LocFeatures[[#This Row],[XP drop]])/(LocFeatures[[#This Row],[E. Cost]]-LocFeatures[[#This Row],[Energy gain]])</f>
        <v>0</v>
      </c>
      <c r="Q24" s="49">
        <f>COUNTIFS(DropAnalityka[Location],LocFeatures[[#This Row],[Location]],DropAnalityka[LVL],LocFeatures[[#This Row],[LVL]],DropAnalityka[Stage],LocFeatures[[#This Row],[Stage]])</f>
        <v>25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5" spans="1:22">
      <c r="A25" s="10" t="s">
        <v>37</v>
      </c>
      <c r="B25" s="10" t="s">
        <v>9</v>
      </c>
      <c r="C25" s="10">
        <v>4</v>
      </c>
      <c r="D25" s="10">
        <v>5</v>
      </c>
      <c r="E25" s="10">
        <v>439</v>
      </c>
      <c r="F25" s="10">
        <v>10</v>
      </c>
      <c r="G25" s="10"/>
      <c r="H25" s="10"/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5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5" s="10">
        <f>5*LocFeatures[[#This Row],[XP Gain per member]]</f>
        <v>2195</v>
      </c>
      <c r="L25">
        <f>3*LocFeatures[[#This Row],[XP Gain per member]]</f>
        <v>1317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962.46666666666681</v>
      </c>
      <c r="O25" s="56">
        <f>LocFeatures[[#This Row],[XP Train Gain]]/(LocFeatures[[#This Row],[E. Cost]]-LocFeatures[[#This Row],[Energy gain]])</f>
        <v>307.3</v>
      </c>
      <c r="P25" s="56">
        <f>(LocFeatures[[#This Row],[XP Train Gain]]+LocFeatures[[#This Row],[XP drop]])/(LocFeatures[[#This Row],[E. Cost]]-LocFeatures[[#This Row],[Energy gain]])</f>
        <v>307.3</v>
      </c>
      <c r="Q25" s="53">
        <f>COUNTIFS(DropAnalityka[Location],LocFeatures[[#This Row],[Location]],DropAnalityka[LVL],LocFeatures[[#This Row],[LVL]],DropAnalityka[Stage],LocFeatures[[#This Row],[Stage]])</f>
        <v>7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5" s="10"/>
      <c r="U25" s="10"/>
      <c r="V25" s="10"/>
    </row>
    <row r="26" spans="1:22">
      <c r="A26" s="10" t="s">
        <v>37</v>
      </c>
      <c r="B26" s="10" t="s">
        <v>9</v>
      </c>
      <c r="C26" s="10">
        <v>5</v>
      </c>
      <c r="D26">
        <v>6</v>
      </c>
      <c r="E26">
        <v>642</v>
      </c>
      <c r="F26">
        <v>12</v>
      </c>
      <c r="G26" t="s">
        <v>18</v>
      </c>
      <c r="H26" t="s">
        <v>21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6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6">
        <f>5*LocFeatures[[#This Row],[XP Gain per member]]</f>
        <v>3210</v>
      </c>
      <c r="L26">
        <f>3*LocFeatures[[#This Row],[XP Gain per member]]</f>
        <v>1926</v>
      </c>
      <c r="M26" s="56">
        <f>AVERAGEIFS(DropAnalityka[Exp Gain],DropAnalityka[Location],LocFeatures[[#This Row],[Location]],DropAnalityka[LVL],LocFeatures[[#This Row],[LVL]],DropAnalityka[Stage],LocFeatures[[#This Row],[Stage]])</f>
        <v>0</v>
      </c>
      <c r="N26" s="56">
        <f>LocFeatures[[#This Row],[Drop worth gain]]/(LocFeatures[[#This Row],[E. Cost]]-LocFeatures[[#This Row],[Energy gain]])</f>
        <v>263.25</v>
      </c>
      <c r="O26" s="56">
        <f>LocFeatures[[#This Row],[XP Train Gain]]/(LocFeatures[[#This Row],[E. Cost]]-LocFeatures[[#This Row],[Energy gain]])</f>
        <v>361.125</v>
      </c>
      <c r="P26" s="56">
        <f>(LocFeatures[[#This Row],[XP Train Gain]]+LocFeatures[[#This Row],[XP drop]])/(LocFeatures[[#This Row],[E. Cost]]-LocFeatures[[#This Row],[Energy gain]])</f>
        <v>361.125</v>
      </c>
      <c r="Q26" s="49">
        <f>COUNTIFS(DropAnalityka[Location],LocFeatures[[#This Row],[Location]],DropAnalityka[LVL],LocFeatures[[#This Row],[LVL]],DropAnalityka[Stage],LocFeatures[[#This Row],[Stage]])</f>
        <v>3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7" spans="1:22">
      <c r="A27" t="s">
        <v>323</v>
      </c>
      <c r="B27" t="s">
        <v>9</v>
      </c>
      <c r="C27">
        <v>9</v>
      </c>
      <c r="D27">
        <v>6</v>
      </c>
      <c r="E27">
        <v>642</v>
      </c>
      <c r="F27">
        <v>12</v>
      </c>
      <c r="G27" t="s">
        <v>18</v>
      </c>
      <c r="H27" t="s">
        <v>21</v>
      </c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6152.3943661971825</v>
      </c>
      <c r="J27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7">
        <f>5*LocFeatures[[#This Row],[XP Gain per member]]</f>
        <v>3210</v>
      </c>
      <c r="L27">
        <f>3*LocFeatures[[#This Row],[XP Gain per member]]</f>
        <v>1926</v>
      </c>
      <c r="M27" s="56">
        <f>AVERAGEIFS(DropAnalityka[Exp Gain],DropAnalityka[Location],LocFeatures[[#This Row],[Location]],DropAnalityka[LVL],LocFeatures[[#This Row],[LVL]],DropAnalityka[Stage],LocFeatures[[#This Row],[Stage]])</f>
        <v>4986.0845070422538</v>
      </c>
      <c r="N27" s="56">
        <f>LocFeatures[[#This Row],[Drop worth gain]]/(LocFeatures[[#This Row],[E. Cost]]-LocFeatures[[#This Row],[Energy gain]])</f>
        <v>1171.0991957104557</v>
      </c>
      <c r="O27" s="56">
        <f>LocFeatures[[#This Row],[XP Train Gain]]/(LocFeatures[[#This Row],[E. Cost]]-LocFeatures[[#This Row],[Energy gain]])</f>
        <v>366.61126005361933</v>
      </c>
      <c r="P27" s="56">
        <f>(LocFeatures[[#This Row],[XP Train Gain]]+LocFeatures[[#This Row],[XP drop]])/(LocFeatures[[#This Row],[E. Cost]]-LocFeatures[[#This Row],[Energy gain]])</f>
        <v>1315.7050938337802</v>
      </c>
      <c r="Q27" s="49">
        <f>COUNTIFS(DropAnalityka[Location],LocFeatures[[#This Row],[Location]],DropAnalityka[LVL],LocFeatures[[#This Row],[LVL]],DropAnalityka[Stage],LocFeatures[[#This Row],[Stage]])</f>
        <v>71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8" spans="1:22"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  <row r="95" spans="9:17">
      <c r="I95" s="49"/>
      <c r="M95" s="49"/>
      <c r="O95" s="54"/>
      <c r="Q95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topLeftCell="E4" zoomScaleNormal="100" workbookViewId="0">
      <selection activeCell="L5" sqref="L5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2" width="4.375" bestFit="1" customWidth="1"/>
    <col min="23" max="23" width="4.8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305</v>
      </c>
    </row>
    <row r="2" spans="1:23">
      <c r="R2" s="175" t="s">
        <v>310</v>
      </c>
      <c r="S2" s="175"/>
      <c r="T2" s="175"/>
      <c r="U2" s="175"/>
      <c r="V2" s="175"/>
      <c r="W2" s="175"/>
    </row>
    <row r="3" spans="1:23" ht="15" thickBot="1">
      <c r="B3" s="11" t="s">
        <v>70</v>
      </c>
      <c r="G3" s="11" t="s">
        <v>295</v>
      </c>
      <c r="H3" s="11" t="s">
        <v>160</v>
      </c>
      <c r="Q3" s="6" t="s">
        <v>33</v>
      </c>
      <c r="R3" s="133" t="s">
        <v>311</v>
      </c>
      <c r="S3" s="134" t="s">
        <v>312</v>
      </c>
      <c r="T3" s="134" t="s">
        <v>313</v>
      </c>
      <c r="U3" s="134" t="s">
        <v>314</v>
      </c>
      <c r="V3" s="134" t="s">
        <v>315</v>
      </c>
      <c r="W3" s="135" t="s">
        <v>316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141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GETPIVOTDATA("Quality/Quantity",$G$3,"Stage",4,"Grade","high")/GETPIVOTDATA("LVL",$G$31,"Stage",4)</f>
        <v>0</v>
      </c>
      <c r="S4" s="88">
        <f>GETPIVOTDATA("Quality/Quantity",$G$3,"Stage",5,"Grade","high")/GETPIVOTDATA("LVL",$G$31,"Stage",5)</f>
        <v>0</v>
      </c>
      <c r="T4" s="88">
        <f>GETPIVOTDATA("Quality/Quantity",$G$3,"Stage",7,"Grade","high")/GETPIVOTDATA("LVL",$G$31,"Stage",7)</f>
        <v>0.13432835820895522</v>
      </c>
      <c r="U4" s="88">
        <f>GETPIVOTDATA("Quality/Quantity",$G$3,"Stage",8,"Grade","high")/GETPIVOTDATA("LVL",$G$31,"Stage",8)</f>
        <v>0.21875</v>
      </c>
      <c r="V4" s="88">
        <f>GETPIVOTDATA("Quality/Quantity",$G$3,"Stage",9,"Grade","high")/GETPIVOTDATA("LVL",$G$31,"Stage",9)</f>
        <v>0.26890756302521007</v>
      </c>
      <c r="W4" s="89">
        <f>GETPIVOTDATA("Quality/Quantity",$G$3,"Stage",10,"Grade","high")/GETPIVOTDATA("LVL",$G$31,"Stage",10)</f>
        <v>0.5</v>
      </c>
    </row>
    <row r="5" spans="1:23">
      <c r="A5" s="12" t="s">
        <v>62</v>
      </c>
      <c r="B5" s="1">
        <v>1482.1746031746031</v>
      </c>
      <c r="C5" s="1">
        <v>1083.5645161290322</v>
      </c>
      <c r="D5" s="15">
        <v>0.8571428571428571</v>
      </c>
      <c r="E5" s="49">
        <v>34</v>
      </c>
      <c r="G5" s="12" t="s">
        <v>308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GETPIVOTDATA("Quality/Quantity",$G$3,"Stage",4,"Grade","low")/GETPIVOTDATA("LVL",$G$31,"Stage",4)</f>
        <v>0.5714285714285714</v>
      </c>
      <c r="S5" s="88">
        <f>GETPIVOTDATA("Quality/Quantity",$G$3,"Stage",5,"Grade","low")/GETPIVOTDATA("LVL",$G$31,"Stage",5)</f>
        <v>1.2</v>
      </c>
      <c r="T5" s="88">
        <f>GETPIVOTDATA("Quality/Quantity",$G$3,"Stage",7,"Grade","low")/GETPIVOTDATA("LVL",$G$31,"Stage",7)</f>
        <v>1.4179104477611941</v>
      </c>
      <c r="U5" s="88">
        <f>GETPIVOTDATA("Quality/Quantity",$G$3,"Stage",8,"Grade","low")/GETPIVOTDATA("LVL",$G$31,"Stage",8)</f>
        <v>1.34375</v>
      </c>
      <c r="V5" s="88">
        <f>GETPIVOTDATA("Quality/Quantity",$G$3,"Stage",9,"Grade","low")/GETPIVOTDATA("LVL",$G$31,"Stage",9)</f>
        <v>1.0840336134453781</v>
      </c>
      <c r="W5" s="89">
        <f>GETPIVOTDATA("Quality/Quantity",$G$3,"Stage",10,"Grade","low")/GETPIVOTDATA("LVL",$G$31,"Stage",10)</f>
        <v>1.6666666666666667</v>
      </c>
    </row>
    <row r="6" spans="1:23">
      <c r="A6" s="13" t="s">
        <v>30</v>
      </c>
      <c r="B6" s="1">
        <v>1527.2962962962963</v>
      </c>
      <c r="C6" s="1">
        <v>2088.96</v>
      </c>
      <c r="D6" s="15">
        <v>0.85185185185185186</v>
      </c>
      <c r="E6" s="49">
        <v>4</v>
      </c>
      <c r="G6" s="12" t="s">
        <v>306</v>
      </c>
      <c r="H6" s="49">
        <v>4</v>
      </c>
      <c r="I6" s="49">
        <v>24</v>
      </c>
      <c r="J6" s="49">
        <v>95</v>
      </c>
      <c r="K6" s="49">
        <v>43</v>
      </c>
      <c r="L6" s="49">
        <v>129</v>
      </c>
      <c r="M6" s="49">
        <v>10</v>
      </c>
      <c r="N6" s="49">
        <v>305</v>
      </c>
      <c r="Q6" s="6" t="str">
        <f>G7</f>
        <v>med.</v>
      </c>
      <c r="R6" s="90">
        <f>GETPIVOTDATA("Quality/Quantity",$G$3,"Stage",4,"Grade","med.")/GETPIVOTDATA("LVL",$G$31,"Stage",4)</f>
        <v>0.14285714285714285</v>
      </c>
      <c r="S6" s="88">
        <f>GETPIVOTDATA("Quality/Quantity",$G$3,"Stage",5,"Grade","med.")/GETPIVOTDATA("LVL",$G$31,"Stage",5)</f>
        <v>0.5</v>
      </c>
      <c r="T6" s="88">
        <f>GETPIVOTDATA("Quality/Quantity",$G$3,"Stage",7,"Grade","med.")/GETPIVOTDATA("LVL",$G$31,"Stage",7)</f>
        <v>0.55223880597014929</v>
      </c>
      <c r="U6" s="88">
        <f>GETPIVOTDATA("Quality/Quantity",$G$3,"Stage",8,"Grade","med.")/GETPIVOTDATA("LVL",$G$31,"Stage",8)</f>
        <v>0.21875</v>
      </c>
      <c r="V6" s="88">
        <f>GETPIVOTDATA("Quality/Quantity",$G$3,"Stage",9,"Grade","med.")/GETPIVOTDATA("LVL",$G$31,"Stage",9)</f>
        <v>0.56302521008403361</v>
      </c>
      <c r="W6" s="89">
        <f>GETPIVOTDATA("Quality/Quantity",$G$3,"Stage",10,"Grade","med.")/GETPIVOTDATA("LVL",$G$31,"Stage",10)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307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1550.7777777777778</v>
      </c>
      <c r="C8" s="1">
        <v>2149.4375</v>
      </c>
      <c r="D8" s="15">
        <v>0.72222222222222221</v>
      </c>
      <c r="E8" s="49">
        <v>4</v>
      </c>
      <c r="G8" s="12" t="s">
        <v>67</v>
      </c>
      <c r="H8" s="49">
        <v>10</v>
      </c>
      <c r="I8" s="49">
        <v>11</v>
      </c>
      <c r="J8" s="49">
        <v>26</v>
      </c>
      <c r="K8" s="49">
        <v>39</v>
      </c>
      <c r="L8" s="49">
        <v>32</v>
      </c>
      <c r="M8" s="49"/>
      <c r="N8" s="49">
        <v>118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  <c r="G9" s="12" t="s">
        <v>68</v>
      </c>
      <c r="H9" s="49">
        <v>15</v>
      </c>
      <c r="I9" s="49">
        <v>45</v>
      </c>
      <c r="J9" s="49">
        <v>167</v>
      </c>
      <c r="K9" s="49">
        <v>96</v>
      </c>
      <c r="L9" s="49">
        <v>260</v>
      </c>
      <c r="M9" s="49">
        <v>15</v>
      </c>
      <c r="N9" s="49">
        <v>598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1501.8383838383838</v>
      </c>
      <c r="C13" s="1">
        <v>1270.5482233502539</v>
      </c>
      <c r="D13" s="15">
        <v>0.8737373737373737</v>
      </c>
      <c r="E13" s="49">
        <v>59</v>
      </c>
    </row>
    <row r="14" spans="1:23">
      <c r="A14" s="13" t="s">
        <v>30</v>
      </c>
      <c r="B14" s="1">
        <v>1572.931623931624</v>
      </c>
      <c r="C14" s="1">
        <v>1577.2068965517242</v>
      </c>
      <c r="D14" s="15">
        <v>0.87179487179487181</v>
      </c>
      <c r="E14" s="49">
        <v>33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</row>
    <row r="17" spans="1:14">
      <c r="A17" s="14">
        <v>11</v>
      </c>
      <c r="B17" s="1">
        <v>1544.5753424657535</v>
      </c>
      <c r="C17" s="1">
        <v>1545.5138888888889</v>
      </c>
      <c r="D17" s="15">
        <v>0.9178082191780822</v>
      </c>
      <c r="E17" s="49">
        <v>21</v>
      </c>
      <c r="H17" s="17"/>
      <c r="I17" s="17"/>
      <c r="J17" s="17"/>
      <c r="K17" s="17"/>
      <c r="L17" s="17"/>
      <c r="M17" s="17"/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</row>
    <row r="23" spans="1:14">
      <c r="A23" s="12" t="s">
        <v>37</v>
      </c>
      <c r="B23" s="1">
        <v>2286.5416666666665</v>
      </c>
      <c r="C23" s="1">
        <v>0</v>
      </c>
      <c r="D23" s="15">
        <v>0.67708333333333337</v>
      </c>
      <c r="E23" s="49">
        <v>95</v>
      </c>
    </row>
    <row r="24" spans="1:14">
      <c r="A24" s="13" t="s">
        <v>9</v>
      </c>
      <c r="B24" s="1">
        <v>2286.5416666666665</v>
      </c>
      <c r="C24" s="1">
        <v>0</v>
      </c>
      <c r="D24" s="15">
        <v>0.67708333333333337</v>
      </c>
      <c r="E24" s="49">
        <v>95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2607.7083333333335</v>
      </c>
      <c r="C28" s="1">
        <v>0</v>
      </c>
      <c r="D28" s="15">
        <v>0.91666666666666663</v>
      </c>
      <c r="E28" s="49">
        <v>23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  <c r="G31" s="11" t="s">
        <v>296</v>
      </c>
      <c r="H31" s="11" t="s">
        <v>160</v>
      </c>
    </row>
    <row r="32" spans="1:14">
      <c r="A32" s="12" t="s">
        <v>8</v>
      </c>
      <c r="B32" s="1">
        <v>1458.825925925926</v>
      </c>
      <c r="C32" s="1">
        <v>923.01520912547528</v>
      </c>
      <c r="D32" s="15">
        <v>0.92962962962962958</v>
      </c>
      <c r="E32" s="49">
        <v>78</v>
      </c>
      <c r="G32" s="11" t="s">
        <v>66</v>
      </c>
      <c r="H32">
        <v>4</v>
      </c>
      <c r="I32">
        <v>5</v>
      </c>
      <c r="J32">
        <v>7</v>
      </c>
      <c r="K32">
        <v>8</v>
      </c>
      <c r="L32">
        <v>9</v>
      </c>
      <c r="M32">
        <v>10</v>
      </c>
      <c r="N32" t="s">
        <v>68</v>
      </c>
    </row>
    <row r="33" spans="1:14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  <c r="G33" s="12" t="s">
        <v>191</v>
      </c>
      <c r="H33" s="49"/>
      <c r="I33" s="49">
        <v>1</v>
      </c>
      <c r="J33" s="49">
        <v>1</v>
      </c>
      <c r="K33" s="49">
        <v>3</v>
      </c>
      <c r="L33" s="49">
        <v>1</v>
      </c>
      <c r="M33" s="49">
        <v>4</v>
      </c>
      <c r="N33" s="49">
        <v>10</v>
      </c>
    </row>
    <row r="34" spans="1:14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  <c r="G34" s="12" t="s">
        <v>157</v>
      </c>
      <c r="H34" s="49"/>
      <c r="I34" s="49">
        <v>16</v>
      </c>
      <c r="J34" s="49"/>
      <c r="K34" s="49"/>
      <c r="L34" s="49"/>
      <c r="M34" s="49"/>
      <c r="N34" s="49">
        <v>16</v>
      </c>
    </row>
    <row r="35" spans="1:14">
      <c r="A35" s="14">
        <v>6</v>
      </c>
      <c r="B35" s="1">
        <v>1500</v>
      </c>
      <c r="C35" s="1">
        <v>1152</v>
      </c>
      <c r="D35" s="15">
        <v>1</v>
      </c>
      <c r="E35" s="49"/>
      <c r="G35" s="12" t="s">
        <v>37</v>
      </c>
      <c r="H35" s="49">
        <v>7</v>
      </c>
      <c r="I35" s="49">
        <v>3</v>
      </c>
      <c r="J35" s="49">
        <v>62</v>
      </c>
      <c r="K35" s="49"/>
      <c r="L35" s="49">
        <v>24</v>
      </c>
      <c r="M35" s="49"/>
      <c r="N35" s="49">
        <v>96</v>
      </c>
    </row>
    <row r="36" spans="1:14">
      <c r="A36" s="13" t="s">
        <v>32</v>
      </c>
      <c r="B36" s="1">
        <v>1525.316091954023</v>
      </c>
      <c r="C36" s="1">
        <v>1179.7083333333333</v>
      </c>
      <c r="D36" s="15">
        <v>0.96551724137931039</v>
      </c>
      <c r="E36" s="49">
        <v>43</v>
      </c>
      <c r="G36" s="12" t="s">
        <v>228</v>
      </c>
      <c r="H36" s="49"/>
      <c r="I36" s="49"/>
      <c r="J36" s="49">
        <v>4</v>
      </c>
      <c r="K36" s="49">
        <v>29</v>
      </c>
      <c r="L36" s="49">
        <v>67</v>
      </c>
      <c r="M36" s="49"/>
      <c r="N36" s="49">
        <v>100</v>
      </c>
    </row>
    <row r="37" spans="1:14">
      <c r="A37" s="14">
        <v>3</v>
      </c>
      <c r="B37" s="1">
        <v>1519.1730769230769</v>
      </c>
      <c r="C37" s="1">
        <v>1172.4266666666667</v>
      </c>
      <c r="D37" s="15">
        <v>0.98076923076923073</v>
      </c>
      <c r="E37" s="49">
        <v>40</v>
      </c>
      <c r="G37" s="12" t="s">
        <v>298</v>
      </c>
      <c r="H37" s="49"/>
      <c r="I37" s="49"/>
      <c r="J37" s="49"/>
      <c r="K37" s="49"/>
      <c r="L37" s="49">
        <v>27</v>
      </c>
      <c r="M37" s="49">
        <v>2</v>
      </c>
      <c r="N37" s="49">
        <v>29</v>
      </c>
    </row>
    <row r="38" spans="1:14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  <c r="G38" s="12" t="s">
        <v>68</v>
      </c>
      <c r="H38" s="49">
        <v>7</v>
      </c>
      <c r="I38" s="49">
        <v>20</v>
      </c>
      <c r="J38" s="49">
        <v>67</v>
      </c>
      <c r="K38" s="49">
        <v>32</v>
      </c>
      <c r="L38" s="49">
        <v>119</v>
      </c>
      <c r="M38" s="49">
        <v>6</v>
      </c>
      <c r="N38" s="49">
        <v>251</v>
      </c>
    </row>
    <row r="39" spans="1:14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14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14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14">
      <c r="A42" s="12" t="s">
        <v>68</v>
      </c>
      <c r="B42" s="1">
        <v>1590.0346820809248</v>
      </c>
      <c r="C42" s="1">
        <v>922.52932551319645</v>
      </c>
      <c r="D42" s="15">
        <v>0.86560693641618502</v>
      </c>
      <c r="E42" s="49">
        <v>267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138</v>
      </c>
      <c r="C1" s="47" t="s">
        <v>139</v>
      </c>
      <c r="D1" s="48" t="s">
        <v>140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features'!$P$5</f>
        <v>244446.5316455696</v>
      </c>
      <c r="D3">
        <f>'EXP lvls'!O10/Summary!C3</f>
        <v>15.587212362352442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146</v>
      </c>
      <c r="Q9" s="4" t="s">
        <v>150</v>
      </c>
      <c r="R9" s="4" t="s">
        <v>151</v>
      </c>
      <c r="S9" s="4" t="s">
        <v>152</v>
      </c>
      <c r="T9" s="4" t="s">
        <v>153</v>
      </c>
      <c r="U9" s="4" t="s">
        <v>151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2700070.1289461651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4147.9811320754716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2223302.1771389358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4147.9811320754716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2161498.9241268877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4147.9811320754716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2161498.9241268872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4147.9811320754716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3095781.6466244725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2549140.4838337749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2478279.5923609068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2478279.5923609063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2238285.1890322273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1843057.4378360554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1791824.2108291441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1791824.2108291439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855270.63008499378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1808292.0337956513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1396262.4705368832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2952106.8697387287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1182928.4009420075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2501056.3074771855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142</v>
      </c>
      <c r="B31" s="1">
        <f t="shared" ref="B31" si="16">(2*$G31+$H31)/($O31-$N31)*L31</f>
        <v>777635.90992051805</v>
      </c>
      <c r="C31" s="1">
        <f t="shared" ref="C31" si="17">($G31+$H31)/($O31-$N31)*M31</f>
        <v>552772.61605828663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830648.54047689121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143</v>
      </c>
      <c r="B33" s="1">
        <f t="shared" ref="B33" si="20">(2*$G33+$H33)/($O33-$N33)*L33</f>
        <v>779032.96320282586</v>
      </c>
      <c r="C33" s="1">
        <f t="shared" ref="C33" si="21">($G33+$H33)/($O33-$N33)*M33</f>
        <v>830648.54047689121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142</v>
      </c>
      <c r="B34" s="1">
        <f t="shared" si="18"/>
        <v>978199.64871903579</v>
      </c>
      <c r="C34" s="1">
        <f t="shared" si="19"/>
        <v>399660.86134496192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600568.30153634935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142</v>
      </c>
      <c r="B36" s="1">
        <f t="shared" si="22"/>
        <v>868436.33021463954</v>
      </c>
      <c r="C36" s="1">
        <f t="shared" si="23"/>
        <v>643637.60493487434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5674.2093023255811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967190.88754356978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5674.2093023255811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143</v>
      </c>
      <c r="B38" s="1">
        <f t="shared" si="22"/>
        <v>869996.5099981653</v>
      </c>
      <c r="C38" s="1">
        <f t="shared" si="23"/>
        <v>967190.88754356978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5674.2093023255811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154</v>
      </c>
      <c r="B39" s="1">
        <f t="shared" si="22"/>
        <v>2080681.0261995876</v>
      </c>
      <c r="C39" s="1">
        <f t="shared" si="23"/>
        <v>1479025.6974536353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1787776.7245854186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211</v>
      </c>
      <c r="B1" t="s">
        <v>222</v>
      </c>
      <c r="C1" t="s">
        <v>212</v>
      </c>
      <c r="D1" t="s">
        <v>213</v>
      </c>
      <c r="E1" t="s">
        <v>214</v>
      </c>
      <c r="F1" t="s">
        <v>215</v>
      </c>
      <c r="G1" t="s">
        <v>177</v>
      </c>
      <c r="H1" t="s">
        <v>216</v>
      </c>
      <c r="I1" t="s">
        <v>217</v>
      </c>
      <c r="J1" t="s">
        <v>218</v>
      </c>
      <c r="K1" t="s">
        <v>221</v>
      </c>
      <c r="L1" t="s">
        <v>223</v>
      </c>
      <c r="M1" t="s">
        <v>224</v>
      </c>
    </row>
    <row r="2" spans="1:13">
      <c r="A2" t="s">
        <v>219</v>
      </c>
      <c r="C2">
        <v>1</v>
      </c>
      <c r="D2">
        <v>4</v>
      </c>
      <c r="G2">
        <v>3</v>
      </c>
      <c r="J2">
        <v>7</v>
      </c>
    </row>
    <row r="3" spans="1:13">
      <c r="A3" t="s">
        <v>219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220</v>
      </c>
      <c r="C4">
        <v>1</v>
      </c>
      <c r="E4">
        <v>119</v>
      </c>
      <c r="G4">
        <v>3</v>
      </c>
      <c r="H4">
        <v>5</v>
      </c>
      <c r="J4">
        <v>10</v>
      </c>
      <c r="M4" t="s">
        <v>225</v>
      </c>
    </row>
    <row r="5" spans="1:13">
      <c r="A5" t="s">
        <v>219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225</v>
      </c>
    </row>
    <row r="6" spans="1:13">
      <c r="A6" t="s">
        <v>220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219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219</v>
      </c>
      <c r="C8">
        <v>4</v>
      </c>
      <c r="G8">
        <v>6</v>
      </c>
      <c r="H8">
        <v>6</v>
      </c>
    </row>
    <row r="9" spans="1:13">
      <c r="A9" t="s">
        <v>220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219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zoomScale="85" zoomScaleNormal="85" workbookViewId="0">
      <selection activeCell="A13" activeCellId="2" sqref="A27:XFD27 A20:XFD20 A13:XFD13"/>
    </sheetView>
  </sheetViews>
  <sheetFormatPr defaultRowHeight="14.25"/>
  <cols>
    <col min="1" max="1" width="12.375" customWidth="1"/>
    <col min="2" max="2" width="15.5" customWidth="1"/>
    <col min="5" max="9" width="11.25" customWidth="1"/>
    <col min="13" max="13" width="9.375" bestFit="1" customWidth="1"/>
    <col min="17" max="17" width="13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126</v>
      </c>
      <c r="B1" s="42" t="s">
        <v>125</v>
      </c>
      <c r="C1" s="42" t="s">
        <v>124</v>
      </c>
      <c r="D1" s="42" t="s">
        <v>123</v>
      </c>
      <c r="E1" s="42" t="s">
        <v>122</v>
      </c>
      <c r="F1" s="42" t="s">
        <v>121</v>
      </c>
      <c r="G1" s="42" t="s">
        <v>120</v>
      </c>
      <c r="H1" s="42" t="s">
        <v>119</v>
      </c>
      <c r="I1" s="42" t="s">
        <v>118</v>
      </c>
      <c r="J1" s="40" t="s">
        <v>117</v>
      </c>
      <c r="K1" s="42" t="s">
        <v>116</v>
      </c>
      <c r="L1" s="42" t="s">
        <v>115</v>
      </c>
      <c r="M1" s="42" t="s">
        <v>114</v>
      </c>
      <c r="N1" s="42" t="s">
        <v>113</v>
      </c>
      <c r="O1" s="42" t="s">
        <v>112</v>
      </c>
      <c r="P1" s="42" t="s">
        <v>111</v>
      </c>
      <c r="Q1" s="41" t="s">
        <v>110</v>
      </c>
      <c r="R1" s="40" t="s">
        <v>109</v>
      </c>
      <c r="S1" s="39"/>
      <c r="T1" s="39"/>
      <c r="U1" s="39"/>
      <c r="V1" s="39" t="s">
        <v>5</v>
      </c>
      <c r="W1" t="s">
        <v>108</v>
      </c>
      <c r="X1" t="s">
        <v>107</v>
      </c>
      <c r="Y1" t="s">
        <v>86</v>
      </c>
      <c r="AA1" s="39" t="s">
        <v>5</v>
      </c>
      <c r="AB1" t="s">
        <v>108</v>
      </c>
      <c r="AC1" t="s">
        <v>107</v>
      </c>
      <c r="AD1" t="s">
        <v>86</v>
      </c>
    </row>
    <row r="2" spans="1:30" ht="15" thickBot="1">
      <c r="A2" s="22" t="s">
        <v>106</v>
      </c>
      <c r="B2" s="22" t="s">
        <v>105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104</v>
      </c>
      <c r="B3" s="22" t="s">
        <v>95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104</v>
      </c>
      <c r="B4" s="25" t="s">
        <v>94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26</v>
      </c>
      <c r="AB4" s="1">
        <v>4</v>
      </c>
      <c r="AC4" s="1">
        <v>4</v>
      </c>
      <c r="AD4" s="1">
        <v>3</v>
      </c>
    </row>
    <row r="5" spans="1:30" ht="15" thickBot="1">
      <c r="A5" s="25" t="s">
        <v>104</v>
      </c>
      <c r="B5" s="25" t="s">
        <v>89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26</v>
      </c>
      <c r="AB5" s="1">
        <v>2</v>
      </c>
      <c r="AC5" s="1">
        <v>2.25</v>
      </c>
      <c r="AD5" s="1">
        <v>2</v>
      </c>
    </row>
    <row r="6" spans="1:30" ht="15" thickBot="1">
      <c r="A6" s="25" t="s">
        <v>103</v>
      </c>
      <c r="B6" s="25" t="s">
        <v>95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93</v>
      </c>
      <c r="B7" s="25" t="s">
        <v>95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102</v>
      </c>
      <c r="AA7" t="s">
        <v>27</v>
      </c>
      <c r="AB7">
        <v>5</v>
      </c>
      <c r="AC7">
        <v>6</v>
      </c>
      <c r="AD7">
        <v>4</v>
      </c>
    </row>
    <row r="8" spans="1:30" ht="15.75" thickBot="1">
      <c r="A8" s="25" t="s">
        <v>92</v>
      </c>
      <c r="B8" s="25" t="s">
        <v>95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129</v>
      </c>
      <c r="U8" s="38" t="s">
        <v>101</v>
      </c>
      <c r="V8" s="37" t="s">
        <v>100</v>
      </c>
      <c r="W8" s="36" t="s">
        <v>99</v>
      </c>
      <c r="X8" s="35" t="s">
        <v>98</v>
      </c>
      <c r="AA8" t="s">
        <v>27</v>
      </c>
      <c r="AB8">
        <v>2.25</v>
      </c>
      <c r="AC8">
        <v>3</v>
      </c>
      <c r="AD8">
        <v>2.25</v>
      </c>
    </row>
    <row r="9" spans="1:30" ht="15" thickBot="1">
      <c r="A9" s="25" t="s">
        <v>91</v>
      </c>
      <c r="B9" s="25" t="s">
        <v>95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130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90</v>
      </c>
      <c r="B10" s="25" t="s">
        <v>95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130</v>
      </c>
      <c r="U10" s="34">
        <v>0.3</v>
      </c>
      <c r="V10" s="33">
        <v>0.1</v>
      </c>
      <c r="W10" s="32">
        <v>0.12</v>
      </c>
      <c r="X10" s="31">
        <v>0.15</v>
      </c>
      <c r="AA10" t="s">
        <v>28</v>
      </c>
      <c r="AB10">
        <v>8</v>
      </c>
      <c r="AC10">
        <v>8</v>
      </c>
      <c r="AD10">
        <v>5</v>
      </c>
    </row>
    <row r="11" spans="1:30" ht="15" thickBot="1">
      <c r="A11" s="25" t="s">
        <v>97</v>
      </c>
      <c r="B11" s="25" t="s">
        <v>95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130</v>
      </c>
      <c r="U11" s="34">
        <v>0.5</v>
      </c>
      <c r="V11" s="33">
        <v>0.1</v>
      </c>
      <c r="W11" s="32">
        <v>0.12</v>
      </c>
      <c r="X11" s="31">
        <v>0.11</v>
      </c>
      <c r="AA11" t="s">
        <v>28</v>
      </c>
      <c r="AB11">
        <v>2.25</v>
      </c>
      <c r="AC11">
        <v>3.33</v>
      </c>
      <c r="AD11">
        <v>2.5</v>
      </c>
    </row>
    <row r="12" spans="1:30" ht="15" thickBot="1">
      <c r="A12" s="25" t="s">
        <v>96</v>
      </c>
      <c r="B12" s="25" t="s">
        <v>95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15" thickBot="1">
      <c r="A13" s="25" t="s">
        <v>127</v>
      </c>
      <c r="B13" s="25" t="s">
        <v>95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29</v>
      </c>
      <c r="AB13">
        <v>11</v>
      </c>
      <c r="AC13">
        <v>11</v>
      </c>
      <c r="AD13">
        <v>7</v>
      </c>
    </row>
    <row r="14" spans="1:30" ht="15" thickBot="1">
      <c r="A14" s="25" t="s">
        <v>93</v>
      </c>
      <c r="B14" s="25" t="s">
        <v>94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29</v>
      </c>
      <c r="AB14">
        <v>3</v>
      </c>
      <c r="AC14">
        <v>4</v>
      </c>
      <c r="AD14">
        <v>3</v>
      </c>
    </row>
    <row r="15" spans="1:30" ht="15" thickBot="1">
      <c r="A15" s="25" t="s">
        <v>92</v>
      </c>
      <c r="B15" s="25" t="s">
        <v>94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91</v>
      </c>
      <c r="B16" s="25" t="s">
        <v>94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90</v>
      </c>
      <c r="B17" s="25" t="s">
        <v>94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97</v>
      </c>
      <c r="B18" s="25" t="s">
        <v>94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128</v>
      </c>
    </row>
    <row r="19" spans="1:25" ht="15" thickBot="1">
      <c r="A19" s="25" t="s">
        <v>96</v>
      </c>
      <c r="B19" s="25" t="s">
        <v>94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15" thickBot="1">
      <c r="A20" s="25" t="s">
        <v>127</v>
      </c>
      <c r="B20" s="25" t="s">
        <v>94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101</v>
      </c>
    </row>
    <row r="21" spans="1:25" ht="15" thickBot="1">
      <c r="A21" s="25" t="s">
        <v>93</v>
      </c>
      <c r="B21" s="25" t="s">
        <v>89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92</v>
      </c>
      <c r="B22" s="25" t="s">
        <v>89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91</v>
      </c>
      <c r="B23" s="25" t="s">
        <v>89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90</v>
      </c>
      <c r="B24" s="25" t="s">
        <v>89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97</v>
      </c>
      <c r="B25" s="25" t="s">
        <v>89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15" thickBot="1">
      <c r="A26" s="25" t="s">
        <v>96</v>
      </c>
      <c r="B26" s="25" t="s">
        <v>89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87</v>
      </c>
      <c r="Y26" t="s">
        <v>88</v>
      </c>
    </row>
    <row r="27" spans="1:25" ht="15" thickBot="1">
      <c r="A27" s="25" t="s">
        <v>127</v>
      </c>
      <c r="B27" s="25" t="s">
        <v>89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87</v>
      </c>
      <c r="X27" t="s">
        <v>27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86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85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84</v>
      </c>
      <c r="X30" t="s">
        <v>83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172</v>
      </c>
      <c r="B1" t="s">
        <v>173</v>
      </c>
      <c r="C1" t="s">
        <v>174</v>
      </c>
      <c r="D1" t="s">
        <v>178</v>
      </c>
      <c r="E1" t="s">
        <v>175</v>
      </c>
      <c r="F1" t="s">
        <v>10</v>
      </c>
    </row>
    <row r="2" spans="1:6">
      <c r="A2" t="s">
        <v>162</v>
      </c>
      <c r="B2" t="s">
        <v>206</v>
      </c>
      <c r="C2" t="s">
        <v>182</v>
      </c>
      <c r="D2" t="s">
        <v>187</v>
      </c>
      <c r="E2" t="s">
        <v>188</v>
      </c>
      <c r="F2" t="s">
        <v>209</v>
      </c>
    </row>
    <row r="3" spans="1:6">
      <c r="A3" t="s">
        <v>163</v>
      </c>
      <c r="B3" t="s">
        <v>206</v>
      </c>
      <c r="C3" t="s">
        <v>186</v>
      </c>
      <c r="D3" t="s">
        <v>184</v>
      </c>
      <c r="E3" t="s">
        <v>185</v>
      </c>
      <c r="F3" t="s">
        <v>209</v>
      </c>
    </row>
    <row r="4" spans="1:6">
      <c r="A4" t="s">
        <v>164</v>
      </c>
      <c r="B4" t="s">
        <v>206</v>
      </c>
      <c r="C4" t="s">
        <v>165</v>
      </c>
      <c r="D4" t="s">
        <v>187</v>
      </c>
      <c r="E4" t="s">
        <v>189</v>
      </c>
      <c r="F4" t="s">
        <v>210</v>
      </c>
    </row>
    <row r="5" spans="1:6">
      <c r="A5" t="s">
        <v>167</v>
      </c>
      <c r="B5" t="s">
        <v>166</v>
      </c>
      <c r="C5" t="s">
        <v>182</v>
      </c>
      <c r="D5" t="s">
        <v>201</v>
      </c>
      <c r="E5" t="s">
        <v>183</v>
      </c>
      <c r="F5" t="s">
        <v>210</v>
      </c>
    </row>
    <row r="6" spans="1:6">
      <c r="A6" t="s">
        <v>168</v>
      </c>
      <c r="B6" t="s">
        <v>169</v>
      </c>
      <c r="C6" t="s">
        <v>170</v>
      </c>
      <c r="D6" t="s">
        <v>181</v>
      </c>
      <c r="E6" t="s">
        <v>176</v>
      </c>
      <c r="F6" t="s">
        <v>210</v>
      </c>
    </row>
    <row r="7" spans="1:6">
      <c r="A7" t="s">
        <v>149</v>
      </c>
      <c r="B7" t="s">
        <v>202</v>
      </c>
      <c r="C7" t="s">
        <v>203</v>
      </c>
    </row>
    <row r="8" spans="1:6">
      <c r="A8" t="s">
        <v>204</v>
      </c>
      <c r="B8" t="s">
        <v>171</v>
      </c>
      <c r="C8" t="s">
        <v>91</v>
      </c>
      <c r="D8" t="s">
        <v>205</v>
      </c>
    </row>
    <row r="9" spans="1:6">
      <c r="A9" t="s">
        <v>207</v>
      </c>
      <c r="B9" t="s">
        <v>169</v>
      </c>
      <c r="C9" t="s">
        <v>208</v>
      </c>
      <c r="D9" t="s">
        <v>187</v>
      </c>
      <c r="F9" t="s">
        <v>210</v>
      </c>
    </row>
    <row r="10" spans="1:6">
      <c r="A10" t="s">
        <v>229</v>
      </c>
      <c r="B10" t="s">
        <v>171</v>
      </c>
      <c r="C10" t="s">
        <v>91</v>
      </c>
    </row>
    <row r="11" spans="1:6">
      <c r="A11" t="s">
        <v>230</v>
      </c>
      <c r="B11" t="s">
        <v>166</v>
      </c>
      <c r="C11" t="s">
        <v>91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Drop analityka</vt:lpstr>
      <vt:lpstr>Fusion</vt:lpstr>
      <vt:lpstr>Location features</vt:lpstr>
      <vt:lpstr>TabPrz</vt:lpstr>
      <vt:lpstr>Summary</vt:lpstr>
      <vt:lpstr>Runes</vt:lpstr>
      <vt:lpstr>Runes for DPS</vt:lpstr>
      <vt:lpstr>Runes to mobs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2015-10-22T23:34:15Z</dcterms:modified>
</cp:coreProperties>
</file>