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25725"/>
  <pivotCaches>
    <pivotCache cacheId="1" r:id="rId16"/>
    <pivotCache cacheId="2" r:id="rId17"/>
    <pivotCache cacheId="14" r:id="rId18"/>
  </pivotCaches>
</workbook>
</file>

<file path=xl/calcChain.xml><?xml version="1.0" encoding="utf-8"?>
<calcChain xmlns="http://schemas.openxmlformats.org/spreadsheetml/2006/main">
  <c r="R89" i="9"/>
  <c r="R57"/>
  <c r="Q29" i="4" l="1"/>
  <c r="L29"/>
  <c r="K29"/>
  <c r="J29"/>
  <c r="O29" l="1"/>
  <c r="R29" s="1"/>
  <c r="M3" i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R58" s="1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F60" i="9" l="1"/>
  <c r="F65"/>
  <c r="F61"/>
  <c r="F66"/>
  <c r="F62"/>
  <c r="F67"/>
  <c r="G67"/>
  <c r="G65"/>
  <c r="G61"/>
  <c r="G66"/>
  <c r="G62"/>
  <c r="G60"/>
  <c r="K67"/>
  <c r="K65"/>
  <c r="K61"/>
  <c r="K66"/>
  <c r="K62"/>
  <c r="K60"/>
  <c r="O67"/>
  <c r="O65"/>
  <c r="O61"/>
  <c r="O66"/>
  <c r="O62"/>
  <c r="O60"/>
  <c r="J61"/>
  <c r="J66"/>
  <c r="J62"/>
  <c r="J60"/>
  <c r="J67"/>
  <c r="J65"/>
  <c r="N61"/>
  <c r="N66"/>
  <c r="N62"/>
  <c r="N60"/>
  <c r="N67"/>
  <c r="N65"/>
  <c r="R61"/>
  <c r="R66"/>
  <c r="R62"/>
  <c r="R60"/>
  <c r="R67"/>
  <c r="R65"/>
  <c r="I66"/>
  <c r="I62"/>
  <c r="I60"/>
  <c r="I67"/>
  <c r="I65"/>
  <c r="I61"/>
  <c r="M66"/>
  <c r="M62"/>
  <c r="M60"/>
  <c r="M67"/>
  <c r="M65"/>
  <c r="M61"/>
  <c r="Q66"/>
  <c r="Q62"/>
  <c r="Q60"/>
  <c r="Q67"/>
  <c r="Q65"/>
  <c r="Q61"/>
  <c r="S67"/>
  <c r="S65"/>
  <c r="S61"/>
  <c r="S66"/>
  <c r="S62"/>
  <c r="S60"/>
  <c r="H62"/>
  <c r="H60"/>
  <c r="H67"/>
  <c r="H65"/>
  <c r="H61"/>
  <c r="H66"/>
  <c r="L62"/>
  <c r="L60"/>
  <c r="L67"/>
  <c r="L65"/>
  <c r="L61"/>
  <c r="L66"/>
  <c r="P62"/>
  <c r="P60"/>
  <c r="P67"/>
  <c r="P65"/>
  <c r="P61"/>
  <c r="P66"/>
  <c r="T62"/>
  <c r="T60"/>
  <c r="T67"/>
  <c r="T65"/>
  <c r="T61"/>
  <c r="T66"/>
  <c r="G16" i="14"/>
  <c r="G15"/>
  <c r="G14"/>
  <c r="E8"/>
  <c r="G8" s="1"/>
  <c r="E5"/>
  <c r="E4"/>
  <c r="G4" s="1"/>
  <c r="E3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Q1074"/>
  <c r="AQ1082"/>
  <c r="AQ1090"/>
  <c r="AQ1098"/>
  <c r="AQ1106"/>
  <c r="AQ1114"/>
  <c r="AQ1122"/>
  <c r="AQ1130"/>
  <c r="AQ1138"/>
  <c r="AQ1146"/>
  <c r="AQ1154"/>
  <c r="AR1158"/>
  <c r="AR1162"/>
  <c r="AR1166"/>
  <c r="AR1170"/>
  <c r="AR1174"/>
  <c r="AR1178"/>
  <c r="AR1182"/>
  <c r="AR1186"/>
  <c r="AR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T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Q3"/>
  <c r="AG3"/>
  <c r="AQ1072" s="1"/>
  <c r="G18" i="14"/>
  <c r="G17"/>
  <c r="G3"/>
  <c r="G6"/>
  <c r="G7"/>
  <c r="G9"/>
  <c r="G10"/>
  <c r="G11"/>
  <c r="G12"/>
  <c r="G13"/>
  <c r="G2"/>
  <c r="J4" i="6"/>
  <c r="R4" s="1"/>
  <c r="H4"/>
  <c r="F4" s="1"/>
  <c r="I4"/>
  <c r="G4" s="1"/>
  <c r="C18" i="14"/>
  <c r="C13"/>
  <c r="C17" s="1"/>
  <c r="R206" i="13"/>
  <c r="R82"/>
  <c r="R6"/>
  <c r="R221"/>
  <c r="R16"/>
  <c r="R263"/>
  <c r="R251"/>
  <c r="R231"/>
  <c r="R211"/>
  <c r="R205"/>
  <c r="R81"/>
  <c r="R5"/>
  <c r="R220"/>
  <c r="R264"/>
  <c r="R230"/>
  <c r="R70"/>
  <c r="R21"/>
  <c r="R210"/>
  <c r="R250"/>
  <c r="R23"/>
  <c r="R204"/>
  <c r="R80"/>
  <c r="R4"/>
  <c r="R219"/>
  <c r="R265"/>
  <c r="R229"/>
  <c r="R20"/>
  <c r="R209"/>
  <c r="R249"/>
  <c r="R72"/>
  <c r="R22"/>
  <c r="R257"/>
  <c r="R15"/>
  <c r="R208"/>
  <c r="R248"/>
  <c r="R203"/>
  <c r="R79"/>
  <c r="R14"/>
  <c r="R256"/>
  <c r="R69"/>
  <c r="R218"/>
  <c r="R207"/>
  <c r="R202"/>
  <c r="R78"/>
  <c r="R68"/>
  <c r="R19"/>
  <c r="R3"/>
  <c r="R327"/>
  <c r="R312"/>
  <c r="R307"/>
  <c r="R302"/>
  <c r="R297"/>
  <c r="R287"/>
  <c r="R282"/>
  <c r="R272"/>
  <c r="R255"/>
  <c r="R246"/>
  <c r="R241"/>
  <c r="R236"/>
  <c r="R226"/>
  <c r="R212"/>
  <c r="R201"/>
  <c r="R196"/>
  <c r="R191"/>
  <c r="R166"/>
  <c r="R157"/>
  <c r="R156"/>
  <c r="R145"/>
  <c r="R140"/>
  <c r="R130"/>
  <c r="R125"/>
  <c r="R102"/>
  <c r="R71"/>
  <c r="R62"/>
  <c r="R39"/>
  <c r="R29"/>
  <c r="R11"/>
  <c r="R18"/>
  <c r="R326"/>
  <c r="R311"/>
  <c r="R306"/>
  <c r="R296"/>
  <c r="R286"/>
  <c r="R281"/>
  <c r="R301"/>
  <c r="R262"/>
  <c r="R271"/>
  <c r="R254"/>
  <c r="R245"/>
  <c r="R240"/>
  <c r="R235"/>
  <c r="R225"/>
  <c r="R216"/>
  <c r="R200"/>
  <c r="R195"/>
  <c r="R190"/>
  <c r="R165"/>
  <c r="R161"/>
  <c r="R150"/>
  <c r="R144"/>
  <c r="R139"/>
  <c r="R129"/>
  <c r="R124"/>
  <c r="R101"/>
  <c r="R61"/>
  <c r="R13"/>
  <c r="R10"/>
  <c r="R325"/>
  <c r="R310"/>
  <c r="R305"/>
  <c r="R300"/>
  <c r="R295"/>
  <c r="R285"/>
  <c r="R280"/>
  <c r="R270"/>
  <c r="R261"/>
  <c r="R244"/>
  <c r="R239"/>
  <c r="R234"/>
  <c r="R224"/>
  <c r="R215"/>
  <c r="R199"/>
  <c r="R194"/>
  <c r="R189"/>
  <c r="R164"/>
  <c r="R160"/>
  <c r="R149"/>
  <c r="R143"/>
  <c r="R138"/>
  <c r="R128"/>
  <c r="R123"/>
  <c r="R100"/>
  <c r="R60"/>
  <c r="R9"/>
  <c r="R324"/>
  <c r="R309"/>
  <c r="R304"/>
  <c r="R299"/>
  <c r="R294"/>
  <c r="R284"/>
  <c r="R279"/>
  <c r="R269"/>
  <c r="R267"/>
  <c r="R260"/>
  <c r="R243"/>
  <c r="R238"/>
  <c r="R233"/>
  <c r="R228"/>
  <c r="R223"/>
  <c r="R217"/>
  <c r="R214"/>
  <c r="R198"/>
  <c r="R193"/>
  <c r="R188"/>
  <c r="R163"/>
  <c r="R159"/>
  <c r="R142"/>
  <c r="R137"/>
  <c r="R127"/>
  <c r="R122"/>
  <c r="R99"/>
  <c r="R59"/>
  <c r="R38"/>
  <c r="R28"/>
  <c r="R17"/>
  <c r="R8"/>
  <c r="R2"/>
  <c r="R323"/>
  <c r="R308"/>
  <c r="R303"/>
  <c r="R298"/>
  <c r="R293"/>
  <c r="R283"/>
  <c r="R278"/>
  <c r="R268"/>
  <c r="R266"/>
  <c r="R253"/>
  <c r="R252"/>
  <c r="R247"/>
  <c r="R242"/>
  <c r="R237"/>
  <c r="R232"/>
  <c r="R227"/>
  <c r="R222"/>
  <c r="R213"/>
  <c r="R197"/>
  <c r="R192"/>
  <c r="R187"/>
  <c r="R162"/>
  <c r="R158"/>
  <c r="R141"/>
  <c r="R136"/>
  <c r="R126"/>
  <c r="R121"/>
  <c r="R98"/>
  <c r="R58"/>
  <c r="R27"/>
  <c r="R12"/>
  <c r="R7"/>
  <c r="R322"/>
  <c r="R317"/>
  <c r="R292"/>
  <c r="R277"/>
  <c r="R259"/>
  <c r="R186"/>
  <c r="R181"/>
  <c r="R176"/>
  <c r="R171"/>
  <c r="R155"/>
  <c r="R135"/>
  <c r="R120"/>
  <c r="R116"/>
  <c r="R111"/>
  <c r="R106"/>
  <c r="R97"/>
  <c r="R92"/>
  <c r="R87"/>
  <c r="R77"/>
  <c r="R67"/>
  <c r="R57"/>
  <c r="R54"/>
  <c r="R49"/>
  <c r="R44"/>
  <c r="R34"/>
  <c r="R26"/>
  <c r="R321"/>
  <c r="R316"/>
  <c r="R291"/>
  <c r="R276"/>
  <c r="R185"/>
  <c r="R180"/>
  <c r="R175"/>
  <c r="R170"/>
  <c r="R154"/>
  <c r="R134"/>
  <c r="R119"/>
  <c r="R115"/>
  <c r="R110"/>
  <c r="R105"/>
  <c r="R96"/>
  <c r="R91"/>
  <c r="R86"/>
  <c r="R76"/>
  <c r="R66"/>
  <c r="R56"/>
  <c r="R53"/>
  <c r="R48"/>
  <c r="R43"/>
  <c r="R33"/>
  <c r="R25"/>
  <c r="R37"/>
  <c r="R320"/>
  <c r="R315"/>
  <c r="R290"/>
  <c r="R275"/>
  <c r="R184"/>
  <c r="R179"/>
  <c r="R174"/>
  <c r="R169"/>
  <c r="R153"/>
  <c r="R133"/>
  <c r="R118"/>
  <c r="R114"/>
  <c r="R109"/>
  <c r="R104"/>
  <c r="R95"/>
  <c r="R90"/>
  <c r="R85"/>
  <c r="R75"/>
  <c r="R65"/>
  <c r="R55"/>
  <c r="R52"/>
  <c r="R47"/>
  <c r="R42"/>
  <c r="R32"/>
  <c r="R24"/>
  <c r="R36"/>
  <c r="R319"/>
  <c r="R314"/>
  <c r="R289"/>
  <c r="R274"/>
  <c r="R183"/>
  <c r="R178"/>
  <c r="R173"/>
  <c r="R168"/>
  <c r="R152"/>
  <c r="R148"/>
  <c r="R132"/>
  <c r="R113"/>
  <c r="R108"/>
  <c r="R94"/>
  <c r="R89"/>
  <c r="R84"/>
  <c r="R74"/>
  <c r="R64"/>
  <c r="R51"/>
  <c r="R46"/>
  <c r="R41"/>
  <c r="R31"/>
  <c r="R318"/>
  <c r="R313"/>
  <c r="R288"/>
  <c r="R273"/>
  <c r="R258"/>
  <c r="R182"/>
  <c r="R177"/>
  <c r="R172"/>
  <c r="R167"/>
  <c r="R151"/>
  <c r="R147"/>
  <c r="R146"/>
  <c r="R131"/>
  <c r="R117"/>
  <c r="R112"/>
  <c r="R107"/>
  <c r="R103"/>
  <c r="R93"/>
  <c r="R88"/>
  <c r="R83"/>
  <c r="R73"/>
  <c r="R63"/>
  <c r="R50"/>
  <c r="R45"/>
  <c r="R40"/>
  <c r="R35"/>
  <c r="R30"/>
  <c r="Q206"/>
  <c r="Q82"/>
  <c r="Q6"/>
  <c r="Q221"/>
  <c r="Q16"/>
  <c r="Q263"/>
  <c r="Q251"/>
  <c r="Q231"/>
  <c r="Q211"/>
  <c r="Q205"/>
  <c r="Q81"/>
  <c r="Q5"/>
  <c r="Q220"/>
  <c r="Q264"/>
  <c r="Q230"/>
  <c r="Q70"/>
  <c r="Q21"/>
  <c r="Q210"/>
  <c r="Q250"/>
  <c r="Q23"/>
  <c r="Q204"/>
  <c r="Q80"/>
  <c r="Q4"/>
  <c r="Q219"/>
  <c r="Q265"/>
  <c r="Q229"/>
  <c r="Q20"/>
  <c r="Q209"/>
  <c r="Q249"/>
  <c r="Q72"/>
  <c r="Q22"/>
  <c r="Q257"/>
  <c r="Q15"/>
  <c r="Q208"/>
  <c r="Q248"/>
  <c r="Q203"/>
  <c r="Q79"/>
  <c r="Q14"/>
  <c r="Q256"/>
  <c r="Q69"/>
  <c r="Q218"/>
  <c r="Q207"/>
  <c r="Q202"/>
  <c r="Q78"/>
  <c r="Q68"/>
  <c r="Q19"/>
  <c r="Q3"/>
  <c r="Q327"/>
  <c r="Q312"/>
  <c r="Q307"/>
  <c r="Q302"/>
  <c r="Q297"/>
  <c r="Q287"/>
  <c r="Q282"/>
  <c r="Q272"/>
  <c r="Q255"/>
  <c r="Q246"/>
  <c r="Q241"/>
  <c r="Q236"/>
  <c r="Q226"/>
  <c r="Q212"/>
  <c r="Q201"/>
  <c r="Q196"/>
  <c r="Q191"/>
  <c r="Q166"/>
  <c r="Q157"/>
  <c r="Q156"/>
  <c r="Q145"/>
  <c r="Q140"/>
  <c r="Q130"/>
  <c r="Q125"/>
  <c r="Q102"/>
  <c r="Q71"/>
  <c r="Q62"/>
  <c r="Q39"/>
  <c r="Q29"/>
  <c r="Q11"/>
  <c r="Q18"/>
  <c r="Q326"/>
  <c r="Q311"/>
  <c r="Q306"/>
  <c r="Q296"/>
  <c r="Q286"/>
  <c r="Q281"/>
  <c r="Q301"/>
  <c r="Q262"/>
  <c r="Q271"/>
  <c r="Q254"/>
  <c r="Q245"/>
  <c r="Q240"/>
  <c r="Q235"/>
  <c r="Q225"/>
  <c r="Q216"/>
  <c r="Q200"/>
  <c r="Q195"/>
  <c r="Q190"/>
  <c r="Q165"/>
  <c r="Q161"/>
  <c r="Q150"/>
  <c r="Q144"/>
  <c r="Q139"/>
  <c r="Q129"/>
  <c r="Q124"/>
  <c r="Q101"/>
  <c r="Q61"/>
  <c r="Q13"/>
  <c r="Q10"/>
  <c r="Q325"/>
  <c r="Q310"/>
  <c r="Q305"/>
  <c r="Q300"/>
  <c r="Q295"/>
  <c r="Q285"/>
  <c r="Q280"/>
  <c r="Q270"/>
  <c r="Q261"/>
  <c r="Q244"/>
  <c r="Q239"/>
  <c r="Q234"/>
  <c r="Q224"/>
  <c r="Q215"/>
  <c r="Q199"/>
  <c r="Q194"/>
  <c r="Q189"/>
  <c r="Q164"/>
  <c r="Q160"/>
  <c r="Q149"/>
  <c r="Q143"/>
  <c r="Q138"/>
  <c r="Q128"/>
  <c r="Q123"/>
  <c r="Q100"/>
  <c r="Q60"/>
  <c r="Q9"/>
  <c r="Q324"/>
  <c r="Q309"/>
  <c r="Q304"/>
  <c r="Q299"/>
  <c r="Q294"/>
  <c r="Q284"/>
  <c r="Q279"/>
  <c r="Q269"/>
  <c r="Q267"/>
  <c r="Q260"/>
  <c r="Q243"/>
  <c r="Q238"/>
  <c r="Q233"/>
  <c r="Q228"/>
  <c r="Q223"/>
  <c r="Q217"/>
  <c r="Q214"/>
  <c r="Q198"/>
  <c r="Q193"/>
  <c r="Q188"/>
  <c r="Q163"/>
  <c r="Q159"/>
  <c r="Q142"/>
  <c r="Q137"/>
  <c r="Q127"/>
  <c r="Q122"/>
  <c r="Q99"/>
  <c r="Q59"/>
  <c r="Q38"/>
  <c r="Q28"/>
  <c r="Q17"/>
  <c r="Q8"/>
  <c r="Q2"/>
  <c r="Q323"/>
  <c r="Q308"/>
  <c r="Q303"/>
  <c r="Q298"/>
  <c r="Q293"/>
  <c r="Q283"/>
  <c r="Q278"/>
  <c r="Q268"/>
  <c r="Q266"/>
  <c r="Q253"/>
  <c r="Q252"/>
  <c r="Q247"/>
  <c r="Q242"/>
  <c r="Q237"/>
  <c r="Q232"/>
  <c r="Q227"/>
  <c r="Q222"/>
  <c r="Q213"/>
  <c r="Q197"/>
  <c r="Q192"/>
  <c r="Q187"/>
  <c r="Q162"/>
  <c r="Q158"/>
  <c r="Q141"/>
  <c r="Q136"/>
  <c r="Q126"/>
  <c r="Q121"/>
  <c r="Q98"/>
  <c r="Q58"/>
  <c r="Q27"/>
  <c r="Q12"/>
  <c r="Q7"/>
  <c r="Q322"/>
  <c r="Q317"/>
  <c r="Q292"/>
  <c r="Q277"/>
  <c r="Q259"/>
  <c r="Q186"/>
  <c r="Q181"/>
  <c r="Q176"/>
  <c r="Q171"/>
  <c r="Q155"/>
  <c r="Q135"/>
  <c r="Q120"/>
  <c r="Q116"/>
  <c r="Q111"/>
  <c r="Q106"/>
  <c r="Q97"/>
  <c r="Q92"/>
  <c r="Q87"/>
  <c r="Q77"/>
  <c r="Q67"/>
  <c r="Q57"/>
  <c r="Q54"/>
  <c r="Q49"/>
  <c r="Q44"/>
  <c r="Q34"/>
  <c r="Q26"/>
  <c r="Q321"/>
  <c r="Q316"/>
  <c r="Q291"/>
  <c r="Q276"/>
  <c r="Q185"/>
  <c r="Q180"/>
  <c r="Q175"/>
  <c r="Q170"/>
  <c r="Q154"/>
  <c r="Q134"/>
  <c r="Q119"/>
  <c r="Q115"/>
  <c r="Q110"/>
  <c r="Q105"/>
  <c r="Q96"/>
  <c r="Q91"/>
  <c r="Q86"/>
  <c r="Q76"/>
  <c r="Q66"/>
  <c r="Q56"/>
  <c r="Q53"/>
  <c r="Q48"/>
  <c r="Q43"/>
  <c r="Q33"/>
  <c r="Q25"/>
  <c r="Q37"/>
  <c r="Q320"/>
  <c r="Q315"/>
  <c r="Q290"/>
  <c r="Q275"/>
  <c r="Q184"/>
  <c r="Q179"/>
  <c r="Q174"/>
  <c r="Q169"/>
  <c r="Q153"/>
  <c r="Q133"/>
  <c r="Q118"/>
  <c r="Q114"/>
  <c r="Q109"/>
  <c r="Q104"/>
  <c r="Q95"/>
  <c r="Q90"/>
  <c r="Q85"/>
  <c r="Q75"/>
  <c r="Q65"/>
  <c r="Q55"/>
  <c r="Q52"/>
  <c r="Q47"/>
  <c r="Q42"/>
  <c r="Q32"/>
  <c r="Q24"/>
  <c r="Q36"/>
  <c r="Q319"/>
  <c r="Q314"/>
  <c r="Q289"/>
  <c r="Q274"/>
  <c r="Q183"/>
  <c r="Q178"/>
  <c r="Q173"/>
  <c r="Q168"/>
  <c r="Q152"/>
  <c r="Q148"/>
  <c r="Q132"/>
  <c r="Q113"/>
  <c r="Q108"/>
  <c r="Q94"/>
  <c r="Q89"/>
  <c r="Q84"/>
  <c r="Q74"/>
  <c r="Q64"/>
  <c r="Q51"/>
  <c r="Q46"/>
  <c r="Q41"/>
  <c r="Q31"/>
  <c r="Q318"/>
  <c r="Q313"/>
  <c r="Q288"/>
  <c r="Q273"/>
  <c r="Q258"/>
  <c r="Q182"/>
  <c r="Q177"/>
  <c r="Q172"/>
  <c r="Q167"/>
  <c r="Q151"/>
  <c r="Q147"/>
  <c r="Q146"/>
  <c r="Q131"/>
  <c r="Q117"/>
  <c r="Q112"/>
  <c r="Q107"/>
  <c r="Q103"/>
  <c r="Q93"/>
  <c r="Q88"/>
  <c r="Q83"/>
  <c r="Q73"/>
  <c r="Q63"/>
  <c r="Q50"/>
  <c r="Q45"/>
  <c r="Q40"/>
  <c r="Q35"/>
  <c r="Q30"/>
  <c r="P206"/>
  <c r="P82"/>
  <c r="P6"/>
  <c r="P221"/>
  <c r="P16"/>
  <c r="P263"/>
  <c r="P251"/>
  <c r="P231"/>
  <c r="P211"/>
  <c r="P205"/>
  <c r="P81"/>
  <c r="P5"/>
  <c r="P220"/>
  <c r="P264"/>
  <c r="P230"/>
  <c r="P70"/>
  <c r="P21"/>
  <c r="P210"/>
  <c r="P250"/>
  <c r="P23"/>
  <c r="P204"/>
  <c r="P80"/>
  <c r="P4"/>
  <c r="P219"/>
  <c r="P265"/>
  <c r="P229"/>
  <c r="P20"/>
  <c r="P209"/>
  <c r="P249"/>
  <c r="P72"/>
  <c r="P22"/>
  <c r="P257"/>
  <c r="P15"/>
  <c r="P208"/>
  <c r="P248"/>
  <c r="P203"/>
  <c r="P79"/>
  <c r="P14"/>
  <c r="P256"/>
  <c r="P69"/>
  <c r="P218"/>
  <c r="P207"/>
  <c r="P202"/>
  <c r="P78"/>
  <c r="P68"/>
  <c r="P19"/>
  <c r="P3"/>
  <c r="P327"/>
  <c r="P312"/>
  <c r="P307"/>
  <c r="P302"/>
  <c r="P297"/>
  <c r="P287"/>
  <c r="P282"/>
  <c r="P272"/>
  <c r="P255"/>
  <c r="P246"/>
  <c r="P241"/>
  <c r="P236"/>
  <c r="P226"/>
  <c r="P212"/>
  <c r="P201"/>
  <c r="P196"/>
  <c r="P191"/>
  <c r="P166"/>
  <c r="P157"/>
  <c r="P156"/>
  <c r="P145"/>
  <c r="P140"/>
  <c r="P130"/>
  <c r="P125"/>
  <c r="P102"/>
  <c r="P71"/>
  <c r="P62"/>
  <c r="P39"/>
  <c r="P29"/>
  <c r="P11"/>
  <c r="P18"/>
  <c r="P326"/>
  <c r="P311"/>
  <c r="P306"/>
  <c r="P296"/>
  <c r="P286"/>
  <c r="P281"/>
  <c r="P301"/>
  <c r="P262"/>
  <c r="P271"/>
  <c r="P254"/>
  <c r="P245"/>
  <c r="P240"/>
  <c r="P235"/>
  <c r="P225"/>
  <c r="P216"/>
  <c r="P200"/>
  <c r="P195"/>
  <c r="P190"/>
  <c r="P165"/>
  <c r="P161"/>
  <c r="P150"/>
  <c r="P144"/>
  <c r="P139"/>
  <c r="P129"/>
  <c r="P124"/>
  <c r="P101"/>
  <c r="P61"/>
  <c r="P13"/>
  <c r="P10"/>
  <c r="P325"/>
  <c r="P310"/>
  <c r="P305"/>
  <c r="P300"/>
  <c r="P295"/>
  <c r="P285"/>
  <c r="P280"/>
  <c r="P270"/>
  <c r="P261"/>
  <c r="P244"/>
  <c r="P239"/>
  <c r="P234"/>
  <c r="P224"/>
  <c r="P215"/>
  <c r="P199"/>
  <c r="P194"/>
  <c r="P189"/>
  <c r="P164"/>
  <c r="P160"/>
  <c r="P149"/>
  <c r="P143"/>
  <c r="P138"/>
  <c r="P128"/>
  <c r="P123"/>
  <c r="P100"/>
  <c r="P60"/>
  <c r="P9"/>
  <c r="P324"/>
  <c r="P309"/>
  <c r="P304"/>
  <c r="P299"/>
  <c r="P294"/>
  <c r="P284"/>
  <c r="P279"/>
  <c r="P269"/>
  <c r="P267"/>
  <c r="P260"/>
  <c r="P243"/>
  <c r="P238"/>
  <c r="P233"/>
  <c r="P228"/>
  <c r="P223"/>
  <c r="P217"/>
  <c r="P214"/>
  <c r="P198"/>
  <c r="P193"/>
  <c r="P188"/>
  <c r="P163"/>
  <c r="P159"/>
  <c r="P142"/>
  <c r="P137"/>
  <c r="P127"/>
  <c r="P122"/>
  <c r="P99"/>
  <c r="P59"/>
  <c r="P38"/>
  <c r="P28"/>
  <c r="P17"/>
  <c r="P8"/>
  <c r="P2"/>
  <c r="P323"/>
  <c r="P308"/>
  <c r="P303"/>
  <c r="P298"/>
  <c r="P293"/>
  <c r="P283"/>
  <c r="P278"/>
  <c r="P268"/>
  <c r="P266"/>
  <c r="P253"/>
  <c r="P252"/>
  <c r="P247"/>
  <c r="P242"/>
  <c r="P237"/>
  <c r="P232"/>
  <c r="P227"/>
  <c r="P222"/>
  <c r="P213"/>
  <c r="P197"/>
  <c r="P192"/>
  <c r="P187"/>
  <c r="P162"/>
  <c r="P158"/>
  <c r="P141"/>
  <c r="P136"/>
  <c r="P126"/>
  <c r="P121"/>
  <c r="P98"/>
  <c r="P58"/>
  <c r="P27"/>
  <c r="P12"/>
  <c r="P7"/>
  <c r="P322"/>
  <c r="P317"/>
  <c r="P292"/>
  <c r="P277"/>
  <c r="P259"/>
  <c r="P186"/>
  <c r="P181"/>
  <c r="P176"/>
  <c r="P171"/>
  <c r="P155"/>
  <c r="P135"/>
  <c r="P120"/>
  <c r="P116"/>
  <c r="P111"/>
  <c r="P106"/>
  <c r="P97"/>
  <c r="P92"/>
  <c r="P87"/>
  <c r="P77"/>
  <c r="P67"/>
  <c r="P57"/>
  <c r="P54"/>
  <c r="P49"/>
  <c r="P44"/>
  <c r="P34"/>
  <c r="P26"/>
  <c r="P321"/>
  <c r="P316"/>
  <c r="P291"/>
  <c r="P276"/>
  <c r="P185"/>
  <c r="P180"/>
  <c r="P175"/>
  <c r="P170"/>
  <c r="P154"/>
  <c r="P134"/>
  <c r="P119"/>
  <c r="P115"/>
  <c r="P110"/>
  <c r="P105"/>
  <c r="P96"/>
  <c r="P91"/>
  <c r="P86"/>
  <c r="P76"/>
  <c r="P66"/>
  <c r="P56"/>
  <c r="P53"/>
  <c r="P48"/>
  <c r="P43"/>
  <c r="P33"/>
  <c r="P25"/>
  <c r="P37"/>
  <c r="P320"/>
  <c r="P315"/>
  <c r="P290"/>
  <c r="P275"/>
  <c r="P184"/>
  <c r="P179"/>
  <c r="P174"/>
  <c r="P169"/>
  <c r="P153"/>
  <c r="P133"/>
  <c r="P118"/>
  <c r="P114"/>
  <c r="P109"/>
  <c r="P104"/>
  <c r="P95"/>
  <c r="P90"/>
  <c r="P85"/>
  <c r="P75"/>
  <c r="P65"/>
  <c r="P55"/>
  <c r="P52"/>
  <c r="P47"/>
  <c r="P42"/>
  <c r="P32"/>
  <c r="P24"/>
  <c r="P36"/>
  <c r="P319"/>
  <c r="P314"/>
  <c r="P289"/>
  <c r="P274"/>
  <c r="P183"/>
  <c r="P178"/>
  <c r="P173"/>
  <c r="P168"/>
  <c r="P152"/>
  <c r="P148"/>
  <c r="P132"/>
  <c r="P113"/>
  <c r="P108"/>
  <c r="P94"/>
  <c r="P89"/>
  <c r="P84"/>
  <c r="P74"/>
  <c r="P64"/>
  <c r="P51"/>
  <c r="P46"/>
  <c r="P41"/>
  <c r="P31"/>
  <c r="P318"/>
  <c r="P313"/>
  <c r="P288"/>
  <c r="P273"/>
  <c r="P258"/>
  <c r="P182"/>
  <c r="P177"/>
  <c r="P172"/>
  <c r="P167"/>
  <c r="P151"/>
  <c r="P147"/>
  <c r="P146"/>
  <c r="P131"/>
  <c r="P117"/>
  <c r="P112"/>
  <c r="P107"/>
  <c r="P103"/>
  <c r="P93"/>
  <c r="P88"/>
  <c r="P83"/>
  <c r="P73"/>
  <c r="P63"/>
  <c r="P50"/>
  <c r="P45"/>
  <c r="P40"/>
  <c r="P35"/>
  <c r="P30"/>
  <c r="S206"/>
  <c r="S82"/>
  <c r="S6"/>
  <c r="S221"/>
  <c r="S16"/>
  <c r="S263"/>
  <c r="S251"/>
  <c r="S231"/>
  <c r="S211"/>
  <c r="S205"/>
  <c r="S81"/>
  <c r="S5"/>
  <c r="S220"/>
  <c r="S264"/>
  <c r="S230"/>
  <c r="S70"/>
  <c r="S21"/>
  <c r="S210"/>
  <c r="S250"/>
  <c r="S23"/>
  <c r="S204"/>
  <c r="S80"/>
  <c r="S4"/>
  <c r="S219"/>
  <c r="S265"/>
  <c r="S229"/>
  <c r="S20"/>
  <c r="S209"/>
  <c r="S249"/>
  <c r="S72"/>
  <c r="S22"/>
  <c r="S257"/>
  <c r="S15"/>
  <c r="S208"/>
  <c r="S248"/>
  <c r="S203"/>
  <c r="S79"/>
  <c r="S14"/>
  <c r="S256"/>
  <c r="S69"/>
  <c r="S218"/>
  <c r="S207"/>
  <c r="S202"/>
  <c r="S78"/>
  <c r="S68"/>
  <c r="S19"/>
  <c r="S3"/>
  <c r="S327"/>
  <c r="S312"/>
  <c r="S307"/>
  <c r="S302"/>
  <c r="S297"/>
  <c r="S287"/>
  <c r="S282"/>
  <c r="S272"/>
  <c r="S255"/>
  <c r="S246"/>
  <c r="S241"/>
  <c r="S236"/>
  <c r="S226"/>
  <c r="S212"/>
  <c r="S201"/>
  <c r="S196"/>
  <c r="S191"/>
  <c r="S166"/>
  <c r="S157"/>
  <c r="S156"/>
  <c r="S145"/>
  <c r="S140"/>
  <c r="S130"/>
  <c r="S125"/>
  <c r="S102"/>
  <c r="S71"/>
  <c r="S62"/>
  <c r="S39"/>
  <c r="S29"/>
  <c r="S11"/>
  <c r="S18"/>
  <c r="S326"/>
  <c r="S311"/>
  <c r="S306"/>
  <c r="S296"/>
  <c r="S286"/>
  <c r="S281"/>
  <c r="S301"/>
  <c r="S262"/>
  <c r="S271"/>
  <c r="S254"/>
  <c r="S245"/>
  <c r="S240"/>
  <c r="S235"/>
  <c r="S225"/>
  <c r="S216"/>
  <c r="S200"/>
  <c r="S195"/>
  <c r="S190"/>
  <c r="S165"/>
  <c r="S161"/>
  <c r="S150"/>
  <c r="S144"/>
  <c r="S139"/>
  <c r="S129"/>
  <c r="S124"/>
  <c r="S101"/>
  <c r="S61"/>
  <c r="S13"/>
  <c r="S10"/>
  <c r="S325"/>
  <c r="S310"/>
  <c r="S305"/>
  <c r="S300"/>
  <c r="S295"/>
  <c r="S285"/>
  <c r="S280"/>
  <c r="S270"/>
  <c r="S261"/>
  <c r="S244"/>
  <c r="S239"/>
  <c r="S234"/>
  <c r="S224"/>
  <c r="S215"/>
  <c r="S199"/>
  <c r="S194"/>
  <c r="S189"/>
  <c r="S164"/>
  <c r="S160"/>
  <c r="S149"/>
  <c r="S143"/>
  <c r="S138"/>
  <c r="S128"/>
  <c r="S123"/>
  <c r="S100"/>
  <c r="S60"/>
  <c r="S9"/>
  <c r="S324"/>
  <c r="S309"/>
  <c r="S304"/>
  <c r="S299"/>
  <c r="S294"/>
  <c r="S284"/>
  <c r="S279"/>
  <c r="S269"/>
  <c r="S267"/>
  <c r="S260"/>
  <c r="S243"/>
  <c r="S238"/>
  <c r="S233"/>
  <c r="S228"/>
  <c r="S223"/>
  <c r="S217"/>
  <c r="S214"/>
  <c r="S198"/>
  <c r="S193"/>
  <c r="S188"/>
  <c r="S163"/>
  <c r="S159"/>
  <c r="S142"/>
  <c r="S137"/>
  <c r="S127"/>
  <c r="S122"/>
  <c r="S99"/>
  <c r="S59"/>
  <c r="S38"/>
  <c r="S28"/>
  <c r="S17"/>
  <c r="S8"/>
  <c r="S2"/>
  <c r="S323"/>
  <c r="S308"/>
  <c r="S303"/>
  <c r="S298"/>
  <c r="S293"/>
  <c r="S283"/>
  <c r="S278"/>
  <c r="S268"/>
  <c r="S266"/>
  <c r="S253"/>
  <c r="S252"/>
  <c r="S247"/>
  <c r="S242"/>
  <c r="S237"/>
  <c r="S232"/>
  <c r="S227"/>
  <c r="S222"/>
  <c r="S213"/>
  <c r="S197"/>
  <c r="S192"/>
  <c r="S187"/>
  <c r="S162"/>
  <c r="S158"/>
  <c r="S141"/>
  <c r="S136"/>
  <c r="S126"/>
  <c r="S121"/>
  <c r="S98"/>
  <c r="S58"/>
  <c r="S27"/>
  <c r="S12"/>
  <c r="S7"/>
  <c r="S322"/>
  <c r="S317"/>
  <c r="S292"/>
  <c r="S277"/>
  <c r="S259"/>
  <c r="S186"/>
  <c r="S181"/>
  <c r="S176"/>
  <c r="S171"/>
  <c r="S155"/>
  <c r="S135"/>
  <c r="S120"/>
  <c r="S116"/>
  <c r="S111"/>
  <c r="S106"/>
  <c r="S97"/>
  <c r="S92"/>
  <c r="S87"/>
  <c r="S77"/>
  <c r="S67"/>
  <c r="S57"/>
  <c r="S54"/>
  <c r="S49"/>
  <c r="S44"/>
  <c r="S34"/>
  <c r="S26"/>
  <c r="S321"/>
  <c r="S316"/>
  <c r="S291"/>
  <c r="S276"/>
  <c r="S185"/>
  <c r="S180"/>
  <c r="S175"/>
  <c r="S170"/>
  <c r="S154"/>
  <c r="S134"/>
  <c r="S119"/>
  <c r="S115"/>
  <c r="S110"/>
  <c r="S105"/>
  <c r="S96"/>
  <c r="S91"/>
  <c r="S86"/>
  <c r="S76"/>
  <c r="S66"/>
  <c r="S56"/>
  <c r="S53"/>
  <c r="S48"/>
  <c r="S43"/>
  <c r="S33"/>
  <c r="S25"/>
  <c r="S37"/>
  <c r="S320"/>
  <c r="S315"/>
  <c r="S290"/>
  <c r="S275"/>
  <c r="S184"/>
  <c r="S179"/>
  <c r="S174"/>
  <c r="S169"/>
  <c r="S153"/>
  <c r="S133"/>
  <c r="S118"/>
  <c r="S114"/>
  <c r="S109"/>
  <c r="S104"/>
  <c r="S95"/>
  <c r="S90"/>
  <c r="S85"/>
  <c r="S75"/>
  <c r="S65"/>
  <c r="S55"/>
  <c r="S52"/>
  <c r="S47"/>
  <c r="S42"/>
  <c r="S32"/>
  <c r="S24"/>
  <c r="S36"/>
  <c r="S319"/>
  <c r="S314"/>
  <c r="S289"/>
  <c r="S274"/>
  <c r="S183"/>
  <c r="S178"/>
  <c r="S173"/>
  <c r="S168"/>
  <c r="S152"/>
  <c r="S148"/>
  <c r="S132"/>
  <c r="S113"/>
  <c r="S108"/>
  <c r="S94"/>
  <c r="S89"/>
  <c r="S84"/>
  <c r="S74"/>
  <c r="S64"/>
  <c r="S51"/>
  <c r="S46"/>
  <c r="S41"/>
  <c r="S31"/>
  <c r="S318"/>
  <c r="S313"/>
  <c r="S288"/>
  <c r="S273"/>
  <c r="S258"/>
  <c r="S182"/>
  <c r="S177"/>
  <c r="S172"/>
  <c r="S167"/>
  <c r="S151"/>
  <c r="S147"/>
  <c r="S146"/>
  <c r="S131"/>
  <c r="S117"/>
  <c r="S112"/>
  <c r="S107"/>
  <c r="S103"/>
  <c r="S93"/>
  <c r="S88"/>
  <c r="S83"/>
  <c r="S73"/>
  <c r="S63"/>
  <c r="S50"/>
  <c r="S45"/>
  <c r="S40"/>
  <c r="S35"/>
  <c r="S30"/>
  <c r="AT167" i="6" l="1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0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J55"/>
  <c r="R55" s="1"/>
  <c r="I55"/>
  <c r="G55" s="1"/>
  <c r="H55"/>
  <c r="J46"/>
  <c r="R46" s="1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S6" i="5"/>
  <c r="W6"/>
  <c r="T6"/>
  <c r="U6"/>
  <c r="V6"/>
  <c r="R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I29" i="4" s="1"/>
  <c r="N29" s="1"/>
  <c r="J1114" i="3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M29" i="4" l="1"/>
  <c r="P29" s="1"/>
  <c r="AT16" i="6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L12"/>
  <c r="AT17" i="6" l="1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V4" i="5"/>
  <c r="S4"/>
  <c r="T5"/>
  <c r="W5"/>
  <c r="V5"/>
  <c r="U4"/>
  <c r="U5"/>
  <c r="T4"/>
  <c r="S5"/>
  <c r="R5"/>
  <c r="W4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H94" i="9" l="1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26" l="1"/>
  <c r="R29" s="1"/>
  <c r="R90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U65"/>
  <c r="U66"/>
  <c r="U67"/>
  <c r="AT23" i="6"/>
  <c r="AS23"/>
  <c r="AO24"/>
  <c r="AU24" s="1"/>
  <c r="AM23"/>
  <c r="AQ20"/>
  <c r="AR20"/>
  <c r="M33" i="9"/>
  <c r="M28"/>
  <c r="L34"/>
  <c r="T35"/>
  <c r="T28"/>
  <c r="T33"/>
  <c r="T29"/>
  <c r="T34"/>
  <c r="T30"/>
  <c r="J34"/>
  <c r="J28"/>
  <c r="N34"/>
  <c r="N29"/>
  <c r="N35"/>
  <c r="N30"/>
  <c r="R35"/>
  <c r="R28"/>
  <c r="R34"/>
  <c r="R30"/>
  <c r="P34"/>
  <c r="P35"/>
  <c r="P30"/>
  <c r="P33"/>
  <c r="K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15" i="4"/>
  <c r="L15"/>
  <c r="K15"/>
  <c r="J15"/>
  <c r="N33" i="9" l="1"/>
  <c r="J33"/>
  <c r="M29"/>
  <c r="R33"/>
  <c r="K34"/>
  <c r="K28"/>
  <c r="K30"/>
  <c r="J35"/>
  <c r="J29"/>
  <c r="I33"/>
  <c r="I28"/>
  <c r="I30"/>
  <c r="I35"/>
  <c r="I34"/>
  <c r="U34" s="1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U35" i="9" l="1"/>
  <c r="U33"/>
  <c r="U97"/>
  <c r="U99"/>
  <c r="U98"/>
  <c r="AT25" i="6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Q4" s="1"/>
  <c r="S2" i="6"/>
  <c r="U2" s="1"/>
  <c r="J6"/>
  <c r="J7" s="1"/>
  <c r="J8" s="1"/>
  <c r="J9" s="1"/>
  <c r="Q5"/>
  <c r="W3" i="1"/>
  <c r="X3" s="1"/>
  <c r="W2"/>
  <c r="O5" l="1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Q7" s="1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N32" i="1" l="1"/>
  <c r="M32" s="1"/>
  <c r="M31"/>
  <c r="O8"/>
  <c r="M9"/>
  <c r="Q9" s="1"/>
  <c r="M8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O31" i="1" l="1"/>
  <c r="N33"/>
  <c r="O33" s="1"/>
  <c r="O9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<sst xmlns="http://schemas.openxmlformats.org/spreadsheetml/2006/main" count="6295" uniqueCount="849">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</sst>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2" fillId="0" borderId="0"/>
  </cellStyleXfs>
  <cellXfs count="216">
    <xf numFmtId="0" fontId="0" fillId="0" borderId="0" xfId="0"/>
    <xf numFmtId="4" fontId="0" fillId="0" borderId="0" xfId="0" applyNumberFormat="1"/>
    <xf numFmtId="0" fontId="0" fillId="2" borderId="0" xfId="0" applyFill="1"/>
    <xf numFmtId="0" fontId="3" fillId="3" borderId="1" xfId="0" applyFont="1" applyFill="1" applyBorder="1"/>
    <xf numFmtId="0" fontId="3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4" fillId="0" borderId="10" xfId="0" applyNumberFormat="1" applyFont="1" applyFill="1" applyBorder="1" applyAlignment="1">
      <alignment horizontal="left" wrapText="1"/>
    </xf>
    <xf numFmtId="0" fontId="4" fillId="0" borderId="10" xfId="0" applyFont="1" applyFill="1" applyBorder="1" applyAlignment="1">
      <alignment horizontal="left" wrapText="1"/>
    </xf>
    <xf numFmtId="3" fontId="4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5" fillId="0" borderId="5" xfId="0" applyNumberFormat="1" applyFont="1" applyBorder="1"/>
    <xf numFmtId="0" fontId="5" fillId="0" borderId="4" xfId="0" applyFont="1" applyBorder="1"/>
    <xf numFmtId="0" fontId="5" fillId="0" borderId="3" xfId="0" applyFont="1" applyBorder="1"/>
    <xf numFmtId="165" fontId="5" fillId="0" borderId="14" xfId="0" applyNumberFormat="1" applyFont="1" applyBorder="1"/>
    <xf numFmtId="0" fontId="6" fillId="4" borderId="0" xfId="0" applyFont="1" applyFill="1" applyBorder="1" applyAlignment="1">
      <alignment horizontal="left" vertical="center" wrapText="1"/>
    </xf>
    <xf numFmtId="0" fontId="5" fillId="0" borderId="0" xfId="0" applyFont="1"/>
    <xf numFmtId="4" fontId="4" fillId="0" borderId="10" xfId="0" applyNumberFormat="1" applyFont="1" applyFill="1" applyBorder="1" applyAlignment="1">
      <alignment horizontal="left" wrapText="1"/>
    </xf>
    <xf numFmtId="4" fontId="5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7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5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5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5" fillId="0" borderId="16" xfId="0" applyFont="1" applyFill="1" applyBorder="1"/>
    <xf numFmtId="0" fontId="0" fillId="0" borderId="0" xfId="0" applyAlignment="1">
      <alignment wrapText="1"/>
    </xf>
    <xf numFmtId="0" fontId="5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5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5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5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5" fillId="9" borderId="8" xfId="0" applyFont="1" applyFill="1" applyBorder="1"/>
    <xf numFmtId="0" fontId="0" fillId="9" borderId="5" xfId="0" applyFill="1" applyBorder="1"/>
    <xf numFmtId="0" fontId="5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5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5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4" fillId="4" borderId="0" xfId="0" applyFont="1" applyFill="1" applyBorder="1" applyAlignment="1">
      <alignment horizontal="left" vertical="center" wrapText="1"/>
    </xf>
    <xf numFmtId="0" fontId="4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6" fillId="0" borderId="20" xfId="0" applyFont="1" applyFill="1" applyBorder="1" applyAlignment="1">
      <alignment horizontal="left" vertical="center" wrapText="1"/>
    </xf>
    <xf numFmtId="0" fontId="6" fillId="0" borderId="1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6" fillId="0" borderId="15" xfId="0" applyFont="1" applyFill="1" applyBorder="1" applyAlignment="1">
      <alignment horizontal="left" vertical="center" wrapText="1"/>
    </xf>
    <xf numFmtId="0" fontId="5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9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9" fillId="0" borderId="20" xfId="0" applyFont="1" applyFill="1" applyBorder="1" applyAlignment="1">
      <alignment horizontal="left" wrapText="1"/>
    </xf>
    <xf numFmtId="0" fontId="9" fillId="0" borderId="10" xfId="0" applyFont="1" applyFill="1" applyBorder="1" applyAlignment="1">
      <alignment horizontal="left" wrapText="1"/>
    </xf>
    <xf numFmtId="9" fontId="9" fillId="0" borderId="10" xfId="0" applyNumberFormat="1" applyFont="1" applyFill="1" applyBorder="1" applyAlignment="1">
      <alignment horizontal="left" wrapText="1"/>
    </xf>
    <xf numFmtId="3" fontId="9" fillId="0" borderId="10" xfId="0" applyNumberFormat="1" applyFont="1" applyFill="1" applyBorder="1" applyAlignment="1">
      <alignment horizontal="left" wrapText="1"/>
    </xf>
    <xf numFmtId="4" fontId="9" fillId="0" borderId="10" xfId="0" applyNumberFormat="1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9" fontId="9" fillId="0" borderId="22" xfId="0" applyNumberFormat="1" applyFont="1" applyFill="1" applyBorder="1" applyAlignment="1">
      <alignment horizontal="left" wrapText="1"/>
    </xf>
    <xf numFmtId="3" fontId="9" fillId="0" borderId="22" xfId="0" applyNumberFormat="1" applyFont="1" applyFill="1" applyBorder="1" applyAlignment="1">
      <alignment horizontal="left" wrapText="1"/>
    </xf>
    <xf numFmtId="4" fontId="9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2" fillId="0" borderId="0" xfId="2"/>
    <xf numFmtId="0" fontId="2" fillId="0" borderId="0" xfId="2" applyAlignment="1">
      <alignment vertical="center" wrapText="1"/>
    </xf>
    <xf numFmtId="0" fontId="11" fillId="0" borderId="0" xfId="2" applyFont="1" applyAlignment="1">
      <alignment vertical="center" wrapText="1"/>
    </xf>
    <xf numFmtId="0" fontId="12" fillId="0" borderId="0" xfId="2" applyFont="1" applyAlignment="1">
      <alignment vertical="center" wrapText="1"/>
    </xf>
    <xf numFmtId="0" fontId="2" fillId="13" borderId="0" xfId="2" applyFill="1" applyAlignment="1">
      <alignment vertical="center" wrapText="1"/>
    </xf>
    <xf numFmtId="0" fontId="13" fillId="0" borderId="0" xfId="2" applyFont="1" applyAlignment="1">
      <alignment vertical="center" wrapText="1"/>
    </xf>
    <xf numFmtId="0" fontId="10" fillId="0" borderId="0" xfId="2" applyFont="1" applyAlignment="1">
      <alignment vertical="center" wrapText="1"/>
    </xf>
    <xf numFmtId="0" fontId="10" fillId="13" borderId="0" xfId="2" applyFont="1" applyFill="1" applyAlignment="1">
      <alignment vertical="center" wrapText="1"/>
    </xf>
    <xf numFmtId="0" fontId="2" fillId="5" borderId="0" xfId="2" applyFill="1" applyAlignment="1">
      <alignment vertical="center" wrapText="1"/>
    </xf>
    <xf numFmtId="0" fontId="12" fillId="4" borderId="0" xfId="2" applyFont="1" applyFill="1" applyAlignment="1">
      <alignment vertical="center" wrapText="1"/>
    </xf>
    <xf numFmtId="0" fontId="13" fillId="13" borderId="0" xfId="2" applyFont="1" applyFill="1" applyAlignment="1">
      <alignment vertical="center" wrapText="1"/>
    </xf>
    <xf numFmtId="0" fontId="2" fillId="0" borderId="0" xfId="2" applyNumberFormat="1" applyAlignment="1">
      <alignment vertical="center" wrapText="1"/>
    </xf>
    <xf numFmtId="0" fontId="2" fillId="13" borderId="0" xfId="2" applyNumberFormat="1" applyFill="1" applyAlignment="1">
      <alignment vertical="center" wrapText="1"/>
    </xf>
    <xf numFmtId="0" fontId="2" fillId="5" borderId="0" xfId="2" applyNumberFormat="1" applyFill="1" applyAlignment="1">
      <alignment vertical="center" wrapText="1"/>
    </xf>
    <xf numFmtId="0" fontId="2" fillId="0" borderId="0" xfId="2" applyFill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5" fillId="0" borderId="7" xfId="0" applyFont="1" applyFill="1" applyBorder="1"/>
    <xf numFmtId="0" fontId="1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9">
    <dxf>
      <numFmt numFmtId="13" formatCode="0%"/>
    </dxf>
    <dxf>
      <numFmt numFmtId="4" formatCode="#,##0.00"/>
    </dxf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89E-2"/>
          <c:w val="0.72971464242649142"/>
          <c:h val="0.89097169207608495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13343872"/>
        <c:axId val="113362048"/>
      </c:lineChart>
      <c:catAx>
        <c:axId val="113343872"/>
        <c:scaling>
          <c:orientation val="minMax"/>
        </c:scaling>
        <c:axPos val="b"/>
        <c:tickLblPos val="nextTo"/>
        <c:crossAx val="113362048"/>
        <c:crosses val="autoZero"/>
        <c:auto val="1"/>
        <c:lblAlgn val="ctr"/>
        <c:lblOffset val="100"/>
      </c:catAx>
      <c:valAx>
        <c:axId val="113362048"/>
        <c:scaling>
          <c:orientation val="minMax"/>
        </c:scaling>
        <c:axPos val="l"/>
        <c:majorGridlines/>
        <c:numFmt formatCode="General" sourceLinked="1"/>
        <c:tickLblPos val="nextTo"/>
        <c:crossAx val="113343872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28.46431284722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1">
        <m/>
        <s v="2*"/>
        <s v="1*"/>
        <s v="low"/>
        <s v="mid"/>
        <s v="3*"/>
        <s v="high"/>
        <s v="4*"/>
        <s v="5*"/>
        <s v="6*"/>
        <n v="1" u="1"/>
      </sharedItems>
    </cacheField>
    <cacheField name="Sell Drop" numFmtId="0">
      <sharedItems containsString="0" containsBlank="1" containsNumber="1" containsInteger="1" minValue="0" maxValue="25677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0"/>
    <n v="0"/>
    <n v="800"/>
    <m/>
  </r>
  <r>
    <x v="0"/>
    <x v="0"/>
    <x v="1"/>
    <n v="999"/>
    <n v="1"/>
    <s v="Scroll"/>
    <n v="1"/>
    <x v="2"/>
    <n v="0"/>
    <n v="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0"/>
    <n v="0"/>
    <n v="800"/>
    <m/>
  </r>
  <r>
    <x v="1"/>
    <x v="0"/>
    <x v="0"/>
    <n v="1618"/>
    <n v="1"/>
    <s v="Scroll"/>
    <n v="1"/>
    <x v="2"/>
    <n v="0"/>
    <n v="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0"/>
    <n v="0"/>
    <n v="1600"/>
    <m/>
  </r>
  <r>
    <x v="0"/>
    <x v="1"/>
    <x v="1"/>
    <n v="621"/>
    <n v="1"/>
    <s v="Scroll"/>
    <n v="2"/>
    <x v="2"/>
    <n v="0"/>
    <n v="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0"/>
    <n v="0"/>
    <n v="1600"/>
    <m/>
  </r>
  <r>
    <x v="0"/>
    <x v="1"/>
    <x v="1"/>
    <n v="2244"/>
    <n v="2"/>
    <s v="Rainb"/>
    <n v="1"/>
    <x v="1"/>
    <n v="0"/>
    <n v="0"/>
    <n v="11500"/>
    <n v="0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0"/>
    <n v="0"/>
    <n v="800"/>
    <m/>
  </r>
  <r>
    <x v="1"/>
    <x v="0"/>
    <x v="0"/>
    <n v="1954"/>
    <n v="1"/>
    <s v="Scroll"/>
    <n v="1"/>
    <x v="2"/>
    <n v="0"/>
    <n v="0"/>
    <n v="0"/>
    <n v="800"/>
    <m/>
  </r>
  <r>
    <x v="1"/>
    <x v="0"/>
    <x v="0"/>
    <n v="1261"/>
    <n v="1"/>
    <s v="Scroll"/>
    <n v="1"/>
    <x v="2"/>
    <n v="0"/>
    <n v="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0"/>
    <n v="0"/>
    <n v="800"/>
    <m/>
  </r>
  <r>
    <x v="1"/>
    <x v="0"/>
    <x v="0"/>
    <n v="1770"/>
    <n v="2"/>
    <s v="Scroll"/>
    <n v="1"/>
    <x v="2"/>
    <n v="0"/>
    <n v="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0"/>
    <n v="0"/>
    <n v="1600"/>
    <m/>
  </r>
  <r>
    <x v="3"/>
    <x v="0"/>
    <x v="4"/>
    <n v="1238"/>
    <n v="0"/>
    <s v="Scroll"/>
    <n v="3"/>
    <x v="2"/>
    <n v="0"/>
    <n v="0"/>
    <n v="0"/>
    <n v="2400"/>
    <m/>
  </r>
  <r>
    <x v="3"/>
    <x v="0"/>
    <x v="4"/>
    <n v="1236"/>
    <n v="1"/>
    <s v="Scroll"/>
    <n v="2"/>
    <x v="2"/>
    <n v="0"/>
    <n v="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3"/>
    <x v="5"/>
    <n v="1192"/>
    <n v="1"/>
    <s v="Rainb"/>
    <n v="1"/>
    <x v="1"/>
    <n v="0"/>
    <n v="0"/>
    <n v="11500"/>
    <n v="0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0"/>
    <n v="0"/>
    <n v="160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0"/>
    <n v="0"/>
    <n v="800"/>
    <m/>
  </r>
  <r>
    <x v="5"/>
    <x v="0"/>
    <x v="0"/>
    <n v="1156"/>
    <n v="0"/>
    <s v="Scroll"/>
    <n v="1"/>
    <x v="2"/>
    <n v="0"/>
    <n v="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0"/>
    <n v="0"/>
    <n v="800"/>
    <m/>
  </r>
  <r>
    <x v="5"/>
    <x v="0"/>
    <x v="0"/>
    <n v="1385"/>
    <n v="0"/>
    <s v="Scroll"/>
    <n v="1"/>
    <x v="2"/>
    <n v="0"/>
    <n v="0"/>
    <n v="0"/>
    <n v="800"/>
    <m/>
  </r>
  <r>
    <x v="5"/>
    <x v="0"/>
    <x v="0"/>
    <n v="1562"/>
    <n v="1"/>
    <s v="Scroll"/>
    <n v="1"/>
    <x v="2"/>
    <n v="0"/>
    <n v="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0"/>
    <n v="0"/>
    <n v="800"/>
    <m/>
  </r>
  <r>
    <x v="5"/>
    <x v="0"/>
    <x v="0"/>
    <n v="1437"/>
    <n v="0"/>
    <s v="Scroll"/>
    <n v="1"/>
    <x v="2"/>
    <n v="0"/>
    <n v="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0"/>
    <n v="0"/>
    <n v="800"/>
    <m/>
  </r>
  <r>
    <x v="5"/>
    <x v="0"/>
    <x v="0"/>
    <n v="1913"/>
    <n v="1"/>
    <s v="Scroll"/>
    <n v="1"/>
    <x v="2"/>
    <n v="0"/>
    <n v="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0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8"/>
    <x v="0"/>
    <x v="3"/>
    <n v="1000"/>
    <n v="0"/>
    <s v="Dark"/>
    <n v="5"/>
    <x v="3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2"/>
    <n v="0"/>
    <n v="0"/>
    <n v="0"/>
    <n v="240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2"/>
    <n v="0"/>
    <n v="0"/>
    <n v="0"/>
    <n v="240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2"/>
    <n v="0"/>
    <n v="0"/>
    <n v="0"/>
    <n v="240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2"/>
    <n v="0"/>
    <n v="0"/>
    <n v="0"/>
    <n v="1600"/>
    <m/>
  </r>
  <r>
    <x v="7"/>
    <x v="0"/>
    <x v="3"/>
    <n v="2500"/>
    <n v="2"/>
    <s v="Scroll"/>
    <n v="3"/>
    <x v="2"/>
    <n v="0"/>
    <n v="0"/>
    <n v="0"/>
    <n v="240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2"/>
    <n v="0"/>
    <n v="0"/>
    <n v="0"/>
    <n v="240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2"/>
    <n v="0"/>
    <n v="0"/>
    <n v="0"/>
    <n v="3200"/>
    <m/>
  </r>
  <r>
    <x v="7"/>
    <x v="0"/>
    <x v="3"/>
    <n v="2339"/>
    <n v="3"/>
    <s v="Scroll"/>
    <n v="4"/>
    <x v="2"/>
    <n v="0"/>
    <n v="0"/>
    <n v="0"/>
    <n v="320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2"/>
    <n v="0"/>
    <n v="0"/>
    <n v="0"/>
    <n v="240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2"/>
    <n v="0"/>
    <n v="0"/>
    <n v="0"/>
    <n v="240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2"/>
    <n v="0"/>
    <n v="0"/>
    <n v="0"/>
    <n v="240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2"/>
    <n v="0"/>
    <n v="0"/>
    <n v="0"/>
    <n v="240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2"/>
    <n v="0"/>
    <n v="0"/>
    <n v="0"/>
    <n v="240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2"/>
    <n v="0"/>
    <n v="0"/>
    <n v="0"/>
    <n v="2400"/>
    <m/>
  </r>
  <r>
    <x v="0"/>
    <x v="3"/>
    <x v="1"/>
    <n v="1585"/>
    <n v="0"/>
    <s v="Scroll"/>
    <n v="3"/>
    <x v="2"/>
    <n v="0"/>
    <n v="0"/>
    <n v="0"/>
    <n v="240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n v="1"/>
    <x v="1"/>
    <n v="0"/>
    <n v="0"/>
    <n v="11500"/>
    <n v="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2"/>
    <n v="0"/>
    <n v="0"/>
    <n v="0"/>
    <n v="2400"/>
    <m/>
  </r>
  <r>
    <x v="0"/>
    <x v="3"/>
    <x v="1"/>
    <n v="849"/>
    <n v="1"/>
    <s v="Scroll"/>
    <n v="3"/>
    <x v="2"/>
    <n v="0"/>
    <n v="0"/>
    <n v="0"/>
    <n v="2400"/>
    <m/>
  </r>
  <r>
    <x v="0"/>
    <x v="3"/>
    <x v="1"/>
    <n v="1261"/>
    <n v="1"/>
    <s v="Scroll"/>
    <n v="3"/>
    <x v="2"/>
    <n v="0"/>
    <n v="0"/>
    <n v="0"/>
    <n v="2400"/>
    <m/>
  </r>
  <r>
    <x v="9"/>
    <x v="0"/>
    <x v="1"/>
    <n v="1940"/>
    <n v="0"/>
    <s v="Scroll"/>
    <n v="3"/>
    <x v="2"/>
    <n v="0"/>
    <n v="0"/>
    <n v="0"/>
    <n v="2400"/>
    <m/>
  </r>
  <r>
    <x v="0"/>
    <x v="3"/>
    <x v="1"/>
    <n v="2271"/>
    <n v="1"/>
    <s v="Scroll"/>
    <n v="3"/>
    <x v="2"/>
    <n v="0"/>
    <n v="0"/>
    <n v="0"/>
    <n v="2400"/>
    <m/>
  </r>
  <r>
    <x v="0"/>
    <x v="3"/>
    <x v="1"/>
    <n v="1066"/>
    <n v="0"/>
    <s v="Rainb"/>
    <n v="1"/>
    <x v="1"/>
    <n v="0"/>
    <n v="0"/>
    <n v="11500"/>
    <n v="0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n v="1"/>
    <x v="5"/>
    <m/>
    <n v="0"/>
    <n v="34500"/>
    <n v="3582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2"/>
    <n v="0"/>
    <n v="0"/>
    <n v="0"/>
    <n v="240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n v="1"/>
    <x v="2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n v="1"/>
    <x v="2"/>
    <n v="0"/>
    <n v="0"/>
    <n v="0"/>
    <n v="0"/>
    <m/>
  </r>
  <r>
    <x v="0"/>
    <x v="3"/>
    <x v="1"/>
    <n v="1540"/>
    <n v="0"/>
    <s v="Fod"/>
    <n v="1"/>
    <x v="2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2"/>
    <n v="0"/>
    <n v="0"/>
    <n v="0"/>
    <n v="240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n v="1"/>
    <x v="1"/>
    <n v="0"/>
    <n v="0"/>
    <n v="11500"/>
    <n v="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2"/>
    <n v="0"/>
    <n v="0"/>
    <n v="0"/>
    <n v="240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n v="1"/>
    <x v="2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n v="1"/>
    <x v="1"/>
    <n v="0"/>
    <n v="0"/>
    <n v="11500"/>
    <n v="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n v="1"/>
    <x v="2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2"/>
    <n v="0"/>
    <n v="0"/>
    <n v="0"/>
    <n v="240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n v="1"/>
    <x v="2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n v="1"/>
    <x v="5"/>
    <n v="0"/>
    <n v="0"/>
    <n v="34500"/>
    <n v="3582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2"/>
    <n v="0"/>
    <n v="0"/>
    <n v="0"/>
    <n v="240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2"/>
    <n v="0"/>
    <n v="0"/>
    <n v="0"/>
    <n v="240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0"/>
    <n v="0"/>
    <n v="800"/>
    <m/>
  </r>
  <r>
    <x v="0"/>
    <x v="1"/>
    <x v="1"/>
    <n v="2474"/>
    <n v="3"/>
    <s v="Scroll"/>
    <n v="2"/>
    <x v="2"/>
    <n v="0"/>
    <n v="0"/>
    <n v="0"/>
    <n v="1600"/>
    <m/>
  </r>
  <r>
    <x v="0"/>
    <x v="3"/>
    <x v="1"/>
    <n v="920"/>
    <n v="2"/>
    <s v="Scroll"/>
    <n v="3"/>
    <x v="2"/>
    <n v="0"/>
    <n v="0"/>
    <n v="0"/>
    <n v="240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n v="1"/>
    <x v="5"/>
    <n v="0"/>
    <n v="0"/>
    <n v="34500"/>
    <n v="3582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2"/>
    <n v="0"/>
    <n v="0"/>
    <n v="0"/>
    <n v="240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n v="1"/>
    <x v="1"/>
    <n v="0"/>
    <n v="0"/>
    <n v="11500"/>
    <n v="0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2"/>
    <n v="0"/>
    <n v="0"/>
    <n v="0"/>
    <n v="320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2"/>
    <n v="0"/>
    <n v="0"/>
    <n v="0"/>
    <n v="3200"/>
    <m/>
  </r>
  <r>
    <x v="10"/>
    <x v="0"/>
    <x v="7"/>
    <n v="2498"/>
    <n v="2"/>
    <s v="Water"/>
    <n v="3"/>
    <x v="3"/>
    <n v="0"/>
    <n v="0"/>
    <n v="0"/>
    <n v="0"/>
    <m/>
  </r>
  <r>
    <x v="10"/>
    <x v="0"/>
    <x v="6"/>
    <n v="2073"/>
    <n v="0"/>
    <s v="Water"/>
    <n v="1"/>
    <x v="4"/>
    <n v="0"/>
    <n v="0"/>
    <n v="0"/>
    <n v="0"/>
    <m/>
  </r>
  <r>
    <x v="10"/>
    <x v="0"/>
    <x v="6"/>
    <n v="2143"/>
    <n v="0"/>
    <s v="Water"/>
    <n v="3"/>
    <x v="3"/>
    <n v="0"/>
    <n v="0"/>
    <n v="0"/>
    <n v="0"/>
    <m/>
  </r>
  <r>
    <x v="10"/>
    <x v="0"/>
    <x v="6"/>
    <n v="1852"/>
    <n v="1"/>
    <s v="Water"/>
    <n v="1"/>
    <x v="4"/>
    <n v="0"/>
    <n v="0"/>
    <n v="0"/>
    <n v="0"/>
    <m/>
  </r>
  <r>
    <x v="10"/>
    <x v="0"/>
    <x v="6"/>
    <n v="2417"/>
    <n v="0"/>
    <s v="SumStone"/>
    <n v="1"/>
    <x v="5"/>
    <n v="0"/>
    <n v="0"/>
    <n v="862.5"/>
    <n v="895.55"/>
    <m/>
  </r>
  <r>
    <x v="10"/>
    <x v="0"/>
    <x v="7"/>
    <n v="2146"/>
    <n v="0"/>
    <s v="Water"/>
    <n v="2"/>
    <x v="4"/>
    <n v="0"/>
    <n v="0"/>
    <n v="0"/>
    <n v="0"/>
    <m/>
  </r>
  <r>
    <x v="10"/>
    <x v="0"/>
    <x v="7"/>
    <n v="2968"/>
    <n v="0"/>
    <s v="Scroll"/>
    <n v="4"/>
    <x v="2"/>
    <n v="0"/>
    <n v="0"/>
    <n v="0"/>
    <n v="3200"/>
    <m/>
  </r>
  <r>
    <x v="10"/>
    <x v="0"/>
    <x v="7"/>
    <n v="2237"/>
    <n v="0"/>
    <s v="Scroll"/>
    <n v="4"/>
    <x v="2"/>
    <n v="0"/>
    <n v="0"/>
    <n v="0"/>
    <n v="3200"/>
    <m/>
  </r>
  <r>
    <x v="10"/>
    <x v="0"/>
    <x v="7"/>
    <n v="2223"/>
    <n v="1"/>
    <s v="Water"/>
    <n v="5"/>
    <x v="3"/>
    <n v="0"/>
    <n v="0"/>
    <n v="0"/>
    <n v="0"/>
    <m/>
  </r>
  <r>
    <x v="10"/>
    <x v="0"/>
    <x v="7"/>
    <n v="2246"/>
    <n v="2"/>
    <s v="Scroll"/>
    <n v="4"/>
    <x v="2"/>
    <n v="0"/>
    <n v="0"/>
    <n v="0"/>
    <n v="3200"/>
    <m/>
  </r>
  <r>
    <x v="10"/>
    <x v="0"/>
    <x v="7"/>
    <n v="1945"/>
    <n v="0"/>
    <s v="Scroll"/>
    <n v="4"/>
    <x v="2"/>
    <n v="0"/>
    <n v="0"/>
    <n v="0"/>
    <n v="3200"/>
    <m/>
  </r>
  <r>
    <x v="10"/>
    <x v="0"/>
    <x v="7"/>
    <n v="2404"/>
    <n v="1"/>
    <s v="Water"/>
    <n v="4"/>
    <x v="3"/>
    <n v="0"/>
    <n v="0"/>
    <n v="0"/>
    <n v="0"/>
    <m/>
  </r>
  <r>
    <x v="10"/>
    <x v="0"/>
    <x v="7"/>
    <n v="3017"/>
    <n v="1"/>
    <s v="Water"/>
    <n v="4"/>
    <x v="3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3"/>
    <n v="0"/>
    <n v="0"/>
    <n v="0"/>
    <n v="0"/>
    <m/>
  </r>
  <r>
    <x v="10"/>
    <x v="0"/>
    <x v="7"/>
    <n v="2576"/>
    <n v="3"/>
    <s v="Water"/>
    <n v="4"/>
    <x v="3"/>
    <n v="0"/>
    <n v="0"/>
    <n v="0"/>
    <n v="0"/>
    <m/>
  </r>
  <r>
    <x v="10"/>
    <x v="0"/>
    <x v="7"/>
    <n v="2058"/>
    <n v="1"/>
    <s v="Water"/>
    <n v="5"/>
    <x v="3"/>
    <n v="0"/>
    <n v="0"/>
    <n v="0"/>
    <n v="0"/>
    <m/>
  </r>
  <r>
    <x v="10"/>
    <x v="0"/>
    <x v="7"/>
    <n v="2086"/>
    <n v="1"/>
    <s v="Scroll"/>
    <n v="4"/>
    <x v="2"/>
    <n v="0"/>
    <n v="0"/>
    <n v="0"/>
    <n v="3200"/>
    <m/>
  </r>
  <r>
    <x v="10"/>
    <x v="0"/>
    <x v="7"/>
    <n v="2586"/>
    <n v="3"/>
    <s v="Scroll"/>
    <n v="4"/>
    <x v="2"/>
    <n v="0"/>
    <n v="0"/>
    <n v="0"/>
    <n v="3200"/>
    <m/>
  </r>
  <r>
    <x v="10"/>
    <x v="0"/>
    <x v="7"/>
    <n v="2500"/>
    <n v="1"/>
    <s v="Scroll"/>
    <n v="5"/>
    <x v="2"/>
    <n v="0"/>
    <n v="0"/>
    <n v="0"/>
    <n v="4000"/>
    <m/>
  </r>
  <r>
    <x v="10"/>
    <x v="0"/>
    <x v="7"/>
    <n v="2526"/>
    <n v="0"/>
    <s v="Water"/>
    <n v="1"/>
    <x v="6"/>
    <n v="0"/>
    <n v="0"/>
    <n v="0"/>
    <n v="0"/>
    <m/>
  </r>
  <r>
    <x v="10"/>
    <x v="0"/>
    <x v="7"/>
    <n v="2483"/>
    <n v="3"/>
    <s v="Water"/>
    <n v="1"/>
    <x v="6"/>
    <n v="0"/>
    <n v="0"/>
    <n v="0"/>
    <n v="0"/>
    <m/>
  </r>
  <r>
    <x v="10"/>
    <x v="0"/>
    <x v="7"/>
    <n v="2491"/>
    <n v="0"/>
    <s v="SD"/>
    <s v="Bearman"/>
    <x v="5"/>
    <n v="0"/>
    <n v="0"/>
    <n v="0"/>
    <n v="0"/>
    <m/>
  </r>
  <r>
    <x v="10"/>
    <x v="0"/>
    <x v="7"/>
    <n v="2730"/>
    <n v="0"/>
    <s v="Scroll"/>
    <n v="4"/>
    <x v="2"/>
    <n v="0"/>
    <n v="0"/>
    <n v="0"/>
    <n v="3200"/>
    <m/>
  </r>
  <r>
    <x v="10"/>
    <x v="0"/>
    <x v="7"/>
    <n v="2671"/>
    <n v="2"/>
    <s v="Water"/>
    <n v="4"/>
    <x v="3"/>
    <n v="0"/>
    <n v="0"/>
    <n v="0"/>
    <n v="0"/>
    <m/>
  </r>
  <r>
    <x v="10"/>
    <x v="0"/>
    <x v="7"/>
    <n v="2186"/>
    <n v="1"/>
    <s v="Angelmon"/>
    <n v="1"/>
    <x v="2"/>
    <n v="0"/>
    <n v="0"/>
    <n v="0"/>
    <n v="0"/>
    <m/>
  </r>
  <r>
    <x v="10"/>
    <x v="0"/>
    <x v="7"/>
    <n v="2316"/>
    <n v="0"/>
    <s v="Water"/>
    <n v="3"/>
    <x v="3"/>
    <n v="0"/>
    <n v="0"/>
    <n v="0"/>
    <n v="0"/>
    <m/>
  </r>
  <r>
    <x v="10"/>
    <x v="0"/>
    <x v="7"/>
    <n v="2046"/>
    <n v="1"/>
    <s v="Water"/>
    <n v="4"/>
    <x v="3"/>
    <n v="0"/>
    <n v="0"/>
    <n v="0"/>
    <n v="0"/>
    <m/>
  </r>
  <r>
    <x v="10"/>
    <x v="0"/>
    <x v="7"/>
    <n v="2303"/>
    <n v="3"/>
    <s v="Water"/>
    <n v="1"/>
    <x v="4"/>
    <n v="0"/>
    <n v="0"/>
    <n v="0"/>
    <n v="0"/>
    <m/>
  </r>
  <r>
    <x v="10"/>
    <x v="0"/>
    <x v="7"/>
    <n v="2396"/>
    <n v="1"/>
    <s v="Water"/>
    <n v="1"/>
    <x v="4"/>
    <n v="0"/>
    <n v="0"/>
    <n v="0"/>
    <n v="0"/>
    <m/>
  </r>
  <r>
    <x v="10"/>
    <x v="0"/>
    <x v="7"/>
    <n v="2325"/>
    <n v="1"/>
    <s v="Water"/>
    <n v="2"/>
    <x v="6"/>
    <n v="0"/>
    <n v="0"/>
    <n v="0"/>
    <n v="0"/>
    <m/>
  </r>
  <r>
    <x v="10"/>
    <x v="0"/>
    <x v="7"/>
    <n v="2398"/>
    <n v="1"/>
    <s v="Water"/>
    <n v="3"/>
    <x v="3"/>
    <n v="0"/>
    <n v="0"/>
    <n v="0"/>
    <n v="0"/>
    <m/>
  </r>
  <r>
    <x v="10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7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0"/>
    <n v="0"/>
    <n v="1600"/>
    <m/>
  </r>
  <r>
    <x v="1"/>
    <x v="1"/>
    <x v="8"/>
    <n v="1532"/>
    <n v="1"/>
    <s v="Scroll"/>
    <n v="2"/>
    <x v="2"/>
    <n v="0"/>
    <n v="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0"/>
    <n v="0"/>
    <n v="1600"/>
    <m/>
  </r>
  <r>
    <x v="1"/>
    <x v="1"/>
    <x v="8"/>
    <n v="1485"/>
    <n v="1"/>
    <s v="Scroll"/>
    <n v="2"/>
    <x v="2"/>
    <n v="0"/>
    <n v="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0"/>
    <n v="0"/>
    <n v="1600"/>
    <m/>
  </r>
  <r>
    <x v="1"/>
    <x v="1"/>
    <x v="8"/>
    <n v="1918"/>
    <n v="0"/>
    <s v="Scroll"/>
    <n v="2"/>
    <x v="2"/>
    <n v="0"/>
    <n v="0"/>
    <n v="0"/>
    <n v="1600"/>
    <m/>
  </r>
  <r>
    <x v="1"/>
    <x v="1"/>
    <x v="8"/>
    <n v="1961"/>
    <n v="1"/>
    <s v="Scroll"/>
    <n v="2"/>
    <x v="2"/>
    <n v="0"/>
    <n v="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0"/>
    <n v="0"/>
    <n v="160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2"/>
    <n v="0"/>
    <n v="0"/>
    <n v="0"/>
    <n v="240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2"/>
    <n v="0"/>
    <n v="0"/>
    <n v="0"/>
    <n v="240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2"/>
    <n v="0"/>
    <n v="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0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7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8"/>
    <x v="0"/>
    <x v="6"/>
    <n v="2217"/>
    <n v="0"/>
    <s v="Dark"/>
    <n v="2"/>
    <x v="4"/>
    <n v="0"/>
    <n v="0"/>
    <n v="0"/>
    <n v="0"/>
    <m/>
  </r>
  <r>
    <x v="8"/>
    <x v="0"/>
    <x v="7"/>
    <n v="2635"/>
    <n v="0"/>
    <s v="Scroll"/>
    <n v="5"/>
    <x v="2"/>
    <n v="0"/>
    <n v="0"/>
    <n v="0"/>
    <n v="4000"/>
    <m/>
  </r>
  <r>
    <x v="8"/>
    <x v="0"/>
    <x v="7"/>
    <n v="2286"/>
    <n v="0"/>
    <s v="Dark"/>
    <n v="2"/>
    <x v="4"/>
    <n v="0"/>
    <n v="0"/>
    <n v="0"/>
    <n v="0"/>
    <m/>
  </r>
  <r>
    <x v="8"/>
    <x v="0"/>
    <x v="7"/>
    <n v="2828"/>
    <n v="0"/>
    <s v="Dark"/>
    <n v="1"/>
    <x v="4"/>
    <n v="0"/>
    <n v="0"/>
    <n v="0"/>
    <n v="0"/>
    <m/>
  </r>
  <r>
    <x v="8"/>
    <x v="0"/>
    <x v="10"/>
    <n v="2917"/>
    <n v="2"/>
    <s v="Dark"/>
    <n v="3"/>
    <x v="4"/>
    <n v="0"/>
    <n v="0"/>
    <n v="0"/>
    <n v="0"/>
    <m/>
  </r>
  <r>
    <x v="8"/>
    <x v="0"/>
    <x v="11"/>
    <n v="2771"/>
    <n v="0"/>
    <s v="Dark"/>
    <n v="1"/>
    <x v="4"/>
    <n v="0"/>
    <n v="0"/>
    <n v="0"/>
    <n v="0"/>
    <m/>
  </r>
  <r>
    <x v="8"/>
    <x v="0"/>
    <x v="11"/>
    <n v="3158"/>
    <n v="1"/>
    <s v="Dark"/>
    <n v="3"/>
    <x v="6"/>
    <n v="0"/>
    <n v="0"/>
    <n v="0"/>
    <n v="0"/>
    <m/>
  </r>
  <r>
    <x v="8"/>
    <x v="0"/>
    <x v="11"/>
    <n v="3080"/>
    <n v="0"/>
    <s v="Dark"/>
    <n v="5"/>
    <x v="3"/>
    <n v="0"/>
    <n v="0"/>
    <n v="0"/>
    <n v="0"/>
    <m/>
  </r>
  <r>
    <x v="8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0"/>
    <m/>
  </r>
  <r>
    <x v="7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0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0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0"/>
    <n v="0"/>
    <n v="3200"/>
    <m/>
  </r>
  <r>
    <x v="11"/>
    <x v="0"/>
    <x v="10"/>
    <n v="2891"/>
    <n v="0"/>
    <s v="Scroll"/>
    <n v="4"/>
    <x v="2"/>
    <n v="0"/>
    <n v="0"/>
    <n v="0"/>
    <n v="3200"/>
    <m/>
  </r>
  <r>
    <x v="11"/>
    <x v="0"/>
    <x v="10"/>
    <n v="2801"/>
    <n v="0"/>
    <s v="Fire"/>
    <n v="4"/>
    <x v="3"/>
    <n v="0"/>
    <n v="0"/>
    <n v="0"/>
    <n v="0"/>
    <m/>
  </r>
  <r>
    <x v="11"/>
    <x v="0"/>
    <x v="10"/>
    <n v="2407"/>
    <n v="0"/>
    <s v="Fire"/>
    <n v="1"/>
    <x v="4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n v="1"/>
    <x v="1"/>
    <n v="0"/>
    <n v="0"/>
    <n v="11500"/>
    <n v="0"/>
    <m/>
  </r>
  <r>
    <x v="11"/>
    <x v="0"/>
    <x v="11"/>
    <n v="2720"/>
    <n v="0"/>
    <s v="Fire"/>
    <n v="1"/>
    <x v="4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n v="1"/>
    <x v="2"/>
    <n v="0"/>
    <n v="0"/>
    <n v="0"/>
    <n v="0"/>
    <m/>
  </r>
  <r>
    <x v="11"/>
    <x v="0"/>
    <x v="10"/>
    <n v="2734"/>
    <n v="0"/>
    <s v="Fire"/>
    <n v="3"/>
    <x v="6"/>
    <n v="0"/>
    <n v="0"/>
    <n v="0"/>
    <n v="0"/>
    <m/>
  </r>
  <r>
    <x v="11"/>
    <x v="0"/>
    <x v="10"/>
    <n v="3073"/>
    <n v="0"/>
    <s v="Fire"/>
    <n v="2"/>
    <x v="4"/>
    <n v="0"/>
    <n v="0"/>
    <n v="0"/>
    <n v="0"/>
    <m/>
  </r>
  <r>
    <x v="11"/>
    <x v="0"/>
    <x v="10"/>
    <n v="2813"/>
    <n v="0"/>
    <s v="Fire"/>
    <n v="2"/>
    <x v="4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4"/>
    <n v="0"/>
    <n v="0"/>
    <n v="0"/>
    <n v="0"/>
    <m/>
  </r>
  <r>
    <x v="11"/>
    <x v="0"/>
    <x v="10"/>
    <n v="2625"/>
    <n v="1"/>
    <s v="Fire"/>
    <n v="3"/>
    <x v="4"/>
    <n v="0"/>
    <n v="0"/>
    <n v="0"/>
    <n v="0"/>
    <m/>
  </r>
  <r>
    <x v="11"/>
    <x v="0"/>
    <x v="10"/>
    <n v="2515"/>
    <n v="0"/>
    <s v="Fire"/>
    <n v="1"/>
    <x v="6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7"/>
    <x v="0"/>
    <x v="7"/>
    <n v="3425"/>
    <n v="0"/>
    <s v="Blue"/>
    <n v="1"/>
    <x v="7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6"/>
    <n v="0"/>
    <n v="0"/>
    <n v="0"/>
    <n v="0"/>
    <m/>
  </r>
  <r>
    <x v="11"/>
    <x v="0"/>
    <x v="10"/>
    <n v="2798"/>
    <n v="2"/>
    <s v="Rainb"/>
    <n v="1"/>
    <x v="1"/>
    <n v="0"/>
    <n v="0"/>
    <n v="11500"/>
    <n v="0"/>
    <m/>
  </r>
  <r>
    <x v="11"/>
    <x v="0"/>
    <x v="10"/>
    <n v="2602"/>
    <n v="0"/>
    <s v="Fire"/>
    <n v="3"/>
    <x v="4"/>
    <n v="0"/>
    <n v="0"/>
    <n v="0"/>
    <n v="0"/>
    <m/>
  </r>
  <r>
    <x v="11"/>
    <x v="0"/>
    <x v="10"/>
    <n v="2901"/>
    <n v="1"/>
    <s v="Fire"/>
    <n v="1"/>
    <x v="4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4"/>
    <n v="0"/>
    <n v="0"/>
    <n v="0"/>
    <n v="0"/>
    <m/>
  </r>
  <r>
    <x v="11"/>
    <x v="0"/>
    <x v="10"/>
    <n v="2926"/>
    <n v="1"/>
    <s v="Fire"/>
    <n v="1"/>
    <x v="4"/>
    <n v="0"/>
    <n v="0"/>
    <n v="0"/>
    <n v="0"/>
    <m/>
  </r>
  <r>
    <x v="11"/>
    <x v="0"/>
    <x v="10"/>
    <n v="2560"/>
    <n v="1"/>
    <s v="Fire"/>
    <n v="4"/>
    <x v="3"/>
    <n v="0"/>
    <n v="0"/>
    <n v="0"/>
    <n v="0"/>
    <m/>
  </r>
  <r>
    <x v="11"/>
    <x v="0"/>
    <x v="10"/>
    <n v="2313"/>
    <n v="1"/>
    <s v="Fire"/>
    <n v="4"/>
    <x v="3"/>
    <n v="0"/>
    <n v="0"/>
    <n v="0"/>
    <n v="0"/>
    <m/>
  </r>
  <r>
    <x v="11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0"/>
    <n v="0"/>
    <n v="160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n v="1"/>
    <x v="8"/>
    <n v="8500"/>
    <n v="8500"/>
    <n v="0"/>
    <n v="0"/>
    <m/>
  </r>
  <r>
    <x v="7"/>
    <x v="0"/>
    <x v="7"/>
    <n v="3166"/>
    <n v="3"/>
    <s v="Scroll"/>
    <n v="5"/>
    <x v="2"/>
    <n v="0"/>
    <n v="0"/>
    <n v="0"/>
    <n v="4000"/>
    <m/>
  </r>
  <r>
    <x v="7"/>
    <x v="0"/>
    <x v="7"/>
    <n v="3825"/>
    <n v="1"/>
    <s v="Candy"/>
    <n v="1"/>
    <x v="0"/>
    <n v="0"/>
    <n v="0"/>
    <n v="0"/>
    <n v="0"/>
    <m/>
  </r>
  <r>
    <x v="7"/>
    <x v="0"/>
    <x v="7"/>
    <n v="3553"/>
    <n v="0"/>
    <s v="Blue"/>
    <n v="1"/>
    <x v="8"/>
    <n v="8500"/>
    <n v="8500"/>
    <n v="0"/>
    <n v="0"/>
    <m/>
  </r>
  <r>
    <x v="7"/>
    <x v="0"/>
    <x v="7"/>
    <n v="3574"/>
    <n v="1"/>
    <s v="Pink"/>
    <n v="1"/>
    <x v="7"/>
    <n v="4134"/>
    <n v="4134"/>
    <n v="0"/>
    <n v="0"/>
    <m/>
  </r>
  <r>
    <x v="7"/>
    <x v="0"/>
    <x v="7"/>
    <n v="3456"/>
    <n v="3"/>
    <s v="Blue"/>
    <n v="1"/>
    <x v="7"/>
    <n v="2411"/>
    <n v="2411"/>
    <n v="0"/>
    <n v="0"/>
    <m/>
  </r>
  <r>
    <x v="7"/>
    <x v="0"/>
    <x v="7"/>
    <n v="3185"/>
    <n v="0"/>
    <s v="Blue"/>
    <n v="1"/>
    <x v="8"/>
    <n v="6502"/>
    <n v="6502"/>
    <n v="0"/>
    <n v="0"/>
    <m/>
  </r>
  <r>
    <x v="7"/>
    <x v="0"/>
    <x v="7"/>
    <n v="3742"/>
    <n v="4"/>
    <s v="Blue"/>
    <n v="1"/>
    <x v="7"/>
    <n v="4593"/>
    <n v="4593"/>
    <n v="0"/>
    <n v="0"/>
    <m/>
  </r>
  <r>
    <x v="10"/>
    <x v="0"/>
    <x v="10"/>
    <n v="2924"/>
    <n v="1"/>
    <s v="Water"/>
    <n v="1"/>
    <x v="4"/>
    <n v="0"/>
    <n v="0"/>
    <n v="0"/>
    <n v="0"/>
    <m/>
  </r>
  <r>
    <x v="10"/>
    <x v="0"/>
    <x v="10"/>
    <n v="3192"/>
    <n v="2"/>
    <s v="Water"/>
    <n v="2"/>
    <x v="4"/>
    <n v="0"/>
    <n v="0"/>
    <n v="0"/>
    <n v="0"/>
    <m/>
  </r>
  <r>
    <x v="10"/>
    <x v="0"/>
    <x v="10"/>
    <n v="2967"/>
    <n v="1"/>
    <s v="Water"/>
    <n v="2"/>
    <x v="4"/>
    <n v="0"/>
    <n v="0"/>
    <n v="0"/>
    <n v="0"/>
    <m/>
  </r>
  <r>
    <x v="10"/>
    <x v="0"/>
    <x v="10"/>
    <n v="2926"/>
    <n v="0"/>
    <s v="Water"/>
    <n v="3"/>
    <x v="3"/>
    <n v="0"/>
    <n v="0"/>
    <n v="0"/>
    <n v="0"/>
    <m/>
  </r>
  <r>
    <x v="10"/>
    <x v="0"/>
    <x v="10"/>
    <n v="2801"/>
    <n v="1"/>
    <s v="Water"/>
    <n v="3"/>
    <x v="3"/>
    <n v="0"/>
    <n v="0"/>
    <n v="0"/>
    <n v="0"/>
    <m/>
  </r>
  <r>
    <x v="10"/>
    <x v="0"/>
    <x v="10"/>
    <n v="2800"/>
    <n v="0"/>
    <s v="SD"/>
    <s v="Vagabond"/>
    <x v="1"/>
    <n v="0"/>
    <n v="0"/>
    <n v="0"/>
    <n v="0"/>
    <m/>
  </r>
  <r>
    <x v="10"/>
    <x v="0"/>
    <x v="10"/>
    <n v="2913"/>
    <n v="0"/>
    <s v="Water"/>
    <n v="1"/>
    <x v="6"/>
    <n v="0"/>
    <n v="0"/>
    <n v="0"/>
    <n v="0"/>
    <m/>
  </r>
  <r>
    <x v="10"/>
    <x v="0"/>
    <x v="10"/>
    <n v="2812"/>
    <n v="1"/>
    <s v="Water"/>
    <n v="1"/>
    <x v="4"/>
    <n v="0"/>
    <n v="0"/>
    <n v="0"/>
    <n v="0"/>
    <m/>
  </r>
  <r>
    <x v="10"/>
    <x v="0"/>
    <x v="10"/>
    <n v="2449"/>
    <n v="0"/>
    <s v="Rainb"/>
    <n v="1"/>
    <x v="1"/>
    <n v="0"/>
    <n v="0"/>
    <n v="11500"/>
    <n v="0"/>
    <m/>
  </r>
  <r>
    <x v="10"/>
    <x v="0"/>
    <x v="10"/>
    <n v="2754"/>
    <n v="1"/>
    <s v="MystScroll"/>
    <n v="1"/>
    <x v="2"/>
    <n v="0"/>
    <n v="120000"/>
    <n v="0"/>
    <n v="0"/>
    <m/>
  </r>
  <r>
    <x v="10"/>
    <x v="0"/>
    <x v="10"/>
    <n v="2824"/>
    <n v="1"/>
    <s v="SD"/>
    <s v="Pixie"/>
    <x v="1"/>
    <n v="0"/>
    <n v="0"/>
    <n v="0"/>
    <n v="0"/>
    <m/>
  </r>
  <r>
    <x v="10"/>
    <x v="0"/>
    <x v="10"/>
    <n v="2980"/>
    <n v="0"/>
    <s v="Water"/>
    <n v="1"/>
    <x v="4"/>
    <n v="0"/>
    <n v="0"/>
    <n v="0"/>
    <n v="0"/>
    <m/>
  </r>
  <r>
    <x v="10"/>
    <x v="0"/>
    <x v="10"/>
    <n v="2957"/>
    <n v="0"/>
    <s v="Angelmon"/>
    <n v="1"/>
    <x v="2"/>
    <n v="0"/>
    <n v="0"/>
    <n v="0"/>
    <n v="0"/>
    <m/>
  </r>
  <r>
    <x v="10"/>
    <x v="0"/>
    <x v="10"/>
    <n v="2417"/>
    <n v="0"/>
    <s v="Scroll"/>
    <n v="4"/>
    <x v="2"/>
    <n v="0"/>
    <n v="0"/>
    <n v="0"/>
    <n v="3200"/>
    <m/>
  </r>
  <r>
    <x v="10"/>
    <x v="0"/>
    <x v="10"/>
    <n v="2671"/>
    <n v="0"/>
    <s v="Water"/>
    <n v="5"/>
    <x v="3"/>
    <n v="0"/>
    <n v="0"/>
    <n v="0"/>
    <n v="0"/>
    <m/>
  </r>
  <r>
    <x v="10"/>
    <x v="0"/>
    <x v="10"/>
    <n v="2947"/>
    <n v="1"/>
    <s v="Water"/>
    <n v="1"/>
    <x v="6"/>
    <n v="0"/>
    <n v="0"/>
    <n v="0"/>
    <n v="0"/>
    <m/>
  </r>
  <r>
    <x v="10"/>
    <x v="0"/>
    <x v="10"/>
    <n v="3358"/>
    <n v="1"/>
    <s v="Scroll"/>
    <n v="4"/>
    <x v="2"/>
    <n v="0"/>
    <n v="0"/>
    <n v="0"/>
    <n v="3200"/>
    <m/>
  </r>
  <r>
    <x v="10"/>
    <x v="0"/>
    <x v="10"/>
    <n v="2184"/>
    <n v="0"/>
    <s v="Water"/>
    <n v="4"/>
    <x v="3"/>
    <n v="0"/>
    <n v="0"/>
    <n v="0"/>
    <n v="0"/>
    <m/>
  </r>
  <r>
    <x v="10"/>
    <x v="0"/>
    <x v="10"/>
    <n v="2654"/>
    <n v="3"/>
    <s v="Water"/>
    <n v="1"/>
    <x v="4"/>
    <n v="0"/>
    <n v="0"/>
    <n v="0"/>
    <n v="0"/>
    <m/>
  </r>
  <r>
    <x v="10"/>
    <x v="0"/>
    <x v="10"/>
    <n v="2592"/>
    <n v="1"/>
    <s v="Water"/>
    <n v="1"/>
    <x v="4"/>
    <n v="0"/>
    <n v="0"/>
    <n v="0"/>
    <n v="0"/>
    <m/>
  </r>
  <r>
    <x v="10"/>
    <x v="0"/>
    <x v="10"/>
    <n v="2625"/>
    <n v="0"/>
    <s v="Water"/>
    <n v="1"/>
    <x v="6"/>
    <n v="0"/>
    <n v="0"/>
    <n v="0"/>
    <n v="0"/>
    <m/>
  </r>
  <r>
    <x v="10"/>
    <x v="0"/>
    <x v="10"/>
    <n v="3029"/>
    <n v="0"/>
    <s v="Water"/>
    <n v="1"/>
    <x v="4"/>
    <n v="0"/>
    <n v="0"/>
    <n v="0"/>
    <n v="0"/>
    <m/>
  </r>
  <r>
    <x v="10"/>
    <x v="0"/>
    <x v="10"/>
    <n v="2865"/>
    <n v="1"/>
    <s v="Water"/>
    <n v="1"/>
    <x v="4"/>
    <n v="0"/>
    <n v="0"/>
    <n v="0"/>
    <n v="0"/>
    <m/>
  </r>
  <r>
    <x v="10"/>
    <x v="0"/>
    <x v="10"/>
    <n v="3075"/>
    <n v="3"/>
    <s v="Water"/>
    <n v="5"/>
    <x v="3"/>
    <n v="0"/>
    <n v="0"/>
    <n v="0"/>
    <n v="0"/>
    <m/>
  </r>
  <r>
    <x v="10"/>
    <x v="0"/>
    <x v="10"/>
    <n v="3767"/>
    <n v="2"/>
    <s v="Water"/>
    <n v="4"/>
    <x v="3"/>
    <n v="0"/>
    <n v="0"/>
    <n v="0"/>
    <n v="0"/>
    <m/>
  </r>
  <r>
    <x v="10"/>
    <x v="0"/>
    <x v="10"/>
    <n v="3007"/>
    <n v="2"/>
    <s v="Water"/>
    <n v="3"/>
    <x v="4"/>
    <n v="0"/>
    <n v="0"/>
    <n v="0"/>
    <n v="0"/>
    <m/>
  </r>
  <r>
    <x v="10"/>
    <x v="0"/>
    <x v="10"/>
    <n v="2942"/>
    <n v="0"/>
    <s v="Water"/>
    <n v="1"/>
    <x v="4"/>
    <n v="0"/>
    <n v="0"/>
    <n v="0"/>
    <n v="0"/>
    <m/>
  </r>
  <r>
    <x v="10"/>
    <x v="0"/>
    <x v="10"/>
    <n v="2701"/>
    <n v="0"/>
    <s v="Water"/>
    <n v="5"/>
    <x v="3"/>
    <n v="0"/>
    <n v="0"/>
    <n v="0"/>
    <n v="0"/>
    <m/>
  </r>
  <r>
    <x v="10"/>
    <x v="0"/>
    <x v="10"/>
    <n v="3320"/>
    <n v="0"/>
    <s v="Water"/>
    <n v="3"/>
    <x v="6"/>
    <n v="0"/>
    <n v="0"/>
    <n v="0"/>
    <n v="0"/>
    <m/>
  </r>
  <r>
    <x v="10"/>
    <x v="0"/>
    <x v="10"/>
    <n v="2890"/>
    <n v="2"/>
    <s v="Water"/>
    <n v="3"/>
    <x v="3"/>
    <n v="0"/>
    <n v="0"/>
    <n v="0"/>
    <n v="0"/>
    <m/>
  </r>
  <r>
    <x v="10"/>
    <x v="0"/>
    <x v="10"/>
    <n v="3274"/>
    <n v="1"/>
    <s v="Water"/>
    <n v="2"/>
    <x v="6"/>
    <n v="0"/>
    <n v="0"/>
    <n v="0"/>
    <n v="0"/>
    <m/>
  </r>
  <r>
    <x v="10"/>
    <x v="0"/>
    <x v="10"/>
    <n v="2847"/>
    <n v="1"/>
    <s v="Water"/>
    <n v="1"/>
    <x v="6"/>
    <n v="0"/>
    <n v="0"/>
    <n v="0"/>
    <n v="0"/>
    <m/>
  </r>
  <r>
    <x v="10"/>
    <x v="0"/>
    <x v="10"/>
    <n v="2602"/>
    <n v="0"/>
    <s v="Water"/>
    <n v="4"/>
    <x v="3"/>
    <n v="0"/>
    <n v="0"/>
    <n v="0"/>
    <n v="0"/>
    <m/>
  </r>
  <r>
    <x v="10"/>
    <x v="0"/>
    <x v="10"/>
    <n v="2901"/>
    <n v="1"/>
    <s v="SD"/>
    <s v="Golem"/>
    <x v="5"/>
    <n v="0"/>
    <n v="0"/>
    <n v="0"/>
    <n v="0"/>
    <m/>
  </r>
  <r>
    <x v="10"/>
    <x v="0"/>
    <x v="10"/>
    <n v="2768"/>
    <n v="0"/>
    <s v="Water"/>
    <n v="5"/>
    <x v="3"/>
    <n v="0"/>
    <n v="0"/>
    <n v="0"/>
    <n v="0"/>
    <m/>
  </r>
  <r>
    <x v="10"/>
    <x v="0"/>
    <x v="10"/>
    <n v="2401"/>
    <n v="1"/>
    <s v="Water"/>
    <n v="1"/>
    <x v="4"/>
    <n v="0"/>
    <n v="0"/>
    <n v="0"/>
    <n v="0"/>
    <m/>
  </r>
  <r>
    <x v="10"/>
    <x v="0"/>
    <x v="10"/>
    <n v="2915"/>
    <n v="0"/>
    <s v="SumStone"/>
    <n v="3"/>
    <x v="5"/>
    <n v="0"/>
    <n v="0"/>
    <n v="2587.5"/>
    <n v="2686.6499999999996"/>
    <m/>
  </r>
  <r>
    <x v="10"/>
    <x v="0"/>
    <x v="10"/>
    <n v="2978"/>
    <n v="0"/>
    <s v="Water"/>
    <n v="4"/>
    <x v="3"/>
    <n v="0"/>
    <n v="0"/>
    <n v="0"/>
    <n v="0"/>
    <m/>
  </r>
  <r>
    <x v="10"/>
    <x v="0"/>
    <x v="10"/>
    <n v="2956"/>
    <n v="0"/>
    <s v="Water"/>
    <n v="5"/>
    <x v="3"/>
    <n v="0"/>
    <n v="0"/>
    <n v="0"/>
    <n v="0"/>
    <m/>
  </r>
  <r>
    <x v="10"/>
    <x v="0"/>
    <x v="10"/>
    <n v="2657"/>
    <n v="1"/>
    <s v="Water"/>
    <n v="5"/>
    <x v="3"/>
    <n v="0"/>
    <n v="0"/>
    <n v="0"/>
    <n v="0"/>
    <m/>
  </r>
  <r>
    <x v="10"/>
    <x v="0"/>
    <x v="10"/>
    <n v="2789"/>
    <n v="0"/>
    <s v="Angelmon"/>
    <n v="1"/>
    <x v="2"/>
    <n v="0"/>
    <n v="0"/>
    <n v="0"/>
    <n v="0"/>
    <m/>
  </r>
  <r>
    <x v="10"/>
    <x v="0"/>
    <x v="10"/>
    <n v="2793"/>
    <n v="1"/>
    <s v="Water"/>
    <n v="5"/>
    <x v="3"/>
    <n v="0"/>
    <n v="0"/>
    <n v="0"/>
    <n v="0"/>
    <m/>
  </r>
  <r>
    <x v="10"/>
    <x v="0"/>
    <x v="10"/>
    <n v="2869"/>
    <n v="2"/>
    <s v="Water"/>
    <n v="4"/>
    <x v="3"/>
    <n v="0"/>
    <n v="0"/>
    <n v="0"/>
    <n v="0"/>
    <m/>
  </r>
  <r>
    <x v="10"/>
    <x v="0"/>
    <x v="10"/>
    <n v="2638"/>
    <n v="1"/>
    <s v="Angelmon"/>
    <n v="1"/>
    <x v="2"/>
    <n v="0"/>
    <n v="0"/>
    <n v="0"/>
    <n v="0"/>
    <m/>
  </r>
  <r>
    <x v="10"/>
    <x v="0"/>
    <x v="10"/>
    <n v="2929"/>
    <n v="1"/>
    <s v="Water"/>
    <n v="1"/>
    <x v="4"/>
    <n v="0"/>
    <n v="0"/>
    <n v="0"/>
    <n v="0"/>
    <m/>
  </r>
  <r>
    <x v="10"/>
    <x v="0"/>
    <x v="10"/>
    <n v="2423"/>
    <n v="1"/>
    <s v="Water"/>
    <n v="3"/>
    <x v="3"/>
    <n v="0"/>
    <n v="0"/>
    <n v="0"/>
    <n v="0"/>
    <m/>
  </r>
  <r>
    <x v="10"/>
    <x v="0"/>
    <x v="10"/>
    <n v="2881"/>
    <n v="0"/>
    <s v="Water"/>
    <n v="5"/>
    <x v="3"/>
    <n v="0"/>
    <n v="0"/>
    <n v="0"/>
    <n v="0"/>
    <m/>
  </r>
  <r>
    <x v="10"/>
    <x v="0"/>
    <x v="10"/>
    <n v="3128"/>
    <n v="1"/>
    <s v="Water"/>
    <n v="4"/>
    <x v="3"/>
    <n v="0"/>
    <n v="0"/>
    <n v="0"/>
    <n v="0"/>
    <m/>
  </r>
  <r>
    <x v="10"/>
    <x v="0"/>
    <x v="10"/>
    <n v="3042"/>
    <n v="0"/>
    <s v="Water"/>
    <n v="3"/>
    <x v="6"/>
    <n v="0"/>
    <n v="0"/>
    <n v="0"/>
    <n v="0"/>
    <m/>
  </r>
  <r>
    <x v="10"/>
    <x v="0"/>
    <x v="10"/>
    <n v="2846"/>
    <n v="1"/>
    <s v="Water"/>
    <n v="1"/>
    <x v="6"/>
    <n v="0"/>
    <n v="0"/>
    <n v="0"/>
    <n v="0"/>
    <m/>
  </r>
  <r>
    <x v="10"/>
    <x v="0"/>
    <x v="10"/>
    <n v="3112"/>
    <n v="1"/>
    <s v="Water"/>
    <n v="1"/>
    <x v="6"/>
    <n v="0"/>
    <n v="0"/>
    <n v="0"/>
    <n v="0"/>
    <m/>
  </r>
  <r>
    <x v="10"/>
    <x v="0"/>
    <x v="10"/>
    <n v="2928"/>
    <n v="1"/>
    <s v="Water"/>
    <n v="4"/>
    <x v="3"/>
    <n v="0"/>
    <n v="0"/>
    <n v="0"/>
    <n v="0"/>
    <m/>
  </r>
  <r>
    <x v="10"/>
    <x v="0"/>
    <x v="10"/>
    <n v="2702"/>
    <n v="1"/>
    <s v="Water"/>
    <n v="2"/>
    <x v="4"/>
    <n v="0"/>
    <n v="0"/>
    <n v="0"/>
    <n v="0"/>
    <m/>
  </r>
  <r>
    <x v="12"/>
    <x v="0"/>
    <x v="12"/>
    <n v="6071"/>
    <n v="0"/>
    <s v="SumStone"/>
    <n v="4"/>
    <x v="5"/>
    <n v="0"/>
    <n v="0"/>
    <n v="3450"/>
    <n v="3582.2"/>
    <m/>
  </r>
  <r>
    <x v="12"/>
    <x v="0"/>
    <x v="12"/>
    <n v="5719"/>
    <n v="0"/>
    <s v="SumStone"/>
    <n v="4"/>
    <x v="5"/>
    <n v="0"/>
    <n v="0"/>
    <n v="3450"/>
    <n v="3582.2"/>
    <m/>
  </r>
  <r>
    <x v="12"/>
    <x v="0"/>
    <x v="12"/>
    <n v="5444"/>
    <n v="0"/>
    <s v="SumStone"/>
    <n v="4"/>
    <x v="5"/>
    <n v="0"/>
    <n v="0"/>
    <n v="3450"/>
    <n v="3582.2"/>
    <m/>
  </r>
  <r>
    <x v="12"/>
    <x v="0"/>
    <x v="12"/>
    <n v="5741"/>
    <n v="0"/>
    <s v="SumStone"/>
    <n v="4"/>
    <x v="5"/>
    <n v="0"/>
    <n v="0"/>
    <n v="3450"/>
    <n v="3582.2"/>
    <m/>
  </r>
  <r>
    <x v="12"/>
    <x v="0"/>
    <x v="12"/>
    <n v="6031"/>
    <n v="0"/>
    <s v="SumStone"/>
    <n v="4"/>
    <x v="5"/>
    <n v="0"/>
    <n v="0"/>
    <n v="3450"/>
    <n v="3582.2"/>
    <m/>
  </r>
  <r>
    <x v="12"/>
    <x v="0"/>
    <x v="12"/>
    <n v="5574"/>
    <n v="0"/>
    <s v="SumStone"/>
    <n v="4"/>
    <x v="5"/>
    <n v="0"/>
    <n v="0"/>
    <n v="3450"/>
    <n v="3582.2"/>
    <m/>
  </r>
  <r>
    <x v="12"/>
    <x v="0"/>
    <x v="12"/>
    <n v="6065"/>
    <n v="0"/>
    <s v="SumStone"/>
    <n v="4"/>
    <x v="5"/>
    <n v="0"/>
    <n v="0"/>
    <n v="3450"/>
    <n v="3582.2"/>
    <m/>
  </r>
  <r>
    <x v="12"/>
    <x v="0"/>
    <x v="12"/>
    <n v="5631"/>
    <n v="0"/>
    <s v="SumStone"/>
    <n v="4"/>
    <x v="5"/>
    <n v="0"/>
    <n v="0"/>
    <n v="3450"/>
    <n v="3582.2"/>
    <m/>
  </r>
  <r>
    <x v="10"/>
    <x v="0"/>
    <x v="10"/>
    <n v="2671"/>
    <n v="0"/>
    <s v="Water"/>
    <n v="1"/>
    <x v="4"/>
    <n v="0"/>
    <n v="0"/>
    <n v="0"/>
    <n v="0"/>
    <m/>
  </r>
  <r>
    <x v="10"/>
    <x v="0"/>
    <x v="10"/>
    <n v="2940"/>
    <n v="0"/>
    <s v="Water"/>
    <n v="1"/>
    <x v="6"/>
    <n v="0"/>
    <n v="0"/>
    <n v="0"/>
    <n v="0"/>
    <m/>
  </r>
  <r>
    <x v="10"/>
    <x v="0"/>
    <x v="10"/>
    <n v="2643"/>
    <n v="2"/>
    <s v="Water"/>
    <n v="1"/>
    <x v="6"/>
    <n v="0"/>
    <n v="0"/>
    <n v="0"/>
    <n v="0"/>
    <m/>
  </r>
  <r>
    <x v="10"/>
    <x v="0"/>
    <x v="10"/>
    <n v="2968"/>
    <n v="0"/>
    <s v="Water"/>
    <n v="3"/>
    <x v="4"/>
    <n v="0"/>
    <n v="0"/>
    <n v="0"/>
    <n v="0"/>
    <m/>
  </r>
  <r>
    <x v="10"/>
    <x v="0"/>
    <x v="10"/>
    <n v="2502"/>
    <n v="2"/>
    <s v="Water"/>
    <n v="2"/>
    <x v="4"/>
    <n v="0"/>
    <n v="0"/>
    <n v="0"/>
    <n v="0"/>
    <m/>
  </r>
  <r>
    <x v="10"/>
    <x v="0"/>
    <x v="10"/>
    <n v="2719"/>
    <n v="3"/>
    <s v="SD"/>
    <s v="Serpent"/>
    <x v="5"/>
    <n v="0"/>
    <n v="0"/>
    <n v="0"/>
    <n v="0"/>
    <m/>
  </r>
  <r>
    <x v="10"/>
    <x v="0"/>
    <x v="10"/>
    <n v="2733"/>
    <n v="1"/>
    <s v="Water"/>
    <n v="1"/>
    <x v="4"/>
    <n v="0"/>
    <n v="0"/>
    <n v="0"/>
    <n v="0"/>
    <m/>
  </r>
  <r>
    <x v="10"/>
    <x v="0"/>
    <x v="10"/>
    <n v="2917"/>
    <n v="1"/>
    <s v="Water"/>
    <n v="1"/>
    <x v="4"/>
    <n v="0"/>
    <n v="0"/>
    <n v="0"/>
    <n v="0"/>
    <m/>
  </r>
  <r>
    <x v="10"/>
    <x v="0"/>
    <x v="10"/>
    <n v="2662"/>
    <n v="0"/>
    <s v="Water"/>
    <n v="3"/>
    <x v="6"/>
    <n v="0"/>
    <n v="0"/>
    <n v="0"/>
    <n v="0"/>
    <m/>
  </r>
  <r>
    <x v="10"/>
    <x v="0"/>
    <x v="10"/>
    <n v="2980"/>
    <n v="1"/>
    <s v="Water"/>
    <n v="2"/>
    <x v="4"/>
    <n v="0"/>
    <n v="0"/>
    <n v="0"/>
    <n v="0"/>
    <m/>
  </r>
  <r>
    <x v="10"/>
    <x v="0"/>
    <x v="10"/>
    <n v="2778"/>
    <n v="0"/>
    <s v="Rainb"/>
    <n v="1"/>
    <x v="5"/>
    <n v="0"/>
    <n v="0"/>
    <n v="34500"/>
    <n v="118004"/>
    <m/>
  </r>
  <r>
    <x v="10"/>
    <x v="0"/>
    <x v="10"/>
    <n v="2383"/>
    <n v="0"/>
    <s v="Scroll"/>
    <n v="5"/>
    <x v="2"/>
    <n v="0"/>
    <n v="0"/>
    <n v="0"/>
    <n v="4000"/>
    <m/>
  </r>
  <r>
    <x v="10"/>
    <x v="0"/>
    <x v="10"/>
    <n v="2705"/>
    <n v="1"/>
    <s v="Water"/>
    <n v="1"/>
    <x v="6"/>
    <n v="0"/>
    <n v="0"/>
    <n v="0"/>
    <n v="0"/>
    <m/>
  </r>
  <r>
    <x v="10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3"/>
    <x v="0"/>
    <x v="10"/>
    <n v="2838"/>
    <n v="0"/>
    <s v="Wind"/>
    <n v="4"/>
    <x v="3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4"/>
    <n v="0"/>
    <n v="0"/>
    <n v="0"/>
    <n v="0"/>
    <m/>
  </r>
  <r>
    <x v="13"/>
    <x v="0"/>
    <x v="10"/>
    <n v="2866"/>
    <n v="1"/>
    <s v="Angelmon"/>
    <n v="1"/>
    <x v="2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3"/>
    <n v="0"/>
    <n v="0"/>
    <n v="0"/>
    <n v="0"/>
    <m/>
  </r>
  <r>
    <x v="13"/>
    <x v="0"/>
    <x v="10"/>
    <n v="2911"/>
    <n v="1"/>
    <s v="Wind"/>
    <n v="5"/>
    <x v="3"/>
    <n v="0"/>
    <n v="0"/>
    <n v="0"/>
    <n v="0"/>
    <m/>
  </r>
  <r>
    <x v="13"/>
    <x v="0"/>
    <x v="10"/>
    <n v="2858"/>
    <n v="0"/>
    <s v="Wind"/>
    <n v="1"/>
    <x v="4"/>
    <n v="0"/>
    <n v="0"/>
    <n v="0"/>
    <n v="0"/>
    <m/>
  </r>
  <r>
    <x v="13"/>
    <x v="0"/>
    <x v="10"/>
    <n v="2965"/>
    <n v="1"/>
    <s v="Wind"/>
    <n v="3"/>
    <x v="4"/>
    <n v="0"/>
    <n v="0"/>
    <n v="0"/>
    <n v="0"/>
    <m/>
  </r>
  <r>
    <x v="13"/>
    <x v="0"/>
    <x v="10"/>
    <n v="3486"/>
    <n v="1"/>
    <s v="Angelmon"/>
    <n v="1"/>
    <x v="2"/>
    <n v="0"/>
    <n v="0"/>
    <n v="0"/>
    <n v="0"/>
    <m/>
  </r>
  <r>
    <x v="13"/>
    <x v="0"/>
    <x v="10"/>
    <n v="2992"/>
    <n v="0"/>
    <s v="Rainb"/>
    <n v="1"/>
    <x v="5"/>
    <n v="0"/>
    <n v="0"/>
    <n v="34500"/>
    <n v="118004"/>
    <m/>
  </r>
  <r>
    <x v="13"/>
    <x v="0"/>
    <x v="10"/>
    <n v="2961"/>
    <n v="1"/>
    <s v="Scroll"/>
    <n v="5"/>
    <x v="2"/>
    <n v="0"/>
    <n v="0"/>
    <n v="0"/>
    <n v="4000"/>
    <m/>
  </r>
  <r>
    <x v="13"/>
    <x v="0"/>
    <x v="10"/>
    <n v="2744"/>
    <n v="1"/>
    <s v="Wind"/>
    <n v="1"/>
    <x v="6"/>
    <n v="0"/>
    <n v="0"/>
    <n v="0"/>
    <n v="0"/>
    <m/>
  </r>
  <r>
    <x v="13"/>
    <x v="0"/>
    <x v="10"/>
    <n v="2564"/>
    <n v="0"/>
    <s v="Wind"/>
    <n v="5"/>
    <x v="3"/>
    <n v="0"/>
    <n v="0"/>
    <n v="0"/>
    <n v="0"/>
    <m/>
  </r>
  <r>
    <x v="13"/>
    <x v="0"/>
    <x v="10"/>
    <n v="2876"/>
    <n v="2"/>
    <s v="Rainb"/>
    <n v="1"/>
    <x v="5"/>
    <n v="0"/>
    <n v="0"/>
    <n v="34500"/>
    <n v="118004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3"/>
    <x v="0"/>
    <x v="10"/>
    <n v="3032"/>
    <n v="0"/>
    <s v="Wind"/>
    <n v="5"/>
    <x v="3"/>
    <n v="0"/>
    <n v="0"/>
    <n v="0"/>
    <n v="0"/>
    <m/>
  </r>
  <r>
    <x v="13"/>
    <x v="0"/>
    <x v="10"/>
    <n v="2865"/>
    <n v="1"/>
    <s v="Rainb"/>
    <n v="1"/>
    <x v="5"/>
    <n v="0"/>
    <n v="0"/>
    <n v="34500"/>
    <n v="118004"/>
    <m/>
  </r>
  <r>
    <x v="13"/>
    <x v="0"/>
    <x v="10"/>
    <n v="2891"/>
    <n v="2"/>
    <s v="Wind"/>
    <n v="1"/>
    <x v="4"/>
    <n v="0"/>
    <n v="0"/>
    <n v="0"/>
    <n v="0"/>
    <m/>
  </r>
  <r>
    <x v="13"/>
    <x v="0"/>
    <x v="10"/>
    <n v="2799"/>
    <n v="0"/>
    <s v="Wind"/>
    <n v="2"/>
    <x v="4"/>
    <n v="0"/>
    <n v="0"/>
    <n v="0"/>
    <n v="0"/>
    <m/>
  </r>
  <r>
    <x v="13"/>
    <x v="0"/>
    <x v="10"/>
    <n v="3197"/>
    <n v="1"/>
    <s v="Wind"/>
    <n v="2"/>
    <x v="4"/>
    <n v="0"/>
    <n v="0"/>
    <n v="0"/>
    <n v="0"/>
    <m/>
  </r>
  <r>
    <x v="13"/>
    <x v="0"/>
    <x v="10"/>
    <n v="3013"/>
    <n v="0"/>
    <s v="Wind"/>
    <n v="4"/>
    <x v="3"/>
    <n v="0"/>
    <n v="0"/>
    <n v="0"/>
    <n v="0"/>
    <m/>
  </r>
  <r>
    <x v="13"/>
    <x v="0"/>
    <x v="10"/>
    <n v="3393"/>
    <n v="1"/>
    <s v="Wind"/>
    <n v="4"/>
    <x v="3"/>
    <n v="0"/>
    <n v="0"/>
    <n v="0"/>
    <n v="0"/>
    <m/>
  </r>
  <r>
    <x v="13"/>
    <x v="0"/>
    <x v="10"/>
    <n v="3290"/>
    <n v="0"/>
    <s v="MystScroll"/>
    <n v="1"/>
    <x v="2"/>
    <n v="0"/>
    <n v="120000"/>
    <n v="0"/>
    <n v="0"/>
    <m/>
  </r>
  <r>
    <x v="14"/>
    <x v="3"/>
    <x v="3"/>
    <n v="1311"/>
    <n v="0"/>
    <m/>
    <m/>
    <x v="0"/>
    <n v="1236"/>
    <n v="1236"/>
    <n v="0"/>
    <n v="0"/>
    <m/>
  </r>
  <r>
    <x v="13"/>
    <x v="0"/>
    <x v="10"/>
    <n v="2551"/>
    <n v="1"/>
    <s v="SD"/>
    <s v="Yeti"/>
    <x v="1"/>
    <n v="0"/>
    <n v="0"/>
    <n v="0"/>
    <n v="0"/>
    <m/>
  </r>
  <r>
    <x v="13"/>
    <x v="0"/>
    <x v="10"/>
    <n v="2856"/>
    <n v="0"/>
    <s v="Wind"/>
    <n v="1"/>
    <x v="6"/>
    <n v="0"/>
    <n v="0"/>
    <n v="0"/>
    <n v="0"/>
    <m/>
  </r>
  <r>
    <x v="13"/>
    <x v="0"/>
    <x v="10"/>
    <n v="2488"/>
    <n v="1"/>
    <s v="Wind"/>
    <n v="3"/>
    <x v="4"/>
    <n v="0"/>
    <n v="0"/>
    <n v="0"/>
    <n v="0"/>
    <m/>
  </r>
  <r>
    <x v="13"/>
    <x v="0"/>
    <x v="10"/>
    <n v="2583"/>
    <n v="0"/>
    <s v="Wind"/>
    <n v="5"/>
    <x v="3"/>
    <n v="0"/>
    <n v="0"/>
    <n v="0"/>
    <n v="0"/>
    <m/>
  </r>
  <r>
    <x v="13"/>
    <x v="0"/>
    <x v="10"/>
    <n v="2394"/>
    <n v="0"/>
    <s v="Wind"/>
    <n v="4"/>
    <x v="3"/>
    <n v="0"/>
    <n v="0"/>
    <n v="0"/>
    <n v="0"/>
    <m/>
  </r>
  <r>
    <x v="13"/>
    <x v="0"/>
    <x v="10"/>
    <n v="2703"/>
    <n v="0"/>
    <s v="Wind"/>
    <n v="1"/>
    <x v="6"/>
    <n v="0"/>
    <n v="0"/>
    <n v="0"/>
    <n v="0"/>
    <m/>
  </r>
  <r>
    <x v="13"/>
    <x v="0"/>
    <x v="10"/>
    <n v="2880"/>
    <n v="1"/>
    <s v="Wind"/>
    <n v="4"/>
    <x v="3"/>
    <n v="0"/>
    <n v="0"/>
    <n v="0"/>
    <n v="0"/>
    <m/>
  </r>
  <r>
    <x v="13"/>
    <x v="0"/>
    <x v="10"/>
    <n v="2802"/>
    <n v="0"/>
    <s v="Wind"/>
    <n v="3"/>
    <x v="4"/>
    <n v="0"/>
    <n v="0"/>
    <n v="0"/>
    <n v="0"/>
    <m/>
  </r>
  <r>
    <x v="13"/>
    <x v="0"/>
    <x v="10"/>
    <n v="2784"/>
    <n v="2"/>
    <s v="Candy"/>
    <n v="2"/>
    <x v="0"/>
    <n v="0"/>
    <n v="0"/>
    <n v="0"/>
    <n v="0"/>
    <m/>
  </r>
  <r>
    <x v="13"/>
    <x v="0"/>
    <x v="10"/>
    <n v="2856"/>
    <n v="0"/>
    <s v="Wind"/>
    <n v="3"/>
    <x v="4"/>
    <n v="0"/>
    <n v="0"/>
    <n v="0"/>
    <n v="0"/>
    <m/>
  </r>
  <r>
    <x v="13"/>
    <x v="0"/>
    <x v="10"/>
    <n v="3481"/>
    <n v="0"/>
    <s v="Wind"/>
    <n v="4"/>
    <x v="3"/>
    <n v="0"/>
    <n v="0"/>
    <n v="0"/>
    <n v="0"/>
    <m/>
  </r>
  <r>
    <x v="13"/>
    <x v="0"/>
    <x v="10"/>
    <n v="2701"/>
    <n v="0"/>
    <s v="Rainb"/>
    <s v="2*"/>
    <x v="0"/>
    <n v="0"/>
    <n v="0"/>
    <n v="0"/>
    <n v="0"/>
    <m/>
  </r>
  <r>
    <x v="13"/>
    <x v="0"/>
    <x v="10"/>
    <n v="2809"/>
    <n v="1"/>
    <s v="Angelmon"/>
    <s v="1*"/>
    <x v="0"/>
    <n v="0"/>
    <n v="0"/>
    <n v="0"/>
    <n v="0"/>
    <m/>
  </r>
  <r>
    <x v="13"/>
    <x v="0"/>
    <x v="10"/>
    <n v="2999"/>
    <n v="0"/>
    <s v="Wind"/>
    <n v="5"/>
    <x v="3"/>
    <n v="0"/>
    <n v="0"/>
    <n v="0"/>
    <n v="0"/>
    <m/>
  </r>
  <r>
    <x v="13"/>
    <x v="0"/>
    <x v="10"/>
    <n v="2639"/>
    <n v="1"/>
    <s v="Wind"/>
    <n v="2"/>
    <x v="4"/>
    <n v="0"/>
    <n v="0"/>
    <n v="0"/>
    <n v="0"/>
    <m/>
  </r>
  <r>
    <x v="13"/>
    <x v="0"/>
    <x v="10"/>
    <n v="2853"/>
    <n v="0"/>
    <s v="Wind"/>
    <n v="2"/>
    <x v="6"/>
    <n v="0"/>
    <n v="0"/>
    <n v="0"/>
    <n v="0"/>
    <m/>
  </r>
  <r>
    <x v="13"/>
    <x v="0"/>
    <x v="10"/>
    <n v="3206"/>
    <n v="1"/>
    <s v="Wind"/>
    <n v="4"/>
    <x v="3"/>
    <n v="0"/>
    <n v="0"/>
    <n v="0"/>
    <n v="0"/>
    <m/>
  </r>
  <r>
    <x v="13"/>
    <x v="0"/>
    <x v="10"/>
    <n v="3218"/>
    <n v="0"/>
    <s v="Wind"/>
    <n v="3"/>
    <x v="4"/>
    <n v="0"/>
    <n v="0"/>
    <n v="0"/>
    <n v="0"/>
    <m/>
  </r>
  <r>
    <x v="13"/>
    <x v="0"/>
    <x v="10"/>
    <n v="2853"/>
    <n v="2"/>
    <s v="Wind"/>
    <n v="3"/>
    <x v="6"/>
    <n v="0"/>
    <n v="0"/>
    <n v="0"/>
    <n v="0"/>
    <m/>
  </r>
  <r>
    <x v="13"/>
    <x v="0"/>
    <x v="10"/>
    <n v="2921"/>
    <n v="0"/>
    <s v="Wind"/>
    <n v="1"/>
    <x v="6"/>
    <n v="0"/>
    <n v="0"/>
    <n v="0"/>
    <n v="0"/>
    <m/>
  </r>
  <r>
    <x v="13"/>
    <x v="0"/>
    <x v="10"/>
    <n v="2840"/>
    <n v="0"/>
    <s v="Angelmon"/>
    <s v="1*"/>
    <x v="0"/>
    <n v="0"/>
    <n v="0"/>
    <n v="0"/>
    <n v="0"/>
    <m/>
  </r>
  <r>
    <x v="13"/>
    <x v="0"/>
    <x v="10"/>
    <n v="3444"/>
    <n v="0"/>
    <s v="Candy"/>
    <n v="1"/>
    <x v="0"/>
    <n v="0"/>
    <n v="0"/>
    <n v="0"/>
    <n v="0"/>
    <m/>
  </r>
  <r>
    <x v="13"/>
    <x v="0"/>
    <x v="10"/>
    <n v="2844"/>
    <n v="0"/>
    <s v="Wind"/>
    <n v="2"/>
    <x v="4"/>
    <n v="0"/>
    <n v="0"/>
    <n v="0"/>
    <n v="0"/>
    <m/>
  </r>
  <r>
    <x v="13"/>
    <x v="0"/>
    <x v="10"/>
    <n v="2720"/>
    <n v="0"/>
    <s v="Wind"/>
    <n v="4"/>
    <x v="3"/>
    <n v="0"/>
    <n v="0"/>
    <n v="0"/>
    <n v="0"/>
    <m/>
  </r>
  <r>
    <x v="13"/>
    <x v="0"/>
    <x v="10"/>
    <n v="2990"/>
    <n v="1"/>
    <s v="Wind"/>
    <n v="4"/>
    <x v="3"/>
    <n v="0"/>
    <n v="0"/>
    <n v="0"/>
    <n v="0"/>
    <m/>
  </r>
  <r>
    <x v="13"/>
    <x v="0"/>
    <x v="10"/>
    <n v="2846"/>
    <n v="4"/>
    <s v="Wind"/>
    <n v="1"/>
    <x v="4"/>
    <n v="0"/>
    <n v="0"/>
    <n v="0"/>
    <n v="0"/>
    <m/>
  </r>
  <r>
    <x v="13"/>
    <x v="0"/>
    <x v="10"/>
    <n v="2740"/>
    <n v="1"/>
    <s v="Candy"/>
    <n v="1"/>
    <x v="0"/>
    <n v="0"/>
    <n v="0"/>
    <n v="0"/>
    <n v="0"/>
    <m/>
  </r>
  <r>
    <x v="13"/>
    <x v="0"/>
    <x v="10"/>
    <n v="2619"/>
    <n v="2"/>
    <s v="Wind"/>
    <n v="1"/>
    <x v="4"/>
    <n v="0"/>
    <n v="0"/>
    <n v="0"/>
    <n v="0"/>
    <m/>
  </r>
  <r>
    <x v="13"/>
    <x v="0"/>
    <x v="10"/>
    <n v="3000"/>
    <n v="1"/>
    <s v="Wind"/>
    <n v="2"/>
    <x v="4"/>
    <n v="0"/>
    <n v="0"/>
    <n v="0"/>
    <n v="0"/>
    <m/>
  </r>
  <r>
    <x v="13"/>
    <x v="0"/>
    <x v="10"/>
    <n v="2846"/>
    <n v="3"/>
    <s v="Wind"/>
    <n v="4"/>
    <x v="3"/>
    <n v="0"/>
    <n v="0"/>
    <n v="0"/>
    <n v="0"/>
    <m/>
  </r>
  <r>
    <x v="13"/>
    <x v="0"/>
    <x v="10"/>
    <n v="2824"/>
    <n v="2"/>
    <s v="Candy"/>
    <n v="3"/>
    <x v="0"/>
    <n v="0"/>
    <n v="0"/>
    <n v="0"/>
    <n v="0"/>
    <m/>
  </r>
  <r>
    <x v="13"/>
    <x v="0"/>
    <x v="10"/>
    <n v="3201"/>
    <n v="0"/>
    <s v="Wind"/>
    <n v="5"/>
    <x v="3"/>
    <n v="0"/>
    <n v="0"/>
    <n v="0"/>
    <n v="0"/>
    <m/>
  </r>
  <r>
    <x v="13"/>
    <x v="0"/>
    <x v="10"/>
    <n v="2638"/>
    <n v="0"/>
    <s v="Wind"/>
    <n v="3"/>
    <x v="3"/>
    <n v="0"/>
    <n v="0"/>
    <n v="0"/>
    <n v="0"/>
    <m/>
  </r>
  <r>
    <x v="13"/>
    <x v="0"/>
    <x v="10"/>
    <n v="2887"/>
    <n v="1"/>
    <s v="Scroll"/>
    <n v="4"/>
    <x v="2"/>
    <n v="0"/>
    <n v="0"/>
    <n v="0"/>
    <n v="3200"/>
    <m/>
  </r>
  <r>
    <x v="13"/>
    <x v="0"/>
    <x v="10"/>
    <n v="2399"/>
    <n v="0"/>
    <s v="Wind"/>
    <n v="3"/>
    <x v="6"/>
    <n v="0"/>
    <n v="0"/>
    <n v="0"/>
    <n v="0"/>
    <m/>
  </r>
  <r>
    <x v="13"/>
    <x v="0"/>
    <x v="10"/>
    <n v="3055"/>
    <n v="1"/>
    <s v="Wind"/>
    <n v="1"/>
    <x v="4"/>
    <n v="0"/>
    <n v="0"/>
    <n v="0"/>
    <n v="0"/>
    <m/>
  </r>
  <r>
    <x v="13"/>
    <x v="0"/>
    <x v="10"/>
    <n v="2841"/>
    <n v="0"/>
    <s v="Wind"/>
    <n v="5"/>
    <x v="3"/>
    <n v="0"/>
    <n v="0"/>
    <n v="0"/>
    <n v="0"/>
    <m/>
  </r>
  <r>
    <x v="13"/>
    <x v="0"/>
    <x v="10"/>
    <n v="2937"/>
    <n v="0"/>
    <s v="SD"/>
    <s v="2*"/>
    <x v="0"/>
    <n v="0"/>
    <n v="0"/>
    <n v="0"/>
    <n v="0"/>
    <m/>
  </r>
  <r>
    <x v="13"/>
    <x v="0"/>
    <x v="10"/>
    <n v="2426"/>
    <n v="0"/>
    <s v="Wind"/>
    <n v="1"/>
    <x v="6"/>
    <n v="0"/>
    <n v="0"/>
    <n v="0"/>
    <n v="0"/>
    <m/>
  </r>
  <r>
    <x v="13"/>
    <x v="0"/>
    <x v="10"/>
    <n v="2552"/>
    <n v="1"/>
    <s v="Wind"/>
    <n v="3"/>
    <x v="4"/>
    <n v="0"/>
    <n v="0"/>
    <n v="0"/>
    <n v="0"/>
    <m/>
  </r>
  <r>
    <x v="13"/>
    <x v="0"/>
    <x v="10"/>
    <n v="2771"/>
    <n v="2"/>
    <s v="Wind"/>
    <n v="1"/>
    <x v="4"/>
    <n v="0"/>
    <n v="0"/>
    <n v="0"/>
    <n v="0"/>
    <m/>
  </r>
  <r>
    <x v="13"/>
    <x v="0"/>
    <x v="10"/>
    <n v="2652"/>
    <n v="2"/>
    <s v="Wind"/>
    <n v="4"/>
    <x v="3"/>
    <n v="0"/>
    <n v="0"/>
    <n v="0"/>
    <n v="0"/>
    <m/>
  </r>
  <r>
    <x v="13"/>
    <x v="0"/>
    <x v="10"/>
    <n v="2708"/>
    <n v="0"/>
    <s v="Wind"/>
    <n v="1"/>
    <x v="6"/>
    <n v="0"/>
    <n v="0"/>
    <n v="0"/>
    <n v="0"/>
    <m/>
  </r>
  <r>
    <x v="13"/>
    <x v="0"/>
    <x v="10"/>
    <n v="2684"/>
    <n v="1"/>
    <s v="Wind"/>
    <n v="1"/>
    <x v="6"/>
    <n v="0"/>
    <n v="0"/>
    <n v="0"/>
    <n v="0"/>
    <m/>
  </r>
  <r>
    <x v="13"/>
    <x v="0"/>
    <x v="10"/>
    <n v="3108"/>
    <n v="3"/>
    <s v="Wind"/>
    <n v="4"/>
    <x v="3"/>
    <n v="0"/>
    <n v="0"/>
    <n v="0"/>
    <n v="0"/>
    <m/>
  </r>
  <r>
    <x v="13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0"/>
    <n v="0"/>
    <n v="1600"/>
    <m/>
  </r>
  <r>
    <x v="5"/>
    <x v="1"/>
    <x v="8"/>
    <n v="1796"/>
    <n v="2"/>
    <s v="Scroll"/>
    <n v="2"/>
    <x v="2"/>
    <n v="0"/>
    <n v="0"/>
    <n v="0"/>
    <n v="1600"/>
    <m/>
  </r>
  <r>
    <x v="1"/>
    <x v="1"/>
    <x v="8"/>
    <n v="2028"/>
    <n v="0"/>
    <s v="Scroll"/>
    <n v="2"/>
    <x v="2"/>
    <n v="0"/>
    <n v="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0"/>
    <n v="0"/>
    <n v="1600"/>
    <m/>
  </r>
  <r>
    <x v="3"/>
    <x v="0"/>
    <x v="10"/>
    <n v="3008"/>
    <n v="1"/>
    <s v="Magic"/>
    <n v="5"/>
    <x v="3"/>
    <m/>
    <n v="0"/>
    <n v="0"/>
    <n v="0"/>
    <m/>
  </r>
  <r>
    <x v="7"/>
    <x v="0"/>
    <x v="6"/>
    <n v="2997"/>
    <n v="0"/>
    <s v="Scroll"/>
    <n v="4"/>
    <x v="2"/>
    <n v="0"/>
    <n v="0"/>
    <n v="0"/>
    <n v="3200"/>
    <m/>
  </r>
  <r>
    <x v="7"/>
    <x v="0"/>
    <x v="6"/>
    <n v="3403"/>
    <n v="3"/>
    <s v="Blue"/>
    <n v="1"/>
    <x v="7"/>
    <n v="3307"/>
    <n v="3307"/>
    <n v="0"/>
    <n v="0"/>
    <m/>
  </r>
  <r>
    <x v="7"/>
    <x v="0"/>
    <x v="6"/>
    <n v="3941"/>
    <n v="1"/>
    <s v="Scroll"/>
    <n v="3"/>
    <x v="2"/>
    <n v="0"/>
    <n v="0"/>
    <n v="0"/>
    <n v="2400"/>
    <m/>
  </r>
  <r>
    <x v="7"/>
    <x v="0"/>
    <x v="6"/>
    <n v="2787"/>
    <n v="1"/>
    <s v="Blue"/>
    <n v="1"/>
    <x v="7"/>
    <n v="5512"/>
    <n v="5512"/>
    <n v="0"/>
    <n v="0"/>
    <m/>
  </r>
  <r>
    <x v="7"/>
    <x v="0"/>
    <x v="6"/>
    <n v="3709"/>
    <n v="1"/>
    <s v="Scroll"/>
    <n v="3"/>
    <x v="2"/>
    <n v="0"/>
    <n v="0"/>
    <n v="0"/>
    <n v="2400"/>
    <m/>
  </r>
  <r>
    <x v="7"/>
    <x v="0"/>
    <x v="6"/>
    <n v="3276"/>
    <n v="4"/>
    <s v="Blue"/>
    <n v="1"/>
    <x v="7"/>
    <n v="2411"/>
    <n v="2411"/>
    <n v="0"/>
    <n v="0"/>
    <m/>
  </r>
  <r>
    <x v="7"/>
    <x v="0"/>
    <x v="6"/>
    <n v="2942"/>
    <n v="1"/>
    <s v="Scroll"/>
    <n v="4"/>
    <x v="2"/>
    <n v="0"/>
    <n v="0"/>
    <n v="0"/>
    <n v="3200"/>
    <m/>
  </r>
  <r>
    <x v="7"/>
    <x v="0"/>
    <x v="6"/>
    <n v="3049"/>
    <n v="1"/>
    <s v="Blue"/>
    <n v="1"/>
    <x v="7"/>
    <n v="3927"/>
    <n v="3927"/>
    <n v="0"/>
    <n v="0"/>
    <m/>
  </r>
  <r>
    <x v="7"/>
    <x v="0"/>
    <x v="6"/>
    <n v="2793"/>
    <n v="0"/>
    <s v="Violet"/>
    <n v="1"/>
    <x v="5"/>
    <n v="1971"/>
    <n v="1971"/>
    <n v="0"/>
    <n v="0"/>
    <m/>
  </r>
  <r>
    <x v="7"/>
    <x v="0"/>
    <x v="6"/>
    <n v="3111"/>
    <n v="1"/>
    <s v="Violet"/>
    <n v="1"/>
    <x v="7"/>
    <n v="3720"/>
    <n v="3720"/>
    <n v="0"/>
    <n v="0"/>
    <m/>
  </r>
  <r>
    <x v="7"/>
    <x v="0"/>
    <x v="6"/>
    <n v="2990"/>
    <n v="0"/>
    <s v="Blue"/>
    <n v="1"/>
    <x v="7"/>
    <n v="4134"/>
    <n v="4134"/>
    <n v="0"/>
    <n v="0"/>
    <m/>
  </r>
  <r>
    <x v="7"/>
    <x v="0"/>
    <x v="6"/>
    <n v="3378"/>
    <n v="1"/>
    <s v="Blue"/>
    <n v="1"/>
    <x v="7"/>
    <n v="4134"/>
    <n v="4134"/>
    <n v="0"/>
    <n v="0"/>
    <m/>
  </r>
  <r>
    <x v="7"/>
    <x v="0"/>
    <x v="6"/>
    <n v="2940"/>
    <n v="3"/>
    <s v="Violet"/>
    <n v="1"/>
    <x v="7"/>
    <n v="4042"/>
    <n v="4042"/>
    <n v="0"/>
    <n v="0"/>
    <m/>
  </r>
  <r>
    <x v="7"/>
    <x v="0"/>
    <x v="6"/>
    <n v="3698"/>
    <n v="3"/>
    <s v="Blue"/>
    <n v="1"/>
    <x v="8"/>
    <n v="8500"/>
    <n v="8500"/>
    <n v="0"/>
    <n v="0"/>
    <m/>
  </r>
  <r>
    <x v="7"/>
    <x v="0"/>
    <x v="6"/>
    <n v="3224"/>
    <n v="0"/>
    <s v="Scroll"/>
    <n v="3"/>
    <x v="2"/>
    <n v="0"/>
    <n v="0"/>
    <n v="0"/>
    <n v="2400"/>
    <m/>
  </r>
  <r>
    <x v="7"/>
    <x v="0"/>
    <x v="6"/>
    <n v="2991"/>
    <n v="3"/>
    <s v="Scroll"/>
    <n v="3"/>
    <x v="2"/>
    <n v="0"/>
    <n v="0"/>
    <n v="0"/>
    <n v="2400"/>
    <m/>
  </r>
  <r>
    <x v="7"/>
    <x v="0"/>
    <x v="6"/>
    <n v="3535"/>
    <n v="2"/>
    <s v="Blue"/>
    <n v="1"/>
    <x v="8"/>
    <n v="5057"/>
    <n v="5057"/>
    <n v="0"/>
    <n v="0"/>
    <m/>
  </r>
  <r>
    <x v="7"/>
    <x v="0"/>
    <x v="6"/>
    <n v="3010"/>
    <n v="1"/>
    <s v="Blue"/>
    <n v="1"/>
    <x v="8"/>
    <n v="6800"/>
    <n v="6800"/>
    <n v="0"/>
    <n v="0"/>
    <m/>
  </r>
  <r>
    <x v="7"/>
    <x v="0"/>
    <x v="6"/>
    <n v="3005"/>
    <n v="2"/>
    <s v="Blue"/>
    <n v="1"/>
    <x v="7"/>
    <n v="7028"/>
    <n v="7028"/>
    <n v="0"/>
    <n v="0"/>
    <m/>
  </r>
  <r>
    <x v="7"/>
    <x v="0"/>
    <x v="6"/>
    <n v="2684"/>
    <n v="1"/>
    <s v="Scroll"/>
    <n v="4"/>
    <x v="2"/>
    <n v="0"/>
    <n v="0"/>
    <n v="0"/>
    <n v="3200"/>
    <m/>
  </r>
  <r>
    <x v="7"/>
    <x v="0"/>
    <x v="6"/>
    <n v="3225"/>
    <n v="0"/>
    <s v="Violet"/>
    <n v="1"/>
    <x v="7"/>
    <n v="4295"/>
    <n v="4295"/>
    <n v="0"/>
    <n v="0"/>
    <m/>
  </r>
  <r>
    <x v="7"/>
    <x v="0"/>
    <x v="6"/>
    <n v="3020"/>
    <n v="1"/>
    <s v="Blue"/>
    <n v="1"/>
    <x v="7"/>
    <n v="4134"/>
    <n v="4134"/>
    <n v="0"/>
    <n v="0"/>
    <m/>
  </r>
  <r>
    <x v="7"/>
    <x v="0"/>
    <x v="6"/>
    <n v="2530"/>
    <n v="1"/>
    <s v="Blue"/>
    <n v="1"/>
    <x v="7"/>
    <n v="4134"/>
    <n v="4134"/>
    <n v="0"/>
    <n v="0"/>
    <m/>
  </r>
  <r>
    <x v="7"/>
    <x v="0"/>
    <x v="6"/>
    <n v="3259"/>
    <n v="1"/>
    <s v="Violet"/>
    <n v="1"/>
    <x v="7"/>
    <n v="3675"/>
    <n v="3675"/>
    <n v="0"/>
    <n v="0"/>
    <m/>
  </r>
  <r>
    <x v="7"/>
    <x v="0"/>
    <x v="6"/>
    <n v="2913"/>
    <n v="1"/>
    <s v="Violet"/>
    <n v="1"/>
    <x v="7"/>
    <n v="3675"/>
    <n v="3675"/>
    <n v="0"/>
    <n v="0"/>
    <m/>
  </r>
  <r>
    <x v="7"/>
    <x v="0"/>
    <x v="6"/>
    <n v="2901"/>
    <n v="0"/>
    <s v="Violet"/>
    <n v="1"/>
    <x v="5"/>
    <n v="2319"/>
    <n v="2319"/>
    <n v="0"/>
    <n v="0"/>
    <m/>
  </r>
  <r>
    <x v="7"/>
    <x v="0"/>
    <x v="6"/>
    <n v="3437"/>
    <n v="2"/>
    <s v="Blue"/>
    <n v="1"/>
    <x v="7"/>
    <n v="2411"/>
    <n v="2411"/>
    <n v="0"/>
    <n v="0"/>
    <m/>
  </r>
  <r>
    <x v="7"/>
    <x v="0"/>
    <x v="6"/>
    <n v="2966"/>
    <n v="2"/>
    <s v="SumStone"/>
    <n v="2"/>
    <x v="5"/>
    <n v="0"/>
    <n v="0"/>
    <n v="1725"/>
    <n v="1791.1"/>
    <m/>
  </r>
  <r>
    <x v="7"/>
    <x v="0"/>
    <x v="6"/>
    <n v="3352"/>
    <n v="1"/>
    <s v="Violet"/>
    <n v="1"/>
    <x v="7"/>
    <n v="6615"/>
    <n v="6615"/>
    <n v="0"/>
    <n v="0"/>
    <m/>
  </r>
  <r>
    <x v="7"/>
    <x v="0"/>
    <x v="6"/>
    <n v="2869"/>
    <n v="1"/>
    <s v="Scroll"/>
    <n v="4"/>
    <x v="2"/>
    <n v="0"/>
    <n v="0"/>
    <n v="0"/>
    <n v="3200"/>
    <m/>
  </r>
  <r>
    <x v="7"/>
    <x v="0"/>
    <x v="6"/>
    <n v="2535"/>
    <n v="1"/>
    <s v="Blue"/>
    <n v="1"/>
    <x v="7"/>
    <n v="3307"/>
    <n v="3307"/>
    <n v="0"/>
    <n v="0"/>
    <m/>
  </r>
  <r>
    <x v="7"/>
    <x v="0"/>
    <x v="6"/>
    <n v="3507"/>
    <n v="0"/>
    <s v="Rainb"/>
    <n v="1"/>
    <x v="1"/>
    <n v="0"/>
    <n v="0"/>
    <n v="11500"/>
    <n v="0"/>
    <m/>
  </r>
  <r>
    <x v="7"/>
    <x v="0"/>
    <x v="6"/>
    <n v="2571"/>
    <n v="0"/>
    <s v="Scroll"/>
    <n v="3"/>
    <x v="2"/>
    <n v="0"/>
    <n v="0"/>
    <n v="0"/>
    <n v="2400"/>
    <m/>
  </r>
  <r>
    <x v="7"/>
    <x v="0"/>
    <x v="6"/>
    <n v="3364"/>
    <n v="1"/>
    <s v="Blue"/>
    <n v="1"/>
    <x v="7"/>
    <n v="2205"/>
    <n v="2205"/>
    <n v="0"/>
    <n v="0"/>
    <m/>
  </r>
  <r>
    <x v="7"/>
    <x v="0"/>
    <x v="6"/>
    <n v="3190"/>
    <n v="1"/>
    <s v="Scroll"/>
    <n v="3"/>
    <x v="2"/>
    <n v="0"/>
    <n v="0"/>
    <n v="0"/>
    <n v="2400"/>
    <m/>
  </r>
  <r>
    <x v="7"/>
    <x v="0"/>
    <x v="6"/>
    <n v="3129"/>
    <n v="0"/>
    <s v="Scroll"/>
    <n v="4"/>
    <x v="2"/>
    <n v="0"/>
    <n v="0"/>
    <n v="0"/>
    <n v="3200"/>
    <m/>
  </r>
  <r>
    <x v="7"/>
    <x v="0"/>
    <x v="6"/>
    <n v="3416"/>
    <n v="0"/>
    <s v="Blue"/>
    <n v="1"/>
    <x v="7"/>
    <n v="2894"/>
    <n v="2894"/>
    <n v="0"/>
    <n v="0"/>
    <m/>
  </r>
  <r>
    <x v="7"/>
    <x v="0"/>
    <x v="6"/>
    <n v="2949"/>
    <n v="2"/>
    <s v="Blue"/>
    <n v="1"/>
    <x v="8"/>
    <n v="5355"/>
    <n v="5355"/>
    <n v="0"/>
    <n v="0"/>
    <m/>
  </r>
  <r>
    <x v="7"/>
    <x v="0"/>
    <x v="6"/>
    <n v="2714"/>
    <n v="2"/>
    <s v="Scroll"/>
    <n v="3"/>
    <x v="2"/>
    <n v="0"/>
    <n v="0"/>
    <n v="0"/>
    <n v="2400"/>
    <m/>
  </r>
  <r>
    <x v="7"/>
    <x v="0"/>
    <x v="6"/>
    <n v="2949"/>
    <n v="1"/>
    <s v="Scroll"/>
    <n v="4"/>
    <x v="2"/>
    <n v="0"/>
    <n v="0"/>
    <n v="0"/>
    <n v="3200"/>
    <m/>
  </r>
  <r>
    <x v="7"/>
    <x v="0"/>
    <x v="6"/>
    <n v="3175"/>
    <n v="0"/>
    <s v="Scroll"/>
    <n v="3"/>
    <x v="2"/>
    <n v="0"/>
    <n v="0"/>
    <n v="0"/>
    <n v="2400"/>
    <m/>
  </r>
  <r>
    <x v="7"/>
    <x v="0"/>
    <x v="6"/>
    <n v="3045"/>
    <n v="0"/>
    <s v="Blue"/>
    <n v="1"/>
    <x v="7"/>
    <n v="3514"/>
    <n v="3514"/>
    <n v="0"/>
    <n v="0"/>
    <m/>
  </r>
  <r>
    <x v="7"/>
    <x v="0"/>
    <x v="6"/>
    <n v="3609"/>
    <n v="1"/>
    <s v="Scroll"/>
    <n v="3"/>
    <x v="2"/>
    <n v="0"/>
    <n v="0"/>
    <n v="0"/>
    <n v="2400"/>
    <m/>
  </r>
  <r>
    <x v="7"/>
    <x v="0"/>
    <x v="6"/>
    <n v="2795"/>
    <n v="1"/>
    <s v="Blue"/>
    <n v="1"/>
    <x v="7"/>
    <n v="3675"/>
    <n v="3675"/>
    <n v="0"/>
    <n v="0"/>
    <m/>
  </r>
  <r>
    <x v="7"/>
    <x v="0"/>
    <x v="6"/>
    <n v="3324"/>
    <n v="0"/>
    <s v="Blue"/>
    <n v="1"/>
    <x v="7"/>
    <n v="2205"/>
    <n v="2205"/>
    <n v="0"/>
    <n v="0"/>
    <m/>
  </r>
  <r>
    <x v="7"/>
    <x v="0"/>
    <x v="6"/>
    <n v="2600"/>
    <n v="0"/>
    <s v="Scroll"/>
    <n v="3"/>
    <x v="2"/>
    <n v="0"/>
    <n v="0"/>
    <n v="0"/>
    <n v="2400"/>
    <m/>
  </r>
  <r>
    <x v="7"/>
    <x v="0"/>
    <x v="6"/>
    <n v="2789"/>
    <n v="1"/>
    <s v="Violet"/>
    <n v="1"/>
    <x v="7"/>
    <n v="3675"/>
    <n v="3675"/>
    <n v="0"/>
    <n v="0"/>
    <m/>
  </r>
  <r>
    <x v="7"/>
    <x v="0"/>
    <x v="6"/>
    <n v="3263"/>
    <n v="1"/>
    <s v="Violet"/>
    <n v="1"/>
    <x v="8"/>
    <n v="13005"/>
    <n v="13005"/>
    <n v="0"/>
    <n v="0"/>
    <m/>
  </r>
  <r>
    <x v="7"/>
    <x v="0"/>
    <x v="6"/>
    <n v="3037"/>
    <n v="2"/>
    <s v="Scroll"/>
    <n v="3"/>
    <x v="2"/>
    <n v="0"/>
    <n v="0"/>
    <n v="0"/>
    <n v="2400"/>
    <m/>
  </r>
  <r>
    <x v="7"/>
    <x v="0"/>
    <x v="6"/>
    <n v="1028"/>
    <n v="2"/>
    <m/>
    <m/>
    <x v="0"/>
    <n v="0"/>
    <n v="0"/>
    <n v="0"/>
    <n v="0"/>
    <s v="Y"/>
  </r>
  <r>
    <x v="7"/>
    <x v="0"/>
    <x v="7"/>
    <n v="3555"/>
    <n v="0"/>
    <s v="Scroll"/>
    <n v="5"/>
    <x v="2"/>
    <n v="0"/>
    <n v="0"/>
    <n v="0"/>
    <n v="4000"/>
    <m/>
  </r>
  <r>
    <x v="7"/>
    <x v="0"/>
    <x v="7"/>
    <n v="3633"/>
    <n v="0"/>
    <s v="Scroll"/>
    <n v="4"/>
    <x v="2"/>
    <n v="0"/>
    <n v="0"/>
    <n v="0"/>
    <n v="3200"/>
    <m/>
  </r>
  <r>
    <x v="7"/>
    <x v="0"/>
    <x v="7"/>
    <n v="3251"/>
    <n v="1"/>
    <s v="Violet"/>
    <n v="1"/>
    <x v="7"/>
    <n v="4134"/>
    <n v="4134"/>
    <n v="0"/>
    <n v="0"/>
    <m/>
  </r>
  <r>
    <x v="7"/>
    <x v="0"/>
    <x v="7"/>
    <n v="3614"/>
    <n v="1"/>
    <s v="Violet"/>
    <n v="1"/>
    <x v="8"/>
    <n v="7947"/>
    <n v="7947"/>
    <n v="0"/>
    <n v="0"/>
    <m/>
  </r>
  <r>
    <x v="7"/>
    <x v="0"/>
    <x v="7"/>
    <n v="3238"/>
    <n v="1"/>
    <s v="Blue"/>
    <n v="1"/>
    <x v="7"/>
    <n v="4134"/>
    <n v="4134"/>
    <n v="0"/>
    <n v="0"/>
    <m/>
  </r>
  <r>
    <x v="7"/>
    <x v="0"/>
    <x v="7"/>
    <n v="3097"/>
    <n v="0"/>
    <s v="Blue"/>
    <n v="1"/>
    <x v="7"/>
    <n v="3054"/>
    <n v="3054"/>
    <n v="0"/>
    <n v="0"/>
    <m/>
  </r>
  <r>
    <x v="7"/>
    <x v="0"/>
    <x v="7"/>
    <n v="2801"/>
    <n v="0"/>
    <s v="Blue"/>
    <n v="1"/>
    <x v="7"/>
    <n v="2618"/>
    <n v="2618"/>
    <n v="0"/>
    <n v="0"/>
    <m/>
  </r>
  <r>
    <x v="7"/>
    <x v="0"/>
    <x v="7"/>
    <n v="3150"/>
    <n v="0"/>
    <s v="Blue"/>
    <n v="1"/>
    <x v="8"/>
    <n v="5440"/>
    <n v="5440"/>
    <n v="0"/>
    <n v="0"/>
    <m/>
  </r>
  <r>
    <x v="7"/>
    <x v="0"/>
    <x v="7"/>
    <n v="3588"/>
    <n v="1"/>
    <s v="Blue"/>
    <n v="1"/>
    <x v="8"/>
    <n v="6800"/>
    <n v="6800"/>
    <n v="0"/>
    <n v="0"/>
    <m/>
  </r>
  <r>
    <x v="7"/>
    <x v="0"/>
    <x v="7"/>
    <n v="3318"/>
    <n v="1"/>
    <s v="Scroll"/>
    <n v="1"/>
    <x v="7"/>
    <n v="0"/>
    <n v="0"/>
    <n v="0"/>
    <n v="0"/>
    <m/>
  </r>
  <r>
    <x v="7"/>
    <x v="0"/>
    <x v="7"/>
    <n v="3137"/>
    <n v="0"/>
    <s v="Violet"/>
    <n v="1"/>
    <x v="7"/>
    <n v="3491"/>
    <n v="3491"/>
    <n v="0"/>
    <n v="0"/>
    <m/>
  </r>
  <r>
    <x v="7"/>
    <x v="0"/>
    <x v="7"/>
    <n v="3409"/>
    <n v="0"/>
    <s v="Scroll"/>
    <n v="5"/>
    <x v="2"/>
    <n v="0"/>
    <n v="0"/>
    <n v="0"/>
    <n v="4000"/>
    <m/>
  </r>
  <r>
    <x v="7"/>
    <x v="0"/>
    <x v="7"/>
    <n v="3479"/>
    <n v="1"/>
    <s v="Blue"/>
    <n v="1"/>
    <x v="7"/>
    <n v="2411"/>
    <n v="2411"/>
    <n v="0"/>
    <n v="0"/>
    <m/>
  </r>
  <r>
    <x v="7"/>
    <x v="0"/>
    <x v="7"/>
    <n v="3505"/>
    <n v="2"/>
    <s v="Violet"/>
    <n v="1"/>
    <x v="8"/>
    <n v="7650"/>
    <n v="7650"/>
    <n v="0"/>
    <n v="0"/>
    <m/>
  </r>
  <r>
    <x v="7"/>
    <x v="0"/>
    <x v="7"/>
    <n v="3378"/>
    <n v="1"/>
    <s v="Blue"/>
    <n v="1"/>
    <x v="7"/>
    <n v="3675"/>
    <n v="3675"/>
    <n v="0"/>
    <n v="0"/>
    <m/>
  </r>
  <r>
    <x v="7"/>
    <x v="0"/>
    <x v="7"/>
    <n v="3978"/>
    <n v="2"/>
    <s v="Scroll"/>
    <n v="5"/>
    <x v="2"/>
    <n v="0"/>
    <n v="0"/>
    <n v="0"/>
    <n v="4000"/>
    <m/>
  </r>
  <r>
    <x v="7"/>
    <x v="0"/>
    <x v="7"/>
    <n v="4035"/>
    <n v="0"/>
    <s v="Scroll"/>
    <n v="5"/>
    <x v="2"/>
    <n v="0"/>
    <n v="0"/>
    <n v="0"/>
    <n v="4000"/>
    <m/>
  </r>
  <r>
    <x v="7"/>
    <x v="0"/>
    <x v="7"/>
    <n v="3616"/>
    <n v="1"/>
    <s v="Scroll"/>
    <n v="5"/>
    <x v="2"/>
    <n v="0"/>
    <n v="0"/>
    <n v="0"/>
    <n v="4000"/>
    <m/>
  </r>
  <r>
    <x v="7"/>
    <x v="0"/>
    <x v="7"/>
    <n v="3217"/>
    <n v="0"/>
    <s v="Blue"/>
    <n v="1"/>
    <x v="8"/>
    <n v="5440"/>
    <n v="5440"/>
    <n v="0"/>
    <n v="0"/>
    <m/>
  </r>
  <r>
    <x v="7"/>
    <x v="0"/>
    <x v="7"/>
    <n v="3453"/>
    <n v="0"/>
    <s v="Blue"/>
    <n v="1"/>
    <x v="8"/>
    <n v="4080"/>
    <n v="4080"/>
    <n v="0"/>
    <n v="0"/>
    <m/>
  </r>
  <r>
    <x v="7"/>
    <x v="0"/>
    <x v="7"/>
    <n v="3773"/>
    <n v="1"/>
    <s v="Violet"/>
    <n v="1"/>
    <x v="7"/>
    <n v="4547"/>
    <n v="4547"/>
    <n v="0"/>
    <n v="0"/>
    <m/>
  </r>
  <r>
    <x v="7"/>
    <x v="0"/>
    <x v="7"/>
    <n v="3152"/>
    <n v="2"/>
    <s v="Blue"/>
    <n v="1"/>
    <x v="7"/>
    <n v="3100"/>
    <n v="3100"/>
    <n v="0"/>
    <n v="0"/>
    <m/>
  </r>
  <r>
    <x v="7"/>
    <x v="0"/>
    <x v="7"/>
    <n v="3199"/>
    <n v="2"/>
    <s v="Scroll"/>
    <n v="4"/>
    <x v="2"/>
    <n v="0"/>
    <n v="0"/>
    <n v="0"/>
    <n v="3200"/>
    <m/>
  </r>
  <r>
    <x v="7"/>
    <x v="0"/>
    <x v="7"/>
    <n v="3391"/>
    <n v="1"/>
    <s v="Orange"/>
    <n v="1"/>
    <x v="7"/>
    <n v="5512"/>
    <n v="5512"/>
    <n v="0"/>
    <n v="0"/>
    <m/>
  </r>
  <r>
    <x v="7"/>
    <x v="0"/>
    <x v="7"/>
    <n v="3826"/>
    <n v="0"/>
    <s v="Blue"/>
    <n v="1"/>
    <x v="8"/>
    <n v="6885"/>
    <n v="6885"/>
    <n v="0"/>
    <n v="0"/>
    <m/>
  </r>
  <r>
    <x v="14"/>
    <x v="3"/>
    <x v="3"/>
    <n v="2208"/>
    <n v="2"/>
    <m/>
    <m/>
    <x v="0"/>
    <n v="1236"/>
    <n v="1236"/>
    <n v="0"/>
    <n v="0"/>
    <m/>
  </r>
  <r>
    <x v="14"/>
    <x v="3"/>
    <x v="3"/>
    <n v="2585"/>
    <n v="2"/>
    <m/>
    <m/>
    <x v="0"/>
    <n v="2205"/>
    <n v="2205"/>
    <n v="0"/>
    <n v="0"/>
    <m/>
  </r>
  <r>
    <x v="14"/>
    <x v="3"/>
    <x v="3"/>
    <n v="2501"/>
    <n v="0"/>
    <m/>
    <m/>
    <x v="0"/>
    <n v="1236"/>
    <n v="1236"/>
    <n v="0"/>
    <n v="0"/>
    <m/>
  </r>
  <r>
    <x v="14"/>
    <x v="3"/>
    <x v="3"/>
    <n v="1564"/>
    <n v="1"/>
    <m/>
    <m/>
    <x v="0"/>
    <n v="1236"/>
    <n v="1236"/>
    <n v="0"/>
    <n v="0"/>
    <m/>
  </r>
  <r>
    <x v="14"/>
    <x v="3"/>
    <x v="3"/>
    <n v="1352"/>
    <n v="0"/>
    <m/>
    <m/>
    <x v="0"/>
    <n v="2205"/>
    <n v="2205"/>
    <n v="0"/>
    <n v="0"/>
    <m/>
  </r>
  <r>
    <x v="14"/>
    <x v="3"/>
    <x v="3"/>
    <n v="828"/>
    <n v="0"/>
    <m/>
    <m/>
    <x v="0"/>
    <n v="1236"/>
    <n v="1236"/>
    <n v="0"/>
    <n v="0"/>
    <m/>
  </r>
  <r>
    <x v="14"/>
    <x v="3"/>
    <x v="3"/>
    <n v="1020"/>
    <n v="1"/>
    <s v="Candy"/>
    <n v="2"/>
    <x v="0"/>
    <n v="0"/>
    <n v="0"/>
    <n v="0"/>
    <n v="0"/>
    <m/>
  </r>
  <r>
    <x v="14"/>
    <x v="3"/>
    <x v="3"/>
    <n v="1937"/>
    <n v="1"/>
    <s v="Candy"/>
    <n v="3"/>
    <x v="0"/>
    <n v="0"/>
    <n v="0"/>
    <n v="0"/>
    <n v="0"/>
    <m/>
  </r>
  <r>
    <x v="14"/>
    <x v="3"/>
    <x v="3"/>
    <n v="2126"/>
    <n v="1"/>
    <m/>
    <m/>
    <x v="0"/>
    <n v="1443"/>
    <n v="1443"/>
    <n v="0"/>
    <n v="0"/>
    <m/>
  </r>
  <r>
    <x v="14"/>
    <x v="3"/>
    <x v="3"/>
    <n v="1860"/>
    <n v="1"/>
    <m/>
    <m/>
    <x v="0"/>
    <n v="1236"/>
    <n v="1236"/>
    <n v="0"/>
    <n v="0"/>
    <m/>
  </r>
  <r>
    <x v="14"/>
    <x v="3"/>
    <x v="3"/>
    <n v="1824"/>
    <n v="1"/>
    <m/>
    <m/>
    <x v="0"/>
    <n v="1236"/>
    <n v="1236"/>
    <n v="0"/>
    <n v="0"/>
    <m/>
  </r>
  <r>
    <x v="14"/>
    <x v="3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5"/>
    <x v="1"/>
    <x v="0"/>
    <n v="1544"/>
    <n v="0"/>
    <m/>
    <m/>
    <x v="0"/>
    <n v="1824"/>
    <n v="1824"/>
    <n v="0"/>
    <n v="0"/>
    <m/>
  </r>
  <r>
    <x v="15"/>
    <x v="1"/>
    <x v="0"/>
    <n v="1180"/>
    <n v="0"/>
    <m/>
    <m/>
    <x v="0"/>
    <n v="1976"/>
    <n v="1976"/>
    <n v="0"/>
    <n v="0"/>
    <m/>
  </r>
  <r>
    <x v="15"/>
    <x v="1"/>
    <x v="0"/>
    <n v="1734"/>
    <n v="4"/>
    <m/>
    <m/>
    <x v="0"/>
    <n v="1824"/>
    <n v="1824"/>
    <n v="0"/>
    <n v="0"/>
    <m/>
  </r>
  <r>
    <x v="15"/>
    <x v="1"/>
    <x v="0"/>
    <n v="1594"/>
    <n v="0"/>
    <m/>
    <m/>
    <x v="0"/>
    <n v="2128"/>
    <n v="2128"/>
    <n v="0"/>
    <n v="0"/>
    <m/>
  </r>
  <r>
    <x v="15"/>
    <x v="1"/>
    <x v="0"/>
    <n v="1672"/>
    <n v="0"/>
    <m/>
    <m/>
    <x v="0"/>
    <n v="1824"/>
    <n v="1824"/>
    <n v="0"/>
    <n v="0"/>
    <m/>
  </r>
  <r>
    <x v="15"/>
    <x v="1"/>
    <x v="0"/>
    <n v="1879"/>
    <n v="1"/>
    <m/>
    <m/>
    <x v="0"/>
    <n v="1824"/>
    <n v="1824"/>
    <n v="0"/>
    <n v="0"/>
    <m/>
  </r>
  <r>
    <x v="15"/>
    <x v="1"/>
    <x v="0"/>
    <n v="1455"/>
    <n v="1"/>
    <m/>
    <m/>
    <x v="0"/>
    <n v="2280"/>
    <n v="2280"/>
    <n v="0"/>
    <n v="0"/>
    <m/>
  </r>
  <r>
    <x v="15"/>
    <x v="1"/>
    <x v="0"/>
    <n v="1898"/>
    <n v="1"/>
    <m/>
    <m/>
    <x v="0"/>
    <n v="1824"/>
    <n v="1824"/>
    <n v="0"/>
    <n v="0"/>
    <m/>
  </r>
  <r>
    <x v="14"/>
    <x v="3"/>
    <x v="3"/>
    <n v="1959"/>
    <n v="1"/>
    <m/>
    <m/>
    <x v="0"/>
    <n v="2205"/>
    <n v="2205"/>
    <n v="0"/>
    <n v="0"/>
    <m/>
  </r>
  <r>
    <x v="14"/>
    <x v="3"/>
    <x v="3"/>
    <n v="1626"/>
    <n v="0"/>
    <m/>
    <m/>
    <x v="0"/>
    <n v="1236"/>
    <n v="1236"/>
    <n v="0"/>
    <n v="0"/>
    <m/>
  </r>
  <r>
    <x v="14"/>
    <x v="3"/>
    <x v="3"/>
    <n v="2155"/>
    <n v="0"/>
    <m/>
    <m/>
    <x v="0"/>
    <n v="1236"/>
    <n v="1236"/>
    <n v="0"/>
    <n v="0"/>
    <m/>
  </r>
  <r>
    <x v="14"/>
    <x v="3"/>
    <x v="3"/>
    <n v="1844"/>
    <n v="1"/>
    <m/>
    <m/>
    <x v="0"/>
    <n v="2205"/>
    <n v="2205"/>
    <n v="0"/>
    <n v="0"/>
    <m/>
  </r>
  <r>
    <x v="14"/>
    <x v="3"/>
    <x v="3"/>
    <n v="645"/>
    <n v="2"/>
    <s v="Scroll"/>
    <n v="3"/>
    <x v="0"/>
    <n v="0"/>
    <n v="0"/>
    <n v="0"/>
    <n v="0"/>
    <m/>
  </r>
  <r>
    <x v="14"/>
    <x v="3"/>
    <x v="3"/>
    <n v="623"/>
    <n v="1"/>
    <m/>
    <m/>
    <x v="0"/>
    <n v="2205"/>
    <n v="2205"/>
    <n v="0"/>
    <n v="0"/>
    <m/>
  </r>
  <r>
    <x v="14"/>
    <x v="3"/>
    <x v="3"/>
    <n v="1484"/>
    <n v="2"/>
    <m/>
    <m/>
    <x v="0"/>
    <n v="2205"/>
    <n v="2205"/>
    <n v="0"/>
    <n v="0"/>
    <m/>
  </r>
  <r>
    <x v="14"/>
    <x v="3"/>
    <x v="3"/>
    <n v="1281"/>
    <n v="0"/>
    <m/>
    <m/>
    <x v="0"/>
    <n v="2572"/>
    <n v="2572"/>
    <n v="0"/>
    <n v="0"/>
    <m/>
  </r>
  <r>
    <x v="14"/>
    <x v="3"/>
    <x v="3"/>
    <n v="839"/>
    <n v="1"/>
    <m/>
    <m/>
    <x v="0"/>
    <n v="2940"/>
    <n v="2940"/>
    <n v="0"/>
    <n v="0"/>
    <m/>
  </r>
  <r>
    <x v="14"/>
    <x v="3"/>
    <x v="3"/>
    <n v="1785"/>
    <n v="2"/>
    <m/>
    <m/>
    <x v="0"/>
    <n v="1824"/>
    <n v="1824"/>
    <n v="0"/>
    <n v="0"/>
    <m/>
  </r>
  <r>
    <x v="14"/>
    <x v="3"/>
    <x v="3"/>
    <n v="1214"/>
    <n v="0"/>
    <m/>
    <m/>
    <x v="0"/>
    <n v="1236"/>
    <n v="1236"/>
    <n v="0"/>
    <n v="0"/>
    <m/>
  </r>
  <r>
    <x v="14"/>
    <x v="3"/>
    <x v="3"/>
    <n v="1200"/>
    <n v="0"/>
    <m/>
    <m/>
    <x v="0"/>
    <n v="1236"/>
    <n v="1236"/>
    <n v="0"/>
    <n v="0"/>
    <m/>
  </r>
  <r>
    <x v="14"/>
    <x v="3"/>
    <x v="3"/>
    <n v="1357"/>
    <n v="2"/>
    <s v="Fod"/>
    <n v="1"/>
    <x v="2"/>
    <n v="0"/>
    <n v="0"/>
    <n v="0"/>
    <n v="0"/>
    <m/>
  </r>
  <r>
    <x v="14"/>
    <x v="3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0"/>
    <n v="0"/>
    <n v="1600"/>
    <m/>
  </r>
  <r>
    <x v="5"/>
    <x v="1"/>
    <x v="8"/>
    <n v="1868"/>
    <n v="0"/>
    <s v="Scroll"/>
    <n v="2"/>
    <x v="2"/>
    <n v="0"/>
    <n v="0"/>
    <n v="0"/>
    <n v="1600"/>
    <m/>
  </r>
  <r>
    <x v="5"/>
    <x v="1"/>
    <x v="8"/>
    <n v="1204"/>
    <n v="1"/>
    <m/>
    <m/>
    <x v="0"/>
    <n v="1824"/>
    <n v="1824"/>
    <n v="0"/>
    <n v="0"/>
    <m/>
  </r>
  <r>
    <x v="7"/>
    <x v="0"/>
    <x v="11"/>
    <n v="3766"/>
    <n v="0"/>
    <s v="Blue"/>
    <n v="1"/>
    <x v="8"/>
    <n v="10144"/>
    <n v="10144"/>
    <n v="0"/>
    <n v="0"/>
    <m/>
  </r>
  <r>
    <x v="7"/>
    <x v="0"/>
    <x v="11"/>
    <n v="4343"/>
    <n v="0"/>
    <s v="Violet"/>
    <n v="1"/>
    <x v="7"/>
    <n v="3904"/>
    <n v="3904"/>
    <n v="0"/>
    <n v="0"/>
    <m/>
  </r>
  <r>
    <x v="7"/>
    <x v="0"/>
    <x v="11"/>
    <n v="3715"/>
    <n v="1"/>
    <s v="Scroll"/>
    <n v="4"/>
    <x v="2"/>
    <n v="0"/>
    <n v="0"/>
    <n v="0"/>
    <n v="3200"/>
    <m/>
  </r>
  <r>
    <x v="7"/>
    <x v="0"/>
    <x v="11"/>
    <n v="3985"/>
    <n v="1"/>
    <s v="Blue"/>
    <n v="1"/>
    <x v="9"/>
    <n v="25677"/>
    <n v="25677"/>
    <n v="0"/>
    <n v="0"/>
    <m/>
  </r>
  <r>
    <x v="7"/>
    <x v="0"/>
    <x v="11"/>
    <n v="4284"/>
    <n v="0"/>
    <s v="Scroll"/>
    <n v="5"/>
    <x v="2"/>
    <n v="0"/>
    <n v="0"/>
    <n v="0"/>
    <n v="4000"/>
    <m/>
  </r>
  <r>
    <x v="7"/>
    <x v="0"/>
    <x v="11"/>
    <n v="4613"/>
    <n v="0"/>
    <s v="Blue"/>
    <n v="1"/>
    <x v="8"/>
    <n v="5440"/>
    <n v="5440"/>
    <n v="0"/>
    <n v="0"/>
    <m/>
  </r>
  <r>
    <x v="7"/>
    <x v="0"/>
    <x v="11"/>
    <n v="4512"/>
    <n v="0"/>
    <s v="Blue"/>
    <n v="1"/>
    <x v="8"/>
    <n v="6800"/>
    <n v="6800"/>
    <n v="0"/>
    <n v="0"/>
    <m/>
  </r>
  <r>
    <x v="7"/>
    <x v="0"/>
    <x v="11"/>
    <n v="4000"/>
    <n v="1"/>
    <s v="Rainb"/>
    <n v="1"/>
    <x v="5"/>
    <n v="0"/>
    <n v="0"/>
    <n v="34500"/>
    <n v="118004"/>
    <m/>
  </r>
  <r>
    <x v="7"/>
    <x v="0"/>
    <x v="11"/>
    <n v="4361"/>
    <n v="0"/>
    <s v="Scroll"/>
    <n v="5"/>
    <x v="2"/>
    <n v="0"/>
    <n v="0"/>
    <n v="0"/>
    <n v="4000"/>
    <m/>
  </r>
  <r>
    <x v="7"/>
    <x v="0"/>
    <x v="11"/>
    <n v="4527"/>
    <n v="0"/>
    <s v="Blue"/>
    <n v="1"/>
    <x v="8"/>
    <n v="5440"/>
    <n v="5440"/>
    <n v="0"/>
    <n v="0"/>
    <m/>
  </r>
  <r>
    <x v="7"/>
    <x v="0"/>
    <x v="11"/>
    <n v="3817"/>
    <n v="1"/>
    <s v="Blue"/>
    <n v="1"/>
    <x v="8"/>
    <n v="5440"/>
    <n v="5440"/>
    <n v="0"/>
    <n v="0"/>
    <m/>
  </r>
  <r>
    <x v="7"/>
    <x v="0"/>
    <x v="11"/>
    <n v="3935"/>
    <n v="2"/>
    <s v="Violet"/>
    <n v="1"/>
    <x v="8"/>
    <n v="6800"/>
    <n v="6800"/>
    <n v="0"/>
    <n v="0"/>
    <m/>
  </r>
  <r>
    <x v="7"/>
    <x v="0"/>
    <x v="11"/>
    <n v="4040"/>
    <n v="1"/>
    <s v="Blue"/>
    <n v="1"/>
    <x v="8"/>
    <n v="5440"/>
    <n v="5440"/>
    <n v="0"/>
    <n v="0"/>
    <m/>
  </r>
  <r>
    <x v="7"/>
    <x v="0"/>
    <x v="11"/>
    <n v="3601"/>
    <n v="1"/>
    <s v="Scroll"/>
    <n v="4"/>
    <x v="2"/>
    <n v="0"/>
    <n v="0"/>
    <n v="0"/>
    <n v="3200"/>
    <m/>
  </r>
  <r>
    <x v="7"/>
    <x v="0"/>
    <x v="11"/>
    <n v="3976"/>
    <n v="0"/>
    <s v="Violet"/>
    <n v="1"/>
    <x v="8"/>
    <n v="5440"/>
    <n v="5440"/>
    <n v="0"/>
    <n v="0"/>
    <m/>
  </r>
  <r>
    <x v="7"/>
    <x v="0"/>
    <x v="11"/>
    <n v="3824"/>
    <n v="0"/>
    <s v="Blue"/>
    <n v="1"/>
    <x v="7"/>
    <n v="3491"/>
    <n v="3491"/>
    <n v="0"/>
    <n v="0"/>
    <m/>
  </r>
  <r>
    <x v="7"/>
    <x v="0"/>
    <x v="11"/>
    <n v="3303"/>
    <n v="0"/>
    <s v="Blue"/>
    <n v="1"/>
    <x v="7"/>
    <n v="3445"/>
    <n v="3445"/>
    <n v="0"/>
    <n v="0"/>
    <m/>
  </r>
  <r>
    <x v="7"/>
    <x v="0"/>
    <x v="11"/>
    <n v="4601"/>
    <n v="1"/>
    <s v="Scroll"/>
    <n v="4"/>
    <x v="2"/>
    <n v="0"/>
    <n v="0"/>
    <n v="0"/>
    <n v="3200"/>
    <m/>
  </r>
  <r>
    <x v="7"/>
    <x v="0"/>
    <x v="11"/>
    <n v="4076"/>
    <n v="1"/>
    <s v="Blue"/>
    <n v="1"/>
    <x v="7"/>
    <n v="5057"/>
    <n v="5057"/>
    <n v="0"/>
    <n v="0"/>
    <m/>
  </r>
  <r>
    <x v="7"/>
    <x v="0"/>
    <x v="11"/>
    <n v="3735"/>
    <n v="1"/>
    <s v="Blue"/>
    <n v="1"/>
    <x v="8"/>
    <n v="6502"/>
    <n v="6502"/>
    <n v="0"/>
    <n v="0"/>
    <m/>
  </r>
  <r>
    <x v="7"/>
    <x v="0"/>
    <x v="11"/>
    <n v="3968"/>
    <n v="1"/>
    <s v="Blue"/>
    <n v="1"/>
    <x v="8"/>
    <n v="3825"/>
    <n v="3825"/>
    <n v="0"/>
    <n v="0"/>
    <m/>
  </r>
  <r>
    <x v="7"/>
    <x v="0"/>
    <x v="11"/>
    <n v="4409"/>
    <n v="0"/>
    <s v="Blue"/>
    <n v="1"/>
    <x v="8"/>
    <n v="7650"/>
    <n v="7650"/>
    <n v="0"/>
    <n v="0"/>
    <m/>
  </r>
  <r>
    <x v="7"/>
    <x v="0"/>
    <x v="11"/>
    <n v="4316"/>
    <n v="0"/>
    <s v="Blue"/>
    <n v="1"/>
    <x v="8"/>
    <n v="5780"/>
    <n v="5780"/>
    <n v="0"/>
    <n v="0"/>
    <m/>
  </r>
  <r>
    <x v="7"/>
    <x v="0"/>
    <x v="11"/>
    <n v="4350"/>
    <n v="3"/>
    <s v="Blue"/>
    <n v="1"/>
    <x v="8"/>
    <n v="5950"/>
    <n v="5950"/>
    <n v="0"/>
    <n v="0"/>
    <m/>
  </r>
  <r>
    <x v="7"/>
    <x v="0"/>
    <x v="11"/>
    <n v="4027"/>
    <n v="1"/>
    <s v="Blue"/>
    <n v="1"/>
    <x v="8"/>
    <n v="5100"/>
    <n v="5100"/>
    <n v="0"/>
    <n v="0"/>
    <m/>
  </r>
  <r>
    <x v="7"/>
    <x v="0"/>
    <x v="11"/>
    <n v="4582"/>
    <n v="1"/>
    <s v="Orange"/>
    <n v="1"/>
    <x v="8"/>
    <n v="10444"/>
    <n v="10444"/>
    <n v="0"/>
    <n v="0"/>
    <m/>
  </r>
  <r>
    <x v="7"/>
    <x v="0"/>
    <x v="11"/>
    <n v="4490"/>
    <n v="0"/>
    <s v="Blue"/>
    <n v="1"/>
    <x v="7"/>
    <n v="4364"/>
    <n v="4364"/>
    <n v="0"/>
    <n v="0"/>
    <m/>
  </r>
  <r>
    <x v="7"/>
    <x v="0"/>
    <x v="11"/>
    <n v="4382"/>
    <n v="0"/>
    <s v="Blue"/>
    <n v="1"/>
    <x v="7"/>
    <n v="2940"/>
    <n v="2940"/>
    <n v="0"/>
    <n v="0"/>
    <m/>
  </r>
  <r>
    <x v="7"/>
    <x v="0"/>
    <x v="11"/>
    <n v="3808"/>
    <n v="0"/>
    <s v="Scroll"/>
    <n v="5"/>
    <x v="2"/>
    <n v="0"/>
    <n v="0"/>
    <n v="0"/>
    <n v="4000"/>
    <m/>
  </r>
  <r>
    <x v="7"/>
    <x v="0"/>
    <x v="11"/>
    <n v="3873"/>
    <n v="2"/>
    <s v="Blue"/>
    <n v="1"/>
    <x v="7"/>
    <n v="3307"/>
    <n v="3307"/>
    <n v="0"/>
    <n v="0"/>
    <m/>
  </r>
  <r>
    <x v="7"/>
    <x v="0"/>
    <x v="11"/>
    <n v="4165"/>
    <n v="1"/>
    <s v="Violet"/>
    <n v="1"/>
    <x v="7"/>
    <n v="3927"/>
    <n v="3927"/>
    <n v="0"/>
    <n v="0"/>
    <m/>
  </r>
  <r>
    <x v="7"/>
    <x v="0"/>
    <x v="11"/>
    <n v="3918"/>
    <n v="1"/>
    <s v="Violet"/>
    <n v="1"/>
    <x v="8"/>
    <n v="5440"/>
    <n v="5440"/>
    <n v="0"/>
    <n v="0"/>
    <m/>
  </r>
  <r>
    <x v="7"/>
    <x v="0"/>
    <x v="11"/>
    <n v="3837"/>
    <n v="4"/>
    <s v="Blue"/>
    <n v="1"/>
    <x v="7"/>
    <n v="3100"/>
    <n v="3100"/>
    <n v="0"/>
    <n v="0"/>
    <m/>
  </r>
  <r>
    <x v="7"/>
    <x v="0"/>
    <x v="11"/>
    <n v="3909"/>
    <n v="0"/>
    <s v="Blue"/>
    <n v="1"/>
    <x v="8"/>
    <n v="6460"/>
    <n v="6460"/>
    <n v="0"/>
    <n v="0"/>
    <m/>
  </r>
  <r>
    <x v="7"/>
    <x v="0"/>
    <x v="11"/>
    <n v="4302"/>
    <n v="2"/>
    <s v="Violet"/>
    <n v="1"/>
    <x v="8"/>
    <n v="8075"/>
    <n v="8075"/>
    <n v="0"/>
    <n v="0"/>
    <m/>
  </r>
  <r>
    <x v="7"/>
    <x v="0"/>
    <x v="11"/>
    <n v="4644"/>
    <n v="1"/>
    <s v="MystScroll"/>
    <n v="1"/>
    <x v="2"/>
    <n v="0"/>
    <n v="120000"/>
    <n v="0"/>
    <n v="0"/>
    <m/>
  </r>
  <r>
    <x v="7"/>
    <x v="0"/>
    <x v="11"/>
    <n v="3772"/>
    <n v="0"/>
    <s v="Blue"/>
    <n v="1"/>
    <x v="8"/>
    <n v="5780"/>
    <n v="5780"/>
    <n v="0"/>
    <n v="0"/>
    <m/>
  </r>
  <r>
    <x v="7"/>
    <x v="0"/>
    <x v="11"/>
    <n v="3838"/>
    <n v="1"/>
    <s v="Blue"/>
    <n v="1"/>
    <x v="8"/>
    <n v="6460"/>
    <n v="6460"/>
    <n v="0"/>
    <n v="0"/>
    <m/>
  </r>
  <r>
    <x v="7"/>
    <x v="0"/>
    <x v="11"/>
    <n v="3618"/>
    <n v="1"/>
    <s v="Orange"/>
    <n v="1"/>
    <x v="8"/>
    <n v="11560"/>
    <n v="11560"/>
    <n v="0"/>
    <n v="0"/>
    <m/>
  </r>
  <r>
    <x v="7"/>
    <x v="0"/>
    <x v="11"/>
    <n v="3622"/>
    <n v="2"/>
    <s v="Orange"/>
    <n v="1"/>
    <x v="8"/>
    <n v="16320"/>
    <n v="16320"/>
    <n v="0"/>
    <n v="0"/>
    <m/>
  </r>
  <r>
    <x v="7"/>
    <x v="0"/>
    <x v="11"/>
    <n v="4131"/>
    <n v="2"/>
    <s v="Scroll"/>
    <n v="5"/>
    <x v="2"/>
    <n v="0"/>
    <n v="0"/>
    <n v="0"/>
    <n v="4000"/>
    <m/>
  </r>
  <r>
    <x v="7"/>
    <x v="0"/>
    <x v="11"/>
    <n v="3935"/>
    <n v="0"/>
    <s v="Rainb"/>
    <n v="1"/>
    <x v="1"/>
    <n v="0"/>
    <n v="0"/>
    <n v="11500"/>
    <n v="0"/>
    <m/>
  </r>
  <r>
    <x v="7"/>
    <x v="0"/>
    <x v="11"/>
    <n v="3786"/>
    <n v="1"/>
    <s v="Violet"/>
    <n v="1"/>
    <x v="7"/>
    <n v="3904"/>
    <n v="3904"/>
    <n v="0"/>
    <n v="0"/>
    <m/>
  </r>
  <r>
    <x v="7"/>
    <x v="0"/>
    <x v="11"/>
    <n v="3725"/>
    <n v="0"/>
    <s v="Scroll"/>
    <n v="4"/>
    <x v="2"/>
    <n v="0"/>
    <n v="0"/>
    <n v="0"/>
    <n v="3200"/>
    <m/>
  </r>
  <r>
    <x v="7"/>
    <x v="0"/>
    <x v="11"/>
    <n v="3617"/>
    <n v="1"/>
    <s v="Blue"/>
    <n v="1"/>
    <x v="8"/>
    <n v="6800"/>
    <n v="6800"/>
    <n v="0"/>
    <n v="0"/>
    <m/>
  </r>
  <r>
    <x v="7"/>
    <x v="0"/>
    <x v="11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1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1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1">
        <item x="6"/>
        <item x="3"/>
        <item h="1" x="0"/>
        <item h="1" x="1"/>
        <item h="1" x="2"/>
        <item h="1" x="5"/>
        <item h="1" x="7"/>
        <item h="1" x="8"/>
        <item h="1" m="1" x="10"/>
        <item x="4"/>
        <item h="1" x="9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1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50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6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1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4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4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8">
      <calculatedColumnFormula>MAXA(-(4*M1-Tabela6[[#This Row],[Done]]),0)</calculatedColumnFormula>
    </tableColumn>
    <tableColumn id="4" name="XP to gain" dataDxfId="127"/>
    <tableColumn id="6" name="Mana Cost" dataDxfId="126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25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24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23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22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21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20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9">
      <calculatedColumnFormula>4*LocFeatures[[#This Row],[XP Gain per member]]</calculatedColumnFormula>
    </tableColumn>
    <tableColumn id="11" name="XP Train Gain"/>
    <tableColumn id="22" name="XP drop" dataDxfId="118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7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6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15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13" tableBorderDxfId="112">
  <autoFilter ref="Q3:W6"/>
  <tableColumns count="7">
    <tableColumn id="1" name="Kolumna1">
      <calculatedColumnFormula>G5</calculatedColumnFormula>
    </tableColumn>
    <tableColumn id="2" name="4" dataDxfId="111"/>
    <tableColumn id="3" name="5" dataDxfId="110"/>
    <tableColumn id="4" name="7" dataDxfId="109"/>
    <tableColumn id="5" name="8" dataDxfId="108"/>
    <tableColumn id="6" name="9" dataDxfId="107"/>
    <tableColumn id="7" name="10" dataDxfId="10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105">
  <autoFilter ref="X1:AB5"/>
  <tableColumns count="5">
    <tableColumn id="1" name="Set Name" dataDxfId="104"/>
    <tableColumn id="2" name="Attack" dataDxfId="103"/>
    <tableColumn id="3" name="Crit.Dmg" dataDxfId="102"/>
    <tableColumn id="4" name="Crit.Cha" dataDxfId="101"/>
    <tableColumn id="5" name="Speed" dataDxfId="10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9" dataDxfId="98" tableBorderDxfId="97">
  <autoFilter ref="A1:U74"/>
  <tableColumns count="21">
    <tableColumn id="1" name="Set" dataDxfId="96"/>
    <tableColumn id="2" name="Runes" dataDxfId="95"/>
    <tableColumn id="3" name="Fatal Nbr" dataDxfId="94"/>
    <tableColumn id="4" name="Rage Nbr" dataDxfId="93"/>
    <tableColumn id="5" name="Blade Nbr" dataDxfId="92"/>
    <tableColumn id="6" name="Atk Mult" dataDxfId="91"/>
    <tableColumn id="7" name="CritD" dataDxfId="90"/>
    <tableColumn id="8" name="Atk % from subs" dataDxfId="89"/>
    <tableColumn id="9" name="Crit D % from subs" dataDxfId="88"/>
    <tableColumn id="10" name="% of Crit C from subs" dataDxfId="87"/>
    <tableColumn id="11" name="Nbr of Atk rune" dataDxfId="86"/>
    <tableColumn id="12" name="Nbr of Crit D rune" dataDxfId="85"/>
    <tableColumn id="13" name="Nbr of Crit C rune" dataDxfId="84"/>
    <tableColumn id="14" name="Atk" dataDxfId="83"/>
    <tableColumn id="15" name="Dmg" dataDxfId="82"/>
    <tableColumn id="16" name="DmgC" dataDxfId="81"/>
    <tableColumn id="17" name="Crit Chance Basic" dataDxfId="80"/>
    <tableColumn id="18" name="Final Crit Chance" dataDxfId="79"/>
    <tableColumn id="19" name="AvgDmg" dataDxfId="78"/>
    <tableColumn id="20" name="AvgDmg Basic" dataDxfId="77"/>
    <tableColumn id="21" name="% change to basic" dataDxfId="7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75">
  <autoFilter ref="W20:AF43"/>
  <tableColumns count="10">
    <tableColumn id="1" name="Crit C" dataDxfId="74"/>
    <tableColumn id="2" name="Crit D" dataDxfId="73"/>
    <tableColumn id="3" name="Atk " dataDxfId="72"/>
    <tableColumn id="4" name="Set1" dataDxfId="71"/>
    <tableColumn id="5" name="Set2" dataDxfId="70"/>
    <tableColumn id="6" name="Rune1" dataDxfId="69"/>
    <tableColumn id="7" name="NBR R1"/>
    <tableColumn id="8" name="Rune2" dataDxfId="6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67">
  <autoFilter ref="AJ2:AU1190"/>
  <tableColumns count="12">
    <tableColumn id="1" name="Att stones" dataDxfId="66"/>
    <tableColumn id="2" name="Crid D stone" dataDxfId="65"/>
    <tableColumn id="3" name="Crit C stone" dataDxfId="64"/>
    <tableColumn id="11" name="Kolumna1" dataDxfId="63">
      <calculatedColumnFormula>Tabela21[[#This Row],[Att subs]]+Tabela21[[#This Row],[Crit D subs]]</calculatedColumnFormula>
    </tableColumn>
    <tableColumn id="4" name="Att subs" dataDxfId="62"/>
    <tableColumn id="5" name="Crit D subs" dataDxfId="61"/>
    <tableColumn id="6" name="Crit C subs" dataDxfId="60"/>
    <tableColumn id="7" name="Fatal + Blade" dataDxfId="59">
      <calculatedColumnFormula>$AG$3*(1+$AJ3*$Y$2+$AN3+0.35)*(MAXA(1-$AI$3-$AL3*$AA$3-$AP3-0.12,0)+MINA($AI$3+$AL3*$AA$3+$AP3+0.12,1)*(1+$AH$3+$AO3+$AK3*$Z$4))</calculatedColumnFormula>
    </tableColumn>
    <tableColumn id="8" name="Rage + Blade" dataDxfId="58">
      <calculatedColumnFormula>$AG$3*(1+$AJ3*$Y$2+$AN3)*(MAXA(1-$AI$3-$AL3*$AA$3-$AP3-0.12,0)+MINA($AI$3+$AL3*$AA$3+$AP3+0.12,1)*(1+$AH$3+$AO3+$AK3*$Z$4+0.4))</calculatedColumnFormula>
    </tableColumn>
    <tableColumn id="9" name="3x Blade" dataDxfId="57">
      <calculatedColumnFormula>$AG$3*(1+$AJ3*$Y$2+$AN3)*(MAXA(1-$AI$3-$AL3*$AA$3-$AP3-0.36,0)+MINA($AI$3+$AL3*$AA$3+$AP3+0.36,1)*(1+$AH$3+$AO3+$AK3*$Z$4))</calculatedColumnFormula>
    </tableColumn>
    <tableColumn id="10" name="DobSk Fatal+balde" dataDxfId="56">
      <calculatedColumnFormula>$AG$3*(1+$AJ3*$Y$2+$AN3)*(MAXA(1-$AI$3-$AL3*$AA$3-$AP3-0.36,0)+2*MINA($AI$3+$AL3*$AA$3+$AP3+0.36,1)*(1+$AH$3+$AO3+$AK3*$Z$4))</calculatedColumnFormula>
    </tableColumn>
    <tableColumn id="12" name="DobSk Fatal+balde2" dataDxfId="5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54">
      <calculatedColumnFormula>FLOOR((J$17+J$18*(Tabela1318[[#This Row],[Type]]-1))*1.2,1)</calculatedColumnFormula>
    </tableColumn>
    <tableColumn id="9" name="Att" dataDxfId="53">
      <calculatedColumnFormula>FLOOR((K$17+K$18*(Tabela1318[[#This Row],[Type]]-1))*1.2,1)</calculatedColumnFormula>
    </tableColumn>
    <tableColumn id="10" name="Def" dataDxfId="5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51"/>
    <tableColumn id="5" name="HP"/>
    <tableColumn id="6" name="Acc%"/>
    <tableColumn id="7" name="SPD"/>
    <tableColumn id="8" name="Crit Rate%" dataDxfId="50"/>
    <tableColumn id="9" name="Crit DMG%" dataDxfId="49"/>
    <tableColumn id="10" name="Att%" dataDxfId="48"/>
    <tableColumn id="16" name="Att"/>
    <tableColumn id="11" name="Def%" dataDxfId="47"/>
    <tableColumn id="14" name="Def"/>
    <tableColumn id="12" name="Res%" dataDxfId="4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8">
  <autoFilter ref="A6:R38"/>
  <tableColumns count="18">
    <tableColumn id="1" name="Scenario"/>
    <tableColumn id="2" name="XP" dataDxfId="37">
      <calculatedColumnFormula>(2*$J7+$K7)/($R7-$Q7)*O7</calculatedColumnFormula>
    </tableColumn>
    <tableColumn id="3" name="Gold" dataDxfId="3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5"/>
    <tableColumn id="11" name="Ene normal" dataDxfId="34"/>
    <tableColumn id="12" name="Location" dataDxfId="33"/>
    <tableColumn id="13" name="LVL" dataDxfId="32"/>
    <tableColumn id="14" name="Stage" dataDxfId="3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30" dataDxfId="29">
  <autoFilter ref="A1:S327"/>
  <sortState ref="A2:S327">
    <sortCondition descending="1" ref="C2:C327"/>
  </sortState>
  <tableColumns count="19">
    <tableColumn id="1" name="LP" dataDxfId="28" dataCellStyle="Normalny 2"/>
    <tableColumn id="16" name="Awakened2" dataDxfId="27" dataCellStyle="Normalny 2"/>
    <tableColumn id="2" name="Name" dataDxfId="26"/>
    <tableColumn id="3" name="Stars" dataDxfId="25"/>
    <tableColumn id="4" name="Attribute" dataDxfId="24"/>
    <tableColumn id="5" name="G" dataDxfId="23"/>
    <tableColumn id="6" name="D" dataDxfId="22"/>
    <tableColumn id="7" name="N" dataDxfId="21"/>
    <tableColumn id="8" name="AO" dataDxfId="20"/>
    <tableColumn id="9" name="AD" dataDxfId="19"/>
    <tableColumn id="10" name="HM" dataDxfId="18"/>
    <tableColumn id="11" name="GWO" dataDxfId="17"/>
    <tableColumn id="12" name="GWD" dataDxfId="16"/>
    <tableColumn id="13" name="Fusion" dataDxfId="15"/>
    <tableColumn id="15" name="Possesion" dataDxfId="14" dataCellStyle="Normalny 2"/>
    <tableColumn id="17" name="Suma PVE" dataDxfId="13" dataCellStyle="Normalny 2">
      <calculatedColumnFormula>SUM(Tabela2[[#This Row],[G]]+Tabela2[[#This Row],[D]]+Tabela2[[#This Row],[N]]+Tabela2[[#This Row],[HM]])</calculatedColumnFormula>
    </tableColumn>
    <tableColumn id="18" name="Suma PVP" dataDxfId="12" dataCellStyle="Normalny 2">
      <calculatedColumnFormula>SUM(Tabela2[[#This Row],[AO]]+Tabela2[[#This Row],[AD]]+Tabela2[[#This Row],[GWO]]+Tabela2[[#This Row],[GWD]])</calculatedColumnFormula>
    </tableColumn>
    <tableColumn id="19" name="Suma GW" dataDxfId="11" dataCellStyle="Normalny 2">
      <calculatedColumnFormula>Tabela2[[#This Row],[GWO]]+Tabela2[[#This Row],[GWD]]</calculatedColumnFormula>
    </tableColumn>
    <tableColumn id="14" name="Suma ALL" dataDxfId="1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J40" sqref="J38:J4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329</v>
      </c>
      <c r="P2" t="s">
        <v>121</v>
      </c>
      <c r="Q2" t="s">
        <v>828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10-Tabela6[[#This Row],[Done]]</f>
        <v>5</v>
      </c>
      <c r="N3">
        <v>5</v>
      </c>
      <c r="O3" s="43">
        <v>0</v>
      </c>
      <c r="P3" s="1">
        <v>0</v>
      </c>
      <c r="Q3" s="1">
        <f>Tabela6[[#This Row],[Missing]]*22300</f>
        <v>111500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5</v>
      </c>
      <c r="N4">
        <v>0</v>
      </c>
      <c r="O4" s="43">
        <v>0</v>
      </c>
      <c r="P4" s="1">
        <f>M4*$B$5</f>
        <v>948750</v>
      </c>
      <c r="Q4" s="1">
        <f>Tabela6[[#This Row],[Missing]]*9600</f>
        <v>48000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 s="1">
        <f>Tabela6[[#This Row],[Missing]]*9600</f>
        <v>192000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21</v>
      </c>
      <c r="N6">
        <v>4</v>
      </c>
      <c r="O6" s="43">
        <f>MAXA(-(M5+M4-O5-Tabela6[[#This Row],[Done]]),0)</f>
        <v>0</v>
      </c>
      <c r="P6" s="1">
        <f>M6*$B$4</f>
        <v>1725822</v>
      </c>
      <c r="Q6" s="1">
        <f>Tabela6[[#This Row],[Missing]]*4000</f>
        <v>84000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71</v>
      </c>
      <c r="N7">
        <v>4</v>
      </c>
      <c r="O7" s="43">
        <f>MAXA(-3*(M4+M5-O5)+Tabela6[[#This Row],[Done]],0)</f>
        <v>0</v>
      </c>
      <c r="P7" s="1"/>
      <c r="Q7" s="1">
        <f>Tabela6[[#This Row],[Missing]]*4000</f>
        <v>284000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88</v>
      </c>
      <c r="N8">
        <v>4</v>
      </c>
      <c r="O8" s="43">
        <f>MAXA(-(M7+M6-O7-Tabela6[[#This Row],[Done]]),0)</f>
        <v>0</v>
      </c>
      <c r="P8" s="1">
        <f>M8*$B$3</f>
        <v>3152336</v>
      </c>
      <c r="Q8" s="1">
        <f>Tabela6[[#This Row],[Missing]]*4000</f>
        <v>352000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183</v>
      </c>
      <c r="N9">
        <v>1</v>
      </c>
      <c r="O9" s="43">
        <f>MAXA(-(4*M7-Tabela6[[#This Row],[Done]])-M8,0)</f>
        <v>0</v>
      </c>
      <c r="P9" s="39"/>
      <c r="Q9" s="39">
        <f>Tabela6[[#This Row],[Missing]]*11000</f>
        <v>2013000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P12" s="38">
        <f>SUM(Tabela6[XP to gain])</f>
        <v>5826908</v>
      </c>
      <c r="Q12" s="38">
        <f>SUM(Q3:Q9)</f>
        <v>3084500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330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0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v>0</v>
      </c>
      <c r="N33">
        <f>O8</f>
        <v>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129" activePane="bottomLeft" state="frozen"/>
      <selection pane="bottomLeft" activeCell="C1111" sqref="C111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262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290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289</v>
      </c>
      <c r="P7" t="s">
        <v>17</v>
      </c>
      <c r="Q7" s="1">
        <v>120000</v>
      </c>
      <c r="R7">
        <v>0</v>
      </c>
      <c r="S7">
        <v>0</v>
      </c>
      <c r="T7">
        <v>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253</v>
      </c>
      <c r="G120">
        <v>2</v>
      </c>
      <c r="H120" t="s">
        <v>271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253</v>
      </c>
      <c r="G170">
        <v>2</v>
      </c>
      <c r="H170" t="s">
        <v>271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253</v>
      </c>
      <c r="G174">
        <v>1</v>
      </c>
      <c r="H174" t="s">
        <v>293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250</v>
      </c>
      <c r="G176">
        <v>2</v>
      </c>
      <c r="H176" t="s">
        <v>271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253</v>
      </c>
      <c r="G284">
        <v>4</v>
      </c>
      <c r="H284" t="s">
        <v>271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273</v>
      </c>
      <c r="G285">
        <v>3</v>
      </c>
      <c r="H285" t="s">
        <v>271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273</v>
      </c>
      <c r="G286">
        <v>2</v>
      </c>
      <c r="H286" t="s">
        <v>271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273</v>
      </c>
      <c r="G287">
        <v>1</v>
      </c>
      <c r="H287" t="s">
        <v>293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273</v>
      </c>
      <c r="G288">
        <v>2</v>
      </c>
      <c r="H288" t="s">
        <v>271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273</v>
      </c>
      <c r="G289">
        <v>1</v>
      </c>
      <c r="H289" t="s">
        <v>293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273</v>
      </c>
      <c r="G290">
        <v>2</v>
      </c>
      <c r="H290" t="s">
        <v>271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273</v>
      </c>
      <c r="G292">
        <v>2</v>
      </c>
      <c r="H292" t="s">
        <v>293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273</v>
      </c>
      <c r="G293">
        <v>1</v>
      </c>
      <c r="H293" t="s">
        <v>293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273</v>
      </c>
      <c r="G297">
        <v>1</v>
      </c>
      <c r="H297" t="s">
        <v>293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273</v>
      </c>
      <c r="G298">
        <v>3</v>
      </c>
      <c r="H298" t="s">
        <v>293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273</v>
      </c>
      <c r="G300">
        <v>4</v>
      </c>
      <c r="H300" t="s">
        <v>271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253</v>
      </c>
      <c r="G335">
        <v>1</v>
      </c>
      <c r="H335" t="s">
        <v>293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252</v>
      </c>
      <c r="G336">
        <v>5</v>
      </c>
      <c r="H336" t="s">
        <v>271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253</v>
      </c>
      <c r="G522">
        <v>1</v>
      </c>
      <c r="H522" t="s">
        <v>293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253</v>
      </c>
      <c r="G523">
        <v>1</v>
      </c>
      <c r="H523" t="s">
        <v>293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253</v>
      </c>
      <c r="G524">
        <v>4</v>
      </c>
      <c r="H524" t="s">
        <v>271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250</v>
      </c>
      <c r="G535">
        <v>3</v>
      </c>
      <c r="H535" t="s">
        <v>271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250</v>
      </c>
      <c r="G536">
        <v>1</v>
      </c>
      <c r="H536" t="s">
        <v>293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250</v>
      </c>
      <c r="G537">
        <v>3</v>
      </c>
      <c r="H537" t="s">
        <v>271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250</v>
      </c>
      <c r="G538">
        <v>1</v>
      </c>
      <c r="H538" t="s">
        <v>293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250</v>
      </c>
      <c r="G540">
        <v>2</v>
      </c>
      <c r="H540" t="s">
        <v>293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250</v>
      </c>
      <c r="G543">
        <v>5</v>
      </c>
      <c r="H543" t="s">
        <v>271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250</v>
      </c>
      <c r="G546">
        <v>4</v>
      </c>
      <c r="H546" t="s">
        <v>271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250</v>
      </c>
      <c r="G547">
        <v>4</v>
      </c>
      <c r="H547" t="s">
        <v>271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250</v>
      </c>
      <c r="G549">
        <v>4</v>
      </c>
      <c r="H549" t="s">
        <v>271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250</v>
      </c>
      <c r="G550">
        <v>4</v>
      </c>
      <c r="H550" t="s">
        <v>271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250</v>
      </c>
      <c r="G551">
        <v>5</v>
      </c>
      <c r="H551" t="s">
        <v>271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250</v>
      </c>
      <c r="G555">
        <v>1</v>
      </c>
      <c r="H555" t="s">
        <v>272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250</v>
      </c>
      <c r="G556">
        <v>1</v>
      </c>
      <c r="H556" t="s">
        <v>272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224</v>
      </c>
      <c r="G557" t="s">
        <v>291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250</v>
      </c>
      <c r="G559">
        <v>4</v>
      </c>
      <c r="H559" t="s">
        <v>271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250</v>
      </c>
      <c r="G561">
        <v>3</v>
      </c>
      <c r="H561" t="s">
        <v>271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250</v>
      </c>
      <c r="G562">
        <v>4</v>
      </c>
      <c r="H562" t="s">
        <v>271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250</v>
      </c>
      <c r="G563">
        <v>1</v>
      </c>
      <c r="H563" t="s">
        <v>293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250</v>
      </c>
      <c r="G564">
        <v>1</v>
      </c>
      <c r="H564" t="s">
        <v>293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250</v>
      </c>
      <c r="G565">
        <v>2</v>
      </c>
      <c r="H565" t="s">
        <v>272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250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250</v>
      </c>
      <c r="G567">
        <v>3</v>
      </c>
      <c r="H567" t="s">
        <v>272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253</v>
      </c>
      <c r="G568">
        <v>2</v>
      </c>
      <c r="H568" t="s">
        <v>293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253</v>
      </c>
      <c r="G569">
        <v>1</v>
      </c>
      <c r="H569" t="s">
        <v>293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253</v>
      </c>
      <c r="G570">
        <v>4</v>
      </c>
      <c r="H570" t="s">
        <v>271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253</v>
      </c>
      <c r="G571">
        <v>1</v>
      </c>
      <c r="H571" t="s">
        <v>293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253</v>
      </c>
      <c r="G572">
        <v>1</v>
      </c>
      <c r="H572" t="s">
        <v>293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253</v>
      </c>
      <c r="G573">
        <v>4</v>
      </c>
      <c r="H573" t="s">
        <v>271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253</v>
      </c>
      <c r="G574">
        <v>3</v>
      </c>
      <c r="H574" t="s">
        <v>293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253</v>
      </c>
      <c r="G575">
        <v>3</v>
      </c>
      <c r="H575" t="s">
        <v>293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253</v>
      </c>
      <c r="G576">
        <v>4</v>
      </c>
      <c r="H576" t="s">
        <v>271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253</v>
      </c>
      <c r="G577">
        <v>3</v>
      </c>
      <c r="H577" t="s">
        <v>271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250</v>
      </c>
      <c r="G578">
        <v>3</v>
      </c>
      <c r="H578" t="s">
        <v>271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253</v>
      </c>
      <c r="G579">
        <v>5</v>
      </c>
      <c r="H579" t="s">
        <v>271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253</v>
      </c>
      <c r="G582">
        <v>3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253</v>
      </c>
      <c r="G583">
        <v>2</v>
      </c>
      <c r="H583" t="s">
        <v>272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259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253</v>
      </c>
      <c r="G655">
        <v>4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253</v>
      </c>
      <c r="G656">
        <v>1</v>
      </c>
      <c r="H656" t="s">
        <v>272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253</v>
      </c>
      <c r="G657">
        <v>1</v>
      </c>
      <c r="H657" t="s">
        <v>293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250</v>
      </c>
      <c r="G658">
        <v>1</v>
      </c>
      <c r="H658" t="s">
        <v>293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253</v>
      </c>
      <c r="G660">
        <v>1</v>
      </c>
      <c r="H660" t="s">
        <v>293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253</v>
      </c>
      <c r="G662">
        <v>1</v>
      </c>
      <c r="H662" t="s">
        <v>293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253</v>
      </c>
      <c r="G663">
        <v>5</v>
      </c>
      <c r="H663" t="s">
        <v>271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253</v>
      </c>
      <c r="G664">
        <v>4</v>
      </c>
      <c r="H664" t="s">
        <v>271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253</v>
      </c>
      <c r="G665">
        <v>2</v>
      </c>
      <c r="H665" t="s">
        <v>293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253</v>
      </c>
      <c r="G666">
        <v>1</v>
      </c>
      <c r="H666" t="s">
        <v>293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253</v>
      </c>
      <c r="G667">
        <v>3</v>
      </c>
      <c r="H667" t="s">
        <v>271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251</v>
      </c>
      <c r="G668">
        <v>1</v>
      </c>
      <c r="H668" t="s">
        <v>293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251</v>
      </c>
      <c r="G669">
        <v>2</v>
      </c>
      <c r="H669" t="s">
        <v>293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253</v>
      </c>
      <c r="G670">
        <v>5</v>
      </c>
      <c r="H670" t="s">
        <v>271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253</v>
      </c>
      <c r="G672">
        <v>3</v>
      </c>
      <c r="H672" t="s">
        <v>271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253</v>
      </c>
      <c r="G673">
        <v>4</v>
      </c>
      <c r="H673" t="s">
        <v>271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251</v>
      </c>
      <c r="G674">
        <v>3</v>
      </c>
      <c r="H674" t="s">
        <v>293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253</v>
      </c>
      <c r="G675">
        <v>5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253</v>
      </c>
      <c r="G677">
        <v>5</v>
      </c>
      <c r="H677" t="s">
        <v>271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251</v>
      </c>
      <c r="G678">
        <v>1</v>
      </c>
      <c r="H678" t="s">
        <v>293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259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253</v>
      </c>
      <c r="G690">
        <v>1</v>
      </c>
      <c r="H690" t="s">
        <v>293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253</v>
      </c>
      <c r="G691">
        <v>1</v>
      </c>
      <c r="H691" t="s">
        <v>272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253</v>
      </c>
      <c r="G692">
        <v>1</v>
      </c>
      <c r="H692" t="s">
        <v>293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251</v>
      </c>
      <c r="G693">
        <v>1</v>
      </c>
      <c r="H693" t="s">
        <v>293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253</v>
      </c>
      <c r="G694">
        <v>4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253</v>
      </c>
      <c r="G696">
        <v>1</v>
      </c>
      <c r="H696" t="s">
        <v>293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253</v>
      </c>
      <c r="G697">
        <v>5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253</v>
      </c>
      <c r="G698">
        <v>1</v>
      </c>
      <c r="H698" t="s">
        <v>272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253</v>
      </c>
      <c r="G699">
        <v>3</v>
      </c>
      <c r="H699" t="s">
        <v>271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253</v>
      </c>
      <c r="G701">
        <v>5</v>
      </c>
      <c r="H701" t="s">
        <v>271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253</v>
      </c>
      <c r="G702">
        <v>1</v>
      </c>
      <c r="H702" t="s">
        <v>293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253</v>
      </c>
      <c r="G703">
        <v>1</v>
      </c>
      <c r="H703" t="s">
        <v>272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253</v>
      </c>
      <c r="G704">
        <v>1</v>
      </c>
      <c r="H704" t="s">
        <v>293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253</v>
      </c>
      <c r="G706">
        <v>3</v>
      </c>
      <c r="H706" t="s">
        <v>271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253</v>
      </c>
      <c r="G707">
        <v>4</v>
      </c>
      <c r="H707" t="s">
        <v>271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252</v>
      </c>
      <c r="G708">
        <v>2</v>
      </c>
      <c r="H708" t="s">
        <v>293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252</v>
      </c>
      <c r="G710">
        <v>2</v>
      </c>
      <c r="H710" t="s">
        <v>293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252</v>
      </c>
      <c r="G711">
        <v>1</v>
      </c>
      <c r="H711" t="s">
        <v>293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252</v>
      </c>
      <c r="G712">
        <v>3</v>
      </c>
      <c r="H712" t="s">
        <v>293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252</v>
      </c>
      <c r="G713">
        <v>1</v>
      </c>
      <c r="H713" t="s">
        <v>293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252</v>
      </c>
      <c r="G714">
        <v>3</v>
      </c>
      <c r="H714" t="s">
        <v>272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252</v>
      </c>
      <c r="G715">
        <v>5</v>
      </c>
      <c r="H715" t="s">
        <v>271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252</v>
      </c>
      <c r="G716">
        <v>5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253</v>
      </c>
      <c r="G717">
        <v>2</v>
      </c>
      <c r="H717" t="s">
        <v>272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253</v>
      </c>
      <c r="G718">
        <v>1</v>
      </c>
      <c r="H718" t="s">
        <v>293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253</v>
      </c>
      <c r="G719">
        <v>5</v>
      </c>
      <c r="H719" t="s">
        <v>271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253</v>
      </c>
      <c r="G720">
        <v>5</v>
      </c>
      <c r="H720" t="s">
        <v>271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253</v>
      </c>
      <c r="G721">
        <v>1</v>
      </c>
      <c r="H721" t="s">
        <v>293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253</v>
      </c>
      <c r="G722">
        <v>5</v>
      </c>
      <c r="H722" t="s">
        <v>271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253</v>
      </c>
      <c r="G723">
        <v>2</v>
      </c>
      <c r="H723" t="s">
        <v>293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253</v>
      </c>
      <c r="G724">
        <v>3</v>
      </c>
      <c r="H724" t="s">
        <v>271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259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253</v>
      </c>
      <c r="G728">
        <v>1</v>
      </c>
      <c r="H728" t="s">
        <v>272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253</v>
      </c>
      <c r="G730">
        <v>3</v>
      </c>
      <c r="H730" t="s">
        <v>293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250</v>
      </c>
      <c r="G731">
        <v>2</v>
      </c>
      <c r="H731" t="s">
        <v>293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250</v>
      </c>
      <c r="G732">
        <v>4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253</v>
      </c>
      <c r="G733">
        <v>1</v>
      </c>
      <c r="H733" t="s">
        <v>272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259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253</v>
      </c>
      <c r="G756">
        <v>1</v>
      </c>
      <c r="H756" t="s">
        <v>293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253</v>
      </c>
      <c r="G757">
        <v>2</v>
      </c>
      <c r="H757" t="s">
        <v>293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253</v>
      </c>
      <c r="G758">
        <v>4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253</v>
      </c>
      <c r="G759">
        <v>1</v>
      </c>
      <c r="H759" t="s">
        <v>272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263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263</v>
      </c>
      <c r="B772" t="s">
        <v>9</v>
      </c>
      <c r="C772">
        <v>9</v>
      </c>
      <c r="D772">
        <v>2758</v>
      </c>
      <c r="E772">
        <v>0</v>
      </c>
      <c r="F772" t="s">
        <v>265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263</v>
      </c>
      <c r="B776" t="s">
        <v>9</v>
      </c>
      <c r="C776">
        <v>9</v>
      </c>
      <c r="D776">
        <v>2516</v>
      </c>
      <c r="E776">
        <v>1</v>
      </c>
      <c r="F776" t="s">
        <v>265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263</v>
      </c>
      <c r="B777" t="s">
        <v>9</v>
      </c>
      <c r="C777">
        <v>9</v>
      </c>
      <c r="D777">
        <v>2850</v>
      </c>
      <c r="E777">
        <v>2</v>
      </c>
      <c r="F777" t="s">
        <v>264</v>
      </c>
      <c r="G777">
        <v>3</v>
      </c>
      <c r="H777" t="s">
        <v>271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253</v>
      </c>
      <c r="G778">
        <v>3</v>
      </c>
      <c r="H778" t="s">
        <v>293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266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263</v>
      </c>
      <c r="B780" t="s">
        <v>9</v>
      </c>
      <c r="C780">
        <v>9</v>
      </c>
      <c r="D780">
        <v>2517</v>
      </c>
      <c r="E780">
        <v>0</v>
      </c>
      <c r="F780" t="s">
        <v>265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263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259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265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259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267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259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259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259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250</v>
      </c>
      <c r="G821">
        <v>1</v>
      </c>
      <c r="H821" t="s">
        <v>293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250</v>
      </c>
      <c r="G822">
        <v>2</v>
      </c>
      <c r="H822" t="s">
        <v>293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250</v>
      </c>
      <c r="G823">
        <v>2</v>
      </c>
      <c r="H823" t="s">
        <v>293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250</v>
      </c>
      <c r="G824">
        <v>3</v>
      </c>
      <c r="H824" t="s">
        <v>271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250</v>
      </c>
      <c r="G825">
        <v>3</v>
      </c>
      <c r="H825" t="s">
        <v>271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224</v>
      </c>
      <c r="G826" t="s">
        <v>268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250</v>
      </c>
      <c r="G827">
        <v>1</v>
      </c>
      <c r="H827" t="s">
        <v>272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250</v>
      </c>
      <c r="G828">
        <v>1</v>
      </c>
      <c r="H828" t="s">
        <v>293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289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224</v>
      </c>
      <c r="G831" t="s">
        <v>269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250</v>
      </c>
      <c r="G832">
        <v>1</v>
      </c>
      <c r="H832" t="s">
        <v>293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250</v>
      </c>
      <c r="G835">
        <v>5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250</v>
      </c>
      <c r="G836">
        <v>1</v>
      </c>
      <c r="H836" t="s">
        <v>272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250</v>
      </c>
      <c r="G838">
        <v>4</v>
      </c>
      <c r="H838" t="s">
        <v>271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250</v>
      </c>
      <c r="G839">
        <v>1</v>
      </c>
      <c r="H839" t="s">
        <v>293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250</v>
      </c>
      <c r="G840">
        <v>1</v>
      </c>
      <c r="H840" t="s">
        <v>293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250</v>
      </c>
      <c r="G841">
        <v>1</v>
      </c>
      <c r="H841" t="s">
        <v>272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250</v>
      </c>
      <c r="G842">
        <v>1</v>
      </c>
      <c r="H842" t="s">
        <v>293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250</v>
      </c>
      <c r="G843">
        <v>1</v>
      </c>
      <c r="H843" t="s">
        <v>293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250</v>
      </c>
      <c r="G844">
        <v>5</v>
      </c>
      <c r="H844" t="s">
        <v>271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250</v>
      </c>
      <c r="G845">
        <v>4</v>
      </c>
      <c r="H845" t="s">
        <v>271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250</v>
      </c>
      <c r="G846">
        <v>3</v>
      </c>
      <c r="H846" t="s">
        <v>293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250</v>
      </c>
      <c r="G847">
        <v>1</v>
      </c>
      <c r="H847" t="s">
        <v>293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250</v>
      </c>
      <c r="G848">
        <v>5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250</v>
      </c>
      <c r="G849">
        <v>3</v>
      </c>
      <c r="H849" t="s">
        <v>272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250</v>
      </c>
      <c r="G850">
        <v>3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250</v>
      </c>
      <c r="G851">
        <v>2</v>
      </c>
      <c r="H851" t="s">
        <v>272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250</v>
      </c>
      <c r="G852">
        <v>1</v>
      </c>
      <c r="H852" t="s">
        <v>272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250</v>
      </c>
      <c r="G853">
        <v>4</v>
      </c>
      <c r="H853" t="s">
        <v>271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224</v>
      </c>
      <c r="G854" t="s">
        <v>284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250</v>
      </c>
      <c r="G855">
        <v>5</v>
      </c>
      <c r="H855" t="s">
        <v>271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250</v>
      </c>
      <c r="G856">
        <v>1</v>
      </c>
      <c r="H856" t="s">
        <v>293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250</v>
      </c>
      <c r="G858">
        <v>4</v>
      </c>
      <c r="H858" t="s">
        <v>271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250</v>
      </c>
      <c r="G859">
        <v>5</v>
      </c>
      <c r="H859" t="s">
        <v>271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250</v>
      </c>
      <c r="G860">
        <v>5</v>
      </c>
      <c r="H860" t="s">
        <v>271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250</v>
      </c>
      <c r="G862">
        <v>5</v>
      </c>
      <c r="H862" t="s">
        <v>271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250</v>
      </c>
      <c r="G863">
        <v>4</v>
      </c>
      <c r="H863" t="s">
        <v>271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250</v>
      </c>
      <c r="G865">
        <v>1</v>
      </c>
      <c r="H865" t="s">
        <v>293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250</v>
      </c>
      <c r="G866">
        <v>3</v>
      </c>
      <c r="H866" t="s">
        <v>271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250</v>
      </c>
      <c r="G867">
        <v>5</v>
      </c>
      <c r="H867" t="s">
        <v>271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250</v>
      </c>
      <c r="G868">
        <v>4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250</v>
      </c>
      <c r="G869">
        <v>3</v>
      </c>
      <c r="H869" t="s">
        <v>272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250</v>
      </c>
      <c r="G870">
        <v>1</v>
      </c>
      <c r="H870" t="s">
        <v>272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250</v>
      </c>
      <c r="G871">
        <v>1</v>
      </c>
      <c r="H871" t="s">
        <v>272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250</v>
      </c>
      <c r="G872">
        <v>4</v>
      </c>
      <c r="H872" t="s">
        <v>271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250</v>
      </c>
      <c r="G873">
        <v>2</v>
      </c>
      <c r="H873" t="s">
        <v>293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224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224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224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224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224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224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224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224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250</v>
      </c>
      <c r="G882">
        <v>1</v>
      </c>
      <c r="H882" t="s">
        <v>293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250</v>
      </c>
      <c r="G883">
        <v>1</v>
      </c>
      <c r="H883" t="s">
        <v>272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250</v>
      </c>
      <c r="G884">
        <v>1</v>
      </c>
      <c r="H884" t="s">
        <v>272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250</v>
      </c>
      <c r="G885">
        <v>3</v>
      </c>
      <c r="H885" t="s">
        <v>293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250</v>
      </c>
      <c r="G886">
        <v>2</v>
      </c>
      <c r="H886" t="s">
        <v>293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224</v>
      </c>
      <c r="G887" t="s">
        <v>285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250</v>
      </c>
      <c r="G888">
        <v>1</v>
      </c>
      <c r="H888" t="s">
        <v>293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250</v>
      </c>
      <c r="G889">
        <v>1</v>
      </c>
      <c r="H889" t="s">
        <v>293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250</v>
      </c>
      <c r="G890">
        <v>3</v>
      </c>
      <c r="H890" t="s">
        <v>272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250</v>
      </c>
      <c r="G891">
        <v>2</v>
      </c>
      <c r="H891" t="s">
        <v>293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250</v>
      </c>
      <c r="G894">
        <v>1</v>
      </c>
      <c r="H894" t="s">
        <v>272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250</v>
      </c>
      <c r="G895">
        <v>1</v>
      </c>
      <c r="H895" t="s">
        <v>272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253</v>
      </c>
      <c r="G896">
        <v>5</v>
      </c>
      <c r="H896" t="s">
        <v>271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286</v>
      </c>
      <c r="B897" t="s">
        <v>9</v>
      </c>
      <c r="C897">
        <v>9</v>
      </c>
      <c r="D897">
        <v>2838</v>
      </c>
      <c r="E897">
        <v>0</v>
      </c>
      <c r="F897" t="s">
        <v>251</v>
      </c>
      <c r="G897">
        <v>4</v>
      </c>
      <c r="H897" t="s">
        <v>271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286</v>
      </c>
      <c r="B898" t="s">
        <v>9</v>
      </c>
      <c r="C898">
        <v>9</v>
      </c>
      <c r="D898">
        <v>2427</v>
      </c>
      <c r="E898">
        <v>1</v>
      </c>
      <c r="F898" t="s">
        <v>265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286</v>
      </c>
      <c r="B899" t="s">
        <v>9</v>
      </c>
      <c r="C899">
        <v>9</v>
      </c>
      <c r="D899">
        <v>3047</v>
      </c>
      <c r="E899">
        <v>2</v>
      </c>
      <c r="F899" t="s">
        <v>251</v>
      </c>
      <c r="G899">
        <v>1</v>
      </c>
      <c r="H899" t="s">
        <v>293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286</v>
      </c>
      <c r="B901" t="s">
        <v>9</v>
      </c>
      <c r="C901">
        <v>9</v>
      </c>
      <c r="D901">
        <v>2763</v>
      </c>
      <c r="E901">
        <v>0</v>
      </c>
      <c r="F901" t="s">
        <v>265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286</v>
      </c>
      <c r="B902" t="s">
        <v>9</v>
      </c>
      <c r="C902">
        <v>9</v>
      </c>
      <c r="D902">
        <v>3056</v>
      </c>
      <c r="E902">
        <v>1</v>
      </c>
      <c r="F902" t="s">
        <v>265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286</v>
      </c>
      <c r="B903" t="s">
        <v>9</v>
      </c>
      <c r="C903">
        <v>9</v>
      </c>
      <c r="D903">
        <v>2719</v>
      </c>
      <c r="E903">
        <v>0</v>
      </c>
      <c r="F903" t="s">
        <v>251</v>
      </c>
      <c r="G903">
        <v>5</v>
      </c>
      <c r="H903" t="s">
        <v>271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286</v>
      </c>
      <c r="B904" t="s">
        <v>9</v>
      </c>
      <c r="C904">
        <v>9</v>
      </c>
      <c r="D904">
        <v>2911</v>
      </c>
      <c r="E904">
        <v>1</v>
      </c>
      <c r="F904" t="s">
        <v>251</v>
      </c>
      <c r="G904">
        <v>5</v>
      </c>
      <c r="H904" t="s">
        <v>271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286</v>
      </c>
      <c r="B905" t="s">
        <v>9</v>
      </c>
      <c r="C905">
        <v>9</v>
      </c>
      <c r="D905">
        <v>2858</v>
      </c>
      <c r="E905">
        <v>0</v>
      </c>
      <c r="F905" t="s">
        <v>251</v>
      </c>
      <c r="G905">
        <v>1</v>
      </c>
      <c r="H905" t="s">
        <v>293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286</v>
      </c>
      <c r="B906" t="s">
        <v>9</v>
      </c>
      <c r="C906">
        <v>9</v>
      </c>
      <c r="D906">
        <v>2965</v>
      </c>
      <c r="E906">
        <v>1</v>
      </c>
      <c r="F906" t="s">
        <v>251</v>
      </c>
      <c r="G906">
        <v>3</v>
      </c>
      <c r="H906" t="s">
        <v>293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286</v>
      </c>
      <c r="B910" t="s">
        <v>9</v>
      </c>
      <c r="C910">
        <v>9</v>
      </c>
      <c r="D910">
        <v>2744</v>
      </c>
      <c r="E910">
        <v>1</v>
      </c>
      <c r="F910" t="s">
        <v>251</v>
      </c>
      <c r="G910">
        <v>1</v>
      </c>
      <c r="H910" t="s">
        <v>272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286</v>
      </c>
      <c r="B911" t="s">
        <v>9</v>
      </c>
      <c r="C911">
        <v>9</v>
      </c>
      <c r="D911">
        <v>2564</v>
      </c>
      <c r="E911">
        <v>0</v>
      </c>
      <c r="F911" t="s">
        <v>251</v>
      </c>
      <c r="G911">
        <v>5</v>
      </c>
      <c r="H911" t="s">
        <v>271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286</v>
      </c>
      <c r="B913" t="s">
        <v>9</v>
      </c>
      <c r="C913">
        <v>9</v>
      </c>
      <c r="D913">
        <v>2779</v>
      </c>
      <c r="E913">
        <v>0</v>
      </c>
      <c r="F913" t="s">
        <v>265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253</v>
      </c>
      <c r="G914">
        <v>3</v>
      </c>
      <c r="H914" t="s">
        <v>293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286</v>
      </c>
      <c r="B915" t="s">
        <v>9</v>
      </c>
      <c r="C915">
        <v>9</v>
      </c>
      <c r="D915">
        <v>3032</v>
      </c>
      <c r="E915">
        <v>0</v>
      </c>
      <c r="F915" t="s">
        <v>251</v>
      </c>
      <c r="G915">
        <v>5</v>
      </c>
      <c r="H915" t="s">
        <v>271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286</v>
      </c>
      <c r="B917" t="s">
        <v>9</v>
      </c>
      <c r="C917">
        <v>9</v>
      </c>
      <c r="D917">
        <v>2891</v>
      </c>
      <c r="E917">
        <v>2</v>
      </c>
      <c r="F917" t="s">
        <v>251</v>
      </c>
      <c r="G917">
        <v>1</v>
      </c>
      <c r="H917" t="s">
        <v>293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286</v>
      </c>
      <c r="B918" t="s">
        <v>9</v>
      </c>
      <c r="C918">
        <v>9</v>
      </c>
      <c r="D918">
        <v>2799</v>
      </c>
      <c r="E918">
        <v>0</v>
      </c>
      <c r="F918" t="s">
        <v>251</v>
      </c>
      <c r="G918">
        <v>2</v>
      </c>
      <c r="H918" t="s">
        <v>293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286</v>
      </c>
      <c r="B919" t="s">
        <v>9</v>
      </c>
      <c r="C919">
        <v>9</v>
      </c>
      <c r="D919">
        <v>3197</v>
      </c>
      <c r="E919">
        <v>1</v>
      </c>
      <c r="F919" t="s">
        <v>251</v>
      </c>
      <c r="G919">
        <v>2</v>
      </c>
      <c r="H919" t="s">
        <v>293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286</v>
      </c>
      <c r="B920" t="s">
        <v>9</v>
      </c>
      <c r="C920">
        <v>9</v>
      </c>
      <c r="D920">
        <v>3013</v>
      </c>
      <c r="E920">
        <v>0</v>
      </c>
      <c r="F920" t="s">
        <v>251</v>
      </c>
      <c r="G920">
        <v>4</v>
      </c>
      <c r="H920" t="s">
        <v>271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286</v>
      </c>
      <c r="B921" t="s">
        <v>9</v>
      </c>
      <c r="C921">
        <v>9</v>
      </c>
      <c r="D921">
        <v>3393</v>
      </c>
      <c r="E921">
        <v>1</v>
      </c>
      <c r="F921" t="s">
        <v>251</v>
      </c>
      <c r="G921">
        <v>4</v>
      </c>
      <c r="H921" t="s">
        <v>271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9</v>
      </c>
      <c r="C922">
        <v>9</v>
      </c>
      <c r="D922">
        <v>3290</v>
      </c>
      <c r="E922">
        <v>0</v>
      </c>
      <c r="F922" t="s">
        <v>289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286</v>
      </c>
      <c r="B924" t="s">
        <v>9</v>
      </c>
      <c r="C924">
        <v>9</v>
      </c>
      <c r="D924">
        <v>2551</v>
      </c>
      <c r="E924">
        <v>1</v>
      </c>
      <c r="F924" t="s">
        <v>224</v>
      </c>
      <c r="G924" t="s">
        <v>288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286</v>
      </c>
      <c r="B925" t="s">
        <v>9</v>
      </c>
      <c r="C925">
        <v>9</v>
      </c>
      <c r="D925">
        <v>2856</v>
      </c>
      <c r="E925">
        <v>0</v>
      </c>
      <c r="F925" t="s">
        <v>251</v>
      </c>
      <c r="G925">
        <v>1</v>
      </c>
      <c r="H925" t="s">
        <v>272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286</v>
      </c>
      <c r="B926" t="s">
        <v>9</v>
      </c>
      <c r="C926">
        <v>9</v>
      </c>
      <c r="D926">
        <v>2488</v>
      </c>
      <c r="E926">
        <v>1</v>
      </c>
      <c r="F926" t="s">
        <v>251</v>
      </c>
      <c r="G926">
        <v>3</v>
      </c>
      <c r="H926" t="s">
        <v>293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286</v>
      </c>
      <c r="B927" t="s">
        <v>9</v>
      </c>
      <c r="C927">
        <v>9</v>
      </c>
      <c r="D927">
        <v>2583</v>
      </c>
      <c r="E927">
        <v>0</v>
      </c>
      <c r="F927" t="s">
        <v>251</v>
      </c>
      <c r="G927">
        <v>5</v>
      </c>
      <c r="H927" t="s">
        <v>271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286</v>
      </c>
      <c r="B928" t="s">
        <v>9</v>
      </c>
      <c r="C928">
        <v>9</v>
      </c>
      <c r="D928">
        <v>2394</v>
      </c>
      <c r="E928">
        <v>0</v>
      </c>
      <c r="F928" t="s">
        <v>251</v>
      </c>
      <c r="G928">
        <v>4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286</v>
      </c>
      <c r="B929" t="s">
        <v>9</v>
      </c>
      <c r="C929">
        <v>9</v>
      </c>
      <c r="D929">
        <v>2703</v>
      </c>
      <c r="E929">
        <v>0</v>
      </c>
      <c r="F929" t="s">
        <v>251</v>
      </c>
      <c r="G929">
        <v>1</v>
      </c>
      <c r="H929" t="s">
        <v>272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286</v>
      </c>
      <c r="B930" t="s">
        <v>9</v>
      </c>
      <c r="C930">
        <v>9</v>
      </c>
      <c r="D930">
        <v>2880</v>
      </c>
      <c r="E930">
        <v>1</v>
      </c>
      <c r="F930" t="s">
        <v>251</v>
      </c>
      <c r="G930">
        <v>4</v>
      </c>
      <c r="H930" t="s">
        <v>271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286</v>
      </c>
      <c r="B931" t="s">
        <v>9</v>
      </c>
      <c r="C931">
        <v>9</v>
      </c>
      <c r="D931">
        <v>2802</v>
      </c>
      <c r="E931">
        <v>0</v>
      </c>
      <c r="F931" t="s">
        <v>251</v>
      </c>
      <c r="G931">
        <v>3</v>
      </c>
      <c r="H931" t="s">
        <v>293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286</v>
      </c>
      <c r="B932" t="s">
        <v>9</v>
      </c>
      <c r="C932">
        <v>9</v>
      </c>
      <c r="D932">
        <v>2784</v>
      </c>
      <c r="E932">
        <v>2</v>
      </c>
      <c r="F932" t="s">
        <v>265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286</v>
      </c>
      <c r="B933" t="s">
        <v>9</v>
      </c>
      <c r="C933">
        <v>9</v>
      </c>
      <c r="D933">
        <v>2856</v>
      </c>
      <c r="E933">
        <v>0</v>
      </c>
      <c r="F933" t="s">
        <v>251</v>
      </c>
      <c r="G933">
        <v>3</v>
      </c>
      <c r="H933" t="s">
        <v>293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286</v>
      </c>
      <c r="B934" t="s">
        <v>9</v>
      </c>
      <c r="C934">
        <v>9</v>
      </c>
      <c r="D934">
        <v>3481</v>
      </c>
      <c r="E934">
        <v>0</v>
      </c>
      <c r="F934" t="s">
        <v>251</v>
      </c>
      <c r="G934">
        <v>4</v>
      </c>
      <c r="H934" t="s">
        <v>271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286</v>
      </c>
      <c r="B937" t="s">
        <v>9</v>
      </c>
      <c r="C937">
        <v>9</v>
      </c>
      <c r="D937">
        <v>2999</v>
      </c>
      <c r="E937">
        <v>0</v>
      </c>
      <c r="F937" t="s">
        <v>251</v>
      </c>
      <c r="G937">
        <v>5</v>
      </c>
      <c r="H937" t="s">
        <v>271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286</v>
      </c>
      <c r="B938" t="s">
        <v>9</v>
      </c>
      <c r="C938">
        <v>9</v>
      </c>
      <c r="D938">
        <v>2639</v>
      </c>
      <c r="E938">
        <v>1</v>
      </c>
      <c r="F938" t="s">
        <v>251</v>
      </c>
      <c r="G938">
        <v>2</v>
      </c>
      <c r="H938" t="s">
        <v>293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286</v>
      </c>
      <c r="B939" t="s">
        <v>9</v>
      </c>
      <c r="C939">
        <v>9</v>
      </c>
      <c r="D939">
        <v>2853</v>
      </c>
      <c r="E939">
        <v>0</v>
      </c>
      <c r="F939" t="s">
        <v>251</v>
      </c>
      <c r="G939">
        <v>2</v>
      </c>
      <c r="H939" t="s">
        <v>272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286</v>
      </c>
      <c r="B940" t="s">
        <v>9</v>
      </c>
      <c r="C940">
        <v>9</v>
      </c>
      <c r="D940">
        <v>3206</v>
      </c>
      <c r="E940">
        <v>1</v>
      </c>
      <c r="F940" t="s">
        <v>251</v>
      </c>
      <c r="G940">
        <v>4</v>
      </c>
      <c r="H940" t="s">
        <v>271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286</v>
      </c>
      <c r="B941" t="s">
        <v>9</v>
      </c>
      <c r="C941">
        <v>9</v>
      </c>
      <c r="D941">
        <v>3218</v>
      </c>
      <c r="E941">
        <v>0</v>
      </c>
      <c r="F941" t="s">
        <v>251</v>
      </c>
      <c r="G941">
        <v>3</v>
      </c>
      <c r="H941" t="s">
        <v>293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286</v>
      </c>
      <c r="B942" t="s">
        <v>9</v>
      </c>
      <c r="C942">
        <v>9</v>
      </c>
      <c r="D942">
        <v>2853</v>
      </c>
      <c r="E942">
        <v>2</v>
      </c>
      <c r="F942" t="s">
        <v>251</v>
      </c>
      <c r="G942">
        <v>3</v>
      </c>
      <c r="H942" t="s">
        <v>272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286</v>
      </c>
      <c r="B943" t="s">
        <v>9</v>
      </c>
      <c r="C943">
        <v>9</v>
      </c>
      <c r="D943">
        <v>2921</v>
      </c>
      <c r="E943">
        <v>0</v>
      </c>
      <c r="F943" t="s">
        <v>251</v>
      </c>
      <c r="G943">
        <v>1</v>
      </c>
      <c r="H943" t="s">
        <v>272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286</v>
      </c>
      <c r="B945" t="s">
        <v>9</v>
      </c>
      <c r="C945">
        <v>9</v>
      </c>
      <c r="D945">
        <v>3444</v>
      </c>
      <c r="E945">
        <v>0</v>
      </c>
      <c r="F945" t="s">
        <v>265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286</v>
      </c>
      <c r="B946" t="s">
        <v>9</v>
      </c>
      <c r="C946">
        <v>9</v>
      </c>
      <c r="D946">
        <v>2844</v>
      </c>
      <c r="E946">
        <v>0</v>
      </c>
      <c r="F946" t="s">
        <v>251</v>
      </c>
      <c r="G946">
        <v>2</v>
      </c>
      <c r="H946" t="s">
        <v>293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286</v>
      </c>
      <c r="B947" t="s">
        <v>9</v>
      </c>
      <c r="C947">
        <v>9</v>
      </c>
      <c r="D947">
        <v>2720</v>
      </c>
      <c r="E947">
        <v>0</v>
      </c>
      <c r="F947" t="s">
        <v>251</v>
      </c>
      <c r="G947">
        <v>4</v>
      </c>
      <c r="H947" t="s">
        <v>271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286</v>
      </c>
      <c r="B948" t="s">
        <v>9</v>
      </c>
      <c r="C948">
        <v>9</v>
      </c>
      <c r="D948">
        <v>2990</v>
      </c>
      <c r="E948">
        <v>1</v>
      </c>
      <c r="F948" t="s">
        <v>251</v>
      </c>
      <c r="G948">
        <v>4</v>
      </c>
      <c r="H948" t="s">
        <v>271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286</v>
      </c>
      <c r="B949" t="s">
        <v>9</v>
      </c>
      <c r="C949">
        <v>9</v>
      </c>
      <c r="D949">
        <v>2846</v>
      </c>
      <c r="E949">
        <v>4</v>
      </c>
      <c r="F949" t="s">
        <v>251</v>
      </c>
      <c r="G949">
        <v>1</v>
      </c>
      <c r="H949" t="s">
        <v>293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286</v>
      </c>
      <c r="B950" t="s">
        <v>9</v>
      </c>
      <c r="C950">
        <v>9</v>
      </c>
      <c r="D950">
        <v>2740</v>
      </c>
      <c r="E950">
        <v>1</v>
      </c>
      <c r="F950" t="s">
        <v>265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286</v>
      </c>
      <c r="B951" t="s">
        <v>9</v>
      </c>
      <c r="C951">
        <v>9</v>
      </c>
      <c r="D951">
        <v>2619</v>
      </c>
      <c r="E951">
        <v>2</v>
      </c>
      <c r="F951" t="s">
        <v>251</v>
      </c>
      <c r="G951">
        <v>1</v>
      </c>
      <c r="H951" t="s">
        <v>293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286</v>
      </c>
      <c r="B952" t="s">
        <v>9</v>
      </c>
      <c r="C952">
        <v>9</v>
      </c>
      <c r="D952">
        <v>3000</v>
      </c>
      <c r="E952">
        <v>1</v>
      </c>
      <c r="F952" t="s">
        <v>251</v>
      </c>
      <c r="G952">
        <v>2</v>
      </c>
      <c r="H952" t="s">
        <v>293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286</v>
      </c>
      <c r="B953" t="s">
        <v>9</v>
      </c>
      <c r="C953">
        <v>9</v>
      </c>
      <c r="D953">
        <v>2846</v>
      </c>
      <c r="E953">
        <v>3</v>
      </c>
      <c r="F953" t="s">
        <v>251</v>
      </c>
      <c r="G953">
        <v>4</v>
      </c>
      <c r="H953" t="s">
        <v>271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286</v>
      </c>
      <c r="B954" t="s">
        <v>9</v>
      </c>
      <c r="C954">
        <v>9</v>
      </c>
      <c r="D954">
        <v>2824</v>
      </c>
      <c r="E954">
        <v>2</v>
      </c>
      <c r="F954" t="s">
        <v>265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286</v>
      </c>
      <c r="B955" t="s">
        <v>9</v>
      </c>
      <c r="C955">
        <v>9</v>
      </c>
      <c r="D955">
        <v>3201</v>
      </c>
      <c r="E955">
        <v>0</v>
      </c>
      <c r="F955" t="s">
        <v>251</v>
      </c>
      <c r="G955">
        <v>5</v>
      </c>
      <c r="H955" t="s">
        <v>271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286</v>
      </c>
      <c r="B956" t="s">
        <v>9</v>
      </c>
      <c r="C956">
        <v>9</v>
      </c>
      <c r="D956">
        <v>2638</v>
      </c>
      <c r="E956">
        <v>0</v>
      </c>
      <c r="F956" t="s">
        <v>251</v>
      </c>
      <c r="G956">
        <v>3</v>
      </c>
      <c r="H956" t="s">
        <v>271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286</v>
      </c>
      <c r="B958" t="s">
        <v>9</v>
      </c>
      <c r="C958">
        <v>9</v>
      </c>
      <c r="D958">
        <v>2399</v>
      </c>
      <c r="E958">
        <v>0</v>
      </c>
      <c r="F958" t="s">
        <v>251</v>
      </c>
      <c r="G958">
        <v>3</v>
      </c>
      <c r="H958" t="s">
        <v>272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286</v>
      </c>
      <c r="B959" t="s">
        <v>9</v>
      </c>
      <c r="C959">
        <v>9</v>
      </c>
      <c r="D959">
        <v>3055</v>
      </c>
      <c r="E959">
        <v>1</v>
      </c>
      <c r="F959" t="s">
        <v>251</v>
      </c>
      <c r="G959">
        <v>1</v>
      </c>
      <c r="H959" t="s">
        <v>293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286</v>
      </c>
      <c r="B960" t="s">
        <v>9</v>
      </c>
      <c r="C960">
        <v>9</v>
      </c>
      <c r="D960">
        <v>2841</v>
      </c>
      <c r="E960">
        <v>0</v>
      </c>
      <c r="F960" t="s">
        <v>251</v>
      </c>
      <c r="G960">
        <v>5</v>
      </c>
      <c r="H960" t="s">
        <v>271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286</v>
      </c>
      <c r="B961" t="s">
        <v>9</v>
      </c>
      <c r="C961">
        <v>9</v>
      </c>
      <c r="D961">
        <v>2937</v>
      </c>
      <c r="E961">
        <v>0</v>
      </c>
      <c r="F961" t="s">
        <v>224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286</v>
      </c>
      <c r="B962" t="s">
        <v>9</v>
      </c>
      <c r="C962">
        <v>9</v>
      </c>
      <c r="D962">
        <v>2426</v>
      </c>
      <c r="E962">
        <v>0</v>
      </c>
      <c r="F962" t="s">
        <v>251</v>
      </c>
      <c r="G962">
        <v>1</v>
      </c>
      <c r="H962" t="s">
        <v>272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286</v>
      </c>
      <c r="B963" t="s">
        <v>9</v>
      </c>
      <c r="C963">
        <v>9</v>
      </c>
      <c r="D963">
        <v>2552</v>
      </c>
      <c r="E963">
        <v>1</v>
      </c>
      <c r="F963" t="s">
        <v>251</v>
      </c>
      <c r="G963">
        <v>3</v>
      </c>
      <c r="H963" t="s">
        <v>293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286</v>
      </c>
      <c r="B964" t="s">
        <v>9</v>
      </c>
      <c r="C964">
        <v>9</v>
      </c>
      <c r="D964">
        <v>2771</v>
      </c>
      <c r="E964">
        <v>2</v>
      </c>
      <c r="F964" t="s">
        <v>251</v>
      </c>
      <c r="G964">
        <v>1</v>
      </c>
      <c r="H964" t="s">
        <v>293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286</v>
      </c>
      <c r="B965" t="s">
        <v>9</v>
      </c>
      <c r="C965">
        <v>9</v>
      </c>
      <c r="D965">
        <v>2652</v>
      </c>
      <c r="E965">
        <v>2</v>
      </c>
      <c r="F965" t="s">
        <v>251</v>
      </c>
      <c r="G965">
        <v>4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286</v>
      </c>
      <c r="B966" t="s">
        <v>9</v>
      </c>
      <c r="C966">
        <v>9</v>
      </c>
      <c r="D966">
        <v>2708</v>
      </c>
      <c r="E966">
        <v>0</v>
      </c>
      <c r="F966" t="s">
        <v>251</v>
      </c>
      <c r="G966">
        <v>1</v>
      </c>
      <c r="H966" t="s">
        <v>272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286</v>
      </c>
      <c r="B967" t="s">
        <v>9</v>
      </c>
      <c r="C967">
        <v>9</v>
      </c>
      <c r="D967">
        <v>2684</v>
      </c>
      <c r="E967">
        <v>1</v>
      </c>
      <c r="F967" t="s">
        <v>251</v>
      </c>
      <c r="G967">
        <v>1</v>
      </c>
      <c r="H967" t="s">
        <v>272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286</v>
      </c>
      <c r="B968" t="s">
        <v>9</v>
      </c>
      <c r="C968">
        <v>9</v>
      </c>
      <c r="D968">
        <v>3108</v>
      </c>
      <c r="E968">
        <v>3</v>
      </c>
      <c r="F968" t="s">
        <v>251</v>
      </c>
      <c r="G968">
        <v>4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286</v>
      </c>
      <c r="B969" t="s">
        <v>9</v>
      </c>
      <c r="C969">
        <v>9</v>
      </c>
      <c r="D969">
        <v>2839</v>
      </c>
      <c r="E969">
        <v>1</v>
      </c>
      <c r="F969" t="s">
        <v>251</v>
      </c>
      <c r="G969">
        <v>1</v>
      </c>
      <c r="H969" t="s">
        <v>272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253</v>
      </c>
      <c r="G989">
        <v>5</v>
      </c>
      <c r="H989" t="s">
        <v>271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259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259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259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259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292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292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259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259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292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259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259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259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259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292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259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259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292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292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292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259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292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259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259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259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259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259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259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259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292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292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292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292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259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259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259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259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259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292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259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292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259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259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259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292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259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319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259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287</v>
      </c>
      <c r="B1071" t="s">
        <v>32</v>
      </c>
      <c r="C1071">
        <v>5</v>
      </c>
      <c r="D1071">
        <v>1020</v>
      </c>
      <c r="E1071">
        <v>1</v>
      </c>
      <c r="F1071" t="s">
        <v>265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287</v>
      </c>
      <c r="B1072" t="s">
        <v>32</v>
      </c>
      <c r="C1072">
        <v>5</v>
      </c>
      <c r="D1072">
        <v>1937</v>
      </c>
      <c r="E1072">
        <v>1</v>
      </c>
      <c r="F1072" t="s">
        <v>265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320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320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320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320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320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320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320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320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287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61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61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61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173</v>
      </c>
      <c r="B1108" t="s">
        <v>9</v>
      </c>
      <c r="C1108">
        <v>10</v>
      </c>
      <c r="D1108">
        <v>3766</v>
      </c>
      <c r="E1108">
        <v>0</v>
      </c>
      <c r="F1108" t="s">
        <v>259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173</v>
      </c>
      <c r="B1109" t="s">
        <v>9</v>
      </c>
      <c r="C1109">
        <v>10</v>
      </c>
      <c r="D1109">
        <v>4343</v>
      </c>
      <c r="E1109">
        <v>0</v>
      </c>
      <c r="F1109" t="s">
        <v>292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173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173</v>
      </c>
      <c r="B1111" t="s">
        <v>9</v>
      </c>
      <c r="C1111">
        <v>10</v>
      </c>
      <c r="D1111">
        <v>3985</v>
      </c>
      <c r="E1111">
        <v>1</v>
      </c>
      <c r="F1111" t="s">
        <v>259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173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173</v>
      </c>
      <c r="B1113" t="s">
        <v>9</v>
      </c>
      <c r="C1113">
        <v>10</v>
      </c>
      <c r="D1113">
        <v>4613</v>
      </c>
      <c r="E1113">
        <v>0</v>
      </c>
      <c r="F1113" t="s">
        <v>259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173</v>
      </c>
      <c r="B1114" t="s">
        <v>9</v>
      </c>
      <c r="C1114">
        <v>10</v>
      </c>
      <c r="D1114">
        <v>4512</v>
      </c>
      <c r="E1114">
        <v>0</v>
      </c>
      <c r="F1114" t="s">
        <v>259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173</v>
      </c>
      <c r="B1115" t="s">
        <v>9</v>
      </c>
      <c r="C1115">
        <v>10</v>
      </c>
      <c r="D1115">
        <v>4000</v>
      </c>
      <c r="E1115">
        <v>1</v>
      </c>
      <c r="F1115" t="s">
        <v>59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173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173</v>
      </c>
      <c r="B1117" t="s">
        <v>9</v>
      </c>
      <c r="C1117">
        <v>10</v>
      </c>
      <c r="D1117">
        <v>4527</v>
      </c>
      <c r="E1117">
        <v>0</v>
      </c>
      <c r="F1117" t="s">
        <v>259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173</v>
      </c>
      <c r="B1118" t="s">
        <v>9</v>
      </c>
      <c r="C1118">
        <v>10</v>
      </c>
      <c r="D1118">
        <v>3817</v>
      </c>
      <c r="E1118">
        <v>1</v>
      </c>
      <c r="F1118" t="s">
        <v>259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173</v>
      </c>
      <c r="B1119" t="s">
        <v>9</v>
      </c>
      <c r="C1119">
        <v>10</v>
      </c>
      <c r="D1119">
        <v>3935</v>
      </c>
      <c r="E1119">
        <v>2</v>
      </c>
      <c r="F1119" t="s">
        <v>292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173</v>
      </c>
      <c r="B1120" t="s">
        <v>9</v>
      </c>
      <c r="C1120">
        <v>10</v>
      </c>
      <c r="D1120">
        <v>4040</v>
      </c>
      <c r="E1120">
        <v>1</v>
      </c>
      <c r="F1120" t="s">
        <v>259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173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173</v>
      </c>
      <c r="B1122" t="s">
        <v>9</v>
      </c>
      <c r="C1122">
        <v>10</v>
      </c>
      <c r="D1122">
        <v>3976</v>
      </c>
      <c r="E1122">
        <v>0</v>
      </c>
      <c r="F1122" t="s">
        <v>292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173</v>
      </c>
      <c r="B1123" t="s">
        <v>9</v>
      </c>
      <c r="C1123">
        <v>10</v>
      </c>
      <c r="D1123">
        <v>3824</v>
      </c>
      <c r="E1123">
        <v>0</v>
      </c>
      <c r="F1123" t="s">
        <v>259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173</v>
      </c>
      <c r="B1124" t="s">
        <v>9</v>
      </c>
      <c r="C1124">
        <v>10</v>
      </c>
      <c r="D1124">
        <v>3303</v>
      </c>
      <c r="E1124">
        <v>0</v>
      </c>
      <c r="F1124" t="s">
        <v>259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173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173</v>
      </c>
      <c r="B1126" t="s">
        <v>9</v>
      </c>
      <c r="C1126">
        <v>10</v>
      </c>
      <c r="D1126">
        <v>4076</v>
      </c>
      <c r="E1126">
        <v>1</v>
      </c>
      <c r="F1126" t="s">
        <v>259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173</v>
      </c>
      <c r="B1127" t="s">
        <v>9</v>
      </c>
      <c r="C1127">
        <v>10</v>
      </c>
      <c r="D1127">
        <v>3735</v>
      </c>
      <c r="E1127">
        <v>1</v>
      </c>
      <c r="F1127" t="s">
        <v>259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173</v>
      </c>
      <c r="B1128" t="s">
        <v>9</v>
      </c>
      <c r="C1128">
        <v>10</v>
      </c>
      <c r="D1128">
        <v>3968</v>
      </c>
      <c r="E1128">
        <v>1</v>
      </c>
      <c r="F1128" t="s">
        <v>259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173</v>
      </c>
      <c r="B1129" t="s">
        <v>9</v>
      </c>
      <c r="C1129">
        <v>10</v>
      </c>
      <c r="D1129">
        <v>4409</v>
      </c>
      <c r="E1129">
        <v>0</v>
      </c>
      <c r="F1129" t="s">
        <v>259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173</v>
      </c>
      <c r="B1130" t="s">
        <v>9</v>
      </c>
      <c r="C1130">
        <v>10</v>
      </c>
      <c r="D1130">
        <v>4316</v>
      </c>
      <c r="E1130">
        <v>0</v>
      </c>
      <c r="F1130" t="s">
        <v>259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173</v>
      </c>
      <c r="B1131" t="s">
        <v>9</v>
      </c>
      <c r="C1131">
        <v>10</v>
      </c>
      <c r="D1131">
        <v>4350</v>
      </c>
      <c r="E1131">
        <v>3</v>
      </c>
      <c r="F1131" t="s">
        <v>259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173</v>
      </c>
      <c r="B1132" t="s">
        <v>9</v>
      </c>
      <c r="C1132">
        <v>10</v>
      </c>
      <c r="D1132">
        <v>4027</v>
      </c>
      <c r="E1132">
        <v>1</v>
      </c>
      <c r="F1132" t="s">
        <v>259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173</v>
      </c>
      <c r="B1133" t="s">
        <v>9</v>
      </c>
      <c r="C1133">
        <v>10</v>
      </c>
      <c r="D1133">
        <v>4582</v>
      </c>
      <c r="E1133">
        <v>1</v>
      </c>
      <c r="F1133" t="s">
        <v>319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173</v>
      </c>
      <c r="B1134" t="s">
        <v>9</v>
      </c>
      <c r="C1134">
        <v>10</v>
      </c>
      <c r="D1134">
        <v>4490</v>
      </c>
      <c r="E1134">
        <v>0</v>
      </c>
      <c r="F1134" t="s">
        <v>259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173</v>
      </c>
      <c r="B1135" t="s">
        <v>9</v>
      </c>
      <c r="C1135">
        <v>10</v>
      </c>
      <c r="D1135">
        <v>4382</v>
      </c>
      <c r="E1135">
        <v>0</v>
      </c>
      <c r="F1135" t="s">
        <v>259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173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173</v>
      </c>
      <c r="B1137" t="s">
        <v>9</v>
      </c>
      <c r="C1137">
        <v>10</v>
      </c>
      <c r="D1137">
        <v>3873</v>
      </c>
      <c r="E1137">
        <v>2</v>
      </c>
      <c r="F1137" t="s">
        <v>259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173</v>
      </c>
      <c r="B1138" t="s">
        <v>9</v>
      </c>
      <c r="C1138">
        <v>10</v>
      </c>
      <c r="D1138">
        <v>4165</v>
      </c>
      <c r="E1138">
        <v>1</v>
      </c>
      <c r="F1138" t="s">
        <v>292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173</v>
      </c>
      <c r="B1139" t="s">
        <v>9</v>
      </c>
      <c r="C1139">
        <v>10</v>
      </c>
      <c r="D1139">
        <v>3918</v>
      </c>
      <c r="E1139">
        <v>1</v>
      </c>
      <c r="F1139" t="s">
        <v>292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173</v>
      </c>
      <c r="B1140" t="s">
        <v>9</v>
      </c>
      <c r="C1140">
        <v>10</v>
      </c>
      <c r="D1140">
        <v>3837</v>
      </c>
      <c r="E1140">
        <v>4</v>
      </c>
      <c r="F1140" t="s">
        <v>259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173</v>
      </c>
      <c r="B1141" t="s">
        <v>9</v>
      </c>
      <c r="C1141">
        <v>10</v>
      </c>
      <c r="D1141">
        <v>3909</v>
      </c>
      <c r="E1141">
        <v>0</v>
      </c>
      <c r="F1141" t="s">
        <v>259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173</v>
      </c>
      <c r="B1142" t="s">
        <v>9</v>
      </c>
      <c r="C1142">
        <v>10</v>
      </c>
      <c r="D1142">
        <v>4302</v>
      </c>
      <c r="E1142">
        <v>2</v>
      </c>
      <c r="F1142" t="s">
        <v>292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173</v>
      </c>
      <c r="B1143" t="s">
        <v>9</v>
      </c>
      <c r="C1143">
        <v>10</v>
      </c>
      <c r="D1143">
        <v>4644</v>
      </c>
      <c r="E1143">
        <v>1</v>
      </c>
      <c r="F1143" t="s">
        <v>289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173</v>
      </c>
      <c r="B1144" t="s">
        <v>9</v>
      </c>
      <c r="C1144">
        <v>10</v>
      </c>
      <c r="D1144">
        <v>3772</v>
      </c>
      <c r="E1144">
        <v>0</v>
      </c>
      <c r="F1144" t="s">
        <v>259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173</v>
      </c>
      <c r="B1145" t="s">
        <v>9</v>
      </c>
      <c r="C1145">
        <v>10</v>
      </c>
      <c r="D1145">
        <v>3838</v>
      </c>
      <c r="E1145">
        <v>1</v>
      </c>
      <c r="F1145" t="s">
        <v>259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173</v>
      </c>
      <c r="B1146" t="s">
        <v>9</v>
      </c>
      <c r="C1146">
        <v>10</v>
      </c>
      <c r="D1146">
        <v>3618</v>
      </c>
      <c r="E1146">
        <v>1</v>
      </c>
      <c r="F1146" t="s">
        <v>319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173</v>
      </c>
      <c r="B1147" t="s">
        <v>9</v>
      </c>
      <c r="C1147">
        <v>10</v>
      </c>
      <c r="D1147">
        <v>3622</v>
      </c>
      <c r="E1147">
        <v>2</v>
      </c>
      <c r="F1147" t="s">
        <v>319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173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173</v>
      </c>
      <c r="B1149" t="s">
        <v>9</v>
      </c>
      <c r="C1149">
        <v>10</v>
      </c>
      <c r="D1149">
        <v>3935</v>
      </c>
      <c r="E1149">
        <v>0</v>
      </c>
      <c r="F1149" t="s">
        <v>59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173</v>
      </c>
      <c r="B1150" t="s">
        <v>9</v>
      </c>
      <c r="C1150">
        <v>10</v>
      </c>
      <c r="D1150">
        <v>3786</v>
      </c>
      <c r="E1150">
        <v>1</v>
      </c>
      <c r="F1150" t="s">
        <v>292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173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173</v>
      </c>
      <c r="B1152" t="s">
        <v>9</v>
      </c>
      <c r="C1152">
        <v>10</v>
      </c>
      <c r="D1152">
        <v>3617</v>
      </c>
      <c r="E1152">
        <v>1</v>
      </c>
      <c r="F1152" t="s">
        <v>259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173</v>
      </c>
      <c r="B1153" t="s">
        <v>9</v>
      </c>
      <c r="C1153">
        <v>10</v>
      </c>
      <c r="D1153">
        <v>3937</v>
      </c>
      <c r="E1153">
        <v>1</v>
      </c>
      <c r="F1153" t="s">
        <v>292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173</v>
      </c>
      <c r="B1154" t="s">
        <v>9</v>
      </c>
      <c r="C1154">
        <v>10</v>
      </c>
      <c r="D1154">
        <v>3918</v>
      </c>
      <c r="E1154">
        <v>1</v>
      </c>
      <c r="F1154" t="s">
        <v>259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173</v>
      </c>
      <c r="B1155" t="s">
        <v>9</v>
      </c>
      <c r="C1155">
        <v>10</v>
      </c>
      <c r="D1155">
        <v>4078</v>
      </c>
      <c r="E1155">
        <v>3</v>
      </c>
      <c r="F1155" t="s">
        <v>59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173</v>
      </c>
      <c r="B1156" t="s">
        <v>9</v>
      </c>
      <c r="C1156">
        <v>10</v>
      </c>
      <c r="D1156">
        <v>4022</v>
      </c>
      <c r="E1156">
        <v>2</v>
      </c>
      <c r="F1156" t="s">
        <v>259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173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173</v>
      </c>
      <c r="B1158" t="s">
        <v>9</v>
      </c>
      <c r="C1158">
        <v>10</v>
      </c>
      <c r="D1158">
        <v>4011</v>
      </c>
      <c r="E1158">
        <v>0</v>
      </c>
      <c r="F1158" t="s">
        <v>319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173</v>
      </c>
      <c r="B1159" t="s">
        <v>9</v>
      </c>
      <c r="C1159">
        <v>10</v>
      </c>
      <c r="D1159">
        <v>4195</v>
      </c>
      <c r="E1159">
        <v>1</v>
      </c>
      <c r="F1159" t="s">
        <v>259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4:U99"/>
  <sheetViews>
    <sheetView tabSelected="1" topLeftCell="A31" zoomScale="85" zoomScaleNormal="85" workbookViewId="0">
      <selection activeCell="G64" sqref="G64:T64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199" t="s">
        <v>250</v>
      </c>
      <c r="G5" s="200"/>
      <c r="H5" s="201"/>
      <c r="I5" s="202" t="s">
        <v>251</v>
      </c>
      <c r="J5" s="203"/>
      <c r="K5" s="204"/>
      <c r="L5" s="205" t="s">
        <v>18</v>
      </c>
      <c r="M5" s="206"/>
      <c r="N5" s="207"/>
      <c r="O5" s="208" t="s">
        <v>253</v>
      </c>
      <c r="P5" s="209"/>
      <c r="Q5" s="210"/>
      <c r="R5" s="211" t="s">
        <v>252</v>
      </c>
      <c r="S5" s="212"/>
      <c r="T5" s="213"/>
    </row>
    <row r="6" spans="1:20" ht="15.75" thickBot="1">
      <c r="C6" s="33" t="s">
        <v>248</v>
      </c>
      <c r="D6" s="32" t="s">
        <v>837</v>
      </c>
      <c r="E6" s="52"/>
      <c r="F6" s="73" t="s">
        <v>254</v>
      </c>
      <c r="G6" s="74" t="s">
        <v>294</v>
      </c>
      <c r="H6" s="75" t="s">
        <v>255</v>
      </c>
      <c r="I6" s="81" t="s">
        <v>254</v>
      </c>
      <c r="J6" s="82" t="s">
        <v>294</v>
      </c>
      <c r="K6" s="83" t="s">
        <v>255</v>
      </c>
      <c r="L6" s="89" t="s">
        <v>254</v>
      </c>
      <c r="M6" s="90" t="s">
        <v>294</v>
      </c>
      <c r="N6" s="91" t="s">
        <v>255</v>
      </c>
      <c r="O6" s="107" t="s">
        <v>254</v>
      </c>
      <c r="P6" s="108" t="s">
        <v>294</v>
      </c>
      <c r="Q6" s="109" t="s">
        <v>255</v>
      </c>
      <c r="R6" s="97" t="s">
        <v>254</v>
      </c>
      <c r="S6" s="98" t="s">
        <v>294</v>
      </c>
      <c r="T6" s="99" t="s">
        <v>255</v>
      </c>
    </row>
    <row r="7" spans="1:20" ht="15">
      <c r="A7" s="58" t="s">
        <v>249</v>
      </c>
      <c r="B7" s="63" t="s">
        <v>842</v>
      </c>
      <c r="C7" s="61"/>
      <c r="D7" s="192" t="s">
        <v>331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249</v>
      </c>
      <c r="B8" s="64" t="s">
        <v>229</v>
      </c>
      <c r="C8" s="5" t="s">
        <v>205</v>
      </c>
      <c r="D8" s="56" t="s">
        <v>328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249</v>
      </c>
      <c r="B9" s="64" t="s">
        <v>230</v>
      </c>
      <c r="C9" s="5" t="s">
        <v>205</v>
      </c>
      <c r="D9" s="56" t="s">
        <v>328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249</v>
      </c>
      <c r="B10" s="64" t="s">
        <v>231</v>
      </c>
      <c r="C10" s="5" t="s">
        <v>205</v>
      </c>
      <c r="D10" s="56" t="s">
        <v>328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249</v>
      </c>
      <c r="B11" s="65" t="s">
        <v>232</v>
      </c>
      <c r="C11" s="5" t="s">
        <v>205</v>
      </c>
      <c r="D11" s="56" t="s">
        <v>328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249</v>
      </c>
      <c r="B12" s="63" t="s">
        <v>845</v>
      </c>
      <c r="C12" s="5" t="s">
        <v>205</v>
      </c>
      <c r="D12" s="56" t="s">
        <v>331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249</v>
      </c>
      <c r="B13" s="64" t="s">
        <v>233</v>
      </c>
      <c r="C13" s="5" t="s">
        <v>205</v>
      </c>
      <c r="D13" s="56" t="s">
        <v>328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249</v>
      </c>
      <c r="B14" s="64" t="s">
        <v>234</v>
      </c>
      <c r="C14" s="5" t="s">
        <v>205</v>
      </c>
      <c r="D14" s="56" t="s">
        <v>328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249</v>
      </c>
      <c r="B15" s="64" t="s">
        <v>235</v>
      </c>
      <c r="C15" s="5" t="s">
        <v>205</v>
      </c>
      <c r="D15" s="56" t="s">
        <v>328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249</v>
      </c>
      <c r="B16" s="65" t="s">
        <v>236</v>
      </c>
      <c r="C16" s="5" t="s">
        <v>205</v>
      </c>
      <c r="D16" s="56" t="s">
        <v>328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249</v>
      </c>
      <c r="B17" s="63" t="s">
        <v>846</v>
      </c>
      <c r="C17" s="5" t="s">
        <v>205</v>
      </c>
      <c r="D17" s="56" t="s">
        <v>331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249</v>
      </c>
      <c r="B18" s="64" t="s">
        <v>237</v>
      </c>
      <c r="C18" s="64" t="s">
        <v>205</v>
      </c>
      <c r="D18" s="56" t="s">
        <v>328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249</v>
      </c>
      <c r="B19" s="64" t="s">
        <v>238</v>
      </c>
      <c r="C19" s="5" t="s">
        <v>205</v>
      </c>
      <c r="D19" s="56" t="s">
        <v>328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249</v>
      </c>
      <c r="B20" s="64" t="s">
        <v>239</v>
      </c>
      <c r="C20" s="5" t="s">
        <v>205</v>
      </c>
      <c r="D20" s="56" t="s">
        <v>328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249</v>
      </c>
      <c r="B21" s="65" t="s">
        <v>240</v>
      </c>
      <c r="C21" s="5" t="s">
        <v>205</v>
      </c>
      <c r="D21" s="56" t="s">
        <v>328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249</v>
      </c>
      <c r="B22" s="190" t="s">
        <v>241</v>
      </c>
      <c r="C22" s="5"/>
      <c r="D22" s="56" t="s">
        <v>829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249</v>
      </c>
      <c r="B23" s="66" t="s">
        <v>225</v>
      </c>
      <c r="C23" s="7" t="s">
        <v>205</v>
      </c>
      <c r="D23" s="193" t="s">
        <v>847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256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257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117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4" t="s">
        <v>282</v>
      </c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5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6" t="s">
        <v>281</v>
      </c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8"/>
      <c r="U32" s="122" t="s">
        <v>283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199" t="s">
        <v>250</v>
      </c>
      <c r="G37" s="200"/>
      <c r="H37" s="201"/>
      <c r="I37" s="202" t="s">
        <v>251</v>
      </c>
      <c r="J37" s="203"/>
      <c r="K37" s="204"/>
      <c r="L37" s="205" t="s">
        <v>18</v>
      </c>
      <c r="M37" s="206"/>
      <c r="N37" s="207"/>
      <c r="O37" s="208" t="s">
        <v>253</v>
      </c>
      <c r="P37" s="209"/>
      <c r="Q37" s="210"/>
      <c r="R37" s="211" t="s">
        <v>252</v>
      </c>
      <c r="S37" s="212"/>
      <c r="T37" s="213"/>
    </row>
    <row r="38" spans="1:21" ht="15.75" thickBot="1">
      <c r="C38" s="33" t="s">
        <v>248</v>
      </c>
      <c r="D38" s="32" t="s">
        <v>837</v>
      </c>
      <c r="E38" s="52"/>
      <c r="F38" s="73" t="s">
        <v>254</v>
      </c>
      <c r="G38" s="74" t="s">
        <v>294</v>
      </c>
      <c r="H38" s="75" t="s">
        <v>255</v>
      </c>
      <c r="I38" s="81" t="s">
        <v>254</v>
      </c>
      <c r="J38" s="82" t="s">
        <v>294</v>
      </c>
      <c r="K38" s="83" t="s">
        <v>255</v>
      </c>
      <c r="L38" s="89" t="s">
        <v>254</v>
      </c>
      <c r="M38" s="90" t="s">
        <v>294</v>
      </c>
      <c r="N38" s="91" t="s">
        <v>255</v>
      </c>
      <c r="O38" s="107" t="s">
        <v>254</v>
      </c>
      <c r="P38" s="108" t="s">
        <v>294</v>
      </c>
      <c r="Q38" s="109" t="s">
        <v>255</v>
      </c>
      <c r="R38" s="97" t="s">
        <v>254</v>
      </c>
      <c r="S38" s="98" t="s">
        <v>294</v>
      </c>
      <c r="T38" s="99" t="s">
        <v>255</v>
      </c>
    </row>
    <row r="39" spans="1:21" ht="15">
      <c r="A39" s="58" t="s">
        <v>830</v>
      </c>
      <c r="B39" s="63" t="s">
        <v>831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830</v>
      </c>
      <c r="B40" s="64" t="s">
        <v>214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830</v>
      </c>
      <c r="B41" s="64" t="s">
        <v>213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830</v>
      </c>
      <c r="B42" s="64" t="s">
        <v>212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830</v>
      </c>
      <c r="B43" s="65" t="s">
        <v>215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830</v>
      </c>
      <c r="B44" s="63" t="s">
        <v>832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830</v>
      </c>
      <c r="B45" s="64" t="s">
        <v>217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830</v>
      </c>
      <c r="B46" s="64" t="s">
        <v>218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830</v>
      </c>
      <c r="B47" s="64" t="s">
        <v>219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830</v>
      </c>
      <c r="B48" s="65" t="s">
        <v>220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830</v>
      </c>
      <c r="B49" s="63" t="s">
        <v>835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830</v>
      </c>
      <c r="B50" s="64" t="s">
        <v>221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830</v>
      </c>
      <c r="B51" s="64" t="s">
        <v>222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830</v>
      </c>
      <c r="B52" s="64" t="s">
        <v>836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830</v>
      </c>
      <c r="B53" s="65" t="s">
        <v>223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830</v>
      </c>
      <c r="B54" s="190" t="s">
        <v>833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830</v>
      </c>
      <c r="B55" s="66" t="s">
        <v>834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256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257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:T57" si="3">MAXA(R25-R24,0)</f>
        <v>0</v>
      </c>
      <c r="S57" s="101">
        <v>44</v>
      </c>
      <c r="T57" s="102">
        <v>0</v>
      </c>
    </row>
    <row r="58" spans="1:21" ht="15.75" thickBot="1">
      <c r="E58" s="68" t="s">
        <v>117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4" t="s">
        <v>282</v>
      </c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5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6" t="s">
        <v>281</v>
      </c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8"/>
      <c r="U64" s="122" t="s">
        <v>283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199" t="s">
        <v>250</v>
      </c>
      <c r="G69" s="200"/>
      <c r="H69" s="201"/>
      <c r="I69" s="202" t="s">
        <v>251</v>
      </c>
      <c r="J69" s="203"/>
      <c r="K69" s="204"/>
      <c r="L69" s="205" t="s">
        <v>18</v>
      </c>
      <c r="M69" s="206"/>
      <c r="N69" s="207"/>
      <c r="O69" s="208" t="s">
        <v>253</v>
      </c>
      <c r="P69" s="209"/>
      <c r="Q69" s="210"/>
      <c r="R69" s="211" t="s">
        <v>252</v>
      </c>
      <c r="S69" s="212"/>
      <c r="T69" s="213"/>
    </row>
    <row r="70" spans="1:21" ht="15.75" thickBot="1">
      <c r="C70" s="33" t="s">
        <v>248</v>
      </c>
      <c r="D70" s="32" t="s">
        <v>837</v>
      </c>
      <c r="E70" s="52"/>
      <c r="F70" s="73" t="s">
        <v>254</v>
      </c>
      <c r="G70" s="74" t="s">
        <v>294</v>
      </c>
      <c r="H70" s="75" t="s">
        <v>255</v>
      </c>
      <c r="I70" s="81" t="s">
        <v>254</v>
      </c>
      <c r="J70" s="82" t="s">
        <v>294</v>
      </c>
      <c r="K70" s="83" t="s">
        <v>255</v>
      </c>
      <c r="L70" s="89" t="s">
        <v>254</v>
      </c>
      <c r="M70" s="90" t="s">
        <v>294</v>
      </c>
      <c r="N70" s="91" t="s">
        <v>255</v>
      </c>
      <c r="O70" s="107" t="s">
        <v>254</v>
      </c>
      <c r="P70" s="108" t="s">
        <v>294</v>
      </c>
      <c r="Q70" s="109" t="s">
        <v>255</v>
      </c>
      <c r="R70" s="97" t="s">
        <v>254</v>
      </c>
      <c r="S70" s="98" t="s">
        <v>294</v>
      </c>
      <c r="T70" s="99" t="s">
        <v>255</v>
      </c>
    </row>
    <row r="71" spans="1:21" ht="15">
      <c r="A71" s="58" t="s">
        <v>839</v>
      </c>
      <c r="B71" s="63" t="s">
        <v>841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839</v>
      </c>
      <c r="B72" s="64" t="s">
        <v>242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839</v>
      </c>
      <c r="B73" s="64" t="s">
        <v>243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839</v>
      </c>
      <c r="B74" s="64" t="s">
        <v>244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839</v>
      </c>
      <c r="B75" s="65" t="s">
        <v>245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839</v>
      </c>
      <c r="B76" s="63" t="s">
        <v>842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839</v>
      </c>
      <c r="B77" s="64" t="s">
        <v>229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839</v>
      </c>
      <c r="B78" s="64" t="s">
        <v>843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839</v>
      </c>
      <c r="B79" s="64" t="s">
        <v>231</v>
      </c>
      <c r="C79" s="64" t="s">
        <v>844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839</v>
      </c>
      <c r="B80" s="65" t="s">
        <v>232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839</v>
      </c>
      <c r="B81" s="63" t="s">
        <v>835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839</v>
      </c>
      <c r="B82" s="64" t="s">
        <v>221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839</v>
      </c>
      <c r="B83" s="64" t="s">
        <v>222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839</v>
      </c>
      <c r="B84" s="64" t="s">
        <v>836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839</v>
      </c>
      <c r="B85" s="65" t="s">
        <v>223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839</v>
      </c>
      <c r="B86" s="190" t="s">
        <v>840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839</v>
      </c>
      <c r="B87" s="66" t="s">
        <v>838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256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257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:T89" si="6">MAXA(R57-R56,0)</f>
        <v>0</v>
      </c>
      <c r="S89" s="101">
        <v>44</v>
      </c>
      <c r="T89" s="102">
        <v>0</v>
      </c>
    </row>
    <row r="90" spans="1:21" ht="15.75" thickBot="1">
      <c r="E90" s="68" t="s">
        <v>117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4" t="s">
        <v>282</v>
      </c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5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6" t="s">
        <v>281</v>
      </c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8"/>
      <c r="U96" s="122" t="s">
        <v>283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M29" sqref="M29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177</v>
      </c>
      <c r="J1" s="67" t="s">
        <v>22</v>
      </c>
      <c r="K1" s="67" t="s">
        <v>56</v>
      </c>
      <c r="L1" s="67" t="s">
        <v>55</v>
      </c>
      <c r="M1" s="67" t="s">
        <v>181</v>
      </c>
      <c r="N1" s="67" t="s">
        <v>178</v>
      </c>
      <c r="O1" s="67" t="s">
        <v>183</v>
      </c>
      <c r="P1" s="67" t="s">
        <v>24</v>
      </c>
      <c r="Q1" s="67" t="s">
        <v>246</v>
      </c>
      <c r="R1" s="67" t="s">
        <v>258</v>
      </c>
      <c r="S1" s="67" t="s">
        <v>131</v>
      </c>
      <c r="T1" s="67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1226.6407766990292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320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287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173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12700.192307692309</v>
      </c>
      <c r="J29" s="19">
        <f>AVERAGEIFS(DropAnalityka[Energy Drop],DropAnalityka[Location],LocFeatures[[#This Row],[Location]],DropAnalityka[LVL],LocFeatures[[#This Row],[LVL]],DropAnalityka[Stage],LocFeatures[[#This Row],[Stage]])</f>
        <v>0.84615384615384615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4277.8461538461543</v>
      </c>
      <c r="N29" s="50">
        <f>LocFeatures[[#This Row],[Drop worth gain]]/(LocFeatures[[#This Row],[E. Cost]]-LocFeatures[[#This Row],[Energy gain]])</f>
        <v>1775.2956989247311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597.97849462365593</v>
      </c>
      <c r="Q29" s="47">
        <f>COUNTIFS(DropAnalityka[Location],LocFeatures[[#This Row],[Location]],DropAnalityka[LVL],LocFeatures[[#This Row],[LVL]],DropAnalityka[Stage],LocFeatures[[#This Row],[Stage]])</f>
        <v>52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4413.6935483870966</v>
      </c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50"/>
  <sheetViews>
    <sheetView zoomScaleNormal="100" workbookViewId="0">
      <selection activeCell="D25" sqref="D2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270</v>
      </c>
    </row>
    <row r="2" spans="1:23">
      <c r="R2" s="214" t="s">
        <v>274</v>
      </c>
      <c r="S2" s="214"/>
      <c r="T2" s="214"/>
      <c r="U2" s="214"/>
      <c r="V2" s="214"/>
      <c r="W2" s="214"/>
    </row>
    <row r="3" spans="1:23" ht="15" thickBot="1">
      <c r="B3" s="11" t="s">
        <v>69</v>
      </c>
      <c r="G3" s="11" t="s">
        <v>260</v>
      </c>
      <c r="H3" s="11" t="s">
        <v>143</v>
      </c>
      <c r="Q3" s="6" t="s">
        <v>33</v>
      </c>
      <c r="R3" s="115" t="s">
        <v>275</v>
      </c>
      <c r="S3" s="116" t="s">
        <v>276</v>
      </c>
      <c r="T3" s="116" t="s">
        <v>277</v>
      </c>
      <c r="U3" s="116" t="s">
        <v>278</v>
      </c>
      <c r="V3" s="116" t="s">
        <v>279</v>
      </c>
      <c r="W3" s="117" t="s">
        <v>280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">
        <v>1</v>
      </c>
      <c r="E21" s="43"/>
      <c r="G21" s="12" t="s">
        <v>263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">
        <v>0.82926829268292679</v>
      </c>
      <c r="E41" s="43">
        <v>14</v>
      </c>
    </row>
    <row r="42" spans="1:5">
      <c r="A42" s="12" t="s">
        <v>173</v>
      </c>
      <c r="B42" s="1">
        <v>3307.0124999999998</v>
      </c>
      <c r="C42" s="1">
        <v>3513.8125</v>
      </c>
      <c r="D42" s="1">
        <v>1.0249999999999999</v>
      </c>
      <c r="E42" s="43">
        <v>143</v>
      </c>
    </row>
    <row r="43" spans="1:5">
      <c r="A43" s="13" t="s">
        <v>9</v>
      </c>
      <c r="B43" s="1">
        <v>3307.0124999999998</v>
      </c>
      <c r="C43" s="1">
        <v>3513.8125</v>
      </c>
      <c r="D43" s="1">
        <v>1.0249999999999999</v>
      </c>
      <c r="E43" s="43">
        <v>143</v>
      </c>
    </row>
    <row r="44" spans="1:5">
      <c r="A44" s="14">
        <v>4</v>
      </c>
      <c r="B44" s="1">
        <v>1657</v>
      </c>
      <c r="C44" s="1">
        <v>3168</v>
      </c>
      <c r="D44" s="1">
        <v>2</v>
      </c>
      <c r="E44" s="43"/>
    </row>
    <row r="45" spans="1:5">
      <c r="A45" s="14">
        <v>5</v>
      </c>
      <c r="B45" s="1">
        <v>2308.8125</v>
      </c>
      <c r="C45" s="1">
        <v>3085.6875</v>
      </c>
      <c r="D45" s="1">
        <v>1.75</v>
      </c>
      <c r="E45" s="43">
        <v>6</v>
      </c>
    </row>
    <row r="46" spans="1:5">
      <c r="A46" s="14">
        <v>6</v>
      </c>
      <c r="B46" s="1">
        <v>2534.2727272727275</v>
      </c>
      <c r="C46" s="1">
        <v>2383.5454545454545</v>
      </c>
      <c r="D46" s="1">
        <v>0.90909090909090906</v>
      </c>
      <c r="E46" s="43">
        <v>6</v>
      </c>
    </row>
    <row r="47" spans="1:5">
      <c r="A47" s="14">
        <v>7</v>
      </c>
      <c r="B47" s="1">
        <v>3058.48</v>
      </c>
      <c r="C47" s="1">
        <v>2632.72</v>
      </c>
      <c r="D47" s="1">
        <v>1.1000000000000001</v>
      </c>
      <c r="E47" s="43">
        <v>49</v>
      </c>
    </row>
    <row r="48" spans="1:5">
      <c r="A48" s="14">
        <v>8</v>
      </c>
      <c r="B48" s="1">
        <v>3450.9459459459458</v>
      </c>
      <c r="C48" s="1">
        <v>3394.864864864865</v>
      </c>
      <c r="D48" s="1">
        <v>0.89189189189189189</v>
      </c>
      <c r="E48" s="43">
        <v>37</v>
      </c>
    </row>
    <row r="49" spans="1:5">
      <c r="A49" s="14">
        <v>10</v>
      </c>
      <c r="B49" s="1">
        <v>4045.2888888888888</v>
      </c>
      <c r="C49" s="1">
        <v>5026.8</v>
      </c>
      <c r="D49" s="1">
        <v>0.8</v>
      </c>
      <c r="E49" s="43">
        <v>45</v>
      </c>
    </row>
    <row r="50" spans="1:5">
      <c r="A50" s="12" t="s">
        <v>67</v>
      </c>
      <c r="B50" s="1">
        <v>1905.6447219069239</v>
      </c>
      <c r="C50" s="1">
        <v>1407.1796338672768</v>
      </c>
      <c r="D50" s="1">
        <v>0.89784335981838814</v>
      </c>
      <c r="E50" s="43">
        <v>421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143</v>
      </c>
    </row>
    <row r="6" spans="1:23">
      <c r="B6" s="15">
        <v>0</v>
      </c>
      <c r="J6" s="15" t="s">
        <v>817</v>
      </c>
      <c r="K6" s="15" t="s">
        <v>818</v>
      </c>
      <c r="L6" s="15">
        <v>0.2</v>
      </c>
      <c r="T6" s="15" t="s">
        <v>819</v>
      </c>
      <c r="U6" s="15" t="s">
        <v>820</v>
      </c>
      <c r="V6" s="15" t="s">
        <v>811</v>
      </c>
      <c r="W6" s="15" t="s">
        <v>812</v>
      </c>
    </row>
    <row r="7" spans="1:23">
      <c r="B7" s="15">
        <v>0.2</v>
      </c>
      <c r="H7" s="15" t="s">
        <v>819</v>
      </c>
      <c r="I7" s="15" t="s">
        <v>820</v>
      </c>
      <c r="L7" s="15">
        <v>0</v>
      </c>
      <c r="R7" s="15" t="s">
        <v>817</v>
      </c>
      <c r="S7" s="15" t="s">
        <v>818</v>
      </c>
    </row>
    <row r="8" spans="1:23">
      <c r="B8" s="50">
        <v>2</v>
      </c>
      <c r="F8" s="50" t="s">
        <v>813</v>
      </c>
      <c r="G8" s="50" t="s">
        <v>814</v>
      </c>
      <c r="L8" s="50">
        <v>2</v>
      </c>
      <c r="P8" s="50" t="s">
        <v>813</v>
      </c>
      <c r="Q8" s="50" t="s">
        <v>814</v>
      </c>
    </row>
    <row r="9" spans="1:23">
      <c r="B9" s="50">
        <v>1</v>
      </c>
      <c r="D9" s="50" t="s">
        <v>815</v>
      </c>
      <c r="E9" s="50" t="s">
        <v>816</v>
      </c>
      <c r="L9" s="50">
        <v>1</v>
      </c>
      <c r="N9" s="50" t="s">
        <v>815</v>
      </c>
      <c r="O9" s="50" t="s">
        <v>816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809</v>
      </c>
      <c r="C11" t="s">
        <v>810</v>
      </c>
      <c r="L11" t="s">
        <v>809</v>
      </c>
      <c r="M11" t="s">
        <v>810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113</v>
      </c>
      <c r="B1" s="134" t="s">
        <v>112</v>
      </c>
      <c r="C1" s="135" t="s">
        <v>301</v>
      </c>
      <c r="D1" s="135" t="s">
        <v>302</v>
      </c>
      <c r="E1" s="135" t="s">
        <v>303</v>
      </c>
      <c r="F1" s="134" t="s">
        <v>111</v>
      </c>
      <c r="G1" s="134" t="s">
        <v>110</v>
      </c>
      <c r="H1" s="134" t="s">
        <v>109</v>
      </c>
      <c r="I1" s="134" t="s">
        <v>108</v>
      </c>
      <c r="J1" s="134" t="s">
        <v>107</v>
      </c>
      <c r="K1" s="134" t="s">
        <v>106</v>
      </c>
      <c r="L1" s="134" t="s">
        <v>105</v>
      </c>
      <c r="M1" s="136" t="s">
        <v>104</v>
      </c>
      <c r="N1" s="134" t="s">
        <v>103</v>
      </c>
      <c r="O1" s="134" t="s">
        <v>102</v>
      </c>
      <c r="P1" s="134" t="s">
        <v>101</v>
      </c>
      <c r="Q1" s="134" t="s">
        <v>100</v>
      </c>
      <c r="R1" s="135" t="s">
        <v>304</v>
      </c>
      <c r="S1" s="134" t="s">
        <v>99</v>
      </c>
      <c r="T1" s="137" t="s">
        <v>98</v>
      </c>
      <c r="U1" s="136" t="s">
        <v>97</v>
      </c>
      <c r="V1" s="35"/>
      <c r="W1" s="35"/>
      <c r="X1" s="130" t="s">
        <v>298</v>
      </c>
      <c r="Y1" s="130" t="s">
        <v>295</v>
      </c>
      <c r="Z1" s="130" t="s">
        <v>296</v>
      </c>
      <c r="AA1" s="130" t="s">
        <v>297</v>
      </c>
      <c r="AB1" s="140" t="s">
        <v>343</v>
      </c>
      <c r="AC1" s="35"/>
      <c r="AD1" s="35"/>
      <c r="AE1" s="35"/>
      <c r="AP1" s="130"/>
      <c r="AQ1" s="130"/>
    </row>
    <row r="2" spans="1:47" ht="15" thickBot="1">
      <c r="A2" s="131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806</v>
      </c>
      <c r="AH2" s="15" t="s">
        <v>808</v>
      </c>
      <c r="AI2" t="s">
        <v>807</v>
      </c>
      <c r="AJ2" s="15" t="s">
        <v>803</v>
      </c>
      <c r="AK2" s="15" t="s">
        <v>804</v>
      </c>
      <c r="AL2" s="15" t="s">
        <v>805</v>
      </c>
      <c r="AM2" s="15" t="s">
        <v>33</v>
      </c>
      <c r="AN2" s="15" t="s">
        <v>797</v>
      </c>
      <c r="AO2" t="s">
        <v>798</v>
      </c>
      <c r="AP2" t="s">
        <v>799</v>
      </c>
      <c r="AQ2" s="15" t="s">
        <v>800</v>
      </c>
      <c r="AR2" s="15" t="s">
        <v>801</v>
      </c>
      <c r="AS2" s="15" t="s">
        <v>802</v>
      </c>
      <c r="AT2" s="15" t="s">
        <v>821</v>
      </c>
      <c r="AU2" s="15" t="s">
        <v>822</v>
      </c>
    </row>
    <row r="3" spans="1:47" ht="15" thickBot="1">
      <c r="A3" s="131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343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5" t="s">
        <v>316</v>
      </c>
      <c r="X19" s="215"/>
      <c r="Y19" s="215"/>
      <c r="Z19" s="215"/>
      <c r="AA19" s="215"/>
      <c r="AB19" s="215"/>
      <c r="AC19" s="215"/>
      <c r="AD19" s="215"/>
      <c r="AE19" s="215"/>
      <c r="AF19" s="215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309</v>
      </c>
      <c r="AA20" s="18" t="s">
        <v>310</v>
      </c>
      <c r="AB20" s="18" t="s">
        <v>311</v>
      </c>
      <c r="AC20" s="18" t="s">
        <v>312</v>
      </c>
      <c r="AD20" s="18" t="s">
        <v>313</v>
      </c>
      <c r="AE20" s="18" t="s">
        <v>314</v>
      </c>
      <c r="AF20" t="s">
        <v>315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305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305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305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305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305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305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305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305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305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305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305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306</v>
      </c>
      <c r="X32" s="132">
        <v>0.2</v>
      </c>
      <c r="Y32" s="132">
        <v>0.2</v>
      </c>
      <c r="Z32" s="18" t="s">
        <v>87</v>
      </c>
      <c r="AA32" s="18" t="s">
        <v>85</v>
      </c>
      <c r="AB32" s="18" t="s">
        <v>305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306</v>
      </c>
      <c r="X33" s="132">
        <v>0.2</v>
      </c>
      <c r="Y33" s="132">
        <v>0.2</v>
      </c>
      <c r="Z33" s="18" t="s">
        <v>86</v>
      </c>
      <c r="AA33" s="18" t="s">
        <v>85</v>
      </c>
      <c r="AB33" s="18" t="s">
        <v>305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317</v>
      </c>
      <c r="X34" s="132">
        <v>0.2</v>
      </c>
      <c r="Y34" s="132">
        <v>0.2</v>
      </c>
      <c r="Z34" s="18" t="s">
        <v>86</v>
      </c>
      <c r="AA34" s="18" t="s">
        <v>85</v>
      </c>
      <c r="AB34" s="18" t="s">
        <v>305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317</v>
      </c>
      <c r="X35" s="132">
        <v>0.2</v>
      </c>
      <c r="Y35" s="132">
        <v>0.2</v>
      </c>
      <c r="Z35" s="18" t="s">
        <v>87</v>
      </c>
      <c r="AA35" s="18" t="s">
        <v>85</v>
      </c>
      <c r="AB35" s="18" t="s">
        <v>305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318</v>
      </c>
      <c r="X36" s="132">
        <v>0.2</v>
      </c>
      <c r="Y36" s="132">
        <v>0.2</v>
      </c>
      <c r="Z36" s="18" t="s">
        <v>87</v>
      </c>
      <c r="AA36" s="18" t="s">
        <v>85</v>
      </c>
      <c r="AB36" s="18" t="s">
        <v>305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367</v>
      </c>
      <c r="C39" s="21" t="s">
        <v>375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369</v>
      </c>
      <c r="C40" s="21" t="s">
        <v>374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370</v>
      </c>
      <c r="C41" s="21" t="s">
        <v>375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371</v>
      </c>
      <c r="C42" s="21" t="s">
        <v>374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372</v>
      </c>
      <c r="C43" s="21" t="s">
        <v>374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373</v>
      </c>
      <c r="C44" s="21" t="s">
        <v>374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38">
        <v>7547.956500000003</v>
      </c>
      <c r="U46" s="139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369</v>
      </c>
      <c r="C49" s="21" t="s">
        <v>374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370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373</v>
      </c>
      <c r="C53" s="21" t="s">
        <v>374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38">
        <v>7547.956500000003</v>
      </c>
      <c r="U55" s="139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341</v>
      </c>
      <c r="D1" t="s">
        <v>337</v>
      </c>
      <c r="E1" t="s">
        <v>338</v>
      </c>
      <c r="F1" t="s">
        <v>339</v>
      </c>
      <c r="G1" t="s">
        <v>340</v>
      </c>
      <c r="H1" t="s">
        <v>342</v>
      </c>
      <c r="I1" t="s">
        <v>160</v>
      </c>
      <c r="J1" t="s">
        <v>197</v>
      </c>
      <c r="K1" t="s">
        <v>305</v>
      </c>
      <c r="L1" t="s">
        <v>332</v>
      </c>
    </row>
    <row r="2" spans="1:12">
      <c r="A2" t="s">
        <v>26</v>
      </c>
      <c r="B2" t="s">
        <v>299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300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300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300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300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333</v>
      </c>
      <c r="B1" t="s">
        <v>363</v>
      </c>
      <c r="C1" t="s">
        <v>194</v>
      </c>
      <c r="D1" t="s">
        <v>195</v>
      </c>
      <c r="E1" t="s">
        <v>335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305</v>
      </c>
      <c r="O1" t="s">
        <v>202</v>
      </c>
      <c r="P1" t="s">
        <v>332</v>
      </c>
      <c r="Q1" t="s">
        <v>204</v>
      </c>
      <c r="R1" t="s">
        <v>361</v>
      </c>
      <c r="S1" t="s">
        <v>362</v>
      </c>
    </row>
    <row r="2" spans="1:19" hidden="1">
      <c r="A2" t="s">
        <v>336</v>
      </c>
      <c r="B2" t="s">
        <v>336</v>
      </c>
      <c r="C2" t="s">
        <v>334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336</v>
      </c>
      <c r="B3" t="s">
        <v>336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336</v>
      </c>
      <c r="B4" t="s">
        <v>336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336</v>
      </c>
      <c r="B5" t="s">
        <v>336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336</v>
      </c>
      <c r="B6" t="s">
        <v>336</v>
      </c>
      <c r="C6" t="s">
        <v>334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336</v>
      </c>
      <c r="B7" t="s">
        <v>336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344</v>
      </c>
      <c r="B8" t="s">
        <v>344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344</v>
      </c>
      <c r="B9" t="s">
        <v>344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344</v>
      </c>
      <c r="B10" t="s">
        <v>344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344</v>
      </c>
      <c r="B11" t="s">
        <v>344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344</v>
      </c>
      <c r="B12" s="142" t="s">
        <v>344</v>
      </c>
      <c r="C12" s="142" t="s">
        <v>191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344</v>
      </c>
      <c r="B13" t="s">
        <v>344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345</v>
      </c>
      <c r="B14" t="s">
        <v>345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345</v>
      </c>
      <c r="B15" t="s">
        <v>345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345</v>
      </c>
      <c r="B16" t="s">
        <v>345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345</v>
      </c>
      <c r="B17" t="s">
        <v>345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345</v>
      </c>
      <c r="B18" t="s">
        <v>345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345</v>
      </c>
      <c r="B19" t="s">
        <v>345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 hidden="1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42" t="s">
        <v>187</v>
      </c>
      <c r="B31" s="142"/>
      <c r="C31" s="142" t="s">
        <v>148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187</v>
      </c>
    </row>
    <row r="32" spans="1:19" hidden="1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346</v>
      </c>
      <c r="B38" s="146" t="s">
        <v>346</v>
      </c>
      <c r="C38" s="146" t="s">
        <v>149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346</v>
      </c>
      <c r="B39" t="s">
        <v>346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346</v>
      </c>
      <c r="B40" t="s">
        <v>346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346</v>
      </c>
      <c r="B41" t="s">
        <v>346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346</v>
      </c>
      <c r="B42" t="s">
        <v>346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365</v>
      </c>
    </row>
    <row r="44" spans="1:19" hidden="1">
      <c r="A44" t="s">
        <v>347</v>
      </c>
      <c r="B44" t="s">
        <v>347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347</v>
      </c>
      <c r="B45" t="s">
        <v>347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347</v>
      </c>
      <c r="B46" t="s">
        <v>347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347</v>
      </c>
      <c r="B47" s="2" t="s">
        <v>347</v>
      </c>
      <c r="C47" s="2" t="s">
        <v>148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205</v>
      </c>
    </row>
    <row r="48" spans="1:19" hidden="1">
      <c r="A48" t="s">
        <v>347</v>
      </c>
      <c r="B48" t="s">
        <v>347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347</v>
      </c>
      <c r="B49" s="2" t="s">
        <v>347</v>
      </c>
      <c r="C49" s="2" t="s">
        <v>148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135</v>
      </c>
      <c r="B53" s="149" t="s">
        <v>135</v>
      </c>
      <c r="C53" s="149" t="s">
        <v>152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135</v>
      </c>
      <c r="B55" s="149" t="s">
        <v>135</v>
      </c>
      <c r="C55" s="149" t="s">
        <v>191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150</v>
      </c>
      <c r="B61" s="142" t="s">
        <v>150</v>
      </c>
      <c r="C61" s="142" t="s">
        <v>191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364</v>
      </c>
    </row>
    <row r="66" spans="1:19" hidden="1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357</v>
      </c>
      <c r="B68" t="s">
        <v>357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357</v>
      </c>
      <c r="B69" t="s">
        <v>357</v>
      </c>
      <c r="C69" t="s">
        <v>85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357</v>
      </c>
      <c r="B70" t="s">
        <v>357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357</v>
      </c>
      <c r="B71" t="s">
        <v>357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357</v>
      </c>
      <c r="B72" t="s">
        <v>357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357</v>
      </c>
      <c r="B73" t="s">
        <v>357</v>
      </c>
      <c r="C73" t="s">
        <v>85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358</v>
      </c>
      <c r="B74" t="s">
        <v>358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358</v>
      </c>
      <c r="B75" t="s">
        <v>358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358</v>
      </c>
      <c r="B76" t="s">
        <v>358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358</v>
      </c>
      <c r="B77" t="s">
        <v>358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358</v>
      </c>
      <c r="B78" t="s">
        <v>358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358</v>
      </c>
      <c r="B79" t="s">
        <v>358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359</v>
      </c>
      <c r="B80" t="s">
        <v>359</v>
      </c>
      <c r="C80" t="s">
        <v>87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359</v>
      </c>
      <c r="B81" t="s">
        <v>359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359</v>
      </c>
      <c r="B82" t="s">
        <v>359</v>
      </c>
      <c r="C82" t="s">
        <v>87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359</v>
      </c>
      <c r="B83" t="s">
        <v>359</v>
      </c>
      <c r="C83" t="s">
        <v>85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359</v>
      </c>
      <c r="B84" t="s">
        <v>359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359</v>
      </c>
      <c r="B85" t="s">
        <v>359</v>
      </c>
      <c r="C85" t="s">
        <v>87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205</v>
      </c>
      <c r="S91" s="2" t="s">
        <v>365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205</v>
      </c>
      <c r="S122" s="2" t="s">
        <v>364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149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205</v>
      </c>
      <c r="S143" t="s">
        <v>150</v>
      </c>
    </row>
    <row r="144" spans="1:19" hidden="1">
      <c r="C144" t="s">
        <v>149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205</v>
      </c>
    </row>
    <row r="146" spans="1:18" hidden="1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 hidden="1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364</v>
      </c>
    </row>
    <row r="173" spans="1:19" hidden="1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348</v>
      </c>
      <c r="C22" t="s">
        <v>349</v>
      </c>
      <c r="D22" t="s">
        <v>350</v>
      </c>
      <c r="E22" t="s">
        <v>351</v>
      </c>
      <c r="F22" t="s">
        <v>352</v>
      </c>
      <c r="G22" t="s">
        <v>353</v>
      </c>
      <c r="H22" t="s">
        <v>354</v>
      </c>
      <c r="I22" t="s">
        <v>355</v>
      </c>
      <c r="J22" t="s">
        <v>356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327</v>
      </c>
      <c r="B6" t="s">
        <v>3</v>
      </c>
      <c r="C6" t="s">
        <v>2</v>
      </c>
      <c r="D6" t="s">
        <v>324</v>
      </c>
      <c r="E6" t="s">
        <v>323</v>
      </c>
      <c r="F6" t="s">
        <v>325</v>
      </c>
      <c r="G6" t="s">
        <v>326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360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360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360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S327"/>
  <sheetViews>
    <sheetView workbookViewId="0">
      <pane ySplit="1" topLeftCell="A225" activePane="bottomLeft" state="frozen"/>
      <selection pane="bottomLeft" activeCell="K241" sqref="K24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6" width="10.5" style="169" bestFit="1" customWidth="1"/>
    <col min="17" max="17" width="10.625" style="169" bestFit="1" customWidth="1"/>
    <col min="18" max="18" width="10.5" style="169" bestFit="1" customWidth="1"/>
    <col min="19" max="16384" width="9" style="169"/>
  </cols>
  <sheetData>
    <row r="1" spans="1:19">
      <c r="A1" s="170" t="s">
        <v>778</v>
      </c>
      <c r="B1" s="170" t="s">
        <v>779</v>
      </c>
      <c r="C1" s="170" t="s">
        <v>155</v>
      </c>
      <c r="D1" s="170" t="s">
        <v>775</v>
      </c>
      <c r="E1" s="170" t="s">
        <v>774</v>
      </c>
      <c r="F1" s="170" t="s">
        <v>773</v>
      </c>
      <c r="G1" s="170" t="s">
        <v>366</v>
      </c>
      <c r="H1" s="170" t="s">
        <v>772</v>
      </c>
      <c r="I1" s="170" t="s">
        <v>771</v>
      </c>
      <c r="J1" s="170" t="s">
        <v>770</v>
      </c>
      <c r="K1" s="170" t="s">
        <v>769</v>
      </c>
      <c r="L1" s="170" t="s">
        <v>768</v>
      </c>
      <c r="M1" s="170" t="s">
        <v>767</v>
      </c>
      <c r="N1" s="170" t="s">
        <v>766</v>
      </c>
      <c r="O1" s="170" t="s">
        <v>777</v>
      </c>
      <c r="P1" s="170" t="s">
        <v>781</v>
      </c>
      <c r="Q1" s="170" t="s">
        <v>782</v>
      </c>
      <c r="R1" s="170" t="s">
        <v>783</v>
      </c>
      <c r="S1" s="170" t="s">
        <v>780</v>
      </c>
    </row>
    <row r="2" spans="1:19">
      <c r="A2" s="183">
        <v>167</v>
      </c>
      <c r="B2" s="171" t="s">
        <v>577</v>
      </c>
      <c r="C2" s="171" t="s">
        <v>288</v>
      </c>
      <c r="D2" s="171">
        <v>3</v>
      </c>
      <c r="E2" s="171" t="s">
        <v>252</v>
      </c>
      <c r="F2" s="171">
        <v>1</v>
      </c>
      <c r="G2" s="171">
        <v>1</v>
      </c>
      <c r="H2" s="171">
        <v>1</v>
      </c>
      <c r="I2" s="171">
        <v>1</v>
      </c>
      <c r="J2" s="171">
        <v>1</v>
      </c>
      <c r="K2" s="171">
        <v>1</v>
      </c>
      <c r="L2" s="171">
        <v>1</v>
      </c>
      <c r="M2" s="171">
        <v>1</v>
      </c>
      <c r="N2" s="171" t="s">
        <v>446</v>
      </c>
      <c r="O2" s="171"/>
      <c r="P2" s="187">
        <f>SUM(Tabela2[[#This Row],[G]]+Tabela2[[#This Row],[D]]+Tabela2[[#This Row],[N]]+Tabela2[[#This Row],[HM]])</f>
        <v>4</v>
      </c>
      <c r="Q2" s="187">
        <f>SUM(Tabela2[[#This Row],[AO]]+Tabela2[[#This Row],[AD]]+Tabela2[[#This Row],[GWO]]+Tabela2[[#This Row],[GWD]])</f>
        <v>4</v>
      </c>
      <c r="R2" s="187">
        <f>Tabela2[[#This Row],[GWO]]+Tabela2[[#This Row],[GWD]]</f>
        <v>2</v>
      </c>
      <c r="S2" s="180">
        <f>SUM(Tabela2[[#This Row],[G]:[GWD]])</f>
        <v>8</v>
      </c>
    </row>
    <row r="3" spans="1:19">
      <c r="A3" s="183">
        <v>47</v>
      </c>
      <c r="B3" s="170" t="s">
        <v>708</v>
      </c>
      <c r="C3" s="170" t="s">
        <v>707</v>
      </c>
      <c r="D3" s="170">
        <v>2</v>
      </c>
      <c r="E3" s="170" t="s">
        <v>273</v>
      </c>
      <c r="F3" s="170">
        <v>1</v>
      </c>
      <c r="G3" s="170">
        <v>1</v>
      </c>
      <c r="H3" s="170">
        <v>3</v>
      </c>
      <c r="I3" s="170">
        <v>1</v>
      </c>
      <c r="J3" s="170">
        <v>1</v>
      </c>
      <c r="K3" s="170">
        <v>1</v>
      </c>
      <c r="L3" s="170">
        <v>1</v>
      </c>
      <c r="M3" s="170">
        <v>1</v>
      </c>
      <c r="N3" s="170"/>
      <c r="O3" s="170"/>
      <c r="P3" s="180">
        <f>SUM(Tabela2[[#This Row],[G]]+Tabela2[[#This Row],[D]]+Tabela2[[#This Row],[N]]+Tabela2[[#This Row],[HM]])</f>
        <v>6</v>
      </c>
      <c r="Q3" s="180">
        <f>SUM(Tabela2[[#This Row],[AO]]+Tabela2[[#This Row],[AD]]+Tabela2[[#This Row],[GWO]]+Tabela2[[#This Row],[GWD]])</f>
        <v>4</v>
      </c>
      <c r="R3" s="180">
        <f>Tabela2[[#This Row],[GWO]]+Tabela2[[#This Row],[GWD]]</f>
        <v>2</v>
      </c>
      <c r="S3" s="180">
        <f>SUM(Tabela2[[#This Row],[G]:[GWD]])</f>
        <v>10</v>
      </c>
    </row>
    <row r="4" spans="1:19">
      <c r="A4" s="183">
        <v>23</v>
      </c>
      <c r="B4" s="172" t="s">
        <v>741</v>
      </c>
      <c r="C4" s="172" t="s">
        <v>707</v>
      </c>
      <c r="D4" s="172">
        <v>2</v>
      </c>
      <c r="E4" s="172" t="s">
        <v>251</v>
      </c>
      <c r="F4" s="172">
        <v>2</v>
      </c>
      <c r="G4" s="172">
        <v>1</v>
      </c>
      <c r="H4" s="172">
        <v>2</v>
      </c>
      <c r="I4" s="172">
        <v>1</v>
      </c>
      <c r="J4" s="172">
        <v>1</v>
      </c>
      <c r="K4" s="172">
        <v>1</v>
      </c>
      <c r="L4" s="172">
        <v>1</v>
      </c>
      <c r="M4" s="172">
        <v>1</v>
      </c>
      <c r="N4" s="170"/>
      <c r="O4" s="170"/>
      <c r="P4" s="180">
        <f>SUM(Tabela2[[#This Row],[G]]+Tabela2[[#This Row],[D]]+Tabela2[[#This Row],[N]]+Tabela2[[#This Row],[HM]])</f>
        <v>6</v>
      </c>
      <c r="Q4" s="180">
        <f>SUM(Tabela2[[#This Row],[AO]]+Tabela2[[#This Row],[AD]]+Tabela2[[#This Row],[GWO]]+Tabela2[[#This Row],[GWD]])</f>
        <v>4</v>
      </c>
      <c r="R4" s="180">
        <f>Tabela2[[#This Row],[GWO]]+Tabela2[[#This Row],[GWD]]</f>
        <v>2</v>
      </c>
      <c r="S4" s="180">
        <f>SUM(Tabela2[[#This Row],[G]:[GWD]])</f>
        <v>10</v>
      </c>
    </row>
    <row r="5" spans="1:19">
      <c r="A5" s="183">
        <v>12</v>
      </c>
      <c r="B5" s="174" t="s">
        <v>751</v>
      </c>
      <c r="C5" s="174" t="s">
        <v>707</v>
      </c>
      <c r="D5" s="174">
        <v>2</v>
      </c>
      <c r="E5" s="174" t="s">
        <v>250</v>
      </c>
      <c r="F5" s="174">
        <v>1</v>
      </c>
      <c r="G5" s="174">
        <v>1</v>
      </c>
      <c r="H5" s="174">
        <v>1</v>
      </c>
      <c r="I5" s="174">
        <v>1</v>
      </c>
      <c r="J5" s="174">
        <v>1</v>
      </c>
      <c r="K5" s="174">
        <v>1</v>
      </c>
      <c r="L5" s="174">
        <v>1</v>
      </c>
      <c r="M5" s="174">
        <v>1</v>
      </c>
      <c r="N5" s="170"/>
      <c r="O5" s="170"/>
      <c r="P5" s="180">
        <f>SUM(Tabela2[[#This Row],[G]]+Tabela2[[#This Row],[D]]+Tabela2[[#This Row],[N]]+Tabela2[[#This Row],[HM]])</f>
        <v>4</v>
      </c>
      <c r="Q5" s="180">
        <f>SUM(Tabela2[[#This Row],[AO]]+Tabela2[[#This Row],[AD]]+Tabela2[[#This Row],[GWO]]+Tabela2[[#This Row],[GWD]])</f>
        <v>4</v>
      </c>
      <c r="R5" s="180">
        <f>Tabela2[[#This Row],[GWO]]+Tabela2[[#This Row],[GWD]]</f>
        <v>2</v>
      </c>
      <c r="S5" s="180">
        <f>SUM(Tabela2[[#This Row],[G]:[GWD]])</f>
        <v>8</v>
      </c>
    </row>
    <row r="6" spans="1:19">
      <c r="A6" s="183">
        <v>3</v>
      </c>
      <c r="B6" s="175" t="s">
        <v>762</v>
      </c>
      <c r="C6" s="175" t="s">
        <v>288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5" t="s">
        <v>446</v>
      </c>
      <c r="O6" s="175"/>
      <c r="P6" s="184">
        <f>SUM(Tabela2[[#This Row],[G]]+Tabela2[[#This Row],[D]]+Tabela2[[#This Row],[N]]+Tabela2[[#This Row],[HM]])</f>
        <v>4</v>
      </c>
      <c r="Q6" s="184">
        <f>SUM(Tabela2[[#This Row],[AO]]+Tabela2[[#This Row],[AD]]+Tabela2[[#This Row],[GWO]]+Tabela2[[#This Row],[GWD]])</f>
        <v>4</v>
      </c>
      <c r="R6" s="184">
        <f>Tabela2[[#This Row],[GWO]]+Tabela2[[#This Row],[GWD]]</f>
        <v>2</v>
      </c>
      <c r="S6" s="181">
        <f>SUM(Tabela2[[#This Row],[G]:[GWD]])</f>
        <v>8</v>
      </c>
    </row>
    <row r="7" spans="1:19">
      <c r="A7" s="183">
        <v>199</v>
      </c>
      <c r="B7" s="170" t="s">
        <v>523</v>
      </c>
      <c r="C7" s="170" t="s">
        <v>522</v>
      </c>
      <c r="D7" s="170">
        <v>3</v>
      </c>
      <c r="E7" s="170" t="s">
        <v>273</v>
      </c>
      <c r="F7" s="170">
        <v>1</v>
      </c>
      <c r="G7" s="170">
        <v>2</v>
      </c>
      <c r="H7" s="170">
        <v>4</v>
      </c>
      <c r="I7" s="170">
        <v>3</v>
      </c>
      <c r="J7" s="170">
        <v>4</v>
      </c>
      <c r="K7" s="170">
        <v>1</v>
      </c>
      <c r="L7" s="170">
        <v>4</v>
      </c>
      <c r="M7" s="170">
        <v>3</v>
      </c>
      <c r="N7" s="170"/>
      <c r="O7" s="170"/>
      <c r="P7" s="180">
        <f>SUM(Tabela2[[#This Row],[G]]+Tabela2[[#This Row],[D]]+Tabela2[[#This Row],[N]]+Tabela2[[#This Row],[HM]])</f>
        <v>8</v>
      </c>
      <c r="Q7" s="180">
        <f>SUM(Tabela2[[#This Row],[AO]]+Tabela2[[#This Row],[AD]]+Tabela2[[#This Row],[GWO]]+Tabela2[[#This Row],[GWD]])</f>
        <v>14</v>
      </c>
      <c r="R7" s="180">
        <f>Tabela2[[#This Row],[GWO]]+Tabela2[[#This Row],[GWD]]</f>
        <v>7</v>
      </c>
      <c r="S7" s="180">
        <f>SUM(Tabela2[[#This Row],[G]:[GWD]])</f>
        <v>22</v>
      </c>
    </row>
    <row r="8" spans="1:19">
      <c r="A8" s="183">
        <v>166</v>
      </c>
      <c r="B8" s="171" t="s">
        <v>578</v>
      </c>
      <c r="C8" s="171" t="s">
        <v>522</v>
      </c>
      <c r="D8" s="171">
        <v>3</v>
      </c>
      <c r="E8" s="171" t="s">
        <v>252</v>
      </c>
      <c r="F8" s="171">
        <v>1</v>
      </c>
      <c r="G8" s="171">
        <v>1</v>
      </c>
      <c r="H8" s="171">
        <v>1</v>
      </c>
      <c r="I8" s="171">
        <v>1</v>
      </c>
      <c r="J8" s="171">
        <v>2</v>
      </c>
      <c r="K8" s="171">
        <v>1</v>
      </c>
      <c r="L8" s="171">
        <v>1</v>
      </c>
      <c r="M8" s="171">
        <v>3</v>
      </c>
      <c r="N8" s="170"/>
      <c r="O8" s="170"/>
      <c r="P8" s="180">
        <f>SUM(Tabela2[[#This Row],[G]]+Tabela2[[#This Row],[D]]+Tabela2[[#This Row],[N]]+Tabela2[[#This Row],[HM]])</f>
        <v>4</v>
      </c>
      <c r="Q8" s="180">
        <f>SUM(Tabela2[[#This Row],[AO]]+Tabela2[[#This Row],[AD]]+Tabela2[[#This Row],[GWO]]+Tabela2[[#This Row],[GWD]])</f>
        <v>7</v>
      </c>
      <c r="R8" s="180">
        <f>Tabela2[[#This Row],[GWO]]+Tabela2[[#This Row],[GWD]]</f>
        <v>4</v>
      </c>
      <c r="S8" s="180">
        <f>SUM(Tabela2[[#This Row],[G]:[GWD]])</f>
        <v>11</v>
      </c>
    </row>
    <row r="9" spans="1:19">
      <c r="A9" s="183">
        <v>134</v>
      </c>
      <c r="B9" s="172" t="s">
        <v>612</v>
      </c>
      <c r="C9" s="172" t="s">
        <v>522</v>
      </c>
      <c r="D9" s="172">
        <v>3</v>
      </c>
      <c r="E9" s="172" t="s">
        <v>251</v>
      </c>
      <c r="F9" s="172">
        <v>1</v>
      </c>
      <c r="G9" s="172">
        <v>1</v>
      </c>
      <c r="H9" s="172">
        <v>1</v>
      </c>
      <c r="I9" s="172">
        <v>1</v>
      </c>
      <c r="J9" s="172">
        <v>1</v>
      </c>
      <c r="K9" s="172">
        <v>1</v>
      </c>
      <c r="L9" s="172">
        <v>1</v>
      </c>
      <c r="M9" s="172">
        <v>1</v>
      </c>
      <c r="N9" s="172" t="s">
        <v>446</v>
      </c>
      <c r="O9" s="172"/>
      <c r="P9" s="186">
        <f>SUM(Tabela2[[#This Row],[G]]+Tabela2[[#This Row],[D]]+Tabela2[[#This Row],[N]]+Tabela2[[#This Row],[HM]])</f>
        <v>4</v>
      </c>
      <c r="Q9" s="186">
        <f>SUM(Tabela2[[#This Row],[AO]]+Tabela2[[#This Row],[AD]]+Tabela2[[#This Row],[GWO]]+Tabela2[[#This Row],[GWD]])</f>
        <v>4</v>
      </c>
      <c r="R9" s="186">
        <f>Tabela2[[#This Row],[GWO]]+Tabela2[[#This Row],[GWD]]</f>
        <v>2</v>
      </c>
      <c r="S9" s="180">
        <f>SUM(Tabela2[[#This Row],[G]:[GWD]])</f>
        <v>8</v>
      </c>
    </row>
    <row r="10" spans="1:19">
      <c r="A10" s="183">
        <v>107</v>
      </c>
      <c r="B10" s="174" t="s">
        <v>638</v>
      </c>
      <c r="C10" s="174" t="s">
        <v>522</v>
      </c>
      <c r="D10" s="174">
        <v>3</v>
      </c>
      <c r="E10" s="174" t="s">
        <v>250</v>
      </c>
      <c r="F10" s="174">
        <v>2</v>
      </c>
      <c r="G10" s="174">
        <v>3</v>
      </c>
      <c r="H10" s="174">
        <v>3</v>
      </c>
      <c r="I10" s="174">
        <v>3</v>
      </c>
      <c r="J10" s="174">
        <v>3</v>
      </c>
      <c r="K10" s="174">
        <v>1</v>
      </c>
      <c r="L10" s="174">
        <v>4</v>
      </c>
      <c r="M10" s="174">
        <v>3</v>
      </c>
      <c r="N10" s="170"/>
      <c r="O10" s="170"/>
      <c r="P10" s="180">
        <f>SUM(Tabela2[[#This Row],[G]]+Tabela2[[#This Row],[D]]+Tabela2[[#This Row],[N]]+Tabela2[[#This Row],[HM]])</f>
        <v>9</v>
      </c>
      <c r="Q10" s="180">
        <f>SUM(Tabela2[[#This Row],[AO]]+Tabela2[[#This Row],[AD]]+Tabela2[[#This Row],[GWO]]+Tabela2[[#This Row],[GWD]])</f>
        <v>13</v>
      </c>
      <c r="R10" s="180">
        <f>Tabela2[[#This Row],[GWO]]+Tabela2[[#This Row],[GWD]]</f>
        <v>7</v>
      </c>
      <c r="S10" s="180">
        <f>SUM(Tabela2[[#This Row],[G]:[GWD]])</f>
        <v>22</v>
      </c>
    </row>
    <row r="11" spans="1:19">
      <c r="A11" s="183">
        <v>77</v>
      </c>
      <c r="B11" s="175" t="s">
        <v>668</v>
      </c>
      <c r="C11" s="175" t="s">
        <v>522</v>
      </c>
      <c r="D11" s="175">
        <v>3</v>
      </c>
      <c r="E11" s="175" t="s">
        <v>18</v>
      </c>
      <c r="F11" s="175">
        <v>1</v>
      </c>
      <c r="G11" s="175">
        <v>1</v>
      </c>
      <c r="H11" s="175">
        <v>1</v>
      </c>
      <c r="I11" s="175">
        <v>1</v>
      </c>
      <c r="J11" s="175">
        <v>1</v>
      </c>
      <c r="K11" s="175">
        <v>1</v>
      </c>
      <c r="L11" s="175">
        <v>1</v>
      </c>
      <c r="M11" s="175">
        <v>1</v>
      </c>
      <c r="N11" s="175" t="s">
        <v>446</v>
      </c>
      <c r="O11" s="175"/>
      <c r="P11" s="184">
        <f>SUM(Tabela2[[#This Row],[G]]+Tabela2[[#This Row],[D]]+Tabela2[[#This Row],[N]]+Tabela2[[#This Row],[HM]])</f>
        <v>4</v>
      </c>
      <c r="Q11" s="184">
        <f>SUM(Tabela2[[#This Row],[AO]]+Tabela2[[#This Row],[AD]]+Tabela2[[#This Row],[GWO]]+Tabela2[[#This Row],[GWD]])</f>
        <v>4</v>
      </c>
      <c r="R11" s="184">
        <f>Tabela2[[#This Row],[GWO]]+Tabela2[[#This Row],[GWD]]</f>
        <v>2</v>
      </c>
      <c r="S11" s="180">
        <f>SUM(Tabela2[[#This Row],[G]:[GWD]])</f>
        <v>8</v>
      </c>
    </row>
    <row r="12" spans="1:19">
      <c r="A12" s="183">
        <v>198</v>
      </c>
      <c r="B12" s="170" t="s">
        <v>525</v>
      </c>
      <c r="C12" s="170" t="s">
        <v>524</v>
      </c>
      <c r="D12" s="170">
        <v>3</v>
      </c>
      <c r="E12" s="170" t="s">
        <v>273</v>
      </c>
      <c r="F12" s="170">
        <v>1</v>
      </c>
      <c r="G12" s="170">
        <v>1</v>
      </c>
      <c r="H12" s="170">
        <v>1</v>
      </c>
      <c r="I12" s="170">
        <v>1</v>
      </c>
      <c r="J12" s="170">
        <v>1</v>
      </c>
      <c r="K12" s="170">
        <v>1</v>
      </c>
      <c r="L12" s="170">
        <v>1</v>
      </c>
      <c r="M12" s="170">
        <v>1</v>
      </c>
      <c r="N12" s="170"/>
      <c r="O12" s="170"/>
      <c r="P12" s="180">
        <f>SUM(Tabela2[[#This Row],[G]]+Tabela2[[#This Row],[D]]+Tabela2[[#This Row],[N]]+Tabela2[[#This Row],[HM]])</f>
        <v>4</v>
      </c>
      <c r="Q12" s="180">
        <f>SUM(Tabela2[[#This Row],[AO]]+Tabela2[[#This Row],[AD]]+Tabela2[[#This Row],[GWO]]+Tabela2[[#This Row],[GWD]])</f>
        <v>4</v>
      </c>
      <c r="R12" s="180">
        <f>Tabela2[[#This Row],[GWO]]+Tabela2[[#This Row],[GWD]]</f>
        <v>2</v>
      </c>
      <c r="S12" s="180">
        <f>SUM(Tabela2[[#This Row],[G]:[GWD]])</f>
        <v>8</v>
      </c>
    </row>
    <row r="13" spans="1:19">
      <c r="A13" s="183">
        <v>106</v>
      </c>
      <c r="B13" s="174" t="s">
        <v>639</v>
      </c>
      <c r="C13" s="174" t="s">
        <v>524</v>
      </c>
      <c r="D13" s="174">
        <v>3</v>
      </c>
      <c r="E13" s="174" t="s">
        <v>250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80">
        <f>SUM(Tabela2[[#This Row],[G]]+Tabela2[[#This Row],[D]]+Tabela2[[#This Row],[N]]+Tabela2[[#This Row],[HM]])</f>
        <v>4</v>
      </c>
      <c r="Q13" s="180">
        <f>SUM(Tabela2[[#This Row],[AO]]+Tabela2[[#This Row],[AD]]+Tabela2[[#This Row],[GWO]]+Tabela2[[#This Row],[GWD]])</f>
        <v>4</v>
      </c>
      <c r="R13" s="180">
        <f>Tabela2[[#This Row],[GWO]]+Tabela2[[#This Row],[GWD]]</f>
        <v>2</v>
      </c>
      <c r="S13" s="180">
        <f>SUM(Tabela2[[#This Row],[G]:[GWD]])</f>
        <v>8</v>
      </c>
    </row>
    <row r="14" spans="1:19">
      <c r="A14" s="183">
        <v>38</v>
      </c>
      <c r="B14" s="171" t="s">
        <v>723</v>
      </c>
      <c r="C14" s="171" t="s">
        <v>722</v>
      </c>
      <c r="D14" s="171">
        <v>2</v>
      </c>
      <c r="E14" s="171" t="s">
        <v>252</v>
      </c>
      <c r="F14" s="171">
        <v>1</v>
      </c>
      <c r="G14" s="171">
        <v>1</v>
      </c>
      <c r="H14" s="171">
        <v>1</v>
      </c>
      <c r="I14" s="171">
        <v>1</v>
      </c>
      <c r="J14" s="171">
        <v>1</v>
      </c>
      <c r="K14" s="171">
        <v>1</v>
      </c>
      <c r="L14" s="171">
        <v>1</v>
      </c>
      <c r="M14" s="171">
        <v>1</v>
      </c>
      <c r="N14" s="170"/>
      <c r="O14" s="170"/>
      <c r="P14" s="180">
        <f>SUM(Tabela2[[#This Row],[G]]+Tabela2[[#This Row],[D]]+Tabela2[[#This Row],[N]]+Tabela2[[#This Row],[HM]])</f>
        <v>4</v>
      </c>
      <c r="Q14" s="180">
        <f>SUM(Tabela2[[#This Row],[AO]]+Tabela2[[#This Row],[AD]]+Tabela2[[#This Row],[GWO]]+Tabela2[[#This Row],[GWD]])</f>
        <v>4</v>
      </c>
      <c r="R14" s="180">
        <f>Tabela2[[#This Row],[GWO]]+Tabela2[[#This Row],[GWD]]</f>
        <v>2</v>
      </c>
      <c r="S14" s="180">
        <f>SUM(Tabela2[[#This Row],[G]:[GWD]])</f>
        <v>8</v>
      </c>
    </row>
    <row r="15" spans="1:19">
      <c r="A15" s="183">
        <v>33</v>
      </c>
      <c r="B15" s="172" t="s">
        <v>135</v>
      </c>
      <c r="C15" s="172" t="s">
        <v>722</v>
      </c>
      <c r="D15" s="172">
        <v>2</v>
      </c>
      <c r="E15" s="172" t="s">
        <v>251</v>
      </c>
      <c r="F15" s="172">
        <v>2</v>
      </c>
      <c r="G15" s="172">
        <v>1</v>
      </c>
      <c r="H15" s="172">
        <v>1</v>
      </c>
      <c r="I15" s="172">
        <v>3</v>
      </c>
      <c r="J15" s="172">
        <v>3</v>
      </c>
      <c r="K15" s="172">
        <v>1</v>
      </c>
      <c r="L15" s="172">
        <v>5</v>
      </c>
      <c r="M15" s="172">
        <v>3</v>
      </c>
      <c r="N15" s="170"/>
      <c r="O15" s="170" t="s">
        <v>205</v>
      </c>
      <c r="P15" s="180">
        <f>SUM(Tabela2[[#This Row],[G]]+Tabela2[[#This Row],[D]]+Tabela2[[#This Row],[N]]+Tabela2[[#This Row],[HM]])</f>
        <v>5</v>
      </c>
      <c r="Q15" s="180">
        <f>SUM(Tabela2[[#This Row],[AO]]+Tabela2[[#This Row],[AD]]+Tabela2[[#This Row],[GWO]]+Tabela2[[#This Row],[GWD]])</f>
        <v>14</v>
      </c>
      <c r="R15" s="180">
        <f>Tabela2[[#This Row],[GWO]]+Tabela2[[#This Row],[GWD]]</f>
        <v>8</v>
      </c>
      <c r="S15" s="180">
        <f>SUM(Tabela2[[#This Row],[G]:[GWD]])</f>
        <v>19</v>
      </c>
    </row>
    <row r="16" spans="1:19">
      <c r="A16" s="183">
        <v>5</v>
      </c>
      <c r="B16" s="175" t="s">
        <v>760</v>
      </c>
      <c r="C16" s="175" t="s">
        <v>722</v>
      </c>
      <c r="D16" s="175">
        <v>2</v>
      </c>
      <c r="E16" s="175" t="s">
        <v>18</v>
      </c>
      <c r="F16" s="175">
        <v>1</v>
      </c>
      <c r="G16" s="175">
        <v>1</v>
      </c>
      <c r="H16" s="175">
        <v>1</v>
      </c>
      <c r="I16" s="175">
        <v>1</v>
      </c>
      <c r="J16" s="175">
        <v>1</v>
      </c>
      <c r="K16" s="175">
        <v>1</v>
      </c>
      <c r="L16" s="175">
        <v>1</v>
      </c>
      <c r="M16" s="175">
        <v>1</v>
      </c>
      <c r="N16" s="170"/>
      <c r="O16" s="170"/>
      <c r="P16" s="180">
        <f>SUM(Tabela2[[#This Row],[G]]+Tabela2[[#This Row],[D]]+Tabela2[[#This Row],[N]]+Tabela2[[#This Row],[HM]])</f>
        <v>4</v>
      </c>
      <c r="Q16" s="180">
        <f>SUM(Tabela2[[#This Row],[AO]]+Tabela2[[#This Row],[AD]]+Tabela2[[#This Row],[GWO]]+Tabela2[[#This Row],[GWD]])</f>
        <v>4</v>
      </c>
      <c r="R16" s="180">
        <f>Tabela2[[#This Row],[GWO]]+Tabela2[[#This Row],[GWD]]</f>
        <v>2</v>
      </c>
      <c r="S16" s="180">
        <f>SUM(Tabela2[[#This Row],[G]:[GWD]])</f>
        <v>8</v>
      </c>
    </row>
    <row r="17" spans="1:19">
      <c r="A17" s="183">
        <v>165</v>
      </c>
      <c r="B17" s="171" t="s">
        <v>580</v>
      </c>
      <c r="C17" s="171" t="s">
        <v>579</v>
      </c>
      <c r="D17" s="171">
        <v>3</v>
      </c>
      <c r="E17" s="171" t="s">
        <v>252</v>
      </c>
      <c r="F17" s="171">
        <v>1</v>
      </c>
      <c r="G17" s="171">
        <v>1</v>
      </c>
      <c r="H17" s="171">
        <v>1</v>
      </c>
      <c r="I17" s="171">
        <v>1</v>
      </c>
      <c r="J17" s="171">
        <v>1</v>
      </c>
      <c r="K17" s="171">
        <v>1</v>
      </c>
      <c r="L17" s="171">
        <v>1</v>
      </c>
      <c r="M17" s="171">
        <v>1</v>
      </c>
      <c r="N17" s="170"/>
      <c r="O17" s="170"/>
      <c r="P17" s="180">
        <f>SUM(Tabela2[[#This Row],[G]]+Tabela2[[#This Row],[D]]+Tabela2[[#This Row],[N]]+Tabela2[[#This Row],[HM]])</f>
        <v>4</v>
      </c>
      <c r="Q17" s="180">
        <f>SUM(Tabela2[[#This Row],[AO]]+Tabela2[[#This Row],[AD]]+Tabela2[[#This Row],[GWO]]+Tabela2[[#This Row],[GWD]])</f>
        <v>4</v>
      </c>
      <c r="R17" s="180">
        <f>Tabela2[[#This Row],[GWO]]+Tabela2[[#This Row],[GWD]]</f>
        <v>2</v>
      </c>
      <c r="S17" s="180">
        <f>SUM(Tabela2[[#This Row],[G]:[GWD]])</f>
        <v>8</v>
      </c>
    </row>
    <row r="18" spans="1:19">
      <c r="A18" s="183">
        <v>78</v>
      </c>
      <c r="B18" s="175" t="s">
        <v>667</v>
      </c>
      <c r="C18" s="175" t="s">
        <v>579</v>
      </c>
      <c r="D18" s="175">
        <v>3</v>
      </c>
      <c r="E18" s="175" t="s">
        <v>18</v>
      </c>
      <c r="F18" s="175">
        <v>1</v>
      </c>
      <c r="G18" s="175">
        <v>1</v>
      </c>
      <c r="H18" s="175">
        <v>2</v>
      </c>
      <c r="I18" s="175">
        <v>1</v>
      </c>
      <c r="J18" s="175">
        <v>1</v>
      </c>
      <c r="K18" s="175">
        <v>1</v>
      </c>
      <c r="L18" s="175">
        <v>1</v>
      </c>
      <c r="M18" s="175">
        <v>1</v>
      </c>
      <c r="N18" s="170"/>
      <c r="O18" s="170"/>
      <c r="P18" s="180">
        <f>SUM(Tabela2[[#This Row],[G]]+Tabela2[[#This Row],[D]]+Tabela2[[#This Row],[N]]+Tabela2[[#This Row],[HM]])</f>
        <v>5</v>
      </c>
      <c r="Q18" s="180">
        <f>SUM(Tabela2[[#This Row],[AO]]+Tabela2[[#This Row],[AD]]+Tabela2[[#This Row],[GWO]]+Tabela2[[#This Row],[GWD]])</f>
        <v>4</v>
      </c>
      <c r="R18" s="180">
        <f>Tabela2[[#This Row],[GWO]]+Tabela2[[#This Row],[GWD]]</f>
        <v>2</v>
      </c>
      <c r="S18" s="180">
        <f>SUM(Tabela2[[#This Row],[G]:[GWD]])</f>
        <v>9</v>
      </c>
    </row>
    <row r="19" spans="1:19">
      <c r="A19" s="183">
        <v>46</v>
      </c>
      <c r="B19" s="170" t="s">
        <v>710</v>
      </c>
      <c r="C19" s="170" t="s">
        <v>709</v>
      </c>
      <c r="D19" s="170">
        <v>2</v>
      </c>
      <c r="E19" s="170" t="s">
        <v>273</v>
      </c>
      <c r="F19" s="170">
        <v>1</v>
      </c>
      <c r="G19" s="170">
        <v>1</v>
      </c>
      <c r="H19" s="170">
        <v>1</v>
      </c>
      <c r="I19" s="170">
        <v>1</v>
      </c>
      <c r="J19" s="170">
        <v>1</v>
      </c>
      <c r="K19" s="170">
        <v>1</v>
      </c>
      <c r="L19" s="170">
        <v>1</v>
      </c>
      <c r="M19" s="170">
        <v>1</v>
      </c>
      <c r="N19" s="170"/>
      <c r="O19" s="170"/>
      <c r="P19" s="180">
        <f>SUM(Tabela2[[#This Row],[G]]+Tabela2[[#This Row],[D]]+Tabela2[[#This Row],[N]]+Tabela2[[#This Row],[HM]])</f>
        <v>4</v>
      </c>
      <c r="Q19" s="180">
        <f>SUM(Tabela2[[#This Row],[AO]]+Tabela2[[#This Row],[AD]]+Tabela2[[#This Row],[GWO]]+Tabela2[[#This Row],[GWD]])</f>
        <v>4</v>
      </c>
      <c r="R19" s="180">
        <f>Tabela2[[#This Row],[GWO]]+Tabela2[[#This Row],[GWD]]</f>
        <v>2</v>
      </c>
      <c r="S19" s="180">
        <f>SUM(Tabela2[[#This Row],[G]:[GWD]])</f>
        <v>8</v>
      </c>
    </row>
    <row r="20" spans="1:19">
      <c r="A20" s="183">
        <v>27</v>
      </c>
      <c r="B20" s="172" t="s">
        <v>735</v>
      </c>
      <c r="C20" s="172" t="s">
        <v>709</v>
      </c>
      <c r="D20" s="172">
        <v>2</v>
      </c>
      <c r="E20" s="172" t="s">
        <v>251</v>
      </c>
      <c r="F20" s="172">
        <v>1</v>
      </c>
      <c r="G20" s="172">
        <v>1</v>
      </c>
      <c r="H20" s="172">
        <v>4</v>
      </c>
      <c r="I20" s="172">
        <v>1</v>
      </c>
      <c r="J20" s="172">
        <v>1</v>
      </c>
      <c r="K20" s="172">
        <v>1</v>
      </c>
      <c r="L20" s="172">
        <v>1</v>
      </c>
      <c r="M20" s="172">
        <v>1</v>
      </c>
      <c r="N20" s="170"/>
      <c r="O20" s="170"/>
      <c r="P20" s="180">
        <f>SUM(Tabela2[[#This Row],[G]]+Tabela2[[#This Row],[D]]+Tabela2[[#This Row],[N]]+Tabela2[[#This Row],[HM]])</f>
        <v>7</v>
      </c>
      <c r="Q20" s="180">
        <f>SUM(Tabela2[[#This Row],[AO]]+Tabela2[[#This Row],[AD]]+Tabela2[[#This Row],[GWO]]+Tabela2[[#This Row],[GWD]])</f>
        <v>4</v>
      </c>
      <c r="R20" s="180">
        <f>Tabela2[[#This Row],[GWO]]+Tabela2[[#This Row],[GWD]]</f>
        <v>2</v>
      </c>
      <c r="S20" s="180">
        <f>SUM(Tabela2[[#This Row],[G]:[GWD]])</f>
        <v>11</v>
      </c>
    </row>
    <row r="21" spans="1:19">
      <c r="A21" s="183">
        <v>17</v>
      </c>
      <c r="B21" s="174" t="s">
        <v>745</v>
      </c>
      <c r="C21" s="174" t="s">
        <v>709</v>
      </c>
      <c r="D21" s="174">
        <v>2</v>
      </c>
      <c r="E21" s="174" t="s">
        <v>250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80">
        <f>SUM(Tabela2[[#This Row],[G]]+Tabela2[[#This Row],[D]]+Tabela2[[#This Row],[N]]+Tabela2[[#This Row],[HM]])</f>
        <v>4</v>
      </c>
      <c r="Q21" s="180">
        <f>SUM(Tabela2[[#This Row],[AO]]+Tabela2[[#This Row],[AD]]+Tabela2[[#This Row],[GWO]]+Tabela2[[#This Row],[GWD]])</f>
        <v>4</v>
      </c>
      <c r="R21" s="180">
        <f>Tabela2[[#This Row],[GWO]]+Tabela2[[#This Row],[GWD]]</f>
        <v>2</v>
      </c>
      <c r="S21" s="180">
        <f>SUM(Tabela2[[#This Row],[G]:[GWD]])</f>
        <v>8</v>
      </c>
    </row>
    <row r="22" spans="1:19">
      <c r="A22" s="183">
        <v>31</v>
      </c>
      <c r="B22" s="172" t="s">
        <v>731</v>
      </c>
      <c r="C22" s="172" t="s">
        <v>730</v>
      </c>
      <c r="D22" s="172">
        <v>2</v>
      </c>
      <c r="E22" s="172" t="s">
        <v>251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80">
        <f>SUM(Tabela2[[#This Row],[G]]+Tabela2[[#This Row],[D]]+Tabela2[[#This Row],[N]]+Tabela2[[#This Row],[HM]])</f>
        <v>4</v>
      </c>
      <c r="Q22" s="180">
        <f>SUM(Tabela2[[#This Row],[AO]]+Tabela2[[#This Row],[AD]]+Tabela2[[#This Row],[GWO]]+Tabela2[[#This Row],[GWD]])</f>
        <v>4</v>
      </c>
      <c r="R22" s="180">
        <f>Tabela2[[#This Row],[GWO]]+Tabela2[[#This Row],[GWD]]</f>
        <v>2</v>
      </c>
      <c r="S22" s="180">
        <f>SUM(Tabela2[[#This Row],[G]:[GWD]])</f>
        <v>8</v>
      </c>
    </row>
    <row r="23" spans="1:19">
      <c r="A23" s="183">
        <v>20</v>
      </c>
      <c r="B23" s="174" t="s">
        <v>743</v>
      </c>
      <c r="C23" s="174" t="s">
        <v>730</v>
      </c>
      <c r="D23" s="174">
        <v>2</v>
      </c>
      <c r="E23" s="174" t="s">
        <v>250</v>
      </c>
      <c r="F23" s="174">
        <v>1</v>
      </c>
      <c r="G23" s="174">
        <v>1</v>
      </c>
      <c r="H23" s="174">
        <v>1</v>
      </c>
      <c r="I23" s="174">
        <v>1</v>
      </c>
      <c r="J23" s="174">
        <v>1</v>
      </c>
      <c r="K23" s="174">
        <v>1</v>
      </c>
      <c r="L23" s="174">
        <v>1</v>
      </c>
      <c r="M23" s="174">
        <v>1</v>
      </c>
      <c r="N23" s="170"/>
      <c r="O23" s="170"/>
      <c r="P23" s="180">
        <f>SUM(Tabela2[[#This Row],[G]]+Tabela2[[#This Row],[D]]+Tabela2[[#This Row],[N]]+Tabela2[[#This Row],[HM]])</f>
        <v>4</v>
      </c>
      <c r="Q23" s="180">
        <f>SUM(Tabela2[[#This Row],[AO]]+Tabela2[[#This Row],[AD]]+Tabela2[[#This Row],[GWO]]+Tabela2[[#This Row],[GWD]])</f>
        <v>4</v>
      </c>
      <c r="R23" s="180">
        <f>Tabela2[[#This Row],[GWO]]+Tabela2[[#This Row],[GWD]]</f>
        <v>2</v>
      </c>
      <c r="S23" s="180">
        <f>SUM(Tabela2[[#This Row],[G]:[GWD]])</f>
        <v>8</v>
      </c>
    </row>
    <row r="24" spans="1:19">
      <c r="A24" s="183">
        <v>276</v>
      </c>
      <c r="B24" s="172" t="s">
        <v>447</v>
      </c>
      <c r="C24" s="172" t="s">
        <v>185</v>
      </c>
      <c r="D24" s="172">
        <v>4</v>
      </c>
      <c r="E24" s="172" t="s">
        <v>251</v>
      </c>
      <c r="F24" s="172">
        <v>4</v>
      </c>
      <c r="G24" s="172">
        <v>1</v>
      </c>
      <c r="H24" s="172">
        <v>1</v>
      </c>
      <c r="I24" s="172">
        <v>1</v>
      </c>
      <c r="J24" s="172">
        <v>1</v>
      </c>
      <c r="K24" s="172">
        <v>1</v>
      </c>
      <c r="L24" s="172">
        <v>3</v>
      </c>
      <c r="M24" s="172">
        <v>1</v>
      </c>
      <c r="N24" s="172" t="s">
        <v>446</v>
      </c>
      <c r="O24" s="172"/>
      <c r="P24" s="186">
        <f>SUM(Tabela2[[#This Row],[G]]+Tabela2[[#This Row],[D]]+Tabela2[[#This Row],[N]]+Tabela2[[#This Row],[HM]])</f>
        <v>7</v>
      </c>
      <c r="Q24" s="186">
        <f>SUM(Tabela2[[#This Row],[AO]]+Tabela2[[#This Row],[AD]]+Tabela2[[#This Row],[GWO]]+Tabela2[[#This Row],[GWD]])</f>
        <v>6</v>
      </c>
      <c r="R24" s="186">
        <f>Tabela2[[#This Row],[GWO]]+Tabela2[[#This Row],[GWD]]</f>
        <v>4</v>
      </c>
      <c r="S24" s="180">
        <f>SUM(Tabela2[[#This Row],[G]:[GWD]])</f>
        <v>13</v>
      </c>
    </row>
    <row r="25" spans="1:19">
      <c r="A25" s="183">
        <v>250</v>
      </c>
      <c r="B25" s="174" t="s">
        <v>473</v>
      </c>
      <c r="C25" s="174" t="s">
        <v>185</v>
      </c>
      <c r="D25" s="174">
        <v>4</v>
      </c>
      <c r="E25" s="174" t="s">
        <v>250</v>
      </c>
      <c r="F25" s="174">
        <v>1</v>
      </c>
      <c r="G25" s="174">
        <v>1</v>
      </c>
      <c r="H25" s="174">
        <v>1</v>
      </c>
      <c r="I25" s="174">
        <v>1</v>
      </c>
      <c r="J25" s="174">
        <v>1</v>
      </c>
      <c r="K25" s="174">
        <v>1</v>
      </c>
      <c r="L25" s="174">
        <v>1</v>
      </c>
      <c r="M25" s="174">
        <v>1</v>
      </c>
      <c r="N25" s="170"/>
      <c r="O25" s="170"/>
      <c r="P25" s="180">
        <f>SUM(Tabela2[[#This Row],[G]]+Tabela2[[#This Row],[D]]+Tabela2[[#This Row],[N]]+Tabela2[[#This Row],[HM]])</f>
        <v>4</v>
      </c>
      <c r="Q25" s="180">
        <f>SUM(Tabela2[[#This Row],[AO]]+Tabela2[[#This Row],[AD]]+Tabela2[[#This Row],[GWO]]+Tabela2[[#This Row],[GWD]])</f>
        <v>4</v>
      </c>
      <c r="R25" s="180">
        <f>Tabela2[[#This Row],[GWO]]+Tabela2[[#This Row],[GWD]]</f>
        <v>2</v>
      </c>
      <c r="S25" s="180">
        <f>SUM(Tabela2[[#This Row],[G]:[GWD]])</f>
        <v>8</v>
      </c>
    </row>
    <row r="26" spans="1:19">
      <c r="A26" s="183">
        <v>225</v>
      </c>
      <c r="B26" s="175" t="s">
        <v>497</v>
      </c>
      <c r="C26" s="175" t="s">
        <v>185</v>
      </c>
      <c r="D26" s="175">
        <v>4</v>
      </c>
      <c r="E26" s="175" t="s">
        <v>18</v>
      </c>
      <c r="F26" s="175">
        <v>3</v>
      </c>
      <c r="G26" s="175">
        <v>5</v>
      </c>
      <c r="H26" s="175">
        <v>3</v>
      </c>
      <c r="I26" s="175">
        <v>5</v>
      </c>
      <c r="J26" s="175">
        <v>5</v>
      </c>
      <c r="K26" s="175">
        <v>5</v>
      </c>
      <c r="L26" s="175">
        <v>4</v>
      </c>
      <c r="M26" s="175">
        <v>5</v>
      </c>
      <c r="N26" s="170"/>
      <c r="O26" s="170"/>
      <c r="P26" s="180">
        <f>SUM(Tabela2[[#This Row],[G]]+Tabela2[[#This Row],[D]]+Tabela2[[#This Row],[N]]+Tabela2[[#This Row],[HM]])</f>
        <v>16</v>
      </c>
      <c r="Q26" s="180">
        <f>SUM(Tabela2[[#This Row],[AO]]+Tabela2[[#This Row],[AD]]+Tabela2[[#This Row],[GWO]]+Tabela2[[#This Row],[GWD]])</f>
        <v>19</v>
      </c>
      <c r="R26" s="180">
        <f>Tabela2[[#This Row],[GWO]]+Tabela2[[#This Row],[GWD]]</f>
        <v>9</v>
      </c>
      <c r="S26" s="180">
        <f>SUM(Tabela2[[#This Row],[G]:[GWD]])</f>
        <v>35</v>
      </c>
    </row>
    <row r="27" spans="1:19">
      <c r="A27" s="183">
        <v>197</v>
      </c>
      <c r="B27" s="170" t="s">
        <v>146</v>
      </c>
      <c r="C27" s="170" t="s">
        <v>268</v>
      </c>
      <c r="D27" s="170">
        <v>3</v>
      </c>
      <c r="E27" s="170" t="s">
        <v>273</v>
      </c>
      <c r="F27" s="170">
        <v>4</v>
      </c>
      <c r="G27" s="170">
        <v>2</v>
      </c>
      <c r="H27" s="170">
        <v>1</v>
      </c>
      <c r="I27" s="170">
        <v>3</v>
      </c>
      <c r="J27" s="170">
        <v>4</v>
      </c>
      <c r="K27" s="170">
        <v>3</v>
      </c>
      <c r="L27" s="170">
        <v>4</v>
      </c>
      <c r="M27" s="170">
        <v>4</v>
      </c>
      <c r="N27" s="170"/>
      <c r="O27" s="170" t="s">
        <v>205</v>
      </c>
      <c r="P27" s="180">
        <f>SUM(Tabela2[[#This Row],[G]]+Tabela2[[#This Row],[D]]+Tabela2[[#This Row],[N]]+Tabela2[[#This Row],[HM]])</f>
        <v>10</v>
      </c>
      <c r="Q27" s="180">
        <f>SUM(Tabela2[[#This Row],[AO]]+Tabela2[[#This Row],[AD]]+Tabela2[[#This Row],[GWO]]+Tabela2[[#This Row],[GWD]])</f>
        <v>15</v>
      </c>
      <c r="R27" s="180">
        <f>Tabela2[[#This Row],[GWO]]+Tabela2[[#This Row],[GWD]]</f>
        <v>8</v>
      </c>
      <c r="S27" s="180">
        <f>SUM(Tabela2[[#This Row],[G]:[GWD]])</f>
        <v>25</v>
      </c>
    </row>
    <row r="28" spans="1:19">
      <c r="A28" s="183">
        <v>164</v>
      </c>
      <c r="B28" s="171" t="s">
        <v>581</v>
      </c>
      <c r="C28" s="171" t="s">
        <v>268</v>
      </c>
      <c r="D28" s="171">
        <v>3</v>
      </c>
      <c r="E28" s="171" t="s">
        <v>252</v>
      </c>
      <c r="F28" s="171">
        <v>1</v>
      </c>
      <c r="G28" s="171">
        <v>1</v>
      </c>
      <c r="H28" s="171">
        <v>1</v>
      </c>
      <c r="I28" s="171">
        <v>2</v>
      </c>
      <c r="J28" s="171">
        <v>3</v>
      </c>
      <c r="K28" s="171">
        <v>2</v>
      </c>
      <c r="L28" s="171">
        <v>3</v>
      </c>
      <c r="M28" s="171">
        <v>3</v>
      </c>
      <c r="N28" s="170"/>
      <c r="O28" s="170"/>
      <c r="P28" s="180">
        <f>SUM(Tabela2[[#This Row],[G]]+Tabela2[[#This Row],[D]]+Tabela2[[#This Row],[N]]+Tabela2[[#This Row],[HM]])</f>
        <v>5</v>
      </c>
      <c r="Q28" s="180">
        <f>SUM(Tabela2[[#This Row],[AO]]+Tabela2[[#This Row],[AD]]+Tabela2[[#This Row],[GWO]]+Tabela2[[#This Row],[GWD]])</f>
        <v>11</v>
      </c>
      <c r="R28" s="180">
        <f>Tabela2[[#This Row],[GWO]]+Tabela2[[#This Row],[GWD]]</f>
        <v>6</v>
      </c>
      <c r="S28" s="180">
        <f>SUM(Tabela2[[#This Row],[G]:[GWD]])</f>
        <v>16</v>
      </c>
    </row>
    <row r="29" spans="1:19">
      <c r="A29" s="183">
        <v>76</v>
      </c>
      <c r="B29" s="175" t="s">
        <v>669</v>
      </c>
      <c r="C29" s="175" t="s">
        <v>268</v>
      </c>
      <c r="D29" s="175">
        <v>3</v>
      </c>
      <c r="E29" s="175" t="s">
        <v>18</v>
      </c>
      <c r="F29" s="175">
        <v>1</v>
      </c>
      <c r="G29" s="175">
        <v>1</v>
      </c>
      <c r="H29" s="175">
        <v>1</v>
      </c>
      <c r="I29" s="175">
        <v>2</v>
      </c>
      <c r="J29" s="175">
        <v>2</v>
      </c>
      <c r="K29" s="175">
        <v>1</v>
      </c>
      <c r="L29" s="175">
        <v>1</v>
      </c>
      <c r="M29" s="175">
        <v>1</v>
      </c>
      <c r="N29" s="170"/>
      <c r="O29" s="170"/>
      <c r="P29" s="180">
        <f>SUM(Tabela2[[#This Row],[G]]+Tabela2[[#This Row],[D]]+Tabela2[[#This Row],[N]]+Tabela2[[#This Row],[HM]])</f>
        <v>4</v>
      </c>
      <c r="Q29" s="180">
        <f>SUM(Tabela2[[#This Row],[AO]]+Tabela2[[#This Row],[AD]]+Tabela2[[#This Row],[GWO]]+Tabela2[[#This Row],[GWD]])</f>
        <v>6</v>
      </c>
      <c r="R29" s="180">
        <f>Tabela2[[#This Row],[GWO]]+Tabela2[[#This Row],[GWD]]</f>
        <v>2</v>
      </c>
      <c r="S29" s="180">
        <f>SUM(Tabela2[[#This Row],[G]:[GWD]])</f>
        <v>10</v>
      </c>
    </row>
    <row r="30" spans="1:19">
      <c r="A30" s="183">
        <v>326</v>
      </c>
      <c r="B30" s="170" t="s">
        <v>376</v>
      </c>
      <c r="C30" s="170" t="s">
        <v>227</v>
      </c>
      <c r="D30" s="170">
        <v>4</v>
      </c>
      <c r="E30" s="170" t="s">
        <v>273</v>
      </c>
      <c r="F30" s="170">
        <v>1</v>
      </c>
      <c r="G30" s="170">
        <v>1</v>
      </c>
      <c r="H30" s="170">
        <v>1</v>
      </c>
      <c r="I30" s="170">
        <v>2</v>
      </c>
      <c r="J30" s="170">
        <v>1</v>
      </c>
      <c r="K30" s="170">
        <v>3</v>
      </c>
      <c r="L30" s="170">
        <v>3</v>
      </c>
      <c r="M30" s="170">
        <v>1</v>
      </c>
      <c r="N30" s="170"/>
      <c r="O30" s="170"/>
      <c r="P30" s="180">
        <f>SUM(Tabela2[[#This Row],[G]]+Tabela2[[#This Row],[D]]+Tabela2[[#This Row],[N]]+Tabela2[[#This Row],[HM]])</f>
        <v>6</v>
      </c>
      <c r="Q30" s="180">
        <f>SUM(Tabela2[[#This Row],[AO]]+Tabela2[[#This Row],[AD]]+Tabela2[[#This Row],[GWO]]+Tabela2[[#This Row],[GWD]])</f>
        <v>7</v>
      </c>
      <c r="R30" s="180">
        <f>Tabela2[[#This Row],[GWO]]+Tabela2[[#This Row],[GWD]]</f>
        <v>4</v>
      </c>
      <c r="S30" s="180">
        <f>SUM(Tabela2[[#This Row],[G]:[GWD]])</f>
        <v>13</v>
      </c>
    </row>
    <row r="31" spans="1:19">
      <c r="A31" s="183">
        <v>299</v>
      </c>
      <c r="B31" s="171" t="s">
        <v>422</v>
      </c>
      <c r="C31" s="171" t="s">
        <v>227</v>
      </c>
      <c r="D31" s="171">
        <v>4</v>
      </c>
      <c r="E31" s="171" t="s">
        <v>252</v>
      </c>
      <c r="F31" s="171">
        <v>1</v>
      </c>
      <c r="G31" s="171">
        <v>1</v>
      </c>
      <c r="H31" s="171">
        <v>1</v>
      </c>
      <c r="I31" s="171">
        <v>2</v>
      </c>
      <c r="J31" s="171">
        <v>2</v>
      </c>
      <c r="K31" s="171">
        <v>1</v>
      </c>
      <c r="L31" s="171">
        <v>3</v>
      </c>
      <c r="M31" s="171">
        <v>2</v>
      </c>
      <c r="N31" s="170"/>
      <c r="O31" s="170"/>
      <c r="P31" s="180">
        <f>SUM(Tabela2[[#This Row],[G]]+Tabela2[[#This Row],[D]]+Tabela2[[#This Row],[N]]+Tabela2[[#This Row],[HM]])</f>
        <v>4</v>
      </c>
      <c r="Q31" s="180">
        <f>SUM(Tabela2[[#This Row],[AO]]+Tabela2[[#This Row],[AD]]+Tabela2[[#This Row],[GWO]]+Tabela2[[#This Row],[GWD]])</f>
        <v>9</v>
      </c>
      <c r="R31" s="180">
        <f>Tabela2[[#This Row],[GWO]]+Tabela2[[#This Row],[GWD]]</f>
        <v>5</v>
      </c>
      <c r="S31" s="180">
        <f>SUM(Tabela2[[#This Row],[G]:[GWD]])</f>
        <v>13</v>
      </c>
    </row>
    <row r="32" spans="1:19">
      <c r="A32" s="183">
        <v>275</v>
      </c>
      <c r="B32" s="172" t="s">
        <v>448</v>
      </c>
      <c r="C32" s="172" t="s">
        <v>227</v>
      </c>
      <c r="D32" s="172">
        <v>4</v>
      </c>
      <c r="E32" s="172" t="s">
        <v>251</v>
      </c>
      <c r="F32" s="172">
        <v>4</v>
      </c>
      <c r="G32" s="172">
        <v>1</v>
      </c>
      <c r="H32" s="172">
        <v>1</v>
      </c>
      <c r="I32" s="172">
        <v>3</v>
      </c>
      <c r="J32" s="172">
        <v>3</v>
      </c>
      <c r="K32" s="172">
        <v>2</v>
      </c>
      <c r="L32" s="172">
        <v>4</v>
      </c>
      <c r="M32" s="172">
        <v>2</v>
      </c>
      <c r="N32" s="170"/>
      <c r="O32" s="170"/>
      <c r="P32" s="180">
        <f>SUM(Tabela2[[#This Row],[G]]+Tabela2[[#This Row],[D]]+Tabela2[[#This Row],[N]]+Tabela2[[#This Row],[HM]])</f>
        <v>8</v>
      </c>
      <c r="Q32" s="180">
        <f>SUM(Tabela2[[#This Row],[AO]]+Tabela2[[#This Row],[AD]]+Tabela2[[#This Row],[GWO]]+Tabela2[[#This Row],[GWD]])</f>
        <v>12</v>
      </c>
      <c r="R32" s="180">
        <f>Tabela2[[#This Row],[GWO]]+Tabela2[[#This Row],[GWD]]</f>
        <v>6</v>
      </c>
      <c r="S32" s="180">
        <f>SUM(Tabela2[[#This Row],[G]:[GWD]])</f>
        <v>20</v>
      </c>
    </row>
    <row r="33" spans="1:19">
      <c r="A33" s="183">
        <v>249</v>
      </c>
      <c r="B33" s="174" t="s">
        <v>474</v>
      </c>
      <c r="C33" s="174" t="s">
        <v>227</v>
      </c>
      <c r="D33" s="174">
        <v>4</v>
      </c>
      <c r="E33" s="174" t="s">
        <v>250</v>
      </c>
      <c r="F33" s="174">
        <v>1</v>
      </c>
      <c r="G33" s="174">
        <v>2</v>
      </c>
      <c r="H33" s="174">
        <v>1</v>
      </c>
      <c r="I33" s="174">
        <v>1</v>
      </c>
      <c r="J33" s="174">
        <v>1</v>
      </c>
      <c r="K33" s="174">
        <v>1</v>
      </c>
      <c r="L33" s="174">
        <v>2</v>
      </c>
      <c r="M33" s="174">
        <v>1</v>
      </c>
      <c r="N33" s="174" t="s">
        <v>446</v>
      </c>
      <c r="O33" s="174"/>
      <c r="P33" s="185">
        <f>SUM(Tabela2[[#This Row],[G]]+Tabela2[[#This Row],[D]]+Tabela2[[#This Row],[N]]+Tabela2[[#This Row],[HM]])</f>
        <v>5</v>
      </c>
      <c r="Q33" s="185">
        <f>SUM(Tabela2[[#This Row],[AO]]+Tabela2[[#This Row],[AD]]+Tabela2[[#This Row],[GWO]]+Tabela2[[#This Row],[GWD]])</f>
        <v>5</v>
      </c>
      <c r="R33" s="185">
        <f>Tabela2[[#This Row],[GWO]]+Tabela2[[#This Row],[GWD]]</f>
        <v>3</v>
      </c>
      <c r="S33" s="180">
        <f>SUM(Tabela2[[#This Row],[G]:[GWD]])</f>
        <v>10</v>
      </c>
    </row>
    <row r="34" spans="1:19">
      <c r="A34" s="183">
        <v>224</v>
      </c>
      <c r="B34" s="175" t="s">
        <v>498</v>
      </c>
      <c r="C34" s="175" t="s">
        <v>227</v>
      </c>
      <c r="D34" s="175">
        <v>4</v>
      </c>
      <c r="E34" s="175" t="s">
        <v>18</v>
      </c>
      <c r="F34" s="175">
        <v>1</v>
      </c>
      <c r="G34" s="175">
        <v>3</v>
      </c>
      <c r="H34" s="175">
        <v>1</v>
      </c>
      <c r="I34" s="175">
        <v>1</v>
      </c>
      <c r="J34" s="175">
        <v>1</v>
      </c>
      <c r="K34" s="175">
        <v>2</v>
      </c>
      <c r="L34" s="175">
        <v>1</v>
      </c>
      <c r="M34" s="175">
        <v>1</v>
      </c>
      <c r="N34" s="170"/>
      <c r="O34" s="170"/>
      <c r="P34" s="180">
        <f>SUM(Tabela2[[#This Row],[G]]+Tabela2[[#This Row],[D]]+Tabela2[[#This Row],[N]]+Tabela2[[#This Row],[HM]])</f>
        <v>7</v>
      </c>
      <c r="Q34" s="180">
        <f>SUM(Tabela2[[#This Row],[AO]]+Tabela2[[#This Row],[AD]]+Tabela2[[#This Row],[GWO]]+Tabela2[[#This Row],[GWD]])</f>
        <v>4</v>
      </c>
      <c r="R34" s="180">
        <f>Tabela2[[#This Row],[GWO]]+Tabela2[[#This Row],[GWD]]</f>
        <v>2</v>
      </c>
      <c r="S34" s="180">
        <f>SUM(Tabela2[[#This Row],[G]:[GWD]])</f>
        <v>11</v>
      </c>
    </row>
    <row r="35" spans="1:19">
      <c r="A35" s="183">
        <v>325</v>
      </c>
      <c r="B35" s="170" t="s">
        <v>378</v>
      </c>
      <c r="C35" s="170" t="s">
        <v>377</v>
      </c>
      <c r="D35" s="170">
        <v>4</v>
      </c>
      <c r="E35" s="170" t="s">
        <v>273</v>
      </c>
      <c r="F35" s="170">
        <v>3</v>
      </c>
      <c r="G35" s="170">
        <v>3</v>
      </c>
      <c r="H35" s="170">
        <v>3</v>
      </c>
      <c r="I35" s="170">
        <v>5</v>
      </c>
      <c r="J35" s="170">
        <v>5</v>
      </c>
      <c r="K35" s="170">
        <v>5</v>
      </c>
      <c r="L35" s="170">
        <v>5</v>
      </c>
      <c r="M35" s="170">
        <v>4</v>
      </c>
      <c r="N35" s="170"/>
      <c r="O35" s="170"/>
      <c r="P35" s="180">
        <f>SUM(Tabela2[[#This Row],[G]]+Tabela2[[#This Row],[D]]+Tabela2[[#This Row],[N]]+Tabela2[[#This Row],[HM]])</f>
        <v>14</v>
      </c>
      <c r="Q35" s="180">
        <f>SUM(Tabela2[[#This Row],[AO]]+Tabela2[[#This Row],[AD]]+Tabela2[[#This Row],[GWO]]+Tabela2[[#This Row],[GWD]])</f>
        <v>19</v>
      </c>
      <c r="R35" s="180">
        <f>Tabela2[[#This Row],[GWO]]+Tabela2[[#This Row],[GWD]]</f>
        <v>9</v>
      </c>
      <c r="S35" s="180">
        <f>SUM(Tabela2[[#This Row],[G]:[GWD]])</f>
        <v>33</v>
      </c>
    </row>
    <row r="36" spans="1:19">
      <c r="A36" s="183">
        <v>277</v>
      </c>
      <c r="B36" s="172" t="s">
        <v>445</v>
      </c>
      <c r="C36" s="172" t="s">
        <v>377</v>
      </c>
      <c r="D36" s="172">
        <v>4</v>
      </c>
      <c r="E36" s="172" t="s">
        <v>251</v>
      </c>
      <c r="F36" s="172">
        <v>3</v>
      </c>
      <c r="G36" s="172">
        <v>1</v>
      </c>
      <c r="H36" s="172">
        <v>1</v>
      </c>
      <c r="I36" s="172">
        <v>3</v>
      </c>
      <c r="J36" s="172">
        <v>1</v>
      </c>
      <c r="K36" s="172">
        <v>3</v>
      </c>
      <c r="L36" s="172">
        <v>1</v>
      </c>
      <c r="M36" s="172">
        <v>1</v>
      </c>
      <c r="N36" s="170"/>
      <c r="O36" s="170"/>
      <c r="P36" s="180">
        <f>SUM(Tabela2[[#This Row],[G]]+Tabela2[[#This Row],[D]]+Tabela2[[#This Row],[N]]+Tabela2[[#This Row],[HM]])</f>
        <v>8</v>
      </c>
      <c r="Q36" s="180">
        <f>SUM(Tabela2[[#This Row],[AO]]+Tabela2[[#This Row],[AD]]+Tabela2[[#This Row],[GWO]]+Tabela2[[#This Row],[GWD]])</f>
        <v>6</v>
      </c>
      <c r="R36" s="180">
        <f>Tabela2[[#This Row],[GWO]]+Tabela2[[#This Row],[GWD]]</f>
        <v>2</v>
      </c>
      <c r="S36" s="180">
        <f>SUM(Tabela2[[#This Row],[G]:[GWD]])</f>
        <v>14</v>
      </c>
    </row>
    <row r="37" spans="1:19">
      <c r="A37" s="183">
        <v>251</v>
      </c>
      <c r="B37" s="174" t="s">
        <v>472</v>
      </c>
      <c r="C37" s="174" t="s">
        <v>377</v>
      </c>
      <c r="D37" s="174">
        <v>4</v>
      </c>
      <c r="E37" s="174" t="s">
        <v>250</v>
      </c>
      <c r="F37" s="174">
        <v>1</v>
      </c>
      <c r="G37" s="174">
        <v>1</v>
      </c>
      <c r="H37" s="174">
        <v>1</v>
      </c>
      <c r="I37" s="174">
        <v>1</v>
      </c>
      <c r="J37" s="174">
        <v>1</v>
      </c>
      <c r="K37" s="174">
        <v>1</v>
      </c>
      <c r="L37" s="174">
        <v>1</v>
      </c>
      <c r="M37" s="174">
        <v>1</v>
      </c>
      <c r="N37" s="170"/>
      <c r="O37" s="170"/>
      <c r="P37" s="180">
        <f>SUM(Tabela2[[#This Row],[G]]+Tabela2[[#This Row],[D]]+Tabela2[[#This Row],[N]]+Tabela2[[#This Row],[HM]])</f>
        <v>4</v>
      </c>
      <c r="Q37" s="180">
        <f>SUM(Tabela2[[#This Row],[AO]]+Tabela2[[#This Row],[AD]]+Tabela2[[#This Row],[GWO]]+Tabela2[[#This Row],[GWD]])</f>
        <v>4</v>
      </c>
      <c r="R37" s="180">
        <f>Tabela2[[#This Row],[GWO]]+Tabela2[[#This Row],[GWD]]</f>
        <v>2</v>
      </c>
      <c r="S37" s="180">
        <f>SUM(Tabela2[[#This Row],[G]:[GWD]])</f>
        <v>8</v>
      </c>
    </row>
    <row r="38" spans="1:19">
      <c r="A38" s="183">
        <v>163</v>
      </c>
      <c r="B38" s="171" t="s">
        <v>582</v>
      </c>
      <c r="C38" s="171" t="s">
        <v>377</v>
      </c>
      <c r="D38" s="171">
        <v>3</v>
      </c>
      <c r="E38" s="171" t="s">
        <v>252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80">
        <f>SUM(Tabela2[[#This Row],[G]]+Tabela2[[#This Row],[D]]+Tabela2[[#This Row],[N]]+Tabela2[[#This Row],[HM]])</f>
        <v>4</v>
      </c>
      <c r="Q38" s="180">
        <f>SUM(Tabela2[[#This Row],[AO]]+Tabela2[[#This Row],[AD]]+Tabela2[[#This Row],[GWO]]+Tabela2[[#This Row],[GWD]])</f>
        <v>4</v>
      </c>
      <c r="R38" s="180">
        <f>Tabela2[[#This Row],[GWO]]+Tabela2[[#This Row],[GWD]]</f>
        <v>2</v>
      </c>
      <c r="S38" s="180">
        <f>SUM(Tabela2[[#This Row],[G]:[GWD]])</f>
        <v>8</v>
      </c>
    </row>
    <row r="39" spans="1:19">
      <c r="A39" s="183">
        <v>75</v>
      </c>
      <c r="B39" s="175" t="s">
        <v>670</v>
      </c>
      <c r="C39" s="175" t="s">
        <v>377</v>
      </c>
      <c r="D39" s="175">
        <v>3</v>
      </c>
      <c r="E39" s="175" t="s">
        <v>18</v>
      </c>
      <c r="F39" s="175">
        <v>1</v>
      </c>
      <c r="G39" s="175">
        <v>1</v>
      </c>
      <c r="H39" s="175">
        <v>1</v>
      </c>
      <c r="I39" s="175">
        <v>1</v>
      </c>
      <c r="J39" s="175">
        <v>1</v>
      </c>
      <c r="K39" s="175">
        <v>1</v>
      </c>
      <c r="L39" s="175">
        <v>1</v>
      </c>
      <c r="M39" s="175">
        <v>1</v>
      </c>
      <c r="N39" s="170"/>
      <c r="O39" s="170"/>
      <c r="P39" s="180">
        <f>SUM(Tabela2[[#This Row],[G]]+Tabela2[[#This Row],[D]]+Tabela2[[#This Row],[N]]+Tabela2[[#This Row],[HM]])</f>
        <v>4</v>
      </c>
      <c r="Q39" s="180">
        <f>SUM(Tabela2[[#This Row],[AO]]+Tabela2[[#This Row],[AD]]+Tabela2[[#This Row],[GWO]]+Tabela2[[#This Row],[GWD]])</f>
        <v>4</v>
      </c>
      <c r="R39" s="180">
        <f>Tabela2[[#This Row],[GWO]]+Tabela2[[#This Row],[GWD]]</f>
        <v>2</v>
      </c>
      <c r="S39" s="180">
        <f>SUM(Tabela2[[#This Row],[G]:[GWD]])</f>
        <v>8</v>
      </c>
    </row>
    <row r="40" spans="1:19">
      <c r="A40" s="183">
        <v>324</v>
      </c>
      <c r="B40" s="170" t="s">
        <v>380</v>
      </c>
      <c r="C40" s="170" t="s">
        <v>379</v>
      </c>
      <c r="D40" s="170">
        <v>4</v>
      </c>
      <c r="E40" s="170" t="s">
        <v>273</v>
      </c>
      <c r="F40" s="170">
        <v>3</v>
      </c>
      <c r="G40" s="170">
        <v>4</v>
      </c>
      <c r="H40" s="170">
        <v>1</v>
      </c>
      <c r="I40" s="170">
        <v>2</v>
      </c>
      <c r="J40" s="170">
        <v>4</v>
      </c>
      <c r="K40" s="170">
        <v>2</v>
      </c>
      <c r="L40" s="170">
        <v>5</v>
      </c>
      <c r="M40" s="170">
        <v>4</v>
      </c>
      <c r="N40" s="170"/>
      <c r="O40" s="170"/>
      <c r="P40" s="180">
        <f>SUM(Tabela2[[#This Row],[G]]+Tabela2[[#This Row],[D]]+Tabela2[[#This Row],[N]]+Tabela2[[#This Row],[HM]])</f>
        <v>10</v>
      </c>
      <c r="Q40" s="180">
        <f>SUM(Tabela2[[#This Row],[AO]]+Tabela2[[#This Row],[AD]]+Tabela2[[#This Row],[GWO]]+Tabela2[[#This Row],[GWD]])</f>
        <v>15</v>
      </c>
      <c r="R40" s="180">
        <f>Tabela2[[#This Row],[GWO]]+Tabela2[[#This Row],[GWD]]</f>
        <v>9</v>
      </c>
      <c r="S40" s="180">
        <f>SUM(Tabela2[[#This Row],[G]:[GWD]])</f>
        <v>25</v>
      </c>
    </row>
    <row r="41" spans="1:19">
      <c r="A41" s="183">
        <v>298</v>
      </c>
      <c r="B41" s="171" t="s">
        <v>423</v>
      </c>
      <c r="C41" s="171" t="s">
        <v>379</v>
      </c>
      <c r="D41" s="171">
        <v>4</v>
      </c>
      <c r="E41" s="171" t="s">
        <v>252</v>
      </c>
      <c r="F41" s="171">
        <v>1</v>
      </c>
      <c r="G41" s="171">
        <v>1</v>
      </c>
      <c r="H41" s="171">
        <v>1</v>
      </c>
      <c r="I41" s="171">
        <v>3</v>
      </c>
      <c r="J41" s="171">
        <v>3</v>
      </c>
      <c r="K41" s="171">
        <v>3</v>
      </c>
      <c r="L41" s="171">
        <v>2</v>
      </c>
      <c r="M41" s="171">
        <v>1</v>
      </c>
      <c r="N41" s="170"/>
      <c r="O41" s="170"/>
      <c r="P41" s="180">
        <f>SUM(Tabela2[[#This Row],[G]]+Tabela2[[#This Row],[D]]+Tabela2[[#This Row],[N]]+Tabela2[[#This Row],[HM]])</f>
        <v>6</v>
      </c>
      <c r="Q41" s="180">
        <f>SUM(Tabela2[[#This Row],[AO]]+Tabela2[[#This Row],[AD]]+Tabela2[[#This Row],[GWO]]+Tabela2[[#This Row],[GWD]])</f>
        <v>9</v>
      </c>
      <c r="R41" s="180">
        <f>Tabela2[[#This Row],[GWO]]+Tabela2[[#This Row],[GWD]]</f>
        <v>3</v>
      </c>
      <c r="S41" s="180">
        <f>SUM(Tabela2[[#This Row],[G]:[GWD]])</f>
        <v>15</v>
      </c>
    </row>
    <row r="42" spans="1:19">
      <c r="A42" s="183">
        <v>274</v>
      </c>
      <c r="B42" s="172" t="s">
        <v>449</v>
      </c>
      <c r="C42" s="172" t="s">
        <v>379</v>
      </c>
      <c r="D42" s="172">
        <v>4</v>
      </c>
      <c r="E42" s="172" t="s">
        <v>251</v>
      </c>
      <c r="F42" s="172">
        <v>5</v>
      </c>
      <c r="G42" s="172">
        <v>1</v>
      </c>
      <c r="H42" s="172">
        <v>1</v>
      </c>
      <c r="I42" s="172">
        <v>1</v>
      </c>
      <c r="J42" s="172">
        <v>1</v>
      </c>
      <c r="K42" s="172">
        <v>3</v>
      </c>
      <c r="L42" s="172">
        <v>3</v>
      </c>
      <c r="M42" s="172">
        <v>2</v>
      </c>
      <c r="N42" s="170"/>
      <c r="O42" s="170"/>
      <c r="P42" s="180">
        <f>SUM(Tabela2[[#This Row],[G]]+Tabela2[[#This Row],[D]]+Tabela2[[#This Row],[N]]+Tabela2[[#This Row],[HM]])</f>
        <v>10</v>
      </c>
      <c r="Q42" s="180">
        <f>SUM(Tabela2[[#This Row],[AO]]+Tabela2[[#This Row],[AD]]+Tabela2[[#This Row],[GWO]]+Tabela2[[#This Row],[GWD]])</f>
        <v>7</v>
      </c>
      <c r="R42" s="180">
        <f>Tabela2[[#This Row],[GWO]]+Tabela2[[#This Row],[GWD]]</f>
        <v>5</v>
      </c>
      <c r="S42" s="180">
        <f>SUM(Tabela2[[#This Row],[G]:[GWD]])</f>
        <v>17</v>
      </c>
    </row>
    <row r="43" spans="1:19">
      <c r="A43" s="183">
        <v>248</v>
      </c>
      <c r="B43" s="174" t="s">
        <v>475</v>
      </c>
      <c r="C43" s="174" t="s">
        <v>379</v>
      </c>
      <c r="D43" s="174">
        <v>4</v>
      </c>
      <c r="E43" s="174" t="s">
        <v>250</v>
      </c>
      <c r="F43" s="174">
        <v>2</v>
      </c>
      <c r="G43" s="174">
        <v>3</v>
      </c>
      <c r="H43" s="174">
        <v>1</v>
      </c>
      <c r="I43" s="174">
        <v>1</v>
      </c>
      <c r="J43" s="174">
        <v>1</v>
      </c>
      <c r="K43" s="174">
        <v>1</v>
      </c>
      <c r="L43" s="174">
        <v>3</v>
      </c>
      <c r="M43" s="174">
        <v>1</v>
      </c>
      <c r="N43" s="170"/>
      <c r="O43" s="170"/>
      <c r="P43" s="180">
        <f>SUM(Tabela2[[#This Row],[G]]+Tabela2[[#This Row],[D]]+Tabela2[[#This Row],[N]]+Tabela2[[#This Row],[HM]])</f>
        <v>7</v>
      </c>
      <c r="Q43" s="180">
        <f>SUM(Tabela2[[#This Row],[AO]]+Tabela2[[#This Row],[AD]]+Tabela2[[#This Row],[GWO]]+Tabela2[[#This Row],[GWD]])</f>
        <v>6</v>
      </c>
      <c r="R43" s="180">
        <f>Tabela2[[#This Row],[GWO]]+Tabela2[[#This Row],[GWD]]</f>
        <v>4</v>
      </c>
      <c r="S43" s="180">
        <f>SUM(Tabela2[[#This Row],[G]:[GWD]])</f>
        <v>13</v>
      </c>
    </row>
    <row r="44" spans="1:19">
      <c r="A44" s="183">
        <v>223</v>
      </c>
      <c r="B44" s="175" t="s">
        <v>499</v>
      </c>
      <c r="C44" s="175" t="s">
        <v>379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1</v>
      </c>
      <c r="J44" s="175">
        <v>1</v>
      </c>
      <c r="K44" s="175">
        <v>1</v>
      </c>
      <c r="L44" s="175">
        <v>1</v>
      </c>
      <c r="M44" s="175">
        <v>1</v>
      </c>
      <c r="N44" s="170"/>
      <c r="O44" s="170"/>
      <c r="P44" s="180">
        <f>SUM(Tabela2[[#This Row],[G]]+Tabela2[[#This Row],[D]]+Tabela2[[#This Row],[N]]+Tabela2[[#This Row],[HM]])</f>
        <v>4</v>
      </c>
      <c r="Q44" s="180">
        <f>SUM(Tabela2[[#This Row],[AO]]+Tabela2[[#This Row],[AD]]+Tabela2[[#This Row],[GWO]]+Tabela2[[#This Row],[GWD]])</f>
        <v>4</v>
      </c>
      <c r="R44" s="180">
        <f>Tabela2[[#This Row],[GWO]]+Tabela2[[#This Row],[GWD]]</f>
        <v>2</v>
      </c>
      <c r="S44" s="180">
        <f>SUM(Tabela2[[#This Row],[G]:[GWD]])</f>
        <v>8</v>
      </c>
    </row>
    <row r="45" spans="1:19">
      <c r="A45" s="183">
        <v>323</v>
      </c>
      <c r="B45" s="170" t="s">
        <v>381</v>
      </c>
      <c r="C45" s="170" t="s">
        <v>226</v>
      </c>
      <c r="D45" s="170">
        <v>4</v>
      </c>
      <c r="E45" s="170" t="s">
        <v>273</v>
      </c>
      <c r="F45" s="170">
        <v>2</v>
      </c>
      <c r="G45" s="170">
        <v>1</v>
      </c>
      <c r="H45" s="170">
        <v>1</v>
      </c>
      <c r="I45" s="170">
        <v>2</v>
      </c>
      <c r="J45" s="170">
        <v>3</v>
      </c>
      <c r="K45" s="170">
        <v>3</v>
      </c>
      <c r="L45" s="170">
        <v>2</v>
      </c>
      <c r="M45" s="170">
        <v>1</v>
      </c>
      <c r="N45" s="170"/>
      <c r="O45" s="170"/>
      <c r="P45" s="180">
        <f>SUM(Tabela2[[#This Row],[G]]+Tabela2[[#This Row],[D]]+Tabela2[[#This Row],[N]]+Tabela2[[#This Row],[HM]])</f>
        <v>7</v>
      </c>
      <c r="Q45" s="180">
        <f>SUM(Tabela2[[#This Row],[AO]]+Tabela2[[#This Row],[AD]]+Tabela2[[#This Row],[GWO]]+Tabela2[[#This Row],[GWD]])</f>
        <v>8</v>
      </c>
      <c r="R45" s="180">
        <f>Tabela2[[#This Row],[GWO]]+Tabela2[[#This Row],[GWD]]</f>
        <v>3</v>
      </c>
      <c r="S45" s="180">
        <f>SUM(Tabela2[[#This Row],[G]:[GWD]])</f>
        <v>15</v>
      </c>
    </row>
    <row r="46" spans="1:19">
      <c r="A46" s="183">
        <v>297</v>
      </c>
      <c r="B46" s="171" t="s">
        <v>424</v>
      </c>
      <c r="C46" s="171" t="s">
        <v>226</v>
      </c>
      <c r="D46" s="171">
        <v>4</v>
      </c>
      <c r="E46" s="171" t="s">
        <v>252</v>
      </c>
      <c r="F46" s="171">
        <v>2</v>
      </c>
      <c r="G46" s="171">
        <v>1</v>
      </c>
      <c r="H46" s="171">
        <v>1</v>
      </c>
      <c r="I46" s="171">
        <v>3</v>
      </c>
      <c r="J46" s="171">
        <v>2</v>
      </c>
      <c r="K46" s="171">
        <v>1</v>
      </c>
      <c r="L46" s="171">
        <v>3</v>
      </c>
      <c r="M46" s="171">
        <v>2</v>
      </c>
      <c r="N46" s="170"/>
      <c r="O46" s="170"/>
      <c r="P46" s="180">
        <f>SUM(Tabela2[[#This Row],[G]]+Tabela2[[#This Row],[D]]+Tabela2[[#This Row],[N]]+Tabela2[[#This Row],[HM]])</f>
        <v>5</v>
      </c>
      <c r="Q46" s="180">
        <f>SUM(Tabela2[[#This Row],[AO]]+Tabela2[[#This Row],[AD]]+Tabela2[[#This Row],[GWO]]+Tabela2[[#This Row],[GWD]])</f>
        <v>10</v>
      </c>
      <c r="R46" s="180">
        <f>Tabela2[[#This Row],[GWO]]+Tabela2[[#This Row],[GWD]]</f>
        <v>5</v>
      </c>
      <c r="S46" s="180">
        <f>SUM(Tabela2[[#This Row],[G]:[GWD]])</f>
        <v>15</v>
      </c>
    </row>
    <row r="47" spans="1:19">
      <c r="A47" s="183">
        <v>273</v>
      </c>
      <c r="B47" s="172" t="s">
        <v>450</v>
      </c>
      <c r="C47" s="172" t="s">
        <v>226</v>
      </c>
      <c r="D47" s="172">
        <v>4</v>
      </c>
      <c r="E47" s="172" t="s">
        <v>251</v>
      </c>
      <c r="F47" s="172">
        <v>2</v>
      </c>
      <c r="G47" s="172">
        <v>1</v>
      </c>
      <c r="H47" s="172">
        <v>1</v>
      </c>
      <c r="I47" s="172">
        <v>3</v>
      </c>
      <c r="J47" s="172">
        <v>1</v>
      </c>
      <c r="K47" s="172">
        <v>1</v>
      </c>
      <c r="L47" s="172">
        <v>2</v>
      </c>
      <c r="M47" s="172">
        <v>1</v>
      </c>
      <c r="N47" s="170"/>
      <c r="O47" s="170"/>
      <c r="P47" s="180">
        <f>SUM(Tabela2[[#This Row],[G]]+Tabela2[[#This Row],[D]]+Tabela2[[#This Row],[N]]+Tabela2[[#This Row],[HM]])</f>
        <v>5</v>
      </c>
      <c r="Q47" s="180">
        <f>SUM(Tabela2[[#This Row],[AO]]+Tabela2[[#This Row],[AD]]+Tabela2[[#This Row],[GWO]]+Tabela2[[#This Row],[GWD]])</f>
        <v>7</v>
      </c>
      <c r="R47" s="180">
        <f>Tabela2[[#This Row],[GWO]]+Tabela2[[#This Row],[GWD]]</f>
        <v>3</v>
      </c>
      <c r="S47" s="180">
        <f>SUM(Tabela2[[#This Row],[G]:[GWD]])</f>
        <v>12</v>
      </c>
    </row>
    <row r="48" spans="1:19">
      <c r="A48" s="183">
        <v>247</v>
      </c>
      <c r="B48" s="174" t="s">
        <v>476</v>
      </c>
      <c r="C48" s="174" t="s">
        <v>226</v>
      </c>
      <c r="D48" s="174">
        <v>4</v>
      </c>
      <c r="E48" s="174" t="s">
        <v>250</v>
      </c>
      <c r="F48" s="174">
        <v>1</v>
      </c>
      <c r="G48" s="174">
        <v>2</v>
      </c>
      <c r="H48" s="174">
        <v>1</v>
      </c>
      <c r="I48" s="174">
        <v>4</v>
      </c>
      <c r="J48" s="174">
        <v>5</v>
      </c>
      <c r="K48" s="174">
        <v>5</v>
      </c>
      <c r="L48" s="174">
        <v>3</v>
      </c>
      <c r="M48" s="174">
        <v>3</v>
      </c>
      <c r="N48" s="170"/>
      <c r="O48" s="170"/>
      <c r="P48" s="180">
        <f>SUM(Tabela2[[#This Row],[G]]+Tabela2[[#This Row],[D]]+Tabela2[[#This Row],[N]]+Tabela2[[#This Row],[HM]])</f>
        <v>9</v>
      </c>
      <c r="Q48" s="180">
        <f>SUM(Tabela2[[#This Row],[AO]]+Tabela2[[#This Row],[AD]]+Tabela2[[#This Row],[GWO]]+Tabela2[[#This Row],[GWD]])</f>
        <v>15</v>
      </c>
      <c r="R48" s="180">
        <f>Tabela2[[#This Row],[GWO]]+Tabela2[[#This Row],[GWD]]</f>
        <v>6</v>
      </c>
      <c r="S48" s="180">
        <f>SUM(Tabela2[[#This Row],[G]:[GWD]])</f>
        <v>24</v>
      </c>
    </row>
    <row r="49" spans="1:19">
      <c r="A49" s="183">
        <v>222</v>
      </c>
      <c r="B49" s="175" t="s">
        <v>344</v>
      </c>
      <c r="C49" s="175" t="s">
        <v>226</v>
      </c>
      <c r="D49" s="175">
        <v>4</v>
      </c>
      <c r="E49" s="175" t="s">
        <v>18</v>
      </c>
      <c r="F49" s="175">
        <v>1</v>
      </c>
      <c r="G49" s="175">
        <v>4</v>
      </c>
      <c r="H49" s="175">
        <v>1</v>
      </c>
      <c r="I49" s="175">
        <v>3</v>
      </c>
      <c r="J49" s="175">
        <v>1</v>
      </c>
      <c r="K49" s="175">
        <v>5</v>
      </c>
      <c r="L49" s="175">
        <v>3</v>
      </c>
      <c r="M49" s="175">
        <v>1</v>
      </c>
      <c r="N49" s="175" t="s">
        <v>446</v>
      </c>
      <c r="O49" s="175" t="s">
        <v>205</v>
      </c>
      <c r="P49" s="184">
        <f>SUM(Tabela2[[#This Row],[G]]+Tabela2[[#This Row],[D]]+Tabela2[[#This Row],[N]]+Tabela2[[#This Row],[HM]])</f>
        <v>11</v>
      </c>
      <c r="Q49" s="184">
        <f>SUM(Tabela2[[#This Row],[AO]]+Tabela2[[#This Row],[AD]]+Tabela2[[#This Row],[GWO]]+Tabela2[[#This Row],[GWD]])</f>
        <v>8</v>
      </c>
      <c r="R49" s="184">
        <f>Tabela2[[#This Row],[GWO]]+Tabela2[[#This Row],[GWD]]</f>
        <v>4</v>
      </c>
      <c r="S49" s="180">
        <f>SUM(Tabela2[[#This Row],[G]:[GWD]])</f>
        <v>19</v>
      </c>
    </row>
    <row r="50" spans="1:19">
      <c r="A50" s="183">
        <v>322</v>
      </c>
      <c r="B50" s="170" t="s">
        <v>382</v>
      </c>
      <c r="C50" s="170" t="s">
        <v>228</v>
      </c>
      <c r="D50" s="170">
        <v>4</v>
      </c>
      <c r="E50" s="170" t="s">
        <v>273</v>
      </c>
      <c r="F50" s="170">
        <v>2</v>
      </c>
      <c r="G50" s="170">
        <v>1</v>
      </c>
      <c r="H50" s="170">
        <v>1</v>
      </c>
      <c r="I50" s="170">
        <v>3</v>
      </c>
      <c r="J50" s="170">
        <v>3</v>
      </c>
      <c r="K50" s="170">
        <v>5</v>
      </c>
      <c r="L50" s="170">
        <v>3</v>
      </c>
      <c r="M50" s="170">
        <v>2</v>
      </c>
      <c r="N50" s="170"/>
      <c r="O50" s="170"/>
      <c r="P50" s="180">
        <f>SUM(Tabela2[[#This Row],[G]]+Tabela2[[#This Row],[D]]+Tabela2[[#This Row],[N]]+Tabela2[[#This Row],[HM]])</f>
        <v>9</v>
      </c>
      <c r="Q50" s="180">
        <f>SUM(Tabela2[[#This Row],[AO]]+Tabela2[[#This Row],[AD]]+Tabela2[[#This Row],[GWO]]+Tabela2[[#This Row],[GWD]])</f>
        <v>11</v>
      </c>
      <c r="R50" s="180">
        <f>Tabela2[[#This Row],[GWO]]+Tabela2[[#This Row],[GWD]]</f>
        <v>5</v>
      </c>
      <c r="S50" s="180">
        <f>SUM(Tabela2[[#This Row],[G]:[GWD]])</f>
        <v>20</v>
      </c>
    </row>
    <row r="51" spans="1:19">
      <c r="A51" s="183">
        <v>296</v>
      </c>
      <c r="B51" s="171" t="s">
        <v>425</v>
      </c>
      <c r="C51" s="171" t="s">
        <v>228</v>
      </c>
      <c r="D51" s="171">
        <v>4</v>
      </c>
      <c r="E51" s="171" t="s">
        <v>252</v>
      </c>
      <c r="F51" s="171">
        <v>1</v>
      </c>
      <c r="G51" s="171">
        <v>1</v>
      </c>
      <c r="H51" s="171">
        <v>1</v>
      </c>
      <c r="I51" s="171">
        <v>2</v>
      </c>
      <c r="J51" s="171">
        <v>1</v>
      </c>
      <c r="K51" s="171">
        <v>1</v>
      </c>
      <c r="L51" s="171">
        <v>4</v>
      </c>
      <c r="M51" s="171">
        <v>1</v>
      </c>
      <c r="N51" s="170"/>
      <c r="O51" s="170"/>
      <c r="P51" s="180">
        <f>SUM(Tabela2[[#This Row],[G]]+Tabela2[[#This Row],[D]]+Tabela2[[#This Row],[N]]+Tabela2[[#This Row],[HM]])</f>
        <v>4</v>
      </c>
      <c r="Q51" s="180">
        <f>SUM(Tabela2[[#This Row],[AO]]+Tabela2[[#This Row],[AD]]+Tabela2[[#This Row],[GWO]]+Tabela2[[#This Row],[GWD]])</f>
        <v>8</v>
      </c>
      <c r="R51" s="180">
        <f>Tabela2[[#This Row],[GWO]]+Tabela2[[#This Row],[GWD]]</f>
        <v>5</v>
      </c>
      <c r="S51" s="180">
        <f>SUM(Tabela2[[#This Row],[G]:[GWD]])</f>
        <v>12</v>
      </c>
    </row>
    <row r="52" spans="1:19">
      <c r="A52" s="183">
        <v>272</v>
      </c>
      <c r="B52" s="172" t="s">
        <v>451</v>
      </c>
      <c r="C52" s="172" t="s">
        <v>228</v>
      </c>
      <c r="D52" s="172">
        <v>4</v>
      </c>
      <c r="E52" s="172" t="s">
        <v>251</v>
      </c>
      <c r="F52" s="172">
        <v>2</v>
      </c>
      <c r="G52" s="172">
        <v>1</v>
      </c>
      <c r="H52" s="172">
        <v>4</v>
      </c>
      <c r="I52" s="172">
        <v>1</v>
      </c>
      <c r="J52" s="172">
        <v>1</v>
      </c>
      <c r="K52" s="172">
        <v>1</v>
      </c>
      <c r="L52" s="172">
        <v>3</v>
      </c>
      <c r="M52" s="172">
        <v>1</v>
      </c>
      <c r="N52" s="170"/>
      <c r="O52" s="170"/>
      <c r="P52" s="180">
        <f>SUM(Tabela2[[#This Row],[G]]+Tabela2[[#This Row],[D]]+Tabela2[[#This Row],[N]]+Tabela2[[#This Row],[HM]])</f>
        <v>8</v>
      </c>
      <c r="Q52" s="180">
        <f>SUM(Tabela2[[#This Row],[AO]]+Tabela2[[#This Row],[AD]]+Tabela2[[#This Row],[GWO]]+Tabela2[[#This Row],[GWD]])</f>
        <v>6</v>
      </c>
      <c r="R52" s="180">
        <f>Tabela2[[#This Row],[GWO]]+Tabela2[[#This Row],[GWD]]</f>
        <v>4</v>
      </c>
      <c r="S52" s="180">
        <f>SUM(Tabela2[[#This Row],[G]:[GWD]])</f>
        <v>14</v>
      </c>
    </row>
    <row r="53" spans="1:19">
      <c r="A53" s="183">
        <v>246</v>
      </c>
      <c r="B53" s="174" t="s">
        <v>477</v>
      </c>
      <c r="C53" s="174" t="s">
        <v>228</v>
      </c>
      <c r="D53" s="174">
        <v>4</v>
      </c>
      <c r="E53" s="174" t="s">
        <v>250</v>
      </c>
      <c r="F53" s="174">
        <v>1</v>
      </c>
      <c r="G53" s="174">
        <v>1</v>
      </c>
      <c r="H53" s="174">
        <v>2</v>
      </c>
      <c r="I53" s="174">
        <v>3</v>
      </c>
      <c r="J53" s="174">
        <v>3</v>
      </c>
      <c r="K53" s="174">
        <v>1</v>
      </c>
      <c r="L53" s="174">
        <v>1</v>
      </c>
      <c r="M53" s="174">
        <v>1</v>
      </c>
      <c r="N53" s="170"/>
      <c r="O53" s="170"/>
      <c r="P53" s="180">
        <f>SUM(Tabela2[[#This Row],[G]]+Tabela2[[#This Row],[D]]+Tabela2[[#This Row],[N]]+Tabela2[[#This Row],[HM]])</f>
        <v>5</v>
      </c>
      <c r="Q53" s="180">
        <f>SUM(Tabela2[[#This Row],[AO]]+Tabela2[[#This Row],[AD]]+Tabela2[[#This Row],[GWO]]+Tabela2[[#This Row],[GWD]])</f>
        <v>8</v>
      </c>
      <c r="R53" s="180">
        <f>Tabela2[[#This Row],[GWO]]+Tabela2[[#This Row],[GWD]]</f>
        <v>2</v>
      </c>
      <c r="S53" s="180">
        <f>SUM(Tabela2[[#This Row],[G]:[GWD]])</f>
        <v>13</v>
      </c>
    </row>
    <row r="54" spans="1:19">
      <c r="A54" s="183">
        <v>221</v>
      </c>
      <c r="B54" s="175" t="s">
        <v>500</v>
      </c>
      <c r="C54" s="175" t="s">
        <v>228</v>
      </c>
      <c r="D54" s="175">
        <v>4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1</v>
      </c>
      <c r="K54" s="175">
        <v>1</v>
      </c>
      <c r="L54" s="175">
        <v>2</v>
      </c>
      <c r="M54" s="175">
        <v>1</v>
      </c>
      <c r="N54" s="175" t="s">
        <v>446</v>
      </c>
      <c r="O54" s="175"/>
      <c r="P54" s="184">
        <f>SUM(Tabela2[[#This Row],[G]]+Tabela2[[#This Row],[D]]+Tabela2[[#This Row],[N]]+Tabela2[[#This Row],[HM]])</f>
        <v>4</v>
      </c>
      <c r="Q54" s="184">
        <f>SUM(Tabela2[[#This Row],[AO]]+Tabela2[[#This Row],[AD]]+Tabela2[[#This Row],[GWO]]+Tabela2[[#This Row],[GWD]])</f>
        <v>6</v>
      </c>
      <c r="R54" s="184">
        <f>Tabela2[[#This Row],[GWO]]+Tabela2[[#This Row],[GWD]]</f>
        <v>3</v>
      </c>
      <c r="S54" s="180">
        <f>SUM(Tabela2[[#This Row],[G]:[GWD]])</f>
        <v>10</v>
      </c>
    </row>
    <row r="55" spans="1:19" ht="30">
      <c r="A55" s="183">
        <v>271</v>
      </c>
      <c r="B55" s="172" t="s">
        <v>453</v>
      </c>
      <c r="C55" s="172" t="s">
        <v>452</v>
      </c>
      <c r="D55" s="172">
        <v>4</v>
      </c>
      <c r="E55" s="172" t="s">
        <v>251</v>
      </c>
      <c r="F55" s="172">
        <v>5</v>
      </c>
      <c r="G55" s="172">
        <v>3</v>
      </c>
      <c r="H55" s="172">
        <v>3</v>
      </c>
      <c r="I55" s="172">
        <v>4</v>
      </c>
      <c r="J55" s="172">
        <v>5</v>
      </c>
      <c r="K55" s="172">
        <v>5</v>
      </c>
      <c r="L55" s="172">
        <v>5</v>
      </c>
      <c r="M55" s="172">
        <v>5</v>
      </c>
      <c r="N55" s="170"/>
      <c r="O55" s="170"/>
      <c r="P55" s="180">
        <f>SUM(Tabela2[[#This Row],[G]]+Tabela2[[#This Row],[D]]+Tabela2[[#This Row],[N]]+Tabela2[[#This Row],[HM]])</f>
        <v>16</v>
      </c>
      <c r="Q55" s="180">
        <f>SUM(Tabela2[[#This Row],[AO]]+Tabela2[[#This Row],[AD]]+Tabela2[[#This Row],[GWO]]+Tabela2[[#This Row],[GWD]])</f>
        <v>19</v>
      </c>
      <c r="R55" s="180">
        <f>Tabela2[[#This Row],[GWO]]+Tabela2[[#This Row],[GWD]]</f>
        <v>10</v>
      </c>
      <c r="S55" s="180">
        <f>SUM(Tabela2[[#This Row],[G]:[GWD]])</f>
        <v>35</v>
      </c>
    </row>
    <row r="56" spans="1:19" ht="30">
      <c r="A56" s="183">
        <v>245</v>
      </c>
      <c r="B56" s="174" t="s">
        <v>478</v>
      </c>
      <c r="C56" s="174" t="s">
        <v>452</v>
      </c>
      <c r="D56" s="174">
        <v>4</v>
      </c>
      <c r="E56" s="174" t="s">
        <v>250</v>
      </c>
      <c r="F56" s="174">
        <v>1</v>
      </c>
      <c r="G56" s="174">
        <v>1</v>
      </c>
      <c r="H56" s="174">
        <v>1</v>
      </c>
      <c r="I56" s="174">
        <v>1</v>
      </c>
      <c r="J56" s="174">
        <v>2</v>
      </c>
      <c r="K56" s="174">
        <v>3</v>
      </c>
      <c r="L56" s="174">
        <v>2</v>
      </c>
      <c r="M56" s="174">
        <v>2</v>
      </c>
      <c r="N56" s="170"/>
      <c r="O56" s="170"/>
      <c r="P56" s="180">
        <f>SUM(Tabela2[[#This Row],[G]]+Tabela2[[#This Row],[D]]+Tabela2[[#This Row],[N]]+Tabela2[[#This Row],[HM]])</f>
        <v>6</v>
      </c>
      <c r="Q56" s="180">
        <f>SUM(Tabela2[[#This Row],[AO]]+Tabela2[[#This Row],[AD]]+Tabela2[[#This Row],[GWO]]+Tabela2[[#This Row],[GWD]])</f>
        <v>7</v>
      </c>
      <c r="R56" s="180">
        <f>Tabela2[[#This Row],[GWO]]+Tabela2[[#This Row],[GWD]]</f>
        <v>4</v>
      </c>
      <c r="S56" s="180">
        <f>SUM(Tabela2[[#This Row],[G]:[GWD]])</f>
        <v>13</v>
      </c>
    </row>
    <row r="57" spans="1:19" ht="30">
      <c r="A57" s="183">
        <v>220</v>
      </c>
      <c r="B57" s="175" t="s">
        <v>501</v>
      </c>
      <c r="C57" s="175" t="s">
        <v>452</v>
      </c>
      <c r="D57" s="175">
        <v>4</v>
      </c>
      <c r="E57" s="175" t="s">
        <v>18</v>
      </c>
      <c r="F57" s="175">
        <v>1</v>
      </c>
      <c r="G57" s="175">
        <v>1</v>
      </c>
      <c r="H57" s="175">
        <v>5</v>
      </c>
      <c r="I57" s="175">
        <v>3</v>
      </c>
      <c r="J57" s="175">
        <v>1</v>
      </c>
      <c r="K57" s="175">
        <v>1</v>
      </c>
      <c r="L57" s="175">
        <v>3</v>
      </c>
      <c r="M57" s="175">
        <v>1</v>
      </c>
      <c r="N57" s="170"/>
      <c r="O57" s="170"/>
      <c r="P57" s="180">
        <f>SUM(Tabela2[[#This Row],[G]]+Tabela2[[#This Row],[D]]+Tabela2[[#This Row],[N]]+Tabela2[[#This Row],[HM]])</f>
        <v>8</v>
      </c>
      <c r="Q57" s="180">
        <f>SUM(Tabela2[[#This Row],[AO]]+Tabela2[[#This Row],[AD]]+Tabela2[[#This Row],[GWO]]+Tabela2[[#This Row],[GWD]])</f>
        <v>8</v>
      </c>
      <c r="R57" s="180">
        <f>Tabela2[[#This Row],[GWO]]+Tabela2[[#This Row],[GWD]]</f>
        <v>4</v>
      </c>
      <c r="S57" s="180">
        <f>SUM(Tabela2[[#This Row],[G]:[GWD]])</f>
        <v>16</v>
      </c>
    </row>
    <row r="58" spans="1:19">
      <c r="A58" s="183">
        <v>196</v>
      </c>
      <c r="B58" s="170" t="s">
        <v>526</v>
      </c>
      <c r="C58" s="170" t="s">
        <v>285</v>
      </c>
      <c r="D58" s="170">
        <v>3</v>
      </c>
      <c r="E58" s="170" t="s">
        <v>273</v>
      </c>
      <c r="F58" s="170">
        <v>1</v>
      </c>
      <c r="G58" s="170">
        <v>1</v>
      </c>
      <c r="H58" s="170">
        <v>1</v>
      </c>
      <c r="I58" s="170">
        <v>1</v>
      </c>
      <c r="J58" s="170">
        <v>1</v>
      </c>
      <c r="K58" s="170">
        <v>1</v>
      </c>
      <c r="L58" s="170">
        <v>1</v>
      </c>
      <c r="M58" s="170">
        <v>1</v>
      </c>
      <c r="N58" s="170"/>
      <c r="O58" s="170"/>
      <c r="P58" s="180">
        <f>SUM(Tabela2[[#This Row],[G]]+Tabela2[[#This Row],[D]]+Tabela2[[#This Row],[N]]+Tabela2[[#This Row],[HM]])</f>
        <v>4</v>
      </c>
      <c r="Q58" s="180">
        <f>SUM(Tabela2[[#This Row],[AO]]+Tabela2[[#This Row],[AD]]+Tabela2[[#This Row],[GWO]]+Tabela2[[#This Row],[GWD]])</f>
        <v>4</v>
      </c>
      <c r="R58" s="180">
        <f>Tabela2[[#This Row],[GWO]]+Tabela2[[#This Row],[GWD]]</f>
        <v>2</v>
      </c>
      <c r="S58" s="180">
        <f>SUM(Tabela2[[#This Row],[G]:[GWD]])</f>
        <v>8</v>
      </c>
    </row>
    <row r="59" spans="1:19">
      <c r="A59" s="183">
        <v>162</v>
      </c>
      <c r="B59" s="171" t="s">
        <v>583</v>
      </c>
      <c r="C59" s="171" t="s">
        <v>285</v>
      </c>
      <c r="D59" s="171">
        <v>3</v>
      </c>
      <c r="E59" s="171" t="s">
        <v>252</v>
      </c>
      <c r="F59" s="171">
        <v>1</v>
      </c>
      <c r="G59" s="171">
        <v>1</v>
      </c>
      <c r="H59" s="171">
        <v>1</v>
      </c>
      <c r="I59" s="171">
        <v>1</v>
      </c>
      <c r="J59" s="171">
        <v>1</v>
      </c>
      <c r="K59" s="171">
        <v>1</v>
      </c>
      <c r="L59" s="171">
        <v>1</v>
      </c>
      <c r="M59" s="171">
        <v>1</v>
      </c>
      <c r="N59" s="170"/>
      <c r="O59" s="170"/>
      <c r="P59" s="180">
        <f>SUM(Tabela2[[#This Row],[G]]+Tabela2[[#This Row],[D]]+Tabela2[[#This Row],[N]]+Tabela2[[#This Row],[HM]])</f>
        <v>4</v>
      </c>
      <c r="Q59" s="180">
        <f>SUM(Tabela2[[#This Row],[AO]]+Tabela2[[#This Row],[AD]]+Tabela2[[#This Row],[GWO]]+Tabela2[[#This Row],[GWD]])</f>
        <v>4</v>
      </c>
      <c r="R59" s="180">
        <f>Tabela2[[#This Row],[GWO]]+Tabela2[[#This Row],[GWD]]</f>
        <v>2</v>
      </c>
      <c r="S59" s="180">
        <f>SUM(Tabela2[[#This Row],[G]:[GWD]])</f>
        <v>8</v>
      </c>
    </row>
    <row r="60" spans="1:19">
      <c r="A60" s="183">
        <v>133</v>
      </c>
      <c r="B60" s="172" t="s">
        <v>613</v>
      </c>
      <c r="C60" s="172" t="s">
        <v>285</v>
      </c>
      <c r="D60" s="172">
        <v>3</v>
      </c>
      <c r="E60" s="172" t="s">
        <v>251</v>
      </c>
      <c r="F60" s="172">
        <v>2</v>
      </c>
      <c r="G60" s="172">
        <v>1</v>
      </c>
      <c r="H60" s="172">
        <v>3</v>
      </c>
      <c r="I60" s="172">
        <v>2</v>
      </c>
      <c r="J60" s="172">
        <v>1</v>
      </c>
      <c r="K60" s="172">
        <v>1</v>
      </c>
      <c r="L60" s="172">
        <v>3</v>
      </c>
      <c r="M60" s="172">
        <v>1</v>
      </c>
      <c r="N60" s="170"/>
      <c r="O60" s="170"/>
      <c r="P60" s="180">
        <f>SUM(Tabela2[[#This Row],[G]]+Tabela2[[#This Row],[D]]+Tabela2[[#This Row],[N]]+Tabela2[[#This Row],[HM]])</f>
        <v>7</v>
      </c>
      <c r="Q60" s="180">
        <f>SUM(Tabela2[[#This Row],[AO]]+Tabela2[[#This Row],[AD]]+Tabela2[[#This Row],[GWO]]+Tabela2[[#This Row],[GWD]])</f>
        <v>7</v>
      </c>
      <c r="R60" s="180">
        <f>Tabela2[[#This Row],[GWO]]+Tabela2[[#This Row],[GWD]]</f>
        <v>4</v>
      </c>
      <c r="S60" s="180">
        <f>SUM(Tabela2[[#This Row],[G]:[GWD]])</f>
        <v>14</v>
      </c>
    </row>
    <row r="61" spans="1:19">
      <c r="A61" s="183">
        <v>105</v>
      </c>
      <c r="B61" s="174" t="s">
        <v>640</v>
      </c>
      <c r="C61" s="174" t="s">
        <v>285</v>
      </c>
      <c r="D61" s="174">
        <v>3</v>
      </c>
      <c r="E61" s="174" t="s">
        <v>250</v>
      </c>
      <c r="F61" s="174">
        <v>1</v>
      </c>
      <c r="G61" s="174">
        <v>1</v>
      </c>
      <c r="H61" s="174">
        <v>1</v>
      </c>
      <c r="I61" s="174">
        <v>1</v>
      </c>
      <c r="J61" s="174">
        <v>1</v>
      </c>
      <c r="K61" s="174">
        <v>1</v>
      </c>
      <c r="L61" s="174">
        <v>1</v>
      </c>
      <c r="M61" s="174">
        <v>1</v>
      </c>
      <c r="N61" s="170"/>
      <c r="O61" s="170"/>
      <c r="P61" s="180">
        <f>SUM(Tabela2[[#This Row],[G]]+Tabela2[[#This Row],[D]]+Tabela2[[#This Row],[N]]+Tabela2[[#This Row],[HM]])</f>
        <v>4</v>
      </c>
      <c r="Q61" s="180">
        <f>SUM(Tabela2[[#This Row],[AO]]+Tabela2[[#This Row],[AD]]+Tabela2[[#This Row],[GWO]]+Tabela2[[#This Row],[GWD]])</f>
        <v>4</v>
      </c>
      <c r="R61" s="180">
        <f>Tabela2[[#This Row],[GWO]]+Tabela2[[#This Row],[GWD]]</f>
        <v>2</v>
      </c>
      <c r="S61" s="180">
        <f>SUM(Tabela2[[#This Row],[G]:[GWD]])</f>
        <v>8</v>
      </c>
    </row>
    <row r="62" spans="1:19">
      <c r="A62" s="183">
        <v>74</v>
      </c>
      <c r="B62" s="175" t="s">
        <v>671</v>
      </c>
      <c r="C62" s="175" t="s">
        <v>285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3</v>
      </c>
      <c r="J62" s="175">
        <v>3</v>
      </c>
      <c r="K62" s="175">
        <v>1</v>
      </c>
      <c r="L62" s="175">
        <v>2</v>
      </c>
      <c r="M62" s="175">
        <v>1</v>
      </c>
      <c r="N62" s="175" t="s">
        <v>446</v>
      </c>
      <c r="O62" s="175"/>
      <c r="P62" s="184">
        <f>SUM(Tabela2[[#This Row],[G]]+Tabela2[[#This Row],[D]]+Tabela2[[#This Row],[N]]+Tabela2[[#This Row],[HM]])</f>
        <v>4</v>
      </c>
      <c r="Q62" s="184">
        <f>SUM(Tabela2[[#This Row],[AO]]+Tabela2[[#This Row],[AD]]+Tabela2[[#This Row],[GWO]]+Tabela2[[#This Row],[GWD]])</f>
        <v>9</v>
      </c>
      <c r="R62" s="184">
        <f>Tabela2[[#This Row],[GWO]]+Tabela2[[#This Row],[GWD]]</f>
        <v>3</v>
      </c>
      <c r="S62" s="180">
        <f>SUM(Tabela2[[#This Row],[G]:[GWD]])</f>
        <v>13</v>
      </c>
    </row>
    <row r="63" spans="1:19">
      <c r="A63" s="183">
        <v>321</v>
      </c>
      <c r="B63" s="170" t="s">
        <v>384</v>
      </c>
      <c r="C63" s="170" t="s">
        <v>383</v>
      </c>
      <c r="D63" s="170">
        <v>4</v>
      </c>
      <c r="E63" s="170" t="s">
        <v>273</v>
      </c>
      <c r="F63" s="170">
        <v>2</v>
      </c>
      <c r="G63" s="170">
        <v>2</v>
      </c>
      <c r="H63" s="170">
        <v>1</v>
      </c>
      <c r="I63" s="170">
        <v>5</v>
      </c>
      <c r="J63" s="170">
        <v>1</v>
      </c>
      <c r="K63" s="170">
        <v>1</v>
      </c>
      <c r="L63" s="170">
        <v>4</v>
      </c>
      <c r="M63" s="170">
        <v>1</v>
      </c>
      <c r="N63" s="170"/>
      <c r="O63" s="170"/>
      <c r="P63" s="180">
        <f>SUM(Tabela2[[#This Row],[G]]+Tabela2[[#This Row],[D]]+Tabela2[[#This Row],[N]]+Tabela2[[#This Row],[HM]])</f>
        <v>6</v>
      </c>
      <c r="Q63" s="180">
        <f>SUM(Tabela2[[#This Row],[AO]]+Tabela2[[#This Row],[AD]]+Tabela2[[#This Row],[GWO]]+Tabela2[[#This Row],[GWD]])</f>
        <v>11</v>
      </c>
      <c r="R63" s="180">
        <f>Tabela2[[#This Row],[GWO]]+Tabela2[[#This Row],[GWD]]</f>
        <v>5</v>
      </c>
      <c r="S63" s="180">
        <f>SUM(Tabela2[[#This Row],[G]:[GWD]])</f>
        <v>17</v>
      </c>
    </row>
    <row r="64" spans="1:19">
      <c r="A64" s="183">
        <v>295</v>
      </c>
      <c r="B64" s="171" t="s">
        <v>426</v>
      </c>
      <c r="C64" s="171" t="s">
        <v>383</v>
      </c>
      <c r="D64" s="171">
        <v>4</v>
      </c>
      <c r="E64" s="171" t="s">
        <v>252</v>
      </c>
      <c r="F64" s="171">
        <v>2</v>
      </c>
      <c r="G64" s="171">
        <v>1</v>
      </c>
      <c r="H64" s="171">
        <v>2</v>
      </c>
      <c r="I64" s="171">
        <v>5</v>
      </c>
      <c r="J64" s="171">
        <v>1</v>
      </c>
      <c r="K64" s="171">
        <v>1</v>
      </c>
      <c r="L64" s="171">
        <v>4</v>
      </c>
      <c r="M64" s="171">
        <v>1</v>
      </c>
      <c r="N64" s="170"/>
      <c r="O64" s="170"/>
      <c r="P64" s="180">
        <f>SUM(Tabela2[[#This Row],[G]]+Tabela2[[#This Row],[D]]+Tabela2[[#This Row],[N]]+Tabela2[[#This Row],[HM]])</f>
        <v>6</v>
      </c>
      <c r="Q64" s="180">
        <f>SUM(Tabela2[[#This Row],[AO]]+Tabela2[[#This Row],[AD]]+Tabela2[[#This Row],[GWO]]+Tabela2[[#This Row],[GWD]])</f>
        <v>11</v>
      </c>
      <c r="R64" s="180">
        <f>Tabela2[[#This Row],[GWO]]+Tabela2[[#This Row],[GWD]]</f>
        <v>5</v>
      </c>
      <c r="S64" s="180">
        <f>SUM(Tabela2[[#This Row],[G]:[GWD]])</f>
        <v>17</v>
      </c>
    </row>
    <row r="65" spans="1:19">
      <c r="A65" s="183">
        <v>270</v>
      </c>
      <c r="B65" s="172" t="s">
        <v>454</v>
      </c>
      <c r="C65" s="172" t="s">
        <v>383</v>
      </c>
      <c r="D65" s="172">
        <v>4</v>
      </c>
      <c r="E65" s="172" t="s">
        <v>251</v>
      </c>
      <c r="F65" s="172">
        <v>1</v>
      </c>
      <c r="G65" s="172">
        <v>1</v>
      </c>
      <c r="H65" s="172">
        <v>1</v>
      </c>
      <c r="I65" s="172">
        <v>1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80">
        <f>SUM(Tabela2[[#This Row],[G]]+Tabela2[[#This Row],[D]]+Tabela2[[#This Row],[N]]+Tabela2[[#This Row],[HM]])</f>
        <v>4</v>
      </c>
      <c r="Q65" s="180">
        <f>SUM(Tabela2[[#This Row],[AO]]+Tabela2[[#This Row],[AD]]+Tabela2[[#This Row],[GWO]]+Tabela2[[#This Row],[GWD]])</f>
        <v>6</v>
      </c>
      <c r="R65" s="180">
        <f>Tabela2[[#This Row],[GWO]]+Tabela2[[#This Row],[GWD]]</f>
        <v>4</v>
      </c>
      <c r="S65" s="180">
        <f>SUM(Tabela2[[#This Row],[G]:[GWD]])</f>
        <v>10</v>
      </c>
    </row>
    <row r="66" spans="1:19">
      <c r="A66" s="183">
        <v>244</v>
      </c>
      <c r="B66" s="174" t="s">
        <v>479</v>
      </c>
      <c r="C66" s="174" t="s">
        <v>383</v>
      </c>
      <c r="D66" s="174">
        <v>4</v>
      </c>
      <c r="E66" s="174" t="s">
        <v>250</v>
      </c>
      <c r="F66" s="174">
        <v>1</v>
      </c>
      <c r="G66" s="174">
        <v>1</v>
      </c>
      <c r="H66" s="174">
        <v>1</v>
      </c>
      <c r="I66" s="174">
        <v>1</v>
      </c>
      <c r="J66" s="174">
        <v>1</v>
      </c>
      <c r="K66" s="174">
        <v>1</v>
      </c>
      <c r="L66" s="174">
        <v>3</v>
      </c>
      <c r="M66" s="174">
        <v>1</v>
      </c>
      <c r="N66" s="170"/>
      <c r="O66" s="170"/>
      <c r="P66" s="180">
        <f>SUM(Tabela2[[#This Row],[G]]+Tabela2[[#This Row],[D]]+Tabela2[[#This Row],[N]]+Tabela2[[#This Row],[HM]])</f>
        <v>4</v>
      </c>
      <c r="Q66" s="180">
        <f>SUM(Tabela2[[#This Row],[AO]]+Tabela2[[#This Row],[AD]]+Tabela2[[#This Row],[GWO]]+Tabela2[[#This Row],[GWD]])</f>
        <v>6</v>
      </c>
      <c r="R66" s="180">
        <f>Tabela2[[#This Row],[GWO]]+Tabela2[[#This Row],[GWD]]</f>
        <v>4</v>
      </c>
      <c r="S66" s="180">
        <f>SUM(Tabela2[[#This Row],[G]:[GWD]])</f>
        <v>10</v>
      </c>
    </row>
    <row r="67" spans="1:19">
      <c r="A67" s="183">
        <v>219</v>
      </c>
      <c r="B67" s="175" t="s">
        <v>502</v>
      </c>
      <c r="C67" s="175" t="s">
        <v>383</v>
      </c>
      <c r="D67" s="175">
        <v>4</v>
      </c>
      <c r="E67" s="175" t="s">
        <v>18</v>
      </c>
      <c r="F67" s="175">
        <v>1</v>
      </c>
      <c r="G67" s="175">
        <v>1</v>
      </c>
      <c r="H67" s="175">
        <v>1</v>
      </c>
      <c r="I67" s="175">
        <v>2</v>
      </c>
      <c r="J67" s="175">
        <v>1</v>
      </c>
      <c r="K67" s="175">
        <v>1</v>
      </c>
      <c r="L67" s="175">
        <v>3</v>
      </c>
      <c r="M67" s="175">
        <v>1</v>
      </c>
      <c r="N67" s="170"/>
      <c r="O67" s="170"/>
      <c r="P67" s="180">
        <f>SUM(Tabela2[[#This Row],[G]]+Tabela2[[#This Row],[D]]+Tabela2[[#This Row],[N]]+Tabela2[[#This Row],[HM]])</f>
        <v>4</v>
      </c>
      <c r="Q67" s="180">
        <f>SUM(Tabela2[[#This Row],[AO]]+Tabela2[[#This Row],[AD]]+Tabela2[[#This Row],[GWO]]+Tabela2[[#This Row],[GWD]])</f>
        <v>7</v>
      </c>
      <c r="R67" s="180">
        <f>Tabela2[[#This Row],[GWO]]+Tabela2[[#This Row],[GWD]]</f>
        <v>4</v>
      </c>
      <c r="S67" s="180">
        <f>SUM(Tabela2[[#This Row],[G]:[GWD]])</f>
        <v>11</v>
      </c>
    </row>
    <row r="68" spans="1:19">
      <c r="A68" s="183">
        <v>45</v>
      </c>
      <c r="B68" s="170" t="s">
        <v>712</v>
      </c>
      <c r="C68" s="170" t="s">
        <v>711</v>
      </c>
      <c r="D68" s="170">
        <v>2</v>
      </c>
      <c r="E68" s="170" t="s">
        <v>273</v>
      </c>
      <c r="F68" s="170">
        <v>1</v>
      </c>
      <c r="G68" s="170">
        <v>1</v>
      </c>
      <c r="H68" s="170">
        <v>1</v>
      </c>
      <c r="I68" s="170">
        <v>1</v>
      </c>
      <c r="J68" s="170">
        <v>1</v>
      </c>
      <c r="K68" s="170">
        <v>1</v>
      </c>
      <c r="L68" s="170">
        <v>1</v>
      </c>
      <c r="M68" s="170">
        <v>1</v>
      </c>
      <c r="N68" s="170"/>
      <c r="O68" s="170"/>
      <c r="P68" s="180">
        <f>SUM(Tabela2[[#This Row],[G]]+Tabela2[[#This Row],[D]]+Tabela2[[#This Row],[N]]+Tabela2[[#This Row],[HM]])</f>
        <v>4</v>
      </c>
      <c r="Q68" s="180">
        <f>SUM(Tabela2[[#This Row],[AO]]+Tabela2[[#This Row],[AD]]+Tabela2[[#This Row],[GWO]]+Tabela2[[#This Row],[GWD]])</f>
        <v>4</v>
      </c>
      <c r="R68" s="180">
        <f>Tabela2[[#This Row],[GWO]]+Tabela2[[#This Row],[GWD]]</f>
        <v>2</v>
      </c>
      <c r="S68" s="180">
        <f>SUM(Tabela2[[#This Row],[G]:[GWD]])</f>
        <v>8</v>
      </c>
    </row>
    <row r="69" spans="1:19">
      <c r="A69" s="183">
        <v>40</v>
      </c>
      <c r="B69" s="171" t="s">
        <v>720</v>
      </c>
      <c r="C69" s="171" t="s">
        <v>711</v>
      </c>
      <c r="D69" s="171">
        <v>2</v>
      </c>
      <c r="E69" s="171" t="s">
        <v>252</v>
      </c>
      <c r="F69" s="171">
        <v>1</v>
      </c>
      <c r="G69" s="171">
        <v>1</v>
      </c>
      <c r="H69" s="171">
        <v>1</v>
      </c>
      <c r="I69" s="171">
        <v>1</v>
      </c>
      <c r="J69" s="171">
        <v>1</v>
      </c>
      <c r="K69" s="171">
        <v>3</v>
      </c>
      <c r="L69" s="171">
        <v>1</v>
      </c>
      <c r="M69" s="171">
        <v>1</v>
      </c>
      <c r="N69" s="170"/>
      <c r="O69" s="170"/>
      <c r="P69" s="180">
        <f>SUM(Tabela2[[#This Row],[G]]+Tabela2[[#This Row],[D]]+Tabela2[[#This Row],[N]]+Tabela2[[#This Row],[HM]])</f>
        <v>6</v>
      </c>
      <c r="Q69" s="180">
        <f>SUM(Tabela2[[#This Row],[AO]]+Tabela2[[#This Row],[AD]]+Tabela2[[#This Row],[GWO]]+Tabela2[[#This Row],[GWD]])</f>
        <v>4</v>
      </c>
      <c r="R69" s="180">
        <f>Tabela2[[#This Row],[GWO]]+Tabela2[[#This Row],[GWD]]</f>
        <v>2</v>
      </c>
      <c r="S69" s="180">
        <f>SUM(Tabela2[[#This Row],[G]:[GWD]])</f>
        <v>10</v>
      </c>
    </row>
    <row r="70" spans="1:19">
      <c r="A70" s="183">
        <v>16</v>
      </c>
      <c r="B70" s="174" t="s">
        <v>746</v>
      </c>
      <c r="C70" s="174" t="s">
        <v>711</v>
      </c>
      <c r="D70" s="174">
        <v>2</v>
      </c>
      <c r="E70" s="174" t="s">
        <v>250</v>
      </c>
      <c r="F70" s="174">
        <v>1</v>
      </c>
      <c r="G70" s="174">
        <v>1</v>
      </c>
      <c r="H70" s="174">
        <v>1</v>
      </c>
      <c r="I70" s="174">
        <v>1</v>
      </c>
      <c r="J70" s="174">
        <v>1</v>
      </c>
      <c r="K70" s="174">
        <v>1</v>
      </c>
      <c r="L70" s="174">
        <v>1</v>
      </c>
      <c r="M70" s="174">
        <v>1</v>
      </c>
      <c r="N70" s="170"/>
      <c r="O70" s="170"/>
      <c r="P70" s="180">
        <f>SUM(Tabela2[[#This Row],[G]]+Tabela2[[#This Row],[D]]+Tabela2[[#This Row],[N]]+Tabela2[[#This Row],[HM]])</f>
        <v>4</v>
      </c>
      <c r="Q70" s="180">
        <f>SUM(Tabela2[[#This Row],[AO]]+Tabela2[[#This Row],[AD]]+Tabela2[[#This Row],[GWO]]+Tabela2[[#This Row],[GWD]])</f>
        <v>4</v>
      </c>
      <c r="R70" s="180">
        <f>Tabela2[[#This Row],[GWO]]+Tabela2[[#This Row],[GWD]]</f>
        <v>2</v>
      </c>
      <c r="S70" s="180">
        <f>SUM(Tabela2[[#This Row],[G]:[GWD]])</f>
        <v>8</v>
      </c>
    </row>
    <row r="71" spans="1:19" ht="30">
      <c r="A71" s="183">
        <v>73</v>
      </c>
      <c r="B71" s="175" t="s">
        <v>673</v>
      </c>
      <c r="C71" s="175" t="s">
        <v>672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5" t="s">
        <v>446</v>
      </c>
      <c r="O71" s="175"/>
      <c r="P71" s="184">
        <f>SUM(Tabela2[[#This Row],[G]]+Tabela2[[#This Row],[D]]+Tabela2[[#This Row],[N]]+Tabela2[[#This Row],[HM]])</f>
        <v>4</v>
      </c>
      <c r="Q71" s="184">
        <f>SUM(Tabela2[[#This Row],[AO]]+Tabela2[[#This Row],[AD]]+Tabela2[[#This Row],[GWO]]+Tabela2[[#This Row],[GWD]])</f>
        <v>4</v>
      </c>
      <c r="R71" s="184">
        <f>Tabela2[[#This Row],[GWO]]+Tabela2[[#This Row],[GWD]]</f>
        <v>2</v>
      </c>
      <c r="S71" s="180">
        <f>SUM(Tabela2[[#This Row],[G]:[GWD]])</f>
        <v>8</v>
      </c>
    </row>
    <row r="72" spans="1:19" ht="30">
      <c r="A72" s="183">
        <v>30</v>
      </c>
      <c r="B72" s="172" t="s">
        <v>732</v>
      </c>
      <c r="C72" s="172" t="s">
        <v>672</v>
      </c>
      <c r="D72" s="172">
        <v>2</v>
      </c>
      <c r="E72" s="172" t="s">
        <v>251</v>
      </c>
      <c r="F72" s="172">
        <v>1</v>
      </c>
      <c r="G72" s="172">
        <v>1</v>
      </c>
      <c r="H72" s="172">
        <v>1</v>
      </c>
      <c r="I72" s="172">
        <v>1</v>
      </c>
      <c r="J72" s="172">
        <v>1</v>
      </c>
      <c r="K72" s="172">
        <v>1</v>
      </c>
      <c r="L72" s="172">
        <v>1</v>
      </c>
      <c r="M72" s="172">
        <v>1</v>
      </c>
      <c r="N72" s="172" t="s">
        <v>446</v>
      </c>
      <c r="O72" s="172"/>
      <c r="P72" s="186">
        <f>SUM(Tabela2[[#This Row],[G]]+Tabela2[[#This Row],[D]]+Tabela2[[#This Row],[N]]+Tabela2[[#This Row],[HM]])</f>
        <v>4</v>
      </c>
      <c r="Q72" s="186">
        <f>SUM(Tabela2[[#This Row],[AO]]+Tabela2[[#This Row],[AD]]+Tabela2[[#This Row],[GWO]]+Tabela2[[#This Row],[GWD]])</f>
        <v>4</v>
      </c>
      <c r="R72" s="186">
        <f>Tabela2[[#This Row],[GWO]]+Tabela2[[#This Row],[GWD]]</f>
        <v>2</v>
      </c>
      <c r="S72" s="180">
        <f>SUM(Tabela2[[#This Row],[G]:[GWD]])</f>
        <v>8</v>
      </c>
    </row>
    <row r="73" spans="1:19">
      <c r="A73" s="183">
        <v>320</v>
      </c>
      <c r="B73" s="170" t="s">
        <v>386</v>
      </c>
      <c r="C73" s="170" t="s">
        <v>385</v>
      </c>
      <c r="D73" s="170">
        <v>4</v>
      </c>
      <c r="E73" s="170" t="s">
        <v>273</v>
      </c>
      <c r="F73" s="170">
        <v>3</v>
      </c>
      <c r="G73" s="170">
        <v>1</v>
      </c>
      <c r="H73" s="170">
        <v>5</v>
      </c>
      <c r="I73" s="170">
        <v>3</v>
      </c>
      <c r="J73" s="170">
        <v>1</v>
      </c>
      <c r="K73" s="170">
        <v>1</v>
      </c>
      <c r="L73" s="170">
        <v>4</v>
      </c>
      <c r="M73" s="170">
        <v>1</v>
      </c>
      <c r="N73" s="170"/>
      <c r="O73" s="170"/>
      <c r="P73" s="180">
        <f>SUM(Tabela2[[#This Row],[G]]+Tabela2[[#This Row],[D]]+Tabela2[[#This Row],[N]]+Tabela2[[#This Row],[HM]])</f>
        <v>10</v>
      </c>
      <c r="Q73" s="180">
        <f>SUM(Tabela2[[#This Row],[AO]]+Tabela2[[#This Row],[AD]]+Tabela2[[#This Row],[GWO]]+Tabela2[[#This Row],[GWD]])</f>
        <v>9</v>
      </c>
      <c r="R73" s="180">
        <f>Tabela2[[#This Row],[GWO]]+Tabela2[[#This Row],[GWD]]</f>
        <v>5</v>
      </c>
      <c r="S73" s="180">
        <f>SUM(Tabela2[[#This Row],[G]:[GWD]])</f>
        <v>19</v>
      </c>
    </row>
    <row r="74" spans="1:19">
      <c r="A74" s="183">
        <v>294</v>
      </c>
      <c r="B74" s="171" t="s">
        <v>427</v>
      </c>
      <c r="C74" s="171" t="s">
        <v>385</v>
      </c>
      <c r="D74" s="171">
        <v>4</v>
      </c>
      <c r="E74" s="171" t="s">
        <v>252</v>
      </c>
      <c r="F74" s="171">
        <v>3</v>
      </c>
      <c r="G74" s="171">
        <v>1</v>
      </c>
      <c r="H74" s="171">
        <v>3</v>
      </c>
      <c r="I74" s="171">
        <v>2</v>
      </c>
      <c r="J74" s="171">
        <v>1</v>
      </c>
      <c r="K74" s="171">
        <v>1</v>
      </c>
      <c r="L74" s="171">
        <v>3</v>
      </c>
      <c r="M74" s="171">
        <v>1</v>
      </c>
      <c r="N74" s="170"/>
      <c r="O74" s="170"/>
      <c r="P74" s="180">
        <f>SUM(Tabela2[[#This Row],[G]]+Tabela2[[#This Row],[D]]+Tabela2[[#This Row],[N]]+Tabela2[[#This Row],[HM]])</f>
        <v>8</v>
      </c>
      <c r="Q74" s="180">
        <f>SUM(Tabela2[[#This Row],[AO]]+Tabela2[[#This Row],[AD]]+Tabela2[[#This Row],[GWO]]+Tabela2[[#This Row],[GWD]])</f>
        <v>7</v>
      </c>
      <c r="R74" s="180">
        <f>Tabela2[[#This Row],[GWO]]+Tabela2[[#This Row],[GWD]]</f>
        <v>4</v>
      </c>
      <c r="S74" s="180">
        <f>SUM(Tabela2[[#This Row],[G]:[GWD]])</f>
        <v>15</v>
      </c>
    </row>
    <row r="75" spans="1:19">
      <c r="A75" s="183">
        <v>269</v>
      </c>
      <c r="B75" s="172" t="s">
        <v>455</v>
      </c>
      <c r="C75" s="172" t="s">
        <v>385</v>
      </c>
      <c r="D75" s="172">
        <v>4</v>
      </c>
      <c r="E75" s="172" t="s">
        <v>251</v>
      </c>
      <c r="F75" s="172">
        <v>3</v>
      </c>
      <c r="G75" s="172">
        <v>1</v>
      </c>
      <c r="H75" s="172">
        <v>4</v>
      </c>
      <c r="I75" s="172">
        <v>2</v>
      </c>
      <c r="J75" s="172">
        <v>1</v>
      </c>
      <c r="K75" s="172">
        <v>1</v>
      </c>
      <c r="L75" s="172">
        <v>3</v>
      </c>
      <c r="M75" s="172">
        <v>1</v>
      </c>
      <c r="N75" s="170"/>
      <c r="O75" s="170"/>
      <c r="P75" s="180">
        <f>SUM(Tabela2[[#This Row],[G]]+Tabela2[[#This Row],[D]]+Tabela2[[#This Row],[N]]+Tabela2[[#This Row],[HM]])</f>
        <v>9</v>
      </c>
      <c r="Q75" s="180">
        <f>SUM(Tabela2[[#This Row],[AO]]+Tabela2[[#This Row],[AD]]+Tabela2[[#This Row],[GWO]]+Tabela2[[#This Row],[GWD]])</f>
        <v>7</v>
      </c>
      <c r="R75" s="180">
        <f>Tabela2[[#This Row],[GWO]]+Tabela2[[#This Row],[GWD]]</f>
        <v>4</v>
      </c>
      <c r="S75" s="180">
        <f>SUM(Tabela2[[#This Row],[G]:[GWD]])</f>
        <v>16</v>
      </c>
    </row>
    <row r="76" spans="1:19">
      <c r="A76" s="183">
        <v>243</v>
      </c>
      <c r="B76" s="174" t="s">
        <v>480</v>
      </c>
      <c r="C76" s="174" t="s">
        <v>385</v>
      </c>
      <c r="D76" s="174">
        <v>4</v>
      </c>
      <c r="E76" s="174" t="s">
        <v>250</v>
      </c>
      <c r="F76" s="174">
        <v>2</v>
      </c>
      <c r="G76" s="174">
        <v>4</v>
      </c>
      <c r="H76" s="174">
        <v>1</v>
      </c>
      <c r="I76" s="174">
        <v>2</v>
      </c>
      <c r="J76" s="174">
        <v>1</v>
      </c>
      <c r="K76" s="174">
        <v>1</v>
      </c>
      <c r="L76" s="174">
        <v>4</v>
      </c>
      <c r="M76" s="174">
        <v>1</v>
      </c>
      <c r="N76" s="170"/>
      <c r="O76" s="170" t="s">
        <v>205</v>
      </c>
      <c r="P76" s="180">
        <f>SUM(Tabela2[[#This Row],[G]]+Tabela2[[#This Row],[D]]+Tabela2[[#This Row],[N]]+Tabela2[[#This Row],[HM]])</f>
        <v>8</v>
      </c>
      <c r="Q76" s="180">
        <f>SUM(Tabela2[[#This Row],[AO]]+Tabela2[[#This Row],[AD]]+Tabela2[[#This Row],[GWO]]+Tabela2[[#This Row],[GWD]])</f>
        <v>8</v>
      </c>
      <c r="R76" s="180">
        <f>Tabela2[[#This Row],[GWO]]+Tabela2[[#This Row],[GWD]]</f>
        <v>5</v>
      </c>
      <c r="S76" s="180">
        <f>SUM(Tabela2[[#This Row],[G]:[GWD]])</f>
        <v>16</v>
      </c>
    </row>
    <row r="77" spans="1:19">
      <c r="A77" s="183">
        <v>218</v>
      </c>
      <c r="B77" s="175" t="s">
        <v>503</v>
      </c>
      <c r="C77" s="175" t="s">
        <v>385</v>
      </c>
      <c r="D77" s="175">
        <v>4</v>
      </c>
      <c r="E77" s="175" t="s">
        <v>18</v>
      </c>
      <c r="F77" s="175">
        <v>2</v>
      </c>
      <c r="G77" s="175">
        <v>5</v>
      </c>
      <c r="H77" s="175">
        <v>2</v>
      </c>
      <c r="I77" s="175">
        <v>3</v>
      </c>
      <c r="J77" s="175">
        <v>2</v>
      </c>
      <c r="K77" s="175">
        <v>4</v>
      </c>
      <c r="L77" s="175">
        <v>4</v>
      </c>
      <c r="M77" s="175">
        <v>2</v>
      </c>
      <c r="N77" s="170"/>
      <c r="O77" s="170"/>
      <c r="P77" s="180">
        <f>SUM(Tabela2[[#This Row],[G]]+Tabela2[[#This Row],[D]]+Tabela2[[#This Row],[N]]+Tabela2[[#This Row],[HM]])</f>
        <v>13</v>
      </c>
      <c r="Q77" s="180">
        <f>SUM(Tabela2[[#This Row],[AO]]+Tabela2[[#This Row],[AD]]+Tabela2[[#This Row],[GWO]]+Tabela2[[#This Row],[GWD]])</f>
        <v>11</v>
      </c>
      <c r="R77" s="180">
        <f>Tabela2[[#This Row],[GWO]]+Tabela2[[#This Row],[GWD]]</f>
        <v>6</v>
      </c>
      <c r="S77" s="180">
        <f>SUM(Tabela2[[#This Row],[G]:[GWD]])</f>
        <v>24</v>
      </c>
    </row>
    <row r="78" spans="1:19">
      <c r="A78" s="183">
        <v>44</v>
      </c>
      <c r="B78" s="170" t="s">
        <v>714</v>
      </c>
      <c r="C78" s="170" t="s">
        <v>713</v>
      </c>
      <c r="D78" s="170">
        <v>2</v>
      </c>
      <c r="E78" s="170" t="s">
        <v>273</v>
      </c>
      <c r="F78" s="170">
        <v>1</v>
      </c>
      <c r="G78" s="170">
        <v>1</v>
      </c>
      <c r="H78" s="170">
        <v>1</v>
      </c>
      <c r="I78" s="170">
        <v>1</v>
      </c>
      <c r="J78" s="170">
        <v>1</v>
      </c>
      <c r="K78" s="170">
        <v>1</v>
      </c>
      <c r="L78" s="170">
        <v>1</v>
      </c>
      <c r="M78" s="170">
        <v>1</v>
      </c>
      <c r="N78" s="170"/>
      <c r="O78" s="170"/>
      <c r="P78" s="180">
        <f>SUM(Tabela2[[#This Row],[G]]+Tabela2[[#This Row],[D]]+Tabela2[[#This Row],[N]]+Tabela2[[#This Row],[HM]])</f>
        <v>4</v>
      </c>
      <c r="Q78" s="180">
        <f>SUM(Tabela2[[#This Row],[AO]]+Tabela2[[#This Row],[AD]]+Tabela2[[#This Row],[GWO]]+Tabela2[[#This Row],[GWD]])</f>
        <v>4</v>
      </c>
      <c r="R78" s="180">
        <f>Tabela2[[#This Row],[GWO]]+Tabela2[[#This Row],[GWD]]</f>
        <v>2</v>
      </c>
      <c r="S78" s="180">
        <f>SUM(Tabela2[[#This Row],[G]:[GWD]])</f>
        <v>8</v>
      </c>
    </row>
    <row r="79" spans="1:19">
      <c r="A79" s="183">
        <v>37</v>
      </c>
      <c r="B79" s="171" t="s">
        <v>724</v>
      </c>
      <c r="C79" s="171" t="s">
        <v>713</v>
      </c>
      <c r="D79" s="171">
        <v>2</v>
      </c>
      <c r="E79" s="171" t="s">
        <v>252</v>
      </c>
      <c r="F79" s="171">
        <v>1</v>
      </c>
      <c r="G79" s="171">
        <v>1</v>
      </c>
      <c r="H79" s="171">
        <v>1</v>
      </c>
      <c r="I79" s="171">
        <v>1</v>
      </c>
      <c r="J79" s="171">
        <v>1</v>
      </c>
      <c r="K79" s="171">
        <v>1</v>
      </c>
      <c r="L79" s="171">
        <v>1</v>
      </c>
      <c r="M79" s="171">
        <v>1</v>
      </c>
      <c r="N79" s="170"/>
      <c r="O79" s="170"/>
      <c r="P79" s="180">
        <f>SUM(Tabela2[[#This Row],[G]]+Tabela2[[#This Row],[D]]+Tabela2[[#This Row],[N]]+Tabela2[[#This Row],[HM]])</f>
        <v>4</v>
      </c>
      <c r="Q79" s="180">
        <f>SUM(Tabela2[[#This Row],[AO]]+Tabela2[[#This Row],[AD]]+Tabela2[[#This Row],[GWO]]+Tabela2[[#This Row],[GWD]])</f>
        <v>4</v>
      </c>
      <c r="R79" s="180">
        <f>Tabela2[[#This Row],[GWO]]+Tabela2[[#This Row],[GWD]]</f>
        <v>2</v>
      </c>
      <c r="S79" s="180">
        <f>SUM(Tabela2[[#This Row],[G]:[GWD]])</f>
        <v>8</v>
      </c>
    </row>
    <row r="80" spans="1:19">
      <c r="A80" s="183">
        <v>22</v>
      </c>
      <c r="B80" s="172" t="s">
        <v>151</v>
      </c>
      <c r="C80" s="172" t="s">
        <v>713</v>
      </c>
      <c r="D80" s="172">
        <v>2</v>
      </c>
      <c r="E80" s="172" t="s">
        <v>251</v>
      </c>
      <c r="F80" s="172">
        <v>5</v>
      </c>
      <c r="G80" s="172">
        <v>1</v>
      </c>
      <c r="H80" s="172">
        <v>1</v>
      </c>
      <c r="I80" s="172">
        <v>1</v>
      </c>
      <c r="J80" s="172">
        <v>1</v>
      </c>
      <c r="K80" s="172">
        <v>1</v>
      </c>
      <c r="L80" s="172">
        <v>1</v>
      </c>
      <c r="M80" s="172">
        <v>1</v>
      </c>
      <c r="N80" s="170"/>
      <c r="O80" s="170"/>
      <c r="P80" s="180">
        <f>SUM(Tabela2[[#This Row],[G]]+Tabela2[[#This Row],[D]]+Tabela2[[#This Row],[N]]+Tabela2[[#This Row],[HM]])</f>
        <v>8</v>
      </c>
      <c r="Q80" s="180">
        <f>SUM(Tabela2[[#This Row],[AO]]+Tabela2[[#This Row],[AD]]+Tabela2[[#This Row],[GWO]]+Tabela2[[#This Row],[GWD]])</f>
        <v>4</v>
      </c>
      <c r="R80" s="180">
        <f>Tabela2[[#This Row],[GWO]]+Tabela2[[#This Row],[GWD]]</f>
        <v>2</v>
      </c>
      <c r="S80" s="180">
        <f>SUM(Tabela2[[#This Row],[G]:[GWD]])</f>
        <v>12</v>
      </c>
    </row>
    <row r="81" spans="1:19">
      <c r="A81" s="183">
        <v>11</v>
      </c>
      <c r="B81" s="174" t="s">
        <v>752</v>
      </c>
      <c r="C81" s="174" t="s">
        <v>713</v>
      </c>
      <c r="D81" s="174">
        <v>2</v>
      </c>
      <c r="E81" s="174" t="s">
        <v>250</v>
      </c>
      <c r="F81" s="174">
        <v>1</v>
      </c>
      <c r="G81" s="174">
        <v>1</v>
      </c>
      <c r="H81" s="174">
        <v>1</v>
      </c>
      <c r="I81" s="174">
        <v>1</v>
      </c>
      <c r="J81" s="174">
        <v>1</v>
      </c>
      <c r="K81" s="174">
        <v>1</v>
      </c>
      <c r="L81" s="174">
        <v>1</v>
      </c>
      <c r="M81" s="174">
        <v>1</v>
      </c>
      <c r="N81" s="174" t="s">
        <v>446</v>
      </c>
      <c r="O81" s="174"/>
      <c r="P81" s="185">
        <f>SUM(Tabela2[[#This Row],[G]]+Tabela2[[#This Row],[D]]+Tabela2[[#This Row],[N]]+Tabela2[[#This Row],[HM]])</f>
        <v>4</v>
      </c>
      <c r="Q81" s="185">
        <f>SUM(Tabela2[[#This Row],[AO]]+Tabela2[[#This Row],[AD]]+Tabela2[[#This Row],[GWO]]+Tabela2[[#This Row],[GWD]])</f>
        <v>4</v>
      </c>
      <c r="R81" s="185">
        <f>Tabela2[[#This Row],[GWO]]+Tabela2[[#This Row],[GWD]]</f>
        <v>2</v>
      </c>
      <c r="S81" s="180">
        <f>SUM(Tabela2[[#This Row],[G]:[GWD]])</f>
        <v>8</v>
      </c>
    </row>
    <row r="82" spans="1:19">
      <c r="A82" s="183">
        <v>2</v>
      </c>
      <c r="B82" s="175" t="s">
        <v>763</v>
      </c>
      <c r="C82" s="175" t="s">
        <v>713</v>
      </c>
      <c r="D82" s="175">
        <v>2</v>
      </c>
      <c r="E82" s="175" t="s">
        <v>18</v>
      </c>
      <c r="F82" s="175">
        <v>1</v>
      </c>
      <c r="G82" s="175">
        <v>1</v>
      </c>
      <c r="H82" s="175">
        <v>1</v>
      </c>
      <c r="I82" s="175">
        <v>1</v>
      </c>
      <c r="J82" s="175">
        <v>1</v>
      </c>
      <c r="K82" s="175">
        <v>1</v>
      </c>
      <c r="L82" s="175">
        <v>1</v>
      </c>
      <c r="M82" s="175">
        <v>1</v>
      </c>
      <c r="N82" s="170"/>
      <c r="O82" s="170"/>
      <c r="P82" s="180">
        <f>SUM(Tabela2[[#This Row],[G]]+Tabela2[[#This Row],[D]]+Tabela2[[#This Row],[N]]+Tabela2[[#This Row],[HM]])</f>
        <v>4</v>
      </c>
      <c r="Q82" s="180">
        <f>SUM(Tabela2[[#This Row],[AO]]+Tabela2[[#This Row],[AD]]+Tabela2[[#This Row],[GWO]]+Tabela2[[#This Row],[GWD]])</f>
        <v>4</v>
      </c>
      <c r="R82" s="180">
        <f>Tabela2[[#This Row],[GWO]]+Tabela2[[#This Row],[GWD]]</f>
        <v>2</v>
      </c>
      <c r="S82" s="180">
        <f>SUM(Tabela2[[#This Row],[G]:[GWD]])</f>
        <v>8</v>
      </c>
    </row>
    <row r="83" spans="1:19" ht="30">
      <c r="A83" s="183">
        <v>319</v>
      </c>
      <c r="B83" s="170" t="s">
        <v>388</v>
      </c>
      <c r="C83" s="170" t="s">
        <v>387</v>
      </c>
      <c r="D83" s="170">
        <v>4</v>
      </c>
      <c r="E83" s="170" t="s">
        <v>273</v>
      </c>
      <c r="F83" s="170">
        <v>2</v>
      </c>
      <c r="G83" s="170">
        <v>1</v>
      </c>
      <c r="H83" s="170">
        <v>1</v>
      </c>
      <c r="I83" s="170">
        <v>2</v>
      </c>
      <c r="J83" s="170">
        <v>1</v>
      </c>
      <c r="K83" s="170">
        <v>1</v>
      </c>
      <c r="L83" s="170">
        <v>3</v>
      </c>
      <c r="M83" s="170">
        <v>1</v>
      </c>
      <c r="N83" s="170"/>
      <c r="O83" s="170"/>
      <c r="P83" s="180">
        <f>SUM(Tabela2[[#This Row],[G]]+Tabela2[[#This Row],[D]]+Tabela2[[#This Row],[N]]+Tabela2[[#This Row],[HM]])</f>
        <v>5</v>
      </c>
      <c r="Q83" s="180">
        <f>SUM(Tabela2[[#This Row],[AO]]+Tabela2[[#This Row],[AD]]+Tabela2[[#This Row],[GWO]]+Tabela2[[#This Row],[GWD]])</f>
        <v>7</v>
      </c>
      <c r="R83" s="180">
        <f>Tabela2[[#This Row],[GWO]]+Tabela2[[#This Row],[GWD]]</f>
        <v>4</v>
      </c>
      <c r="S83" s="180">
        <f>SUM(Tabela2[[#This Row],[G]:[GWD]])</f>
        <v>12</v>
      </c>
    </row>
    <row r="84" spans="1:19" ht="30">
      <c r="A84" s="183">
        <v>293</v>
      </c>
      <c r="B84" s="171" t="s">
        <v>428</v>
      </c>
      <c r="C84" s="171" t="s">
        <v>387</v>
      </c>
      <c r="D84" s="171">
        <v>4</v>
      </c>
      <c r="E84" s="171" t="s">
        <v>252</v>
      </c>
      <c r="F84" s="171">
        <v>1</v>
      </c>
      <c r="G84" s="171">
        <v>1</v>
      </c>
      <c r="H84" s="171">
        <v>1</v>
      </c>
      <c r="I84" s="171">
        <v>4</v>
      </c>
      <c r="J84" s="171">
        <v>1</v>
      </c>
      <c r="K84" s="171">
        <v>1</v>
      </c>
      <c r="L84" s="171">
        <v>3</v>
      </c>
      <c r="M84" s="171">
        <v>1</v>
      </c>
      <c r="N84" s="170"/>
      <c r="O84" s="170"/>
      <c r="P84" s="180">
        <f>SUM(Tabela2[[#This Row],[G]]+Tabela2[[#This Row],[D]]+Tabela2[[#This Row],[N]]+Tabela2[[#This Row],[HM]])</f>
        <v>4</v>
      </c>
      <c r="Q84" s="180">
        <f>SUM(Tabela2[[#This Row],[AO]]+Tabela2[[#This Row],[AD]]+Tabela2[[#This Row],[GWO]]+Tabela2[[#This Row],[GWD]])</f>
        <v>9</v>
      </c>
      <c r="R84" s="180">
        <f>Tabela2[[#This Row],[GWO]]+Tabela2[[#This Row],[GWD]]</f>
        <v>4</v>
      </c>
      <c r="S84" s="180">
        <f>SUM(Tabela2[[#This Row],[G]:[GWD]])</f>
        <v>13</v>
      </c>
    </row>
    <row r="85" spans="1:19" ht="30">
      <c r="A85" s="183">
        <v>268</v>
      </c>
      <c r="B85" s="172" t="s">
        <v>456</v>
      </c>
      <c r="C85" s="172" t="s">
        <v>387</v>
      </c>
      <c r="D85" s="172">
        <v>4</v>
      </c>
      <c r="E85" s="172" t="s">
        <v>251</v>
      </c>
      <c r="F85" s="172">
        <v>2</v>
      </c>
      <c r="G85" s="172">
        <v>1</v>
      </c>
      <c r="H85" s="172">
        <v>1</v>
      </c>
      <c r="I85" s="172">
        <v>1</v>
      </c>
      <c r="J85" s="172">
        <v>1</v>
      </c>
      <c r="K85" s="172">
        <v>1</v>
      </c>
      <c r="L85" s="172">
        <v>3</v>
      </c>
      <c r="M85" s="172">
        <v>1</v>
      </c>
      <c r="N85" s="170"/>
      <c r="O85" s="170"/>
      <c r="P85" s="180">
        <f>SUM(Tabela2[[#This Row],[G]]+Tabela2[[#This Row],[D]]+Tabela2[[#This Row],[N]]+Tabela2[[#This Row],[HM]])</f>
        <v>5</v>
      </c>
      <c r="Q85" s="180">
        <f>SUM(Tabela2[[#This Row],[AO]]+Tabela2[[#This Row],[AD]]+Tabela2[[#This Row],[GWO]]+Tabela2[[#This Row],[GWD]])</f>
        <v>6</v>
      </c>
      <c r="R85" s="180">
        <f>Tabela2[[#This Row],[GWO]]+Tabela2[[#This Row],[GWD]]</f>
        <v>4</v>
      </c>
      <c r="S85" s="180">
        <f>SUM(Tabela2[[#This Row],[G]:[GWD]])</f>
        <v>11</v>
      </c>
    </row>
    <row r="86" spans="1:19" ht="30">
      <c r="A86" s="183">
        <v>242</v>
      </c>
      <c r="B86" s="174" t="s">
        <v>481</v>
      </c>
      <c r="C86" s="174" t="s">
        <v>387</v>
      </c>
      <c r="D86" s="174">
        <v>4</v>
      </c>
      <c r="E86" s="174" t="s">
        <v>250</v>
      </c>
      <c r="F86" s="174">
        <v>5</v>
      </c>
      <c r="G86" s="174">
        <v>5</v>
      </c>
      <c r="H86" s="174">
        <v>1</v>
      </c>
      <c r="I86" s="174">
        <v>5</v>
      </c>
      <c r="J86" s="174">
        <v>2</v>
      </c>
      <c r="K86" s="174">
        <v>1</v>
      </c>
      <c r="L86" s="174">
        <v>5</v>
      </c>
      <c r="M86" s="174">
        <v>5</v>
      </c>
      <c r="N86" s="170"/>
      <c r="O86" s="170"/>
      <c r="P86" s="180">
        <f>SUM(Tabela2[[#This Row],[G]]+Tabela2[[#This Row],[D]]+Tabela2[[#This Row],[N]]+Tabela2[[#This Row],[HM]])</f>
        <v>12</v>
      </c>
      <c r="Q86" s="180">
        <f>SUM(Tabela2[[#This Row],[AO]]+Tabela2[[#This Row],[AD]]+Tabela2[[#This Row],[GWO]]+Tabela2[[#This Row],[GWD]])</f>
        <v>17</v>
      </c>
      <c r="R86" s="180">
        <f>Tabela2[[#This Row],[GWO]]+Tabela2[[#This Row],[GWD]]</f>
        <v>10</v>
      </c>
      <c r="S86" s="180">
        <f>SUM(Tabela2[[#This Row],[G]:[GWD]])</f>
        <v>29</v>
      </c>
    </row>
    <row r="87" spans="1:19" ht="30">
      <c r="A87" s="183">
        <v>217</v>
      </c>
      <c r="B87" s="175" t="s">
        <v>504</v>
      </c>
      <c r="C87" s="175" t="s">
        <v>387</v>
      </c>
      <c r="D87" s="175">
        <v>4</v>
      </c>
      <c r="E87" s="175" t="s">
        <v>18</v>
      </c>
      <c r="F87" s="175">
        <v>1</v>
      </c>
      <c r="G87" s="175">
        <v>1</v>
      </c>
      <c r="H87" s="175">
        <v>1</v>
      </c>
      <c r="I87" s="175">
        <v>2</v>
      </c>
      <c r="J87" s="175">
        <v>1</v>
      </c>
      <c r="K87" s="175">
        <v>1</v>
      </c>
      <c r="L87" s="175">
        <v>3</v>
      </c>
      <c r="M87" s="175">
        <v>1</v>
      </c>
      <c r="N87" s="170"/>
      <c r="O87" s="170"/>
      <c r="P87" s="180">
        <f>SUM(Tabela2[[#This Row],[G]]+Tabela2[[#This Row],[D]]+Tabela2[[#This Row],[N]]+Tabela2[[#This Row],[HM]])</f>
        <v>4</v>
      </c>
      <c r="Q87" s="180">
        <f>SUM(Tabela2[[#This Row],[AO]]+Tabela2[[#This Row],[AD]]+Tabela2[[#This Row],[GWO]]+Tabela2[[#This Row],[GWD]])</f>
        <v>7</v>
      </c>
      <c r="R87" s="180">
        <f>Tabela2[[#This Row],[GWO]]+Tabela2[[#This Row],[GWD]]</f>
        <v>4</v>
      </c>
      <c r="S87" s="180">
        <f>SUM(Tabela2[[#This Row],[G]:[GWD]])</f>
        <v>11</v>
      </c>
    </row>
    <row r="88" spans="1:19">
      <c r="A88" s="183">
        <v>318</v>
      </c>
      <c r="B88" s="170" t="s">
        <v>390</v>
      </c>
      <c r="C88" s="170" t="s">
        <v>389</v>
      </c>
      <c r="D88" s="170">
        <v>4</v>
      </c>
      <c r="E88" s="170" t="s">
        <v>273</v>
      </c>
      <c r="F88" s="170">
        <v>1</v>
      </c>
      <c r="G88" s="170">
        <v>1</v>
      </c>
      <c r="H88" s="170">
        <v>3</v>
      </c>
      <c r="I88" s="170">
        <v>2</v>
      </c>
      <c r="J88" s="170">
        <v>1</v>
      </c>
      <c r="K88" s="170">
        <v>1</v>
      </c>
      <c r="L88" s="170">
        <v>4</v>
      </c>
      <c r="M88" s="170">
        <v>1</v>
      </c>
      <c r="N88" s="170"/>
      <c r="O88" s="170"/>
      <c r="P88" s="180">
        <f>SUM(Tabela2[[#This Row],[G]]+Tabela2[[#This Row],[D]]+Tabela2[[#This Row],[N]]+Tabela2[[#This Row],[HM]])</f>
        <v>6</v>
      </c>
      <c r="Q88" s="180">
        <f>SUM(Tabela2[[#This Row],[AO]]+Tabela2[[#This Row],[AD]]+Tabela2[[#This Row],[GWO]]+Tabela2[[#This Row],[GWD]])</f>
        <v>8</v>
      </c>
      <c r="R88" s="180">
        <f>Tabela2[[#This Row],[GWO]]+Tabela2[[#This Row],[GWD]]</f>
        <v>5</v>
      </c>
      <c r="S88" s="180">
        <f>SUM(Tabela2[[#This Row],[G]:[GWD]])</f>
        <v>14</v>
      </c>
    </row>
    <row r="89" spans="1:19">
      <c r="A89" s="183">
        <v>292</v>
      </c>
      <c r="B89" s="171" t="s">
        <v>429</v>
      </c>
      <c r="C89" s="171" t="s">
        <v>389</v>
      </c>
      <c r="D89" s="171">
        <v>4</v>
      </c>
      <c r="E89" s="171" t="s">
        <v>252</v>
      </c>
      <c r="F89" s="171">
        <v>1</v>
      </c>
      <c r="G89" s="171">
        <v>4</v>
      </c>
      <c r="H89" s="171">
        <v>3</v>
      </c>
      <c r="I89" s="171">
        <v>1</v>
      </c>
      <c r="J89" s="171">
        <v>1</v>
      </c>
      <c r="K89" s="171">
        <v>1</v>
      </c>
      <c r="L89" s="171">
        <v>3</v>
      </c>
      <c r="M89" s="171">
        <v>1</v>
      </c>
      <c r="N89" s="170"/>
      <c r="O89" s="170"/>
      <c r="P89" s="180">
        <f>SUM(Tabela2[[#This Row],[G]]+Tabela2[[#This Row],[D]]+Tabela2[[#This Row],[N]]+Tabela2[[#This Row],[HM]])</f>
        <v>9</v>
      </c>
      <c r="Q89" s="180">
        <f>SUM(Tabela2[[#This Row],[AO]]+Tabela2[[#This Row],[AD]]+Tabela2[[#This Row],[GWO]]+Tabela2[[#This Row],[GWD]])</f>
        <v>6</v>
      </c>
      <c r="R89" s="180">
        <f>Tabela2[[#This Row],[GWO]]+Tabela2[[#This Row],[GWD]]</f>
        <v>4</v>
      </c>
      <c r="S89" s="180">
        <f>SUM(Tabela2[[#This Row],[G]:[GWD]])</f>
        <v>15</v>
      </c>
    </row>
    <row r="90" spans="1:19">
      <c r="A90" s="183">
        <v>267</v>
      </c>
      <c r="B90" s="172" t="s">
        <v>457</v>
      </c>
      <c r="C90" s="172" t="s">
        <v>389</v>
      </c>
      <c r="D90" s="172">
        <v>4</v>
      </c>
      <c r="E90" s="172" t="s">
        <v>251</v>
      </c>
      <c r="F90" s="172">
        <v>2</v>
      </c>
      <c r="G90" s="172">
        <v>1</v>
      </c>
      <c r="H90" s="172">
        <v>3</v>
      </c>
      <c r="I90" s="172">
        <v>1</v>
      </c>
      <c r="J90" s="172">
        <v>1</v>
      </c>
      <c r="K90" s="172">
        <v>1</v>
      </c>
      <c r="L90" s="172">
        <v>3</v>
      </c>
      <c r="M90" s="172">
        <v>1</v>
      </c>
      <c r="N90" s="170"/>
      <c r="O90" s="170"/>
      <c r="P90" s="180">
        <f>SUM(Tabela2[[#This Row],[G]]+Tabela2[[#This Row],[D]]+Tabela2[[#This Row],[N]]+Tabela2[[#This Row],[HM]])</f>
        <v>7</v>
      </c>
      <c r="Q90" s="180">
        <f>SUM(Tabela2[[#This Row],[AO]]+Tabela2[[#This Row],[AD]]+Tabela2[[#This Row],[GWO]]+Tabela2[[#This Row],[GWD]])</f>
        <v>6</v>
      </c>
      <c r="R90" s="180">
        <f>Tabela2[[#This Row],[GWO]]+Tabela2[[#This Row],[GWD]]</f>
        <v>4</v>
      </c>
      <c r="S90" s="180">
        <f>SUM(Tabela2[[#This Row],[G]:[GWD]])</f>
        <v>13</v>
      </c>
    </row>
    <row r="91" spans="1:19">
      <c r="A91" s="183">
        <v>241</v>
      </c>
      <c r="B91" s="174" t="s">
        <v>482</v>
      </c>
      <c r="C91" s="174" t="s">
        <v>389</v>
      </c>
      <c r="D91" s="174">
        <v>4</v>
      </c>
      <c r="E91" s="174" t="s">
        <v>250</v>
      </c>
      <c r="F91" s="174">
        <v>1</v>
      </c>
      <c r="G91" s="174">
        <v>1</v>
      </c>
      <c r="H91" s="174">
        <v>3</v>
      </c>
      <c r="I91" s="174">
        <v>4</v>
      </c>
      <c r="J91" s="174">
        <v>1</v>
      </c>
      <c r="K91" s="174">
        <v>1</v>
      </c>
      <c r="L91" s="174">
        <v>4</v>
      </c>
      <c r="M91" s="174">
        <v>1</v>
      </c>
      <c r="N91" s="170"/>
      <c r="O91" s="170"/>
      <c r="P91" s="180">
        <f>SUM(Tabela2[[#This Row],[G]]+Tabela2[[#This Row],[D]]+Tabela2[[#This Row],[N]]+Tabela2[[#This Row],[HM]])</f>
        <v>6</v>
      </c>
      <c r="Q91" s="180">
        <f>SUM(Tabela2[[#This Row],[AO]]+Tabela2[[#This Row],[AD]]+Tabela2[[#This Row],[GWO]]+Tabela2[[#This Row],[GWD]])</f>
        <v>10</v>
      </c>
      <c r="R91" s="180">
        <f>Tabela2[[#This Row],[GWO]]+Tabela2[[#This Row],[GWD]]</f>
        <v>5</v>
      </c>
      <c r="S91" s="180">
        <f>SUM(Tabela2[[#This Row],[G]:[GWD]])</f>
        <v>16</v>
      </c>
    </row>
    <row r="92" spans="1:19">
      <c r="A92" s="183">
        <v>216</v>
      </c>
      <c r="B92" s="175" t="s">
        <v>505</v>
      </c>
      <c r="C92" s="175" t="s">
        <v>389</v>
      </c>
      <c r="D92" s="175">
        <v>4</v>
      </c>
      <c r="E92" s="175" t="s">
        <v>18</v>
      </c>
      <c r="F92" s="175">
        <v>1</v>
      </c>
      <c r="G92" s="175">
        <v>3</v>
      </c>
      <c r="H92" s="175">
        <v>3</v>
      </c>
      <c r="I92" s="175">
        <v>3</v>
      </c>
      <c r="J92" s="175">
        <v>1</v>
      </c>
      <c r="K92" s="175">
        <v>2</v>
      </c>
      <c r="L92" s="175">
        <v>2</v>
      </c>
      <c r="M92" s="175">
        <v>1</v>
      </c>
      <c r="N92" s="170"/>
      <c r="O92" s="170"/>
      <c r="P92" s="180">
        <f>SUM(Tabela2[[#This Row],[G]]+Tabela2[[#This Row],[D]]+Tabela2[[#This Row],[N]]+Tabela2[[#This Row],[HM]])</f>
        <v>9</v>
      </c>
      <c r="Q92" s="180">
        <f>SUM(Tabela2[[#This Row],[AO]]+Tabela2[[#This Row],[AD]]+Tabela2[[#This Row],[GWO]]+Tabela2[[#This Row],[GWD]])</f>
        <v>7</v>
      </c>
      <c r="R92" s="180">
        <f>Tabela2[[#This Row],[GWO]]+Tabela2[[#This Row],[GWD]]</f>
        <v>3</v>
      </c>
      <c r="S92" s="180">
        <f>SUM(Tabela2[[#This Row],[G]:[GWD]])</f>
        <v>16</v>
      </c>
    </row>
    <row r="93" spans="1:19" ht="30">
      <c r="A93" s="183">
        <v>317</v>
      </c>
      <c r="B93" s="170" t="s">
        <v>391</v>
      </c>
      <c r="C93" s="170" t="s">
        <v>345</v>
      </c>
      <c r="D93" s="170">
        <v>4</v>
      </c>
      <c r="E93" s="170" t="s">
        <v>273</v>
      </c>
      <c r="F93" s="170">
        <v>1</v>
      </c>
      <c r="G93" s="170">
        <v>1</v>
      </c>
      <c r="H93" s="170">
        <v>1</v>
      </c>
      <c r="I93" s="170">
        <v>2</v>
      </c>
      <c r="J93" s="170">
        <v>1</v>
      </c>
      <c r="K93" s="170">
        <v>3</v>
      </c>
      <c r="L93" s="170">
        <v>3</v>
      </c>
      <c r="M93" s="170">
        <v>1</v>
      </c>
      <c r="N93" s="170"/>
      <c r="O93" s="170"/>
      <c r="P93" s="180">
        <f>SUM(Tabela2[[#This Row],[G]]+Tabela2[[#This Row],[D]]+Tabela2[[#This Row],[N]]+Tabela2[[#This Row],[HM]])</f>
        <v>6</v>
      </c>
      <c r="Q93" s="180">
        <f>SUM(Tabela2[[#This Row],[AO]]+Tabela2[[#This Row],[AD]]+Tabela2[[#This Row],[GWO]]+Tabela2[[#This Row],[GWD]])</f>
        <v>7</v>
      </c>
      <c r="R93" s="180">
        <f>Tabela2[[#This Row],[GWO]]+Tabela2[[#This Row],[GWD]]</f>
        <v>4</v>
      </c>
      <c r="S93" s="180">
        <f>SUM(Tabela2[[#This Row],[G]:[GWD]])</f>
        <v>13</v>
      </c>
    </row>
    <row r="94" spans="1:19" ht="30">
      <c r="A94" s="183">
        <v>291</v>
      </c>
      <c r="B94" s="171" t="s">
        <v>430</v>
      </c>
      <c r="C94" s="171" t="s">
        <v>345</v>
      </c>
      <c r="D94" s="171">
        <v>4</v>
      </c>
      <c r="E94" s="171" t="s">
        <v>252</v>
      </c>
      <c r="F94" s="171">
        <v>1</v>
      </c>
      <c r="G94" s="171">
        <v>1</v>
      </c>
      <c r="H94" s="171">
        <v>1</v>
      </c>
      <c r="I94" s="171">
        <v>2</v>
      </c>
      <c r="J94" s="171">
        <v>1</v>
      </c>
      <c r="K94" s="171">
        <v>1</v>
      </c>
      <c r="L94" s="171">
        <v>4</v>
      </c>
      <c r="M94" s="171">
        <v>1</v>
      </c>
      <c r="N94" s="170"/>
      <c r="O94" s="170"/>
      <c r="P94" s="180">
        <f>SUM(Tabela2[[#This Row],[G]]+Tabela2[[#This Row],[D]]+Tabela2[[#This Row],[N]]+Tabela2[[#This Row],[HM]])</f>
        <v>4</v>
      </c>
      <c r="Q94" s="180">
        <f>SUM(Tabela2[[#This Row],[AO]]+Tabela2[[#This Row],[AD]]+Tabela2[[#This Row],[GWO]]+Tabela2[[#This Row],[GWD]])</f>
        <v>8</v>
      </c>
      <c r="R94" s="180">
        <f>Tabela2[[#This Row],[GWO]]+Tabela2[[#This Row],[GWD]]</f>
        <v>5</v>
      </c>
      <c r="S94" s="180">
        <f>SUM(Tabela2[[#This Row],[G]:[GWD]])</f>
        <v>12</v>
      </c>
    </row>
    <row r="95" spans="1:19" ht="30">
      <c r="A95" s="183">
        <v>266</v>
      </c>
      <c r="B95" s="172" t="s">
        <v>458</v>
      </c>
      <c r="C95" s="172" t="s">
        <v>345</v>
      </c>
      <c r="D95" s="172">
        <v>4</v>
      </c>
      <c r="E95" s="172" t="s">
        <v>251</v>
      </c>
      <c r="F95" s="172">
        <v>3</v>
      </c>
      <c r="G95" s="172">
        <v>1</v>
      </c>
      <c r="H95" s="172">
        <v>1</v>
      </c>
      <c r="I95" s="172">
        <v>3</v>
      </c>
      <c r="J95" s="172">
        <v>1</v>
      </c>
      <c r="K95" s="172">
        <v>1</v>
      </c>
      <c r="L95" s="172">
        <v>2</v>
      </c>
      <c r="M95" s="172">
        <v>1</v>
      </c>
      <c r="N95" s="170"/>
      <c r="O95" s="170" t="s">
        <v>205</v>
      </c>
      <c r="P95" s="180">
        <f>SUM(Tabela2[[#This Row],[G]]+Tabela2[[#This Row],[D]]+Tabela2[[#This Row],[N]]+Tabela2[[#This Row],[HM]])</f>
        <v>6</v>
      </c>
      <c r="Q95" s="180">
        <f>SUM(Tabela2[[#This Row],[AO]]+Tabela2[[#This Row],[AD]]+Tabela2[[#This Row],[GWO]]+Tabela2[[#This Row],[GWD]])</f>
        <v>7</v>
      </c>
      <c r="R95" s="180">
        <f>Tabela2[[#This Row],[GWO]]+Tabela2[[#This Row],[GWD]]</f>
        <v>3</v>
      </c>
      <c r="S95" s="180">
        <f>SUM(Tabela2[[#This Row],[G]:[GWD]])</f>
        <v>13</v>
      </c>
    </row>
    <row r="96" spans="1:19" ht="30">
      <c r="A96" s="183">
        <v>240</v>
      </c>
      <c r="B96" s="174" t="s">
        <v>483</v>
      </c>
      <c r="C96" s="174" t="s">
        <v>345</v>
      </c>
      <c r="D96" s="174">
        <v>4</v>
      </c>
      <c r="E96" s="174" t="s">
        <v>250</v>
      </c>
      <c r="F96" s="174">
        <v>1</v>
      </c>
      <c r="G96" s="174">
        <v>2</v>
      </c>
      <c r="H96" s="174">
        <v>1</v>
      </c>
      <c r="I96" s="174">
        <v>5</v>
      </c>
      <c r="J96" s="174">
        <v>3</v>
      </c>
      <c r="K96" s="174">
        <v>3</v>
      </c>
      <c r="L96" s="174">
        <v>5</v>
      </c>
      <c r="M96" s="174">
        <v>2</v>
      </c>
      <c r="N96" s="170"/>
      <c r="O96" s="170"/>
      <c r="P96" s="180">
        <f>SUM(Tabela2[[#This Row],[G]]+Tabela2[[#This Row],[D]]+Tabela2[[#This Row],[N]]+Tabela2[[#This Row],[HM]])</f>
        <v>7</v>
      </c>
      <c r="Q96" s="180">
        <f>SUM(Tabela2[[#This Row],[AO]]+Tabela2[[#This Row],[AD]]+Tabela2[[#This Row],[GWO]]+Tabela2[[#This Row],[GWD]])</f>
        <v>15</v>
      </c>
      <c r="R96" s="180">
        <f>Tabela2[[#This Row],[GWO]]+Tabela2[[#This Row],[GWD]]</f>
        <v>7</v>
      </c>
      <c r="S96" s="180">
        <f>SUM(Tabela2[[#This Row],[G]:[GWD]])</f>
        <v>22</v>
      </c>
    </row>
    <row r="97" spans="1:19" ht="30">
      <c r="A97" s="183">
        <v>215</v>
      </c>
      <c r="B97" s="175" t="s">
        <v>506</v>
      </c>
      <c r="C97" s="175" t="s">
        <v>345</v>
      </c>
      <c r="D97" s="175">
        <v>4</v>
      </c>
      <c r="E97" s="175" t="s">
        <v>18</v>
      </c>
      <c r="F97" s="175">
        <v>1</v>
      </c>
      <c r="G97" s="175">
        <v>2</v>
      </c>
      <c r="H97" s="175">
        <v>1</v>
      </c>
      <c r="I97" s="175">
        <v>3</v>
      </c>
      <c r="J97" s="175">
        <v>1</v>
      </c>
      <c r="K97" s="175">
        <v>1</v>
      </c>
      <c r="L97" s="175">
        <v>4</v>
      </c>
      <c r="M97" s="175">
        <v>1</v>
      </c>
      <c r="N97" s="170"/>
      <c r="O97" s="170"/>
      <c r="P97" s="180">
        <f>SUM(Tabela2[[#This Row],[G]]+Tabela2[[#This Row],[D]]+Tabela2[[#This Row],[N]]+Tabela2[[#This Row],[HM]])</f>
        <v>5</v>
      </c>
      <c r="Q97" s="180">
        <f>SUM(Tabela2[[#This Row],[AO]]+Tabela2[[#This Row],[AD]]+Tabela2[[#This Row],[GWO]]+Tabela2[[#This Row],[GWD]])</f>
        <v>9</v>
      </c>
      <c r="R97" s="180">
        <f>Tabela2[[#This Row],[GWO]]+Tabela2[[#This Row],[GWD]]</f>
        <v>5</v>
      </c>
      <c r="S97" s="180">
        <f>SUM(Tabela2[[#This Row],[G]:[GWD]])</f>
        <v>14</v>
      </c>
    </row>
    <row r="98" spans="1:19" ht="30">
      <c r="A98" s="183">
        <v>195</v>
      </c>
      <c r="B98" s="170" t="s">
        <v>528</v>
      </c>
      <c r="C98" s="170" t="s">
        <v>527</v>
      </c>
      <c r="D98" s="170">
        <v>3</v>
      </c>
      <c r="E98" s="170" t="s">
        <v>273</v>
      </c>
      <c r="F98" s="170">
        <v>1</v>
      </c>
      <c r="G98" s="170">
        <v>1</v>
      </c>
      <c r="H98" s="170">
        <v>1</v>
      </c>
      <c r="I98" s="170">
        <v>1</v>
      </c>
      <c r="J98" s="170">
        <v>1</v>
      </c>
      <c r="K98" s="170">
        <v>1</v>
      </c>
      <c r="L98" s="170">
        <v>1</v>
      </c>
      <c r="M98" s="170">
        <v>1</v>
      </c>
      <c r="N98" s="170"/>
      <c r="O98" s="170"/>
      <c r="P98" s="180">
        <f>SUM(Tabela2[[#This Row],[G]]+Tabela2[[#This Row],[D]]+Tabela2[[#This Row],[N]]+Tabela2[[#This Row],[HM]])</f>
        <v>4</v>
      </c>
      <c r="Q98" s="180">
        <f>SUM(Tabela2[[#This Row],[AO]]+Tabela2[[#This Row],[AD]]+Tabela2[[#This Row],[GWO]]+Tabela2[[#This Row],[GWD]])</f>
        <v>4</v>
      </c>
      <c r="R98" s="180">
        <f>Tabela2[[#This Row],[GWO]]+Tabela2[[#This Row],[GWD]]</f>
        <v>2</v>
      </c>
      <c r="S98" s="180">
        <f>SUM(Tabela2[[#This Row],[G]:[GWD]])</f>
        <v>8</v>
      </c>
    </row>
    <row r="99" spans="1:19" ht="30">
      <c r="A99" s="183">
        <v>161</v>
      </c>
      <c r="B99" s="171" t="s">
        <v>584</v>
      </c>
      <c r="C99" s="171" t="s">
        <v>527</v>
      </c>
      <c r="D99" s="171">
        <v>3</v>
      </c>
      <c r="E99" s="171" t="s">
        <v>252</v>
      </c>
      <c r="F99" s="171">
        <v>1</v>
      </c>
      <c r="G99" s="171">
        <v>1</v>
      </c>
      <c r="H99" s="171">
        <v>1</v>
      </c>
      <c r="I99" s="171">
        <v>1</v>
      </c>
      <c r="J99" s="171">
        <v>1</v>
      </c>
      <c r="K99" s="171">
        <v>1</v>
      </c>
      <c r="L99" s="171">
        <v>1</v>
      </c>
      <c r="M99" s="171">
        <v>1</v>
      </c>
      <c r="N99" s="170"/>
      <c r="O99" s="170"/>
      <c r="P99" s="180">
        <f>SUM(Tabela2[[#This Row],[G]]+Tabela2[[#This Row],[D]]+Tabela2[[#This Row],[N]]+Tabela2[[#This Row],[HM]])</f>
        <v>4</v>
      </c>
      <c r="Q99" s="180">
        <f>SUM(Tabela2[[#This Row],[AO]]+Tabela2[[#This Row],[AD]]+Tabela2[[#This Row],[GWO]]+Tabela2[[#This Row],[GWD]])</f>
        <v>4</v>
      </c>
      <c r="R99" s="180">
        <f>Tabela2[[#This Row],[GWO]]+Tabela2[[#This Row],[GWD]]</f>
        <v>2</v>
      </c>
      <c r="S99" s="180">
        <f>SUM(Tabela2[[#This Row],[G]:[GWD]])</f>
        <v>8</v>
      </c>
    </row>
    <row r="100" spans="1:19" ht="30">
      <c r="A100" s="183">
        <v>132</v>
      </c>
      <c r="B100" s="172" t="s">
        <v>614</v>
      </c>
      <c r="C100" s="172" t="s">
        <v>527</v>
      </c>
      <c r="D100" s="172">
        <v>3</v>
      </c>
      <c r="E100" s="172" t="s">
        <v>251</v>
      </c>
      <c r="F100" s="172">
        <v>1</v>
      </c>
      <c r="G100" s="172">
        <v>1</v>
      </c>
      <c r="H100" s="172">
        <v>1</v>
      </c>
      <c r="I100" s="172">
        <v>1</v>
      </c>
      <c r="J100" s="172">
        <v>1</v>
      </c>
      <c r="K100" s="172">
        <v>1</v>
      </c>
      <c r="L100" s="172">
        <v>1</v>
      </c>
      <c r="M100" s="172">
        <v>1</v>
      </c>
      <c r="N100" s="170"/>
      <c r="O100" s="170"/>
      <c r="P100" s="180">
        <f>SUM(Tabela2[[#This Row],[G]]+Tabela2[[#This Row],[D]]+Tabela2[[#This Row],[N]]+Tabela2[[#This Row],[HM]])</f>
        <v>4</v>
      </c>
      <c r="Q100" s="180">
        <f>SUM(Tabela2[[#This Row],[AO]]+Tabela2[[#This Row],[AD]]+Tabela2[[#This Row],[GWO]]+Tabela2[[#This Row],[GWD]])</f>
        <v>4</v>
      </c>
      <c r="R100" s="180">
        <f>Tabela2[[#This Row],[GWO]]+Tabela2[[#This Row],[GWD]]</f>
        <v>2</v>
      </c>
      <c r="S100" s="180">
        <f>SUM(Tabela2[[#This Row],[G]:[GWD]])</f>
        <v>8</v>
      </c>
    </row>
    <row r="101" spans="1:19" ht="30">
      <c r="A101" s="183">
        <v>104</v>
      </c>
      <c r="B101" s="174" t="s">
        <v>641</v>
      </c>
      <c r="C101" s="174" t="s">
        <v>527</v>
      </c>
      <c r="D101" s="174">
        <v>3</v>
      </c>
      <c r="E101" s="174" t="s">
        <v>250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80">
        <f>SUM(Tabela2[[#This Row],[G]]+Tabela2[[#This Row],[D]]+Tabela2[[#This Row],[N]]+Tabela2[[#This Row],[HM]])</f>
        <v>4</v>
      </c>
      <c r="Q101" s="180">
        <f>SUM(Tabela2[[#This Row],[AO]]+Tabela2[[#This Row],[AD]]+Tabela2[[#This Row],[GWO]]+Tabela2[[#This Row],[GWD]])</f>
        <v>4</v>
      </c>
      <c r="R101" s="180">
        <f>Tabela2[[#This Row],[GWO]]+Tabela2[[#This Row],[GWD]]</f>
        <v>2</v>
      </c>
      <c r="S101" s="180">
        <f>SUM(Tabela2[[#This Row],[G]:[GWD]])</f>
        <v>8</v>
      </c>
    </row>
    <row r="102" spans="1:19" ht="30">
      <c r="A102" s="183">
        <v>72</v>
      </c>
      <c r="B102" s="175" t="s">
        <v>674</v>
      </c>
      <c r="C102" s="175" t="s">
        <v>527</v>
      </c>
      <c r="D102" s="175">
        <v>3</v>
      </c>
      <c r="E102" s="175" t="s">
        <v>18</v>
      </c>
      <c r="F102" s="175">
        <v>1</v>
      </c>
      <c r="G102" s="175">
        <v>1</v>
      </c>
      <c r="H102" s="175">
        <v>1</v>
      </c>
      <c r="I102" s="175">
        <v>1</v>
      </c>
      <c r="J102" s="175">
        <v>1</v>
      </c>
      <c r="K102" s="175">
        <v>1</v>
      </c>
      <c r="L102" s="175">
        <v>1</v>
      </c>
      <c r="M102" s="175">
        <v>1</v>
      </c>
      <c r="N102" s="170"/>
      <c r="O102" s="170"/>
      <c r="P102" s="180">
        <f>SUM(Tabela2[[#This Row],[G]]+Tabela2[[#This Row],[D]]+Tabela2[[#This Row],[N]]+Tabela2[[#This Row],[HM]])</f>
        <v>4</v>
      </c>
      <c r="Q102" s="180">
        <f>SUM(Tabela2[[#This Row],[AO]]+Tabela2[[#This Row],[AD]]+Tabela2[[#This Row],[GWO]]+Tabela2[[#This Row],[GWD]])</f>
        <v>4</v>
      </c>
      <c r="R102" s="180">
        <f>Tabela2[[#This Row],[GWO]]+Tabela2[[#This Row],[GWD]]</f>
        <v>2</v>
      </c>
      <c r="S102" s="180">
        <f>SUM(Tabela2[[#This Row],[G]:[GWD]])</f>
        <v>8</v>
      </c>
    </row>
    <row r="103" spans="1:19">
      <c r="A103" s="183">
        <v>316</v>
      </c>
      <c r="B103" s="170" t="s">
        <v>392</v>
      </c>
      <c r="C103" s="170" t="s">
        <v>216</v>
      </c>
      <c r="D103" s="170">
        <v>4</v>
      </c>
      <c r="E103" s="170" t="s">
        <v>273</v>
      </c>
      <c r="F103" s="170">
        <v>1</v>
      </c>
      <c r="G103" s="170">
        <v>1</v>
      </c>
      <c r="H103" s="170">
        <v>1</v>
      </c>
      <c r="I103" s="170">
        <v>2</v>
      </c>
      <c r="J103" s="170">
        <v>1</v>
      </c>
      <c r="K103" s="170">
        <v>2</v>
      </c>
      <c r="L103" s="170">
        <v>2</v>
      </c>
      <c r="M103" s="170">
        <v>1</v>
      </c>
      <c r="N103" s="170"/>
      <c r="O103" s="170"/>
      <c r="P103" s="180">
        <f>SUM(Tabela2[[#This Row],[G]]+Tabela2[[#This Row],[D]]+Tabela2[[#This Row],[N]]+Tabela2[[#This Row],[HM]])</f>
        <v>5</v>
      </c>
      <c r="Q103" s="180">
        <f>SUM(Tabela2[[#This Row],[AO]]+Tabela2[[#This Row],[AD]]+Tabela2[[#This Row],[GWO]]+Tabela2[[#This Row],[GWD]])</f>
        <v>6</v>
      </c>
      <c r="R103" s="180">
        <f>Tabela2[[#This Row],[GWO]]+Tabela2[[#This Row],[GWD]]</f>
        <v>3</v>
      </c>
      <c r="S103" s="180">
        <f>SUM(Tabela2[[#This Row],[G]:[GWD]])</f>
        <v>11</v>
      </c>
    </row>
    <row r="104" spans="1:19">
      <c r="A104" s="183">
        <v>265</v>
      </c>
      <c r="B104" s="172" t="s">
        <v>357</v>
      </c>
      <c r="C104" s="172" t="s">
        <v>216</v>
      </c>
      <c r="D104" s="172">
        <v>4</v>
      </c>
      <c r="E104" s="172" t="s">
        <v>251</v>
      </c>
      <c r="F104" s="172">
        <v>5</v>
      </c>
      <c r="G104" s="172">
        <v>1</v>
      </c>
      <c r="H104" s="172">
        <v>5</v>
      </c>
      <c r="I104" s="172">
        <v>1</v>
      </c>
      <c r="J104" s="172">
        <v>1</v>
      </c>
      <c r="K104" s="172">
        <v>1</v>
      </c>
      <c r="L104" s="172">
        <v>3</v>
      </c>
      <c r="M104" s="172">
        <v>1</v>
      </c>
      <c r="N104" s="173"/>
      <c r="O104" s="173" t="s">
        <v>205</v>
      </c>
      <c r="P104" s="181">
        <f>SUM(Tabela2[[#This Row],[G]]+Tabela2[[#This Row],[D]]+Tabela2[[#This Row],[N]]+Tabela2[[#This Row],[HM]])</f>
        <v>12</v>
      </c>
      <c r="Q104" s="181">
        <f>SUM(Tabela2[[#This Row],[AO]]+Tabela2[[#This Row],[AD]]+Tabela2[[#This Row],[GWO]]+Tabela2[[#This Row],[GWD]])</f>
        <v>6</v>
      </c>
      <c r="R104" s="181">
        <f>Tabela2[[#This Row],[GWO]]+Tabela2[[#This Row],[GWD]]</f>
        <v>4</v>
      </c>
      <c r="S104" s="181">
        <f>SUM(Tabela2[[#This Row],[G]:[GWD]])</f>
        <v>18</v>
      </c>
    </row>
    <row r="105" spans="1:19">
      <c r="A105" s="183">
        <v>239</v>
      </c>
      <c r="B105" s="174" t="s">
        <v>484</v>
      </c>
      <c r="C105" s="174" t="s">
        <v>216</v>
      </c>
      <c r="D105" s="174">
        <v>4</v>
      </c>
      <c r="E105" s="174" t="s">
        <v>250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4" t="s">
        <v>446</v>
      </c>
      <c r="O105" s="174"/>
      <c r="P105" s="185">
        <f>SUM(Tabela2[[#This Row],[G]]+Tabela2[[#This Row],[D]]+Tabela2[[#This Row],[N]]+Tabela2[[#This Row],[HM]])</f>
        <v>4</v>
      </c>
      <c r="Q105" s="185">
        <f>SUM(Tabela2[[#This Row],[AO]]+Tabela2[[#This Row],[AD]]+Tabela2[[#This Row],[GWO]]+Tabela2[[#This Row],[GWD]])</f>
        <v>4</v>
      </c>
      <c r="R105" s="185">
        <f>Tabela2[[#This Row],[GWO]]+Tabela2[[#This Row],[GWD]]</f>
        <v>2</v>
      </c>
      <c r="S105" s="180">
        <f>SUM(Tabela2[[#This Row],[G]:[GWD]])</f>
        <v>8</v>
      </c>
    </row>
    <row r="106" spans="1:19">
      <c r="A106" s="183">
        <v>214</v>
      </c>
      <c r="B106" s="175" t="s">
        <v>507</v>
      </c>
      <c r="C106" s="175" t="s">
        <v>216</v>
      </c>
      <c r="D106" s="175">
        <v>4</v>
      </c>
      <c r="E106" s="175" t="s">
        <v>18</v>
      </c>
      <c r="F106" s="175">
        <v>1</v>
      </c>
      <c r="G106" s="175">
        <v>1</v>
      </c>
      <c r="H106" s="175">
        <v>1</v>
      </c>
      <c r="I106" s="175">
        <v>1</v>
      </c>
      <c r="J106" s="175">
        <v>1</v>
      </c>
      <c r="K106" s="175">
        <v>1</v>
      </c>
      <c r="L106" s="175">
        <v>1</v>
      </c>
      <c r="M106" s="175">
        <v>1</v>
      </c>
      <c r="N106" s="170"/>
      <c r="O106" s="170"/>
      <c r="P106" s="180">
        <f>SUM(Tabela2[[#This Row],[G]]+Tabela2[[#This Row],[D]]+Tabela2[[#This Row],[N]]+Tabela2[[#This Row],[HM]])</f>
        <v>4</v>
      </c>
      <c r="Q106" s="180">
        <f>SUM(Tabela2[[#This Row],[AO]]+Tabela2[[#This Row],[AD]]+Tabela2[[#This Row],[GWO]]+Tabela2[[#This Row],[GWD]])</f>
        <v>4</v>
      </c>
      <c r="R106" s="180">
        <f>Tabela2[[#This Row],[GWO]]+Tabela2[[#This Row],[GWD]]</f>
        <v>2</v>
      </c>
      <c r="S106" s="180">
        <f>SUM(Tabela2[[#This Row],[G]:[GWD]])</f>
        <v>8</v>
      </c>
    </row>
    <row r="107" spans="1:19" ht="30">
      <c r="A107" s="183">
        <v>315</v>
      </c>
      <c r="B107" s="170" t="s">
        <v>394</v>
      </c>
      <c r="C107" s="170" t="s">
        <v>393</v>
      </c>
      <c r="D107" s="170">
        <v>4</v>
      </c>
      <c r="E107" s="170" t="s">
        <v>273</v>
      </c>
      <c r="F107" s="170">
        <v>1</v>
      </c>
      <c r="G107" s="170">
        <v>1</v>
      </c>
      <c r="H107" s="170">
        <v>3</v>
      </c>
      <c r="I107" s="170">
        <v>1</v>
      </c>
      <c r="J107" s="170">
        <v>1</v>
      </c>
      <c r="K107" s="170">
        <v>1</v>
      </c>
      <c r="L107" s="170">
        <v>3</v>
      </c>
      <c r="M107" s="170">
        <v>1</v>
      </c>
      <c r="N107" s="170"/>
      <c r="O107" s="170"/>
      <c r="P107" s="180">
        <f>SUM(Tabela2[[#This Row],[G]]+Tabela2[[#This Row],[D]]+Tabela2[[#This Row],[N]]+Tabela2[[#This Row],[HM]])</f>
        <v>6</v>
      </c>
      <c r="Q107" s="180">
        <f>SUM(Tabela2[[#This Row],[AO]]+Tabela2[[#This Row],[AD]]+Tabela2[[#This Row],[GWO]]+Tabela2[[#This Row],[GWD]])</f>
        <v>6</v>
      </c>
      <c r="R107" s="180">
        <f>Tabela2[[#This Row],[GWO]]+Tabela2[[#This Row],[GWD]]</f>
        <v>4</v>
      </c>
      <c r="S107" s="180">
        <f>SUM(Tabela2[[#This Row],[G]:[GWD]])</f>
        <v>12</v>
      </c>
    </row>
    <row r="108" spans="1:19" ht="30">
      <c r="A108" s="183">
        <v>290</v>
      </c>
      <c r="B108" s="171" t="s">
        <v>431</v>
      </c>
      <c r="C108" s="171" t="s">
        <v>393</v>
      </c>
      <c r="D108" s="171">
        <v>4</v>
      </c>
      <c r="E108" s="171" t="s">
        <v>252</v>
      </c>
      <c r="F108" s="171">
        <v>1</v>
      </c>
      <c r="G108" s="171">
        <v>1</v>
      </c>
      <c r="H108" s="171">
        <v>1</v>
      </c>
      <c r="I108" s="171">
        <v>1</v>
      </c>
      <c r="J108" s="171">
        <v>1</v>
      </c>
      <c r="K108" s="171">
        <v>1</v>
      </c>
      <c r="L108" s="171">
        <v>3</v>
      </c>
      <c r="M108" s="171">
        <v>1</v>
      </c>
      <c r="N108" s="170"/>
      <c r="O108" s="170"/>
      <c r="P108" s="180">
        <f>SUM(Tabela2[[#This Row],[G]]+Tabela2[[#This Row],[D]]+Tabela2[[#This Row],[N]]+Tabela2[[#This Row],[HM]])</f>
        <v>4</v>
      </c>
      <c r="Q108" s="180">
        <f>SUM(Tabela2[[#This Row],[AO]]+Tabela2[[#This Row],[AD]]+Tabela2[[#This Row],[GWO]]+Tabela2[[#This Row],[GWD]])</f>
        <v>6</v>
      </c>
      <c r="R108" s="180">
        <f>Tabela2[[#This Row],[GWO]]+Tabela2[[#This Row],[GWD]]</f>
        <v>4</v>
      </c>
      <c r="S108" s="180">
        <f>SUM(Tabela2[[#This Row],[G]:[GWD]])</f>
        <v>10</v>
      </c>
    </row>
    <row r="109" spans="1:19" ht="30">
      <c r="A109" s="183">
        <v>264</v>
      </c>
      <c r="B109" s="172" t="s">
        <v>459</v>
      </c>
      <c r="C109" s="172" t="s">
        <v>393</v>
      </c>
      <c r="D109" s="172">
        <v>4</v>
      </c>
      <c r="E109" s="172" t="s">
        <v>251</v>
      </c>
      <c r="F109" s="172">
        <v>4</v>
      </c>
      <c r="G109" s="172">
        <v>1</v>
      </c>
      <c r="H109" s="172">
        <v>4</v>
      </c>
      <c r="I109" s="172">
        <v>1</v>
      </c>
      <c r="J109" s="172">
        <v>1</v>
      </c>
      <c r="K109" s="172">
        <v>1</v>
      </c>
      <c r="L109" s="172">
        <v>3</v>
      </c>
      <c r="M109" s="172">
        <v>1</v>
      </c>
      <c r="N109" s="172" t="s">
        <v>446</v>
      </c>
      <c r="O109" s="172"/>
      <c r="P109" s="186">
        <f>SUM(Tabela2[[#This Row],[G]]+Tabela2[[#This Row],[D]]+Tabela2[[#This Row],[N]]+Tabela2[[#This Row],[HM]])</f>
        <v>10</v>
      </c>
      <c r="Q109" s="186">
        <f>SUM(Tabela2[[#This Row],[AO]]+Tabela2[[#This Row],[AD]]+Tabela2[[#This Row],[GWO]]+Tabela2[[#This Row],[GWD]])</f>
        <v>6</v>
      </c>
      <c r="R109" s="186">
        <f>Tabela2[[#This Row],[GWO]]+Tabela2[[#This Row],[GWD]]</f>
        <v>4</v>
      </c>
      <c r="S109" s="180">
        <f>SUM(Tabela2[[#This Row],[G]:[GWD]])</f>
        <v>16</v>
      </c>
    </row>
    <row r="110" spans="1:19" ht="30">
      <c r="A110" s="183">
        <v>238</v>
      </c>
      <c r="B110" s="174" t="s">
        <v>485</v>
      </c>
      <c r="C110" s="174" t="s">
        <v>393</v>
      </c>
      <c r="D110" s="174">
        <v>4</v>
      </c>
      <c r="E110" s="174" t="s">
        <v>250</v>
      </c>
      <c r="F110" s="174">
        <v>1</v>
      </c>
      <c r="G110" s="174">
        <v>1</v>
      </c>
      <c r="H110" s="174">
        <v>3</v>
      </c>
      <c r="I110" s="174">
        <v>3</v>
      </c>
      <c r="J110" s="174">
        <v>1</v>
      </c>
      <c r="K110" s="174">
        <v>1</v>
      </c>
      <c r="L110" s="174">
        <v>2</v>
      </c>
      <c r="M110" s="174">
        <v>1</v>
      </c>
      <c r="N110" s="170"/>
      <c r="O110" s="170"/>
      <c r="P110" s="180">
        <f>SUM(Tabela2[[#This Row],[G]]+Tabela2[[#This Row],[D]]+Tabela2[[#This Row],[N]]+Tabela2[[#This Row],[HM]])</f>
        <v>6</v>
      </c>
      <c r="Q110" s="180">
        <f>SUM(Tabela2[[#This Row],[AO]]+Tabela2[[#This Row],[AD]]+Tabela2[[#This Row],[GWO]]+Tabela2[[#This Row],[GWD]])</f>
        <v>7</v>
      </c>
      <c r="R110" s="180">
        <f>Tabela2[[#This Row],[GWO]]+Tabela2[[#This Row],[GWD]]</f>
        <v>3</v>
      </c>
      <c r="S110" s="180">
        <f>SUM(Tabela2[[#This Row],[G]:[GWD]])</f>
        <v>13</v>
      </c>
    </row>
    <row r="111" spans="1:19" ht="30">
      <c r="A111" s="183">
        <v>213</v>
      </c>
      <c r="B111" s="175" t="s">
        <v>508</v>
      </c>
      <c r="C111" s="175" t="s">
        <v>393</v>
      </c>
      <c r="D111" s="175">
        <v>4</v>
      </c>
      <c r="E111" s="175" t="s">
        <v>18</v>
      </c>
      <c r="F111" s="175">
        <v>1</v>
      </c>
      <c r="G111" s="175">
        <v>1</v>
      </c>
      <c r="H111" s="175">
        <v>5</v>
      </c>
      <c r="I111" s="175">
        <v>3</v>
      </c>
      <c r="J111" s="175">
        <v>1</v>
      </c>
      <c r="K111" s="175">
        <v>1</v>
      </c>
      <c r="L111" s="175">
        <v>3</v>
      </c>
      <c r="M111" s="175">
        <v>1</v>
      </c>
      <c r="N111" s="173"/>
      <c r="O111" s="173"/>
      <c r="P111" s="181">
        <f>SUM(Tabela2[[#This Row],[G]]+Tabela2[[#This Row],[D]]+Tabela2[[#This Row],[N]]+Tabela2[[#This Row],[HM]])</f>
        <v>8</v>
      </c>
      <c r="Q111" s="181">
        <f>SUM(Tabela2[[#This Row],[AO]]+Tabela2[[#This Row],[AD]]+Tabela2[[#This Row],[GWO]]+Tabela2[[#This Row],[GWD]])</f>
        <v>8</v>
      </c>
      <c r="R111" s="181">
        <f>Tabela2[[#This Row],[GWO]]+Tabela2[[#This Row],[GWD]]</f>
        <v>4</v>
      </c>
      <c r="S111" s="181">
        <f>SUM(Tabela2[[#This Row],[G]:[GWD]])</f>
        <v>16</v>
      </c>
    </row>
    <row r="112" spans="1:19" ht="30">
      <c r="A112" s="183">
        <v>314</v>
      </c>
      <c r="B112" s="170" t="s">
        <v>396</v>
      </c>
      <c r="C112" s="170" t="s">
        <v>395</v>
      </c>
      <c r="D112" s="170">
        <v>4</v>
      </c>
      <c r="E112" s="170" t="s">
        <v>273</v>
      </c>
      <c r="F112" s="170">
        <v>1</v>
      </c>
      <c r="G112" s="170">
        <v>1</v>
      </c>
      <c r="H112" s="170">
        <v>1</v>
      </c>
      <c r="I112" s="170">
        <v>1</v>
      </c>
      <c r="J112" s="170">
        <v>1</v>
      </c>
      <c r="K112" s="170">
        <v>1</v>
      </c>
      <c r="L112" s="170">
        <v>3</v>
      </c>
      <c r="M112" s="170">
        <v>3</v>
      </c>
      <c r="N112" s="170"/>
      <c r="O112" s="170"/>
      <c r="P112" s="180">
        <f>SUM(Tabela2[[#This Row],[G]]+Tabela2[[#This Row],[D]]+Tabela2[[#This Row],[N]]+Tabela2[[#This Row],[HM]])</f>
        <v>4</v>
      </c>
      <c r="Q112" s="180">
        <f>SUM(Tabela2[[#This Row],[AO]]+Tabela2[[#This Row],[AD]]+Tabela2[[#This Row],[GWO]]+Tabela2[[#This Row],[GWD]])</f>
        <v>8</v>
      </c>
      <c r="R112" s="180">
        <f>Tabela2[[#This Row],[GWO]]+Tabela2[[#This Row],[GWD]]</f>
        <v>6</v>
      </c>
      <c r="S112" s="180">
        <f>SUM(Tabela2[[#This Row],[G]:[GWD]])</f>
        <v>12</v>
      </c>
    </row>
    <row r="113" spans="1:19" ht="30">
      <c r="A113" s="183">
        <v>289</v>
      </c>
      <c r="B113" s="171" t="s">
        <v>432</v>
      </c>
      <c r="C113" s="171" t="s">
        <v>395</v>
      </c>
      <c r="D113" s="171">
        <v>4</v>
      </c>
      <c r="E113" s="171" t="s">
        <v>252</v>
      </c>
      <c r="F113" s="171">
        <v>1</v>
      </c>
      <c r="G113" s="171">
        <v>1</v>
      </c>
      <c r="H113" s="171">
        <v>1</v>
      </c>
      <c r="I113" s="171">
        <v>2</v>
      </c>
      <c r="J113" s="171">
        <v>1</v>
      </c>
      <c r="K113" s="171">
        <v>1</v>
      </c>
      <c r="L113" s="171">
        <v>4</v>
      </c>
      <c r="M113" s="171">
        <v>1</v>
      </c>
      <c r="N113" s="170"/>
      <c r="O113" s="170"/>
      <c r="P113" s="180">
        <f>SUM(Tabela2[[#This Row],[G]]+Tabela2[[#This Row],[D]]+Tabela2[[#This Row],[N]]+Tabela2[[#This Row],[HM]])</f>
        <v>4</v>
      </c>
      <c r="Q113" s="180">
        <f>SUM(Tabela2[[#This Row],[AO]]+Tabela2[[#This Row],[AD]]+Tabela2[[#This Row],[GWO]]+Tabela2[[#This Row],[GWD]])</f>
        <v>8</v>
      </c>
      <c r="R113" s="180">
        <f>Tabela2[[#This Row],[GWO]]+Tabela2[[#This Row],[GWD]]</f>
        <v>5</v>
      </c>
      <c r="S113" s="180">
        <f>SUM(Tabela2[[#This Row],[G]:[GWD]])</f>
        <v>12</v>
      </c>
    </row>
    <row r="114" spans="1:19" ht="30">
      <c r="A114" s="183">
        <v>263</v>
      </c>
      <c r="B114" s="172" t="s">
        <v>460</v>
      </c>
      <c r="C114" s="172" t="s">
        <v>395</v>
      </c>
      <c r="D114" s="172">
        <v>4</v>
      </c>
      <c r="E114" s="172" t="s">
        <v>251</v>
      </c>
      <c r="F114" s="172">
        <v>3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3</v>
      </c>
      <c r="M114" s="172">
        <v>1</v>
      </c>
      <c r="N114" s="170"/>
      <c r="O114" s="170"/>
      <c r="P114" s="180">
        <f>SUM(Tabela2[[#This Row],[G]]+Tabela2[[#This Row],[D]]+Tabela2[[#This Row],[N]]+Tabela2[[#This Row],[HM]])</f>
        <v>6</v>
      </c>
      <c r="Q114" s="180">
        <f>SUM(Tabela2[[#This Row],[AO]]+Tabela2[[#This Row],[AD]]+Tabela2[[#This Row],[GWO]]+Tabela2[[#This Row],[GWD]])</f>
        <v>6</v>
      </c>
      <c r="R114" s="180">
        <f>Tabela2[[#This Row],[GWO]]+Tabela2[[#This Row],[GWD]]</f>
        <v>4</v>
      </c>
      <c r="S114" s="180">
        <f>SUM(Tabela2[[#This Row],[G]:[GWD]])</f>
        <v>12</v>
      </c>
    </row>
    <row r="115" spans="1:19" ht="30">
      <c r="A115" s="183">
        <v>237</v>
      </c>
      <c r="B115" s="174" t="s">
        <v>486</v>
      </c>
      <c r="C115" s="174" t="s">
        <v>395</v>
      </c>
      <c r="D115" s="174">
        <v>4</v>
      </c>
      <c r="E115" s="174" t="s">
        <v>250</v>
      </c>
      <c r="F115" s="174">
        <v>1</v>
      </c>
      <c r="G115" s="174">
        <v>4</v>
      </c>
      <c r="H115" s="174">
        <v>1</v>
      </c>
      <c r="I115" s="174">
        <v>1</v>
      </c>
      <c r="J115" s="174">
        <v>1</v>
      </c>
      <c r="K115" s="174">
        <v>1</v>
      </c>
      <c r="L115" s="174">
        <v>3</v>
      </c>
      <c r="M115" s="174">
        <v>1</v>
      </c>
      <c r="N115" s="170"/>
      <c r="O115" s="170"/>
      <c r="P115" s="180">
        <f>SUM(Tabela2[[#This Row],[G]]+Tabela2[[#This Row],[D]]+Tabela2[[#This Row],[N]]+Tabela2[[#This Row],[HM]])</f>
        <v>7</v>
      </c>
      <c r="Q115" s="180">
        <f>SUM(Tabela2[[#This Row],[AO]]+Tabela2[[#This Row],[AD]]+Tabela2[[#This Row],[GWO]]+Tabela2[[#This Row],[GWD]])</f>
        <v>6</v>
      </c>
      <c r="R115" s="180">
        <f>Tabela2[[#This Row],[GWO]]+Tabela2[[#This Row],[GWD]]</f>
        <v>4</v>
      </c>
      <c r="S115" s="180">
        <f>SUM(Tabela2[[#This Row],[G]:[GWD]])</f>
        <v>13</v>
      </c>
    </row>
    <row r="116" spans="1:19" ht="30">
      <c r="A116" s="183">
        <v>212</v>
      </c>
      <c r="B116" s="175" t="s">
        <v>509</v>
      </c>
      <c r="C116" s="175" t="s">
        <v>395</v>
      </c>
      <c r="D116" s="175">
        <v>4</v>
      </c>
      <c r="E116" s="175" t="s">
        <v>18</v>
      </c>
      <c r="F116" s="175">
        <v>1</v>
      </c>
      <c r="G116" s="175">
        <v>3</v>
      </c>
      <c r="H116" s="175">
        <v>3</v>
      </c>
      <c r="I116" s="175">
        <v>3</v>
      </c>
      <c r="J116" s="175">
        <v>1</v>
      </c>
      <c r="K116" s="175">
        <v>1</v>
      </c>
      <c r="L116" s="175">
        <v>3</v>
      </c>
      <c r="M116" s="175">
        <v>1</v>
      </c>
      <c r="N116" s="170"/>
      <c r="O116" s="170"/>
      <c r="P116" s="180">
        <f>SUM(Tabela2[[#This Row],[G]]+Tabela2[[#This Row],[D]]+Tabela2[[#This Row],[N]]+Tabela2[[#This Row],[HM]])</f>
        <v>8</v>
      </c>
      <c r="Q116" s="180">
        <f>SUM(Tabela2[[#This Row],[AO]]+Tabela2[[#This Row],[AD]]+Tabela2[[#This Row],[GWO]]+Tabela2[[#This Row],[GWD]])</f>
        <v>8</v>
      </c>
      <c r="R116" s="180">
        <f>Tabela2[[#This Row],[GWO]]+Tabela2[[#This Row],[GWD]]</f>
        <v>4</v>
      </c>
      <c r="S116" s="180">
        <f>SUM(Tabela2[[#This Row],[G]:[GWD]])</f>
        <v>16</v>
      </c>
    </row>
    <row r="117" spans="1:19" ht="30">
      <c r="A117" s="183">
        <v>313</v>
      </c>
      <c r="B117" s="170" t="s">
        <v>398</v>
      </c>
      <c r="C117" s="170" t="s">
        <v>397</v>
      </c>
      <c r="D117" s="170"/>
      <c r="E117" s="170" t="s">
        <v>273</v>
      </c>
      <c r="F117" s="170">
        <v>1</v>
      </c>
      <c r="G117" s="170">
        <v>1</v>
      </c>
      <c r="H117" s="170">
        <v>1</v>
      </c>
      <c r="I117" s="170">
        <v>1</v>
      </c>
      <c r="J117" s="170">
        <v>1</v>
      </c>
      <c r="K117" s="170">
        <v>3</v>
      </c>
      <c r="L117" s="170">
        <v>3</v>
      </c>
      <c r="M117" s="170">
        <v>1</v>
      </c>
      <c r="N117" s="170"/>
      <c r="O117" s="170"/>
      <c r="P117" s="180">
        <f>SUM(Tabela2[[#This Row],[G]]+Tabela2[[#This Row],[D]]+Tabela2[[#This Row],[N]]+Tabela2[[#This Row],[HM]])</f>
        <v>6</v>
      </c>
      <c r="Q117" s="180">
        <f>SUM(Tabela2[[#This Row],[AO]]+Tabela2[[#This Row],[AD]]+Tabela2[[#This Row],[GWO]]+Tabela2[[#This Row],[GWD]])</f>
        <v>6</v>
      </c>
      <c r="R117" s="180">
        <f>Tabela2[[#This Row],[GWO]]+Tabela2[[#This Row],[GWD]]</f>
        <v>4</v>
      </c>
      <c r="S117" s="180">
        <f>SUM(Tabela2[[#This Row],[G]:[GWD]])</f>
        <v>12</v>
      </c>
    </row>
    <row r="118" spans="1:19" ht="30">
      <c r="A118" s="183">
        <v>262</v>
      </c>
      <c r="B118" s="172" t="s">
        <v>461</v>
      </c>
      <c r="C118" s="172" t="s">
        <v>397</v>
      </c>
      <c r="D118" s="172">
        <v>4</v>
      </c>
      <c r="E118" s="172" t="s">
        <v>251</v>
      </c>
      <c r="F118" s="172">
        <v>3</v>
      </c>
      <c r="G118" s="172">
        <v>1</v>
      </c>
      <c r="H118" s="172">
        <v>1</v>
      </c>
      <c r="I118" s="172">
        <v>1</v>
      </c>
      <c r="J118" s="172">
        <v>2</v>
      </c>
      <c r="K118" s="172">
        <v>1</v>
      </c>
      <c r="L118" s="172">
        <v>3</v>
      </c>
      <c r="M118" s="172">
        <v>3</v>
      </c>
      <c r="N118" s="170"/>
      <c r="O118" s="170"/>
      <c r="P118" s="180">
        <f>SUM(Tabela2[[#This Row],[G]]+Tabela2[[#This Row],[D]]+Tabela2[[#This Row],[N]]+Tabela2[[#This Row],[HM]])</f>
        <v>6</v>
      </c>
      <c r="Q118" s="180">
        <f>SUM(Tabela2[[#This Row],[AO]]+Tabela2[[#This Row],[AD]]+Tabela2[[#This Row],[GWO]]+Tabela2[[#This Row],[GWD]])</f>
        <v>9</v>
      </c>
      <c r="R118" s="180">
        <f>Tabela2[[#This Row],[GWO]]+Tabela2[[#This Row],[GWD]]</f>
        <v>6</v>
      </c>
      <c r="S118" s="180">
        <f>SUM(Tabela2[[#This Row],[G]:[GWD]])</f>
        <v>15</v>
      </c>
    </row>
    <row r="119" spans="1:19" ht="30">
      <c r="A119" s="183">
        <v>236</v>
      </c>
      <c r="B119" s="174" t="s">
        <v>487</v>
      </c>
      <c r="C119" s="174" t="s">
        <v>397</v>
      </c>
      <c r="D119" s="174">
        <v>4</v>
      </c>
      <c r="E119" s="174" t="s">
        <v>250</v>
      </c>
      <c r="F119" s="174">
        <v>2</v>
      </c>
      <c r="G119" s="174">
        <v>2</v>
      </c>
      <c r="H119" s="174">
        <v>4</v>
      </c>
      <c r="I119" s="174">
        <v>1</v>
      </c>
      <c r="J119" s="174">
        <v>1</v>
      </c>
      <c r="K119" s="174">
        <v>3</v>
      </c>
      <c r="L119" s="174">
        <v>1</v>
      </c>
      <c r="M119" s="174">
        <v>2</v>
      </c>
      <c r="N119" s="170"/>
      <c r="O119" s="170"/>
      <c r="P119" s="180">
        <f>SUM(Tabela2[[#This Row],[G]]+Tabela2[[#This Row],[D]]+Tabela2[[#This Row],[N]]+Tabela2[[#This Row],[HM]])</f>
        <v>11</v>
      </c>
      <c r="Q119" s="180">
        <f>SUM(Tabela2[[#This Row],[AO]]+Tabela2[[#This Row],[AD]]+Tabela2[[#This Row],[GWO]]+Tabela2[[#This Row],[GWD]])</f>
        <v>5</v>
      </c>
      <c r="R119" s="180">
        <f>Tabela2[[#This Row],[GWO]]+Tabela2[[#This Row],[GWD]]</f>
        <v>3</v>
      </c>
      <c r="S119" s="180">
        <f>SUM(Tabela2[[#This Row],[G]:[GWD]])</f>
        <v>16</v>
      </c>
    </row>
    <row r="120" spans="1:19" ht="30">
      <c r="A120" s="183">
        <v>211</v>
      </c>
      <c r="B120" s="175" t="s">
        <v>510</v>
      </c>
      <c r="C120" s="175" t="s">
        <v>397</v>
      </c>
      <c r="D120" s="175">
        <v>4</v>
      </c>
      <c r="E120" s="175" t="s">
        <v>18</v>
      </c>
      <c r="F120" s="175">
        <v>1</v>
      </c>
      <c r="G120" s="175">
        <v>4</v>
      </c>
      <c r="H120" s="175">
        <v>3</v>
      </c>
      <c r="I120" s="175">
        <v>3</v>
      </c>
      <c r="J120" s="175">
        <v>2</v>
      </c>
      <c r="K120" s="175">
        <v>1</v>
      </c>
      <c r="L120" s="175">
        <v>3</v>
      </c>
      <c r="M120" s="175">
        <v>2</v>
      </c>
      <c r="N120" s="170"/>
      <c r="O120" s="170"/>
      <c r="P120" s="180">
        <f>SUM(Tabela2[[#This Row],[G]]+Tabela2[[#This Row],[D]]+Tabela2[[#This Row],[N]]+Tabela2[[#This Row],[HM]])</f>
        <v>9</v>
      </c>
      <c r="Q120" s="180">
        <f>SUM(Tabela2[[#This Row],[AO]]+Tabela2[[#This Row],[AD]]+Tabela2[[#This Row],[GWO]]+Tabela2[[#This Row],[GWD]])</f>
        <v>10</v>
      </c>
      <c r="R120" s="180">
        <f>Tabela2[[#This Row],[GWO]]+Tabela2[[#This Row],[GWD]]</f>
        <v>5</v>
      </c>
      <c r="S120" s="180">
        <f>SUM(Tabela2[[#This Row],[G]:[GWD]])</f>
        <v>19</v>
      </c>
    </row>
    <row r="121" spans="1:19" ht="30">
      <c r="A121" s="183">
        <v>194</v>
      </c>
      <c r="B121" s="170" t="s">
        <v>530</v>
      </c>
      <c r="C121" s="170" t="s">
        <v>529</v>
      </c>
      <c r="D121" s="170">
        <v>3</v>
      </c>
      <c r="E121" s="170" t="s">
        <v>273</v>
      </c>
      <c r="F121" s="170">
        <v>1</v>
      </c>
      <c r="G121" s="170">
        <v>1</v>
      </c>
      <c r="H121" s="170">
        <v>1</v>
      </c>
      <c r="I121" s="170">
        <v>1</v>
      </c>
      <c r="J121" s="170">
        <v>1</v>
      </c>
      <c r="K121" s="170">
        <v>2</v>
      </c>
      <c r="L121" s="170">
        <v>1</v>
      </c>
      <c r="M121" s="170">
        <v>1</v>
      </c>
      <c r="N121" s="170"/>
      <c r="O121" s="170"/>
      <c r="P121" s="180">
        <f>SUM(Tabela2[[#This Row],[G]]+Tabela2[[#This Row],[D]]+Tabela2[[#This Row],[N]]+Tabela2[[#This Row],[HM]])</f>
        <v>5</v>
      </c>
      <c r="Q121" s="180">
        <f>SUM(Tabela2[[#This Row],[AO]]+Tabela2[[#This Row],[AD]]+Tabela2[[#This Row],[GWO]]+Tabela2[[#This Row],[GWD]])</f>
        <v>4</v>
      </c>
      <c r="R121" s="180">
        <f>Tabela2[[#This Row],[GWO]]+Tabela2[[#This Row],[GWD]]</f>
        <v>2</v>
      </c>
      <c r="S121" s="180">
        <f>SUM(Tabela2[[#This Row],[G]:[GWD]])</f>
        <v>9</v>
      </c>
    </row>
    <row r="122" spans="1:19" ht="30">
      <c r="A122" s="183">
        <v>160</v>
      </c>
      <c r="B122" s="171" t="s">
        <v>585</v>
      </c>
      <c r="C122" s="171" t="s">
        <v>529</v>
      </c>
      <c r="D122" s="171">
        <v>3</v>
      </c>
      <c r="E122" s="171" t="s">
        <v>252</v>
      </c>
      <c r="F122" s="171">
        <v>1</v>
      </c>
      <c r="G122" s="171">
        <v>1</v>
      </c>
      <c r="H122" s="171">
        <v>1</v>
      </c>
      <c r="I122" s="171">
        <v>1</v>
      </c>
      <c r="J122" s="171">
        <v>1</v>
      </c>
      <c r="K122" s="171">
        <v>1</v>
      </c>
      <c r="L122" s="171">
        <v>1</v>
      </c>
      <c r="M122" s="171">
        <v>1</v>
      </c>
      <c r="N122" s="170"/>
      <c r="O122" s="170"/>
      <c r="P122" s="180">
        <f>SUM(Tabela2[[#This Row],[G]]+Tabela2[[#This Row],[D]]+Tabela2[[#This Row],[N]]+Tabela2[[#This Row],[HM]])</f>
        <v>4</v>
      </c>
      <c r="Q122" s="180">
        <f>SUM(Tabela2[[#This Row],[AO]]+Tabela2[[#This Row],[AD]]+Tabela2[[#This Row],[GWO]]+Tabela2[[#This Row],[GWD]])</f>
        <v>4</v>
      </c>
      <c r="R122" s="180">
        <f>Tabela2[[#This Row],[GWO]]+Tabela2[[#This Row],[GWD]]</f>
        <v>2</v>
      </c>
      <c r="S122" s="180">
        <f>SUM(Tabela2[[#This Row],[G]:[GWD]])</f>
        <v>8</v>
      </c>
    </row>
    <row r="123" spans="1:19" ht="30">
      <c r="A123" s="183">
        <v>131</v>
      </c>
      <c r="B123" s="172" t="s">
        <v>615</v>
      </c>
      <c r="C123" s="172" t="s">
        <v>529</v>
      </c>
      <c r="D123" s="172">
        <v>3</v>
      </c>
      <c r="E123" s="172" t="s">
        <v>251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80">
        <f>SUM(Tabela2[[#This Row],[G]]+Tabela2[[#This Row],[D]]+Tabela2[[#This Row],[N]]+Tabela2[[#This Row],[HM]])</f>
        <v>4</v>
      </c>
      <c r="Q123" s="180">
        <f>SUM(Tabela2[[#This Row],[AO]]+Tabela2[[#This Row],[AD]]+Tabela2[[#This Row],[GWO]]+Tabela2[[#This Row],[GWD]])</f>
        <v>4</v>
      </c>
      <c r="R123" s="180">
        <f>Tabela2[[#This Row],[GWO]]+Tabela2[[#This Row],[GWD]]</f>
        <v>2</v>
      </c>
      <c r="S123" s="180">
        <f>SUM(Tabela2[[#This Row],[G]:[GWD]])</f>
        <v>8</v>
      </c>
    </row>
    <row r="124" spans="1:19" ht="30">
      <c r="A124" s="183">
        <v>103</v>
      </c>
      <c r="B124" s="174" t="s">
        <v>642</v>
      </c>
      <c r="C124" s="174" t="s">
        <v>529</v>
      </c>
      <c r="D124" s="174">
        <v>3</v>
      </c>
      <c r="E124" s="174" t="s">
        <v>250</v>
      </c>
      <c r="F124" s="174">
        <v>3</v>
      </c>
      <c r="G124" s="174">
        <v>4</v>
      </c>
      <c r="H124" s="174">
        <v>1</v>
      </c>
      <c r="I124" s="174">
        <v>4</v>
      </c>
      <c r="J124" s="174">
        <v>2</v>
      </c>
      <c r="K124" s="174">
        <v>2</v>
      </c>
      <c r="L124" s="174">
        <v>4</v>
      </c>
      <c r="M124" s="174">
        <v>2</v>
      </c>
      <c r="N124" s="170"/>
      <c r="O124" s="170" t="s">
        <v>205</v>
      </c>
      <c r="P124" s="180">
        <f>SUM(Tabela2[[#This Row],[G]]+Tabela2[[#This Row],[D]]+Tabela2[[#This Row],[N]]+Tabela2[[#This Row],[HM]])</f>
        <v>10</v>
      </c>
      <c r="Q124" s="180">
        <f>SUM(Tabela2[[#This Row],[AO]]+Tabela2[[#This Row],[AD]]+Tabela2[[#This Row],[GWO]]+Tabela2[[#This Row],[GWD]])</f>
        <v>12</v>
      </c>
      <c r="R124" s="180">
        <f>Tabela2[[#This Row],[GWO]]+Tabela2[[#This Row],[GWD]]</f>
        <v>6</v>
      </c>
      <c r="S124" s="180">
        <f>SUM(Tabela2[[#This Row],[G]:[GWD]])</f>
        <v>22</v>
      </c>
    </row>
    <row r="125" spans="1:19" ht="30">
      <c r="A125" s="183">
        <v>71</v>
      </c>
      <c r="B125" s="175" t="s">
        <v>675</v>
      </c>
      <c r="C125" s="175" t="s">
        <v>529</v>
      </c>
      <c r="D125" s="175">
        <v>3</v>
      </c>
      <c r="E125" s="175" t="s">
        <v>18</v>
      </c>
      <c r="F125" s="175">
        <v>1</v>
      </c>
      <c r="G125" s="175">
        <v>1</v>
      </c>
      <c r="H125" s="175">
        <v>1</v>
      </c>
      <c r="I125" s="175">
        <v>1</v>
      </c>
      <c r="J125" s="175">
        <v>1</v>
      </c>
      <c r="K125" s="175">
        <v>1</v>
      </c>
      <c r="L125" s="175">
        <v>1</v>
      </c>
      <c r="M125" s="175">
        <v>1</v>
      </c>
      <c r="N125" s="170"/>
      <c r="O125" s="170"/>
      <c r="P125" s="180">
        <f>SUM(Tabela2[[#This Row],[G]]+Tabela2[[#This Row],[D]]+Tabela2[[#This Row],[N]]+Tabela2[[#This Row],[HM]])</f>
        <v>4</v>
      </c>
      <c r="Q125" s="180">
        <f>SUM(Tabela2[[#This Row],[AO]]+Tabela2[[#This Row],[AD]]+Tabela2[[#This Row],[GWO]]+Tabela2[[#This Row],[GWD]])</f>
        <v>4</v>
      </c>
      <c r="R125" s="180">
        <f>Tabela2[[#This Row],[GWO]]+Tabela2[[#This Row],[GWD]]</f>
        <v>2</v>
      </c>
      <c r="S125" s="180">
        <f>SUM(Tabela2[[#This Row],[G]:[GWD]])</f>
        <v>8</v>
      </c>
    </row>
    <row r="126" spans="1:19" ht="30">
      <c r="A126" s="183">
        <v>193</v>
      </c>
      <c r="B126" s="170" t="s">
        <v>532</v>
      </c>
      <c r="C126" s="170" t="s">
        <v>531</v>
      </c>
      <c r="D126" s="170">
        <v>3</v>
      </c>
      <c r="E126" s="170" t="s">
        <v>273</v>
      </c>
      <c r="F126" s="170">
        <v>1</v>
      </c>
      <c r="G126" s="170">
        <v>1</v>
      </c>
      <c r="H126" s="170">
        <v>1</v>
      </c>
      <c r="I126" s="170">
        <v>1</v>
      </c>
      <c r="J126" s="170">
        <v>1</v>
      </c>
      <c r="K126" s="170">
        <v>1</v>
      </c>
      <c r="L126" s="170">
        <v>1</v>
      </c>
      <c r="M126" s="170">
        <v>1</v>
      </c>
      <c r="N126" s="170"/>
      <c r="O126" s="170"/>
      <c r="P126" s="180">
        <f>SUM(Tabela2[[#This Row],[G]]+Tabela2[[#This Row],[D]]+Tabela2[[#This Row],[N]]+Tabela2[[#This Row],[HM]])</f>
        <v>4</v>
      </c>
      <c r="Q126" s="180">
        <f>SUM(Tabela2[[#This Row],[AO]]+Tabela2[[#This Row],[AD]]+Tabela2[[#This Row],[GWO]]+Tabela2[[#This Row],[GWD]])</f>
        <v>4</v>
      </c>
      <c r="R126" s="180">
        <f>Tabela2[[#This Row],[GWO]]+Tabela2[[#This Row],[GWD]]</f>
        <v>2</v>
      </c>
      <c r="S126" s="180">
        <f>SUM(Tabela2[[#This Row],[G]:[GWD]])</f>
        <v>8</v>
      </c>
    </row>
    <row r="127" spans="1:19" ht="30">
      <c r="A127" s="183">
        <v>159</v>
      </c>
      <c r="B127" s="171" t="s">
        <v>586</v>
      </c>
      <c r="C127" s="171" t="s">
        <v>531</v>
      </c>
      <c r="D127" s="171">
        <v>3</v>
      </c>
      <c r="E127" s="171" t="s">
        <v>252</v>
      </c>
      <c r="F127" s="171">
        <v>1</v>
      </c>
      <c r="G127" s="171">
        <v>1</v>
      </c>
      <c r="H127" s="171">
        <v>1</v>
      </c>
      <c r="I127" s="171">
        <v>1</v>
      </c>
      <c r="J127" s="171">
        <v>1</v>
      </c>
      <c r="K127" s="171">
        <v>1</v>
      </c>
      <c r="L127" s="171">
        <v>1</v>
      </c>
      <c r="M127" s="171">
        <v>1</v>
      </c>
      <c r="N127" s="170"/>
      <c r="O127" s="170"/>
      <c r="P127" s="180">
        <f>SUM(Tabela2[[#This Row],[G]]+Tabela2[[#This Row],[D]]+Tabela2[[#This Row],[N]]+Tabela2[[#This Row],[HM]])</f>
        <v>4</v>
      </c>
      <c r="Q127" s="180">
        <f>SUM(Tabela2[[#This Row],[AO]]+Tabela2[[#This Row],[AD]]+Tabela2[[#This Row],[GWO]]+Tabela2[[#This Row],[GWD]])</f>
        <v>4</v>
      </c>
      <c r="R127" s="180">
        <f>Tabela2[[#This Row],[GWO]]+Tabela2[[#This Row],[GWD]]</f>
        <v>2</v>
      </c>
      <c r="S127" s="180">
        <f>SUM(Tabela2[[#This Row],[G]:[GWD]])</f>
        <v>8</v>
      </c>
    </row>
    <row r="128" spans="1:19" ht="30">
      <c r="A128" s="183">
        <v>130</v>
      </c>
      <c r="B128" s="172" t="s">
        <v>616</v>
      </c>
      <c r="C128" s="172" t="s">
        <v>531</v>
      </c>
      <c r="D128" s="172">
        <v>3</v>
      </c>
      <c r="E128" s="172" t="s">
        <v>251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2" t="s">
        <v>446</v>
      </c>
      <c r="O128" s="172"/>
      <c r="P128" s="186">
        <f>SUM(Tabela2[[#This Row],[G]]+Tabela2[[#This Row],[D]]+Tabela2[[#This Row],[N]]+Tabela2[[#This Row],[HM]])</f>
        <v>4</v>
      </c>
      <c r="Q128" s="186">
        <f>SUM(Tabela2[[#This Row],[AO]]+Tabela2[[#This Row],[AD]]+Tabela2[[#This Row],[GWO]]+Tabela2[[#This Row],[GWD]])</f>
        <v>4</v>
      </c>
      <c r="R128" s="186">
        <f>Tabela2[[#This Row],[GWO]]+Tabela2[[#This Row],[GWD]]</f>
        <v>2</v>
      </c>
      <c r="S128" s="180">
        <f>SUM(Tabela2[[#This Row],[G]:[GWD]])</f>
        <v>8</v>
      </c>
    </row>
    <row r="129" spans="1:19" ht="30">
      <c r="A129" s="183">
        <v>102</v>
      </c>
      <c r="B129" s="174" t="s">
        <v>643</v>
      </c>
      <c r="C129" s="174" t="s">
        <v>531</v>
      </c>
      <c r="D129" s="174">
        <v>3</v>
      </c>
      <c r="E129" s="174" t="s">
        <v>250</v>
      </c>
      <c r="F129" s="174">
        <v>1</v>
      </c>
      <c r="G129" s="174">
        <v>1</v>
      </c>
      <c r="H129" s="174">
        <v>1</v>
      </c>
      <c r="I129" s="174">
        <v>1</v>
      </c>
      <c r="J129" s="174">
        <v>1</v>
      </c>
      <c r="K129" s="174">
        <v>1</v>
      </c>
      <c r="L129" s="174">
        <v>1</v>
      </c>
      <c r="M129" s="174">
        <v>1</v>
      </c>
      <c r="N129" s="170"/>
      <c r="O129" s="170"/>
      <c r="P129" s="180">
        <f>SUM(Tabela2[[#This Row],[G]]+Tabela2[[#This Row],[D]]+Tabela2[[#This Row],[N]]+Tabela2[[#This Row],[HM]])</f>
        <v>4</v>
      </c>
      <c r="Q129" s="180">
        <f>SUM(Tabela2[[#This Row],[AO]]+Tabela2[[#This Row],[AD]]+Tabela2[[#This Row],[GWO]]+Tabela2[[#This Row],[GWD]])</f>
        <v>4</v>
      </c>
      <c r="R129" s="180">
        <f>Tabela2[[#This Row],[GWO]]+Tabela2[[#This Row],[GWD]]</f>
        <v>2</v>
      </c>
      <c r="S129" s="180">
        <f>SUM(Tabela2[[#This Row],[G]:[GWD]])</f>
        <v>8</v>
      </c>
    </row>
    <row r="130" spans="1:19" ht="30">
      <c r="A130" s="183">
        <v>70</v>
      </c>
      <c r="B130" s="175" t="s">
        <v>676</v>
      </c>
      <c r="C130" s="175" t="s">
        <v>531</v>
      </c>
      <c r="D130" s="175">
        <v>3</v>
      </c>
      <c r="E130" s="175" t="s">
        <v>18</v>
      </c>
      <c r="F130" s="175">
        <v>1</v>
      </c>
      <c r="G130" s="175">
        <v>1</v>
      </c>
      <c r="H130" s="175">
        <v>1</v>
      </c>
      <c r="I130" s="175">
        <v>1</v>
      </c>
      <c r="J130" s="175">
        <v>1</v>
      </c>
      <c r="K130" s="175">
        <v>1</v>
      </c>
      <c r="L130" s="175">
        <v>1</v>
      </c>
      <c r="M130" s="175">
        <v>1</v>
      </c>
      <c r="N130" s="170"/>
      <c r="O130" s="170"/>
      <c r="P130" s="180">
        <f>SUM(Tabela2[[#This Row],[G]]+Tabela2[[#This Row],[D]]+Tabela2[[#This Row],[N]]+Tabela2[[#This Row],[HM]])</f>
        <v>4</v>
      </c>
      <c r="Q130" s="180">
        <f>SUM(Tabela2[[#This Row],[AO]]+Tabela2[[#This Row],[AD]]+Tabela2[[#This Row],[GWO]]+Tabela2[[#This Row],[GWD]])</f>
        <v>4</v>
      </c>
      <c r="R130" s="180">
        <f>Tabela2[[#This Row],[GWO]]+Tabela2[[#This Row],[GWD]]</f>
        <v>2</v>
      </c>
      <c r="S130" s="180">
        <f>SUM(Tabela2[[#This Row],[G]:[GWD]])</f>
        <v>8</v>
      </c>
    </row>
    <row r="131" spans="1:19">
      <c r="A131" s="183">
        <v>312</v>
      </c>
      <c r="B131" s="170" t="s">
        <v>400</v>
      </c>
      <c r="C131" s="170" t="s">
        <v>399</v>
      </c>
      <c r="D131" s="170">
        <v>4</v>
      </c>
      <c r="E131" s="170" t="s">
        <v>273</v>
      </c>
      <c r="F131" s="170">
        <v>1</v>
      </c>
      <c r="G131" s="170">
        <v>1</v>
      </c>
      <c r="H131" s="170">
        <v>1</v>
      </c>
      <c r="I131" s="170">
        <v>1</v>
      </c>
      <c r="J131" s="170">
        <v>4</v>
      </c>
      <c r="K131" s="170">
        <v>1</v>
      </c>
      <c r="L131" s="170">
        <v>1</v>
      </c>
      <c r="M131" s="170">
        <v>3</v>
      </c>
      <c r="N131" s="170"/>
      <c r="O131" s="170"/>
      <c r="P131" s="180">
        <f>SUM(Tabela2[[#This Row],[G]]+Tabela2[[#This Row],[D]]+Tabela2[[#This Row],[N]]+Tabela2[[#This Row],[HM]])</f>
        <v>4</v>
      </c>
      <c r="Q131" s="180">
        <f>SUM(Tabela2[[#This Row],[AO]]+Tabela2[[#This Row],[AD]]+Tabela2[[#This Row],[GWO]]+Tabela2[[#This Row],[GWD]])</f>
        <v>9</v>
      </c>
      <c r="R131" s="180">
        <f>Tabela2[[#This Row],[GWO]]+Tabela2[[#This Row],[GWD]]</f>
        <v>4</v>
      </c>
      <c r="S131" s="180">
        <f>SUM(Tabela2[[#This Row],[G]:[GWD]])</f>
        <v>13</v>
      </c>
    </row>
    <row r="132" spans="1:19">
      <c r="A132" s="183">
        <v>288</v>
      </c>
      <c r="B132" s="171" t="s">
        <v>433</v>
      </c>
      <c r="C132" s="171" t="s">
        <v>399</v>
      </c>
      <c r="D132" s="171">
        <v>4</v>
      </c>
      <c r="E132" s="171" t="s">
        <v>252</v>
      </c>
      <c r="F132" s="171">
        <v>3</v>
      </c>
      <c r="G132" s="171">
        <v>2</v>
      </c>
      <c r="H132" s="171">
        <v>1</v>
      </c>
      <c r="I132" s="171">
        <v>1</v>
      </c>
      <c r="J132" s="171">
        <v>3</v>
      </c>
      <c r="K132" s="171">
        <v>1</v>
      </c>
      <c r="L132" s="171">
        <v>3</v>
      </c>
      <c r="M132" s="171">
        <v>5</v>
      </c>
      <c r="N132" s="170"/>
      <c r="O132" s="170"/>
      <c r="P132" s="180">
        <f>SUM(Tabela2[[#This Row],[G]]+Tabela2[[#This Row],[D]]+Tabela2[[#This Row],[N]]+Tabela2[[#This Row],[HM]])</f>
        <v>7</v>
      </c>
      <c r="Q132" s="180">
        <f>SUM(Tabela2[[#This Row],[AO]]+Tabela2[[#This Row],[AD]]+Tabela2[[#This Row],[GWO]]+Tabela2[[#This Row],[GWD]])</f>
        <v>12</v>
      </c>
      <c r="R132" s="180">
        <f>Tabela2[[#This Row],[GWO]]+Tabela2[[#This Row],[GWD]]</f>
        <v>8</v>
      </c>
      <c r="S132" s="180">
        <f>SUM(Tabela2[[#This Row],[G]:[GWD]])</f>
        <v>19</v>
      </c>
    </row>
    <row r="133" spans="1:19">
      <c r="A133" s="183">
        <v>261</v>
      </c>
      <c r="B133" s="172" t="s">
        <v>462</v>
      </c>
      <c r="C133" s="172" t="s">
        <v>399</v>
      </c>
      <c r="D133" s="172">
        <v>4</v>
      </c>
      <c r="E133" s="172" t="s">
        <v>251</v>
      </c>
      <c r="F133" s="172">
        <v>3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80">
        <f>SUM(Tabela2[[#This Row],[G]]+Tabela2[[#This Row],[D]]+Tabela2[[#This Row],[N]]+Tabela2[[#This Row],[HM]])</f>
        <v>6</v>
      </c>
      <c r="Q133" s="180">
        <f>SUM(Tabela2[[#This Row],[AO]]+Tabela2[[#This Row],[AD]]+Tabela2[[#This Row],[GWO]]+Tabela2[[#This Row],[GWD]])</f>
        <v>4</v>
      </c>
      <c r="R133" s="180">
        <f>Tabela2[[#This Row],[GWO]]+Tabela2[[#This Row],[GWD]]</f>
        <v>2</v>
      </c>
      <c r="S133" s="180">
        <f>SUM(Tabela2[[#This Row],[G]:[GWD]])</f>
        <v>10</v>
      </c>
    </row>
    <row r="134" spans="1:19">
      <c r="A134" s="183">
        <v>235</v>
      </c>
      <c r="B134" s="174" t="s">
        <v>488</v>
      </c>
      <c r="C134" s="174" t="s">
        <v>399</v>
      </c>
      <c r="D134" s="174">
        <v>4</v>
      </c>
      <c r="E134" s="174" t="s">
        <v>250</v>
      </c>
      <c r="F134" s="174">
        <v>1</v>
      </c>
      <c r="G134" s="174">
        <v>1</v>
      </c>
      <c r="H134" s="174">
        <v>1</v>
      </c>
      <c r="I134" s="174">
        <v>1</v>
      </c>
      <c r="J134" s="174">
        <v>1</v>
      </c>
      <c r="K134" s="174">
        <v>2</v>
      </c>
      <c r="L134" s="174">
        <v>1</v>
      </c>
      <c r="M134" s="174">
        <v>1</v>
      </c>
      <c r="N134" s="170"/>
      <c r="O134" s="170"/>
      <c r="P134" s="180">
        <f>SUM(Tabela2[[#This Row],[G]]+Tabela2[[#This Row],[D]]+Tabela2[[#This Row],[N]]+Tabela2[[#This Row],[HM]])</f>
        <v>5</v>
      </c>
      <c r="Q134" s="180">
        <f>SUM(Tabela2[[#This Row],[AO]]+Tabela2[[#This Row],[AD]]+Tabela2[[#This Row],[GWO]]+Tabela2[[#This Row],[GWD]])</f>
        <v>4</v>
      </c>
      <c r="R134" s="180">
        <f>Tabela2[[#This Row],[GWO]]+Tabela2[[#This Row],[GWD]]</f>
        <v>2</v>
      </c>
      <c r="S134" s="180">
        <f>SUM(Tabela2[[#This Row],[G]:[GWD]])</f>
        <v>9</v>
      </c>
    </row>
    <row r="135" spans="1:19">
      <c r="A135" s="183">
        <v>210</v>
      </c>
      <c r="B135" s="175" t="s">
        <v>511</v>
      </c>
      <c r="C135" s="175" t="s">
        <v>399</v>
      </c>
      <c r="D135" s="175">
        <v>4</v>
      </c>
      <c r="E135" s="175" t="s">
        <v>18</v>
      </c>
      <c r="F135" s="175">
        <v>1</v>
      </c>
      <c r="G135" s="175">
        <v>3</v>
      </c>
      <c r="H135" s="175">
        <v>1</v>
      </c>
      <c r="I135" s="175">
        <v>3</v>
      </c>
      <c r="J135" s="175">
        <v>3</v>
      </c>
      <c r="K135" s="175">
        <v>2</v>
      </c>
      <c r="L135" s="175">
        <v>3</v>
      </c>
      <c r="M135" s="175">
        <v>2</v>
      </c>
      <c r="N135" s="170"/>
      <c r="O135" s="170"/>
      <c r="P135" s="180">
        <f>SUM(Tabela2[[#This Row],[G]]+Tabela2[[#This Row],[D]]+Tabela2[[#This Row],[N]]+Tabela2[[#This Row],[HM]])</f>
        <v>7</v>
      </c>
      <c r="Q135" s="180">
        <f>SUM(Tabela2[[#This Row],[AO]]+Tabela2[[#This Row],[AD]]+Tabela2[[#This Row],[GWO]]+Tabela2[[#This Row],[GWD]])</f>
        <v>11</v>
      </c>
      <c r="R135" s="180">
        <f>Tabela2[[#This Row],[GWO]]+Tabela2[[#This Row],[GWD]]</f>
        <v>5</v>
      </c>
      <c r="S135" s="180">
        <f>SUM(Tabela2[[#This Row],[G]:[GWD]])</f>
        <v>18</v>
      </c>
    </row>
    <row r="136" spans="1:19" ht="30">
      <c r="A136" s="183">
        <v>192</v>
      </c>
      <c r="B136" s="170" t="s">
        <v>534</v>
      </c>
      <c r="C136" s="170" t="s">
        <v>533</v>
      </c>
      <c r="D136" s="170">
        <v>3</v>
      </c>
      <c r="E136" s="170" t="s">
        <v>273</v>
      </c>
      <c r="F136" s="170">
        <v>1</v>
      </c>
      <c r="G136" s="170">
        <v>1</v>
      </c>
      <c r="H136" s="170">
        <v>1</v>
      </c>
      <c r="I136" s="170">
        <v>1</v>
      </c>
      <c r="J136" s="170">
        <v>1</v>
      </c>
      <c r="K136" s="170">
        <v>1</v>
      </c>
      <c r="L136" s="170">
        <v>1</v>
      </c>
      <c r="M136" s="170">
        <v>1</v>
      </c>
      <c r="N136" s="170"/>
      <c r="O136" s="170"/>
      <c r="P136" s="180">
        <f>SUM(Tabela2[[#This Row],[G]]+Tabela2[[#This Row],[D]]+Tabela2[[#This Row],[N]]+Tabela2[[#This Row],[HM]])</f>
        <v>4</v>
      </c>
      <c r="Q136" s="180">
        <f>SUM(Tabela2[[#This Row],[AO]]+Tabela2[[#This Row],[AD]]+Tabela2[[#This Row],[GWO]]+Tabela2[[#This Row],[GWD]])</f>
        <v>4</v>
      </c>
      <c r="R136" s="180">
        <f>Tabela2[[#This Row],[GWO]]+Tabela2[[#This Row],[GWD]]</f>
        <v>2</v>
      </c>
      <c r="S136" s="180">
        <f>SUM(Tabela2[[#This Row],[G]:[GWD]])</f>
        <v>8</v>
      </c>
    </row>
    <row r="137" spans="1:19" ht="30">
      <c r="A137" s="183">
        <v>158</v>
      </c>
      <c r="B137" s="171" t="s">
        <v>587</v>
      </c>
      <c r="C137" s="171" t="s">
        <v>533</v>
      </c>
      <c r="D137" s="171">
        <v>3</v>
      </c>
      <c r="E137" s="171" t="s">
        <v>252</v>
      </c>
      <c r="F137" s="171">
        <v>1</v>
      </c>
      <c r="G137" s="171">
        <v>1</v>
      </c>
      <c r="H137" s="171">
        <v>1</v>
      </c>
      <c r="I137" s="171">
        <v>1</v>
      </c>
      <c r="J137" s="171">
        <v>1</v>
      </c>
      <c r="K137" s="171">
        <v>1</v>
      </c>
      <c r="L137" s="171">
        <v>1</v>
      </c>
      <c r="M137" s="171">
        <v>1</v>
      </c>
      <c r="N137" s="170"/>
      <c r="O137" s="170"/>
      <c r="P137" s="180">
        <f>SUM(Tabela2[[#This Row],[G]]+Tabela2[[#This Row],[D]]+Tabela2[[#This Row],[N]]+Tabela2[[#This Row],[HM]])</f>
        <v>4</v>
      </c>
      <c r="Q137" s="180">
        <f>SUM(Tabela2[[#This Row],[AO]]+Tabela2[[#This Row],[AD]]+Tabela2[[#This Row],[GWO]]+Tabela2[[#This Row],[GWD]])</f>
        <v>4</v>
      </c>
      <c r="R137" s="180">
        <f>Tabela2[[#This Row],[GWO]]+Tabela2[[#This Row],[GWD]]</f>
        <v>2</v>
      </c>
      <c r="S137" s="180">
        <f>SUM(Tabela2[[#This Row],[G]:[GWD]])</f>
        <v>8</v>
      </c>
    </row>
    <row r="138" spans="1:19" ht="30">
      <c r="A138" s="183">
        <v>129</v>
      </c>
      <c r="B138" s="172" t="s">
        <v>617</v>
      </c>
      <c r="C138" s="172" t="s">
        <v>533</v>
      </c>
      <c r="D138" s="172">
        <v>3</v>
      </c>
      <c r="E138" s="172" t="s">
        <v>251</v>
      </c>
      <c r="F138" s="172">
        <v>1</v>
      </c>
      <c r="G138" s="172">
        <v>1</v>
      </c>
      <c r="H138" s="172">
        <v>1</v>
      </c>
      <c r="I138" s="172">
        <v>1</v>
      </c>
      <c r="J138" s="172">
        <v>1</v>
      </c>
      <c r="K138" s="172">
        <v>1</v>
      </c>
      <c r="L138" s="172">
        <v>1</v>
      </c>
      <c r="M138" s="172">
        <v>1</v>
      </c>
      <c r="N138" s="170"/>
      <c r="O138" s="170"/>
      <c r="P138" s="180">
        <f>SUM(Tabela2[[#This Row],[G]]+Tabela2[[#This Row],[D]]+Tabela2[[#This Row],[N]]+Tabela2[[#This Row],[HM]])</f>
        <v>4</v>
      </c>
      <c r="Q138" s="180">
        <f>SUM(Tabela2[[#This Row],[AO]]+Tabela2[[#This Row],[AD]]+Tabela2[[#This Row],[GWO]]+Tabela2[[#This Row],[GWD]])</f>
        <v>4</v>
      </c>
      <c r="R138" s="180">
        <f>Tabela2[[#This Row],[GWO]]+Tabela2[[#This Row],[GWD]]</f>
        <v>2</v>
      </c>
      <c r="S138" s="180">
        <f>SUM(Tabela2[[#This Row],[G]:[GWD]])</f>
        <v>8</v>
      </c>
    </row>
    <row r="139" spans="1:19" ht="30">
      <c r="A139" s="183">
        <v>101</v>
      </c>
      <c r="B139" s="174" t="s">
        <v>644</v>
      </c>
      <c r="C139" s="174" t="s">
        <v>533</v>
      </c>
      <c r="D139" s="174">
        <v>3</v>
      </c>
      <c r="E139" s="174" t="s">
        <v>250</v>
      </c>
      <c r="F139" s="174">
        <v>1</v>
      </c>
      <c r="G139" s="174">
        <v>1</v>
      </c>
      <c r="H139" s="174">
        <v>1</v>
      </c>
      <c r="I139" s="174">
        <v>1</v>
      </c>
      <c r="J139" s="174">
        <v>1</v>
      </c>
      <c r="K139" s="174">
        <v>1</v>
      </c>
      <c r="L139" s="174">
        <v>1</v>
      </c>
      <c r="M139" s="174">
        <v>1</v>
      </c>
      <c r="N139" s="174" t="s">
        <v>446</v>
      </c>
      <c r="O139" s="174"/>
      <c r="P139" s="185">
        <f>SUM(Tabela2[[#This Row],[G]]+Tabela2[[#This Row],[D]]+Tabela2[[#This Row],[N]]+Tabela2[[#This Row],[HM]])</f>
        <v>4</v>
      </c>
      <c r="Q139" s="185">
        <f>SUM(Tabela2[[#This Row],[AO]]+Tabela2[[#This Row],[AD]]+Tabela2[[#This Row],[GWO]]+Tabela2[[#This Row],[GWD]])</f>
        <v>4</v>
      </c>
      <c r="R139" s="185">
        <f>Tabela2[[#This Row],[GWO]]+Tabela2[[#This Row],[GWD]]</f>
        <v>2</v>
      </c>
      <c r="S139" s="180">
        <f>SUM(Tabela2[[#This Row],[G]:[GWD]])</f>
        <v>8</v>
      </c>
    </row>
    <row r="140" spans="1:19" ht="30">
      <c r="A140" s="183">
        <v>69</v>
      </c>
      <c r="B140" s="175" t="s">
        <v>677</v>
      </c>
      <c r="C140" s="175" t="s">
        <v>533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1</v>
      </c>
      <c r="I140" s="175">
        <v>1</v>
      </c>
      <c r="J140" s="175">
        <v>1</v>
      </c>
      <c r="K140" s="175">
        <v>1</v>
      </c>
      <c r="L140" s="175">
        <v>1</v>
      </c>
      <c r="M140" s="175">
        <v>1</v>
      </c>
      <c r="N140" s="175" t="s">
        <v>446</v>
      </c>
      <c r="O140" s="175"/>
      <c r="P140" s="184">
        <f>SUM(Tabela2[[#This Row],[G]]+Tabela2[[#This Row],[D]]+Tabela2[[#This Row],[N]]+Tabela2[[#This Row],[HM]])</f>
        <v>4</v>
      </c>
      <c r="Q140" s="184">
        <f>SUM(Tabela2[[#This Row],[AO]]+Tabela2[[#This Row],[AD]]+Tabela2[[#This Row],[GWO]]+Tabela2[[#This Row],[GWD]])</f>
        <v>4</v>
      </c>
      <c r="R140" s="184">
        <f>Tabela2[[#This Row],[GWO]]+Tabela2[[#This Row],[GWD]]</f>
        <v>2</v>
      </c>
      <c r="S140" s="180">
        <f>SUM(Tabela2[[#This Row],[G]:[GWD]])</f>
        <v>8</v>
      </c>
    </row>
    <row r="141" spans="1:19" ht="30">
      <c r="A141" s="183">
        <v>191</v>
      </c>
      <c r="B141" s="170" t="s">
        <v>536</v>
      </c>
      <c r="C141" s="170" t="s">
        <v>535</v>
      </c>
      <c r="D141" s="170">
        <v>3</v>
      </c>
      <c r="E141" s="170" t="s">
        <v>273</v>
      </c>
      <c r="F141" s="170">
        <v>1</v>
      </c>
      <c r="G141" s="170">
        <v>1</v>
      </c>
      <c r="H141" s="170">
        <v>1</v>
      </c>
      <c r="I141" s="170">
        <v>1</v>
      </c>
      <c r="J141" s="170">
        <v>1</v>
      </c>
      <c r="K141" s="170">
        <v>1</v>
      </c>
      <c r="L141" s="170">
        <v>1</v>
      </c>
      <c r="M141" s="170">
        <v>1</v>
      </c>
      <c r="N141" s="170"/>
      <c r="O141" s="170"/>
      <c r="P141" s="180">
        <f>SUM(Tabela2[[#This Row],[G]]+Tabela2[[#This Row],[D]]+Tabela2[[#This Row],[N]]+Tabela2[[#This Row],[HM]])</f>
        <v>4</v>
      </c>
      <c r="Q141" s="180">
        <f>SUM(Tabela2[[#This Row],[AO]]+Tabela2[[#This Row],[AD]]+Tabela2[[#This Row],[GWO]]+Tabela2[[#This Row],[GWD]])</f>
        <v>4</v>
      </c>
      <c r="R141" s="180">
        <f>Tabela2[[#This Row],[GWO]]+Tabela2[[#This Row],[GWD]]</f>
        <v>2</v>
      </c>
      <c r="S141" s="180">
        <f>SUM(Tabela2[[#This Row],[G]:[GWD]])</f>
        <v>8</v>
      </c>
    </row>
    <row r="142" spans="1:19" ht="30">
      <c r="A142" s="183">
        <v>157</v>
      </c>
      <c r="B142" s="171" t="s">
        <v>588</v>
      </c>
      <c r="C142" s="171" t="s">
        <v>535</v>
      </c>
      <c r="D142" s="171">
        <v>3</v>
      </c>
      <c r="E142" s="171" t="s">
        <v>252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80">
        <f>SUM(Tabela2[[#This Row],[G]]+Tabela2[[#This Row],[D]]+Tabela2[[#This Row],[N]]+Tabela2[[#This Row],[HM]])</f>
        <v>4</v>
      </c>
      <c r="Q142" s="180">
        <f>SUM(Tabela2[[#This Row],[AO]]+Tabela2[[#This Row],[AD]]+Tabela2[[#This Row],[GWO]]+Tabela2[[#This Row],[GWD]])</f>
        <v>4</v>
      </c>
      <c r="R142" s="180">
        <f>Tabela2[[#This Row],[GWO]]+Tabela2[[#This Row],[GWD]]</f>
        <v>2</v>
      </c>
      <c r="S142" s="180">
        <f>SUM(Tabela2[[#This Row],[G]:[GWD]])</f>
        <v>8</v>
      </c>
    </row>
    <row r="143" spans="1:19" ht="30">
      <c r="A143" s="183">
        <v>128</v>
      </c>
      <c r="B143" s="172" t="s">
        <v>618</v>
      </c>
      <c r="C143" s="172" t="s">
        <v>535</v>
      </c>
      <c r="D143" s="172">
        <v>3</v>
      </c>
      <c r="E143" s="172" t="s">
        <v>251</v>
      </c>
      <c r="F143" s="172">
        <v>1</v>
      </c>
      <c r="G143" s="172">
        <v>1</v>
      </c>
      <c r="H143" s="172">
        <v>1</v>
      </c>
      <c r="I143" s="172">
        <v>1</v>
      </c>
      <c r="J143" s="172">
        <v>1</v>
      </c>
      <c r="K143" s="172">
        <v>1</v>
      </c>
      <c r="L143" s="172">
        <v>1</v>
      </c>
      <c r="M143" s="172">
        <v>1</v>
      </c>
      <c r="N143" s="170"/>
      <c r="O143" s="170"/>
      <c r="P143" s="180">
        <f>SUM(Tabela2[[#This Row],[G]]+Tabela2[[#This Row],[D]]+Tabela2[[#This Row],[N]]+Tabela2[[#This Row],[HM]])</f>
        <v>4</v>
      </c>
      <c r="Q143" s="180">
        <f>SUM(Tabela2[[#This Row],[AO]]+Tabela2[[#This Row],[AD]]+Tabela2[[#This Row],[GWO]]+Tabela2[[#This Row],[GWD]])</f>
        <v>4</v>
      </c>
      <c r="R143" s="180">
        <f>Tabela2[[#This Row],[GWO]]+Tabela2[[#This Row],[GWD]]</f>
        <v>2</v>
      </c>
      <c r="S143" s="180">
        <f>SUM(Tabela2[[#This Row],[G]:[GWD]])</f>
        <v>8</v>
      </c>
    </row>
    <row r="144" spans="1:19" ht="30">
      <c r="A144" s="183">
        <v>100</v>
      </c>
      <c r="B144" s="179" t="s">
        <v>645</v>
      </c>
      <c r="C144" s="174" t="s">
        <v>535</v>
      </c>
      <c r="D144" s="174">
        <v>3</v>
      </c>
      <c r="E144" s="174" t="s">
        <v>250</v>
      </c>
      <c r="F144" s="174">
        <v>1</v>
      </c>
      <c r="G144" s="174">
        <v>1</v>
      </c>
      <c r="H144" s="174">
        <v>1</v>
      </c>
      <c r="I144" s="174">
        <v>1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80">
        <f>SUM(Tabela2[[#This Row],[G]]+Tabela2[[#This Row],[D]]+Tabela2[[#This Row],[N]]+Tabela2[[#This Row],[HM]])</f>
        <v>4</v>
      </c>
      <c r="Q144" s="180">
        <f>SUM(Tabela2[[#This Row],[AO]]+Tabela2[[#This Row],[AD]]+Tabela2[[#This Row],[GWO]]+Tabela2[[#This Row],[GWD]])</f>
        <v>4</v>
      </c>
      <c r="R144" s="180">
        <f>Tabela2[[#This Row],[GWO]]+Tabela2[[#This Row],[GWD]]</f>
        <v>2</v>
      </c>
      <c r="S144" s="180">
        <f>SUM(Tabela2[[#This Row],[G]:[GWD]])</f>
        <v>8</v>
      </c>
    </row>
    <row r="145" spans="1:19" ht="30">
      <c r="A145" s="183">
        <v>68</v>
      </c>
      <c r="B145" s="175" t="s">
        <v>678</v>
      </c>
      <c r="C145" s="175" t="s">
        <v>535</v>
      </c>
      <c r="D145" s="175">
        <v>3</v>
      </c>
      <c r="E145" s="175" t="s">
        <v>18</v>
      </c>
      <c r="F145" s="175">
        <v>1</v>
      </c>
      <c r="G145" s="175">
        <v>1</v>
      </c>
      <c r="H145" s="175">
        <v>1</v>
      </c>
      <c r="I145" s="175">
        <v>1</v>
      </c>
      <c r="J145" s="175">
        <v>1</v>
      </c>
      <c r="K145" s="175">
        <v>1</v>
      </c>
      <c r="L145" s="175">
        <v>1</v>
      </c>
      <c r="M145" s="175">
        <v>1</v>
      </c>
      <c r="N145" s="170"/>
      <c r="O145" s="170"/>
      <c r="P145" s="180">
        <f>SUM(Tabela2[[#This Row],[G]]+Tabela2[[#This Row],[D]]+Tabela2[[#This Row],[N]]+Tabela2[[#This Row],[HM]])</f>
        <v>4</v>
      </c>
      <c r="Q145" s="180">
        <f>SUM(Tabela2[[#This Row],[AO]]+Tabela2[[#This Row],[AD]]+Tabela2[[#This Row],[GWO]]+Tabela2[[#This Row],[GWD]])</f>
        <v>4</v>
      </c>
      <c r="R145" s="180">
        <f>Tabela2[[#This Row],[GWO]]+Tabela2[[#This Row],[GWD]]</f>
        <v>2</v>
      </c>
      <c r="S145" s="180">
        <f>SUM(Tabela2[[#This Row],[G]:[GWD]])</f>
        <v>8</v>
      </c>
    </row>
    <row r="146" spans="1:19" ht="30">
      <c r="A146" s="183">
        <v>311</v>
      </c>
      <c r="B146" s="170" t="s">
        <v>402</v>
      </c>
      <c r="C146" s="170" t="s">
        <v>401</v>
      </c>
      <c r="D146" s="170">
        <v>4</v>
      </c>
      <c r="E146" s="170" t="s">
        <v>273</v>
      </c>
      <c r="F146" s="170">
        <v>1</v>
      </c>
      <c r="G146" s="170">
        <v>1</v>
      </c>
      <c r="H146" s="170">
        <v>1</v>
      </c>
      <c r="I146" s="170">
        <v>2</v>
      </c>
      <c r="J146" s="170">
        <v>1</v>
      </c>
      <c r="K146" s="170">
        <v>1</v>
      </c>
      <c r="L146" s="170">
        <v>3</v>
      </c>
      <c r="M146" s="170">
        <v>1</v>
      </c>
      <c r="N146" s="170"/>
      <c r="O146" s="170"/>
      <c r="P146" s="180">
        <f>SUM(Tabela2[[#This Row],[G]]+Tabela2[[#This Row],[D]]+Tabela2[[#This Row],[N]]+Tabela2[[#This Row],[HM]])</f>
        <v>4</v>
      </c>
      <c r="Q146" s="180">
        <f>SUM(Tabela2[[#This Row],[AO]]+Tabela2[[#This Row],[AD]]+Tabela2[[#This Row],[GWO]]+Tabela2[[#This Row],[GWD]])</f>
        <v>7</v>
      </c>
      <c r="R146" s="180">
        <f>Tabela2[[#This Row],[GWO]]+Tabela2[[#This Row],[GWD]]</f>
        <v>4</v>
      </c>
      <c r="S146" s="180">
        <f>SUM(Tabela2[[#This Row],[G]:[GWD]])</f>
        <v>11</v>
      </c>
    </row>
    <row r="147" spans="1:19" ht="30">
      <c r="A147" s="183">
        <v>310</v>
      </c>
      <c r="B147" s="170" t="s">
        <v>403</v>
      </c>
      <c r="C147" s="170" t="s">
        <v>401</v>
      </c>
      <c r="D147" s="170">
        <v>4</v>
      </c>
      <c r="E147" s="170" t="s">
        <v>273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80">
        <f>SUM(Tabela2[[#This Row],[G]]+Tabela2[[#This Row],[D]]+Tabela2[[#This Row],[N]]+Tabela2[[#This Row],[HM]])</f>
        <v>4</v>
      </c>
      <c r="Q147" s="180">
        <f>SUM(Tabela2[[#This Row],[AO]]+Tabela2[[#This Row],[AD]]+Tabela2[[#This Row],[GWO]]+Tabela2[[#This Row],[GWD]])</f>
        <v>7</v>
      </c>
      <c r="R147" s="180">
        <f>Tabela2[[#This Row],[GWO]]+Tabela2[[#This Row],[GWD]]</f>
        <v>4</v>
      </c>
      <c r="S147" s="180">
        <f>SUM(Tabela2[[#This Row],[G]:[GWD]])</f>
        <v>11</v>
      </c>
    </row>
    <row r="148" spans="1:19" ht="30">
      <c r="A148" s="183">
        <v>287</v>
      </c>
      <c r="B148" s="171" t="s">
        <v>434</v>
      </c>
      <c r="C148" s="171" t="s">
        <v>401</v>
      </c>
      <c r="D148" s="171">
        <v>4</v>
      </c>
      <c r="E148" s="171" t="s">
        <v>252</v>
      </c>
      <c r="F148" s="171">
        <v>1</v>
      </c>
      <c r="G148" s="171">
        <v>1</v>
      </c>
      <c r="H148" s="171">
        <v>1</v>
      </c>
      <c r="I148" s="171">
        <v>2</v>
      </c>
      <c r="J148" s="171">
        <v>1</v>
      </c>
      <c r="K148" s="171">
        <v>1</v>
      </c>
      <c r="L148" s="171">
        <v>4</v>
      </c>
      <c r="M148" s="171">
        <v>1</v>
      </c>
      <c r="N148" s="170"/>
      <c r="O148" s="170"/>
      <c r="P148" s="180">
        <f>SUM(Tabela2[[#This Row],[G]]+Tabela2[[#This Row],[D]]+Tabela2[[#This Row],[N]]+Tabela2[[#This Row],[HM]])</f>
        <v>4</v>
      </c>
      <c r="Q148" s="180">
        <f>SUM(Tabela2[[#This Row],[AO]]+Tabela2[[#This Row],[AD]]+Tabela2[[#This Row],[GWO]]+Tabela2[[#This Row],[GWD]])</f>
        <v>8</v>
      </c>
      <c r="R148" s="180">
        <f>Tabela2[[#This Row],[GWO]]+Tabela2[[#This Row],[GWD]]</f>
        <v>5</v>
      </c>
      <c r="S148" s="180">
        <f>SUM(Tabela2[[#This Row],[G]:[GWD]])</f>
        <v>12</v>
      </c>
    </row>
    <row r="149" spans="1:19" ht="30">
      <c r="A149" s="183">
        <v>127</v>
      </c>
      <c r="B149" s="172" t="s">
        <v>619</v>
      </c>
      <c r="C149" s="172" t="s">
        <v>401</v>
      </c>
      <c r="D149" s="172">
        <v>3</v>
      </c>
      <c r="E149" s="172" t="s">
        <v>251</v>
      </c>
      <c r="F149" s="172">
        <v>1</v>
      </c>
      <c r="G149" s="172">
        <v>1</v>
      </c>
      <c r="H149" s="172">
        <v>1</v>
      </c>
      <c r="I149" s="172">
        <v>1</v>
      </c>
      <c r="J149" s="172">
        <v>1</v>
      </c>
      <c r="K149" s="172">
        <v>1</v>
      </c>
      <c r="L149" s="172">
        <v>1</v>
      </c>
      <c r="M149" s="172">
        <v>1</v>
      </c>
      <c r="N149" s="170"/>
      <c r="O149" s="170"/>
      <c r="P149" s="180">
        <f>SUM(Tabela2[[#This Row],[G]]+Tabela2[[#This Row],[D]]+Tabela2[[#This Row],[N]]+Tabela2[[#This Row],[HM]])</f>
        <v>4</v>
      </c>
      <c r="Q149" s="180">
        <f>SUM(Tabela2[[#This Row],[AO]]+Tabela2[[#This Row],[AD]]+Tabela2[[#This Row],[GWO]]+Tabela2[[#This Row],[GWD]])</f>
        <v>4</v>
      </c>
      <c r="R149" s="180">
        <f>Tabela2[[#This Row],[GWO]]+Tabela2[[#This Row],[GWD]]</f>
        <v>2</v>
      </c>
      <c r="S149" s="180">
        <f>SUM(Tabela2[[#This Row],[G]:[GWD]])</f>
        <v>8</v>
      </c>
    </row>
    <row r="150" spans="1:19" ht="30">
      <c r="A150" s="183">
        <v>99</v>
      </c>
      <c r="B150" s="174" t="s">
        <v>646</v>
      </c>
      <c r="C150" s="174" t="s">
        <v>401</v>
      </c>
      <c r="D150" s="174">
        <v>3</v>
      </c>
      <c r="E150" s="174" t="s">
        <v>250</v>
      </c>
      <c r="F150" s="174">
        <v>1</v>
      </c>
      <c r="G150" s="174">
        <v>1</v>
      </c>
      <c r="H150" s="174">
        <v>1</v>
      </c>
      <c r="I150" s="174">
        <v>1</v>
      </c>
      <c r="J150" s="174">
        <v>1</v>
      </c>
      <c r="K150" s="174">
        <v>1</v>
      </c>
      <c r="L150" s="174">
        <v>1</v>
      </c>
      <c r="M150" s="174">
        <v>1</v>
      </c>
      <c r="N150" s="174" t="s">
        <v>446</v>
      </c>
      <c r="O150" s="174"/>
      <c r="P150" s="185">
        <f>SUM(Tabela2[[#This Row],[G]]+Tabela2[[#This Row],[D]]+Tabela2[[#This Row],[N]]+Tabela2[[#This Row],[HM]])</f>
        <v>4</v>
      </c>
      <c r="Q150" s="185">
        <f>SUM(Tabela2[[#This Row],[AO]]+Tabela2[[#This Row],[AD]]+Tabela2[[#This Row],[GWO]]+Tabela2[[#This Row],[GWD]])</f>
        <v>4</v>
      </c>
      <c r="R150" s="185">
        <f>Tabela2[[#This Row],[GWO]]+Tabela2[[#This Row],[GWD]]</f>
        <v>2</v>
      </c>
      <c r="S150" s="180">
        <f>SUM(Tabela2[[#This Row],[G]:[GWD]])</f>
        <v>8</v>
      </c>
    </row>
    <row r="151" spans="1:19" ht="30">
      <c r="A151" s="183">
        <v>309</v>
      </c>
      <c r="B151" s="170" t="s">
        <v>405</v>
      </c>
      <c r="C151" s="170" t="s">
        <v>404</v>
      </c>
      <c r="D151" s="170">
        <v>4</v>
      </c>
      <c r="E151" s="170" t="s">
        <v>273</v>
      </c>
      <c r="F151" s="170">
        <v>1</v>
      </c>
      <c r="G151" s="170">
        <v>1</v>
      </c>
      <c r="H151" s="170">
        <v>3</v>
      </c>
      <c r="I151" s="170">
        <v>1</v>
      </c>
      <c r="J151" s="170">
        <v>1</v>
      </c>
      <c r="K151" s="170">
        <v>1</v>
      </c>
      <c r="L151" s="170">
        <v>2</v>
      </c>
      <c r="M151" s="170">
        <v>1</v>
      </c>
      <c r="N151" s="170"/>
      <c r="O151" s="170"/>
      <c r="P151" s="180">
        <f>SUM(Tabela2[[#This Row],[G]]+Tabela2[[#This Row],[D]]+Tabela2[[#This Row],[N]]+Tabela2[[#This Row],[HM]])</f>
        <v>6</v>
      </c>
      <c r="Q151" s="180">
        <f>SUM(Tabela2[[#This Row],[AO]]+Tabela2[[#This Row],[AD]]+Tabela2[[#This Row],[GWO]]+Tabela2[[#This Row],[GWD]])</f>
        <v>5</v>
      </c>
      <c r="R151" s="180">
        <f>Tabela2[[#This Row],[GWO]]+Tabela2[[#This Row],[GWD]]</f>
        <v>3</v>
      </c>
      <c r="S151" s="180">
        <f>SUM(Tabela2[[#This Row],[G]:[GWD]])</f>
        <v>11</v>
      </c>
    </row>
    <row r="152" spans="1:19" ht="30">
      <c r="A152" s="183">
        <v>286</v>
      </c>
      <c r="B152" s="171" t="s">
        <v>435</v>
      </c>
      <c r="C152" s="171" t="s">
        <v>404</v>
      </c>
      <c r="D152" s="171">
        <v>4</v>
      </c>
      <c r="E152" s="171" t="s">
        <v>252</v>
      </c>
      <c r="F152" s="171">
        <v>3</v>
      </c>
      <c r="G152" s="171">
        <v>3</v>
      </c>
      <c r="H152" s="171">
        <v>4</v>
      </c>
      <c r="I152" s="171">
        <v>2</v>
      </c>
      <c r="J152" s="171">
        <v>2</v>
      </c>
      <c r="K152" s="171">
        <v>2</v>
      </c>
      <c r="L152" s="171">
        <v>3</v>
      </c>
      <c r="M152" s="171">
        <v>2</v>
      </c>
      <c r="N152" s="170"/>
      <c r="O152" s="170"/>
      <c r="P152" s="180">
        <f>SUM(Tabela2[[#This Row],[G]]+Tabela2[[#This Row],[D]]+Tabela2[[#This Row],[N]]+Tabela2[[#This Row],[HM]])</f>
        <v>12</v>
      </c>
      <c r="Q152" s="180">
        <f>SUM(Tabela2[[#This Row],[AO]]+Tabela2[[#This Row],[AD]]+Tabela2[[#This Row],[GWO]]+Tabela2[[#This Row],[GWD]])</f>
        <v>9</v>
      </c>
      <c r="R152" s="180">
        <f>Tabela2[[#This Row],[GWO]]+Tabela2[[#This Row],[GWD]]</f>
        <v>5</v>
      </c>
      <c r="S152" s="180">
        <f>SUM(Tabela2[[#This Row],[G]:[GWD]])</f>
        <v>21</v>
      </c>
    </row>
    <row r="153" spans="1:19" ht="30">
      <c r="A153" s="183">
        <v>260</v>
      </c>
      <c r="B153" s="172" t="s">
        <v>463</v>
      </c>
      <c r="C153" s="172" t="s">
        <v>404</v>
      </c>
      <c r="D153" s="172">
        <v>4</v>
      </c>
      <c r="E153" s="172" t="s">
        <v>251</v>
      </c>
      <c r="F153" s="172">
        <v>3</v>
      </c>
      <c r="G153" s="172">
        <v>1</v>
      </c>
      <c r="H153" s="172">
        <v>2</v>
      </c>
      <c r="I153" s="172">
        <v>1</v>
      </c>
      <c r="J153" s="172">
        <v>1</v>
      </c>
      <c r="K153" s="172">
        <v>1</v>
      </c>
      <c r="L153" s="172">
        <v>1</v>
      </c>
      <c r="M153" s="172">
        <v>1</v>
      </c>
      <c r="N153" s="170"/>
      <c r="O153" s="170"/>
      <c r="P153" s="180">
        <f>SUM(Tabela2[[#This Row],[G]]+Tabela2[[#This Row],[D]]+Tabela2[[#This Row],[N]]+Tabela2[[#This Row],[HM]])</f>
        <v>7</v>
      </c>
      <c r="Q153" s="180">
        <f>SUM(Tabela2[[#This Row],[AO]]+Tabela2[[#This Row],[AD]]+Tabela2[[#This Row],[GWO]]+Tabela2[[#This Row],[GWD]])</f>
        <v>4</v>
      </c>
      <c r="R153" s="180">
        <f>Tabela2[[#This Row],[GWO]]+Tabela2[[#This Row],[GWD]]</f>
        <v>2</v>
      </c>
      <c r="S153" s="180">
        <f>SUM(Tabela2[[#This Row],[G]:[GWD]])</f>
        <v>11</v>
      </c>
    </row>
    <row r="154" spans="1:19" ht="30">
      <c r="A154" s="183">
        <v>234</v>
      </c>
      <c r="B154" s="174" t="s">
        <v>247</v>
      </c>
      <c r="C154" s="174" t="s">
        <v>404</v>
      </c>
      <c r="D154" s="174">
        <v>4</v>
      </c>
      <c r="E154" s="174" t="s">
        <v>250</v>
      </c>
      <c r="F154" s="174">
        <v>1</v>
      </c>
      <c r="G154" s="174">
        <v>1</v>
      </c>
      <c r="H154" s="174">
        <v>3</v>
      </c>
      <c r="I154" s="174">
        <v>2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80">
        <f>SUM(Tabela2[[#This Row],[G]]+Tabela2[[#This Row],[D]]+Tabela2[[#This Row],[N]]+Tabela2[[#This Row],[HM]])</f>
        <v>6</v>
      </c>
      <c r="Q154" s="180">
        <f>SUM(Tabela2[[#This Row],[AO]]+Tabela2[[#This Row],[AD]]+Tabela2[[#This Row],[GWO]]+Tabela2[[#This Row],[GWD]])</f>
        <v>5</v>
      </c>
      <c r="R154" s="180">
        <f>Tabela2[[#This Row],[GWO]]+Tabela2[[#This Row],[GWD]]</f>
        <v>2</v>
      </c>
      <c r="S154" s="180">
        <f>SUM(Tabela2[[#This Row],[G]:[GWD]])</f>
        <v>11</v>
      </c>
    </row>
    <row r="155" spans="1:19" ht="30">
      <c r="A155" s="183">
        <v>209</v>
      </c>
      <c r="B155" s="175" t="s">
        <v>512</v>
      </c>
      <c r="C155" s="175" t="s">
        <v>404</v>
      </c>
      <c r="D155" s="175">
        <v>4</v>
      </c>
      <c r="E155" s="175" t="s">
        <v>18</v>
      </c>
      <c r="F155" s="175">
        <v>1</v>
      </c>
      <c r="G155" s="175">
        <v>2</v>
      </c>
      <c r="H155" s="175">
        <v>2</v>
      </c>
      <c r="I155" s="175">
        <v>3</v>
      </c>
      <c r="J155" s="175">
        <v>1</v>
      </c>
      <c r="K155" s="175">
        <v>1</v>
      </c>
      <c r="L155" s="175">
        <v>3</v>
      </c>
      <c r="M155" s="175">
        <v>1</v>
      </c>
      <c r="N155" s="170"/>
      <c r="O155" s="170"/>
      <c r="P155" s="180">
        <f>SUM(Tabela2[[#This Row],[G]]+Tabela2[[#This Row],[D]]+Tabela2[[#This Row],[N]]+Tabela2[[#This Row],[HM]])</f>
        <v>6</v>
      </c>
      <c r="Q155" s="180">
        <f>SUM(Tabela2[[#This Row],[AO]]+Tabela2[[#This Row],[AD]]+Tabela2[[#This Row],[GWO]]+Tabela2[[#This Row],[GWD]])</f>
        <v>8</v>
      </c>
      <c r="R155" s="180">
        <f>Tabela2[[#This Row],[GWO]]+Tabela2[[#This Row],[GWD]]</f>
        <v>4</v>
      </c>
      <c r="S155" s="180">
        <f>SUM(Tabela2[[#This Row],[G]:[GWD]])</f>
        <v>14</v>
      </c>
    </row>
    <row r="156" spans="1:19">
      <c r="A156" s="183">
        <v>67</v>
      </c>
      <c r="B156" s="175" t="s">
        <v>680</v>
      </c>
      <c r="C156" s="175" t="s">
        <v>679</v>
      </c>
      <c r="D156" s="175">
        <v>3</v>
      </c>
      <c r="E156" s="175" t="s">
        <v>18</v>
      </c>
      <c r="F156" s="175">
        <v>1</v>
      </c>
      <c r="G156" s="175">
        <v>1</v>
      </c>
      <c r="H156" s="175">
        <v>1</v>
      </c>
      <c r="I156" s="175">
        <v>1</v>
      </c>
      <c r="J156" s="175">
        <v>1</v>
      </c>
      <c r="K156" s="175">
        <v>1</v>
      </c>
      <c r="L156" s="175">
        <v>1</v>
      </c>
      <c r="M156" s="175">
        <v>1</v>
      </c>
      <c r="N156" s="175" t="s">
        <v>446</v>
      </c>
      <c r="O156" s="175"/>
      <c r="P156" s="184">
        <f>SUM(Tabela2[[#This Row],[G]]+Tabela2[[#This Row],[D]]+Tabela2[[#This Row],[N]]+Tabela2[[#This Row],[HM]])</f>
        <v>4</v>
      </c>
      <c r="Q156" s="184">
        <f>SUM(Tabela2[[#This Row],[AO]]+Tabela2[[#This Row],[AD]]+Tabela2[[#This Row],[GWO]]+Tabela2[[#This Row],[GWD]])</f>
        <v>4</v>
      </c>
      <c r="R156" s="184">
        <f>Tabela2[[#This Row],[GWO]]+Tabela2[[#This Row],[GWD]]</f>
        <v>2</v>
      </c>
      <c r="S156" s="180">
        <f>SUM(Tabela2[[#This Row],[G]:[GWD]])</f>
        <v>8</v>
      </c>
    </row>
    <row r="157" spans="1:19">
      <c r="A157" s="183">
        <v>66</v>
      </c>
      <c r="B157" s="175" t="s">
        <v>682</v>
      </c>
      <c r="C157" s="175" t="s">
        <v>681</v>
      </c>
      <c r="D157" s="175">
        <v>3</v>
      </c>
      <c r="E157" s="175" t="s">
        <v>18</v>
      </c>
      <c r="F157" s="175">
        <v>1</v>
      </c>
      <c r="G157" s="175">
        <v>1</v>
      </c>
      <c r="H157" s="175">
        <v>1</v>
      </c>
      <c r="I157" s="175">
        <v>1</v>
      </c>
      <c r="J157" s="175">
        <v>1</v>
      </c>
      <c r="K157" s="175">
        <v>1</v>
      </c>
      <c r="L157" s="175">
        <v>1</v>
      </c>
      <c r="M157" s="175">
        <v>1</v>
      </c>
      <c r="N157" s="170"/>
      <c r="O157" s="170"/>
      <c r="P157" s="180">
        <f>SUM(Tabela2[[#This Row],[G]]+Tabela2[[#This Row],[D]]+Tabela2[[#This Row],[N]]+Tabela2[[#This Row],[HM]])</f>
        <v>4</v>
      </c>
      <c r="Q157" s="180">
        <f>SUM(Tabela2[[#This Row],[AO]]+Tabela2[[#This Row],[AD]]+Tabela2[[#This Row],[GWO]]+Tabela2[[#This Row],[GWD]])</f>
        <v>4</v>
      </c>
      <c r="R157" s="180">
        <f>Tabela2[[#This Row],[GWO]]+Tabela2[[#This Row],[GWD]]</f>
        <v>2</v>
      </c>
      <c r="S157" s="180">
        <f>SUM(Tabela2[[#This Row],[G]:[GWD]])</f>
        <v>8</v>
      </c>
    </row>
    <row r="158" spans="1:19">
      <c r="A158" s="183">
        <v>190</v>
      </c>
      <c r="B158" s="170" t="s">
        <v>538</v>
      </c>
      <c r="C158" s="170" t="s">
        <v>537</v>
      </c>
      <c r="D158" s="170">
        <v>3</v>
      </c>
      <c r="E158" s="170" t="s">
        <v>273</v>
      </c>
      <c r="F158" s="170">
        <v>1</v>
      </c>
      <c r="G158" s="170">
        <v>1</v>
      </c>
      <c r="H158" s="170">
        <v>2</v>
      </c>
      <c r="I158" s="170">
        <v>1</v>
      </c>
      <c r="J158" s="170">
        <v>1</v>
      </c>
      <c r="K158" s="170">
        <v>1</v>
      </c>
      <c r="L158" s="170">
        <v>2</v>
      </c>
      <c r="M158" s="170">
        <v>1</v>
      </c>
      <c r="N158" s="170"/>
      <c r="O158" s="170"/>
      <c r="P158" s="180">
        <f>SUM(Tabela2[[#This Row],[G]]+Tabela2[[#This Row],[D]]+Tabela2[[#This Row],[N]]+Tabela2[[#This Row],[HM]])</f>
        <v>5</v>
      </c>
      <c r="Q158" s="180">
        <f>SUM(Tabela2[[#This Row],[AO]]+Tabela2[[#This Row],[AD]]+Tabela2[[#This Row],[GWO]]+Tabela2[[#This Row],[GWD]])</f>
        <v>5</v>
      </c>
      <c r="R158" s="180">
        <f>Tabela2[[#This Row],[GWO]]+Tabela2[[#This Row],[GWD]]</f>
        <v>3</v>
      </c>
      <c r="S158" s="180">
        <f>SUM(Tabela2[[#This Row],[G]:[GWD]])</f>
        <v>10</v>
      </c>
    </row>
    <row r="159" spans="1:19">
      <c r="A159" s="183">
        <v>156</v>
      </c>
      <c r="B159" s="171" t="s">
        <v>589</v>
      </c>
      <c r="C159" s="171" t="s">
        <v>537</v>
      </c>
      <c r="D159" s="171">
        <v>3</v>
      </c>
      <c r="E159" s="171" t="s">
        <v>252</v>
      </c>
      <c r="F159" s="171">
        <v>2</v>
      </c>
      <c r="G159" s="171">
        <v>2</v>
      </c>
      <c r="H159" s="171">
        <v>1</v>
      </c>
      <c r="I159" s="171">
        <v>1</v>
      </c>
      <c r="J159" s="171">
        <v>1</v>
      </c>
      <c r="K159" s="171">
        <v>3</v>
      </c>
      <c r="L159" s="171">
        <v>2</v>
      </c>
      <c r="M159" s="171">
        <v>1</v>
      </c>
      <c r="N159" s="170"/>
      <c r="O159" s="170"/>
      <c r="P159" s="180">
        <f>SUM(Tabela2[[#This Row],[G]]+Tabela2[[#This Row],[D]]+Tabela2[[#This Row],[N]]+Tabela2[[#This Row],[HM]])</f>
        <v>8</v>
      </c>
      <c r="Q159" s="180">
        <f>SUM(Tabela2[[#This Row],[AO]]+Tabela2[[#This Row],[AD]]+Tabela2[[#This Row],[GWO]]+Tabela2[[#This Row],[GWD]])</f>
        <v>5</v>
      </c>
      <c r="R159" s="180">
        <f>Tabela2[[#This Row],[GWO]]+Tabela2[[#This Row],[GWD]]</f>
        <v>3</v>
      </c>
      <c r="S159" s="180">
        <f>SUM(Tabela2[[#This Row],[G]:[GWD]])</f>
        <v>13</v>
      </c>
    </row>
    <row r="160" spans="1:19">
      <c r="A160" s="183">
        <v>126</v>
      </c>
      <c r="B160" s="172" t="s">
        <v>620</v>
      </c>
      <c r="C160" s="172" t="s">
        <v>537</v>
      </c>
      <c r="D160" s="172">
        <v>3</v>
      </c>
      <c r="E160" s="172" t="s">
        <v>251</v>
      </c>
      <c r="F160" s="172">
        <v>2</v>
      </c>
      <c r="G160" s="172">
        <v>1</v>
      </c>
      <c r="H160" s="172">
        <v>1</v>
      </c>
      <c r="I160" s="172">
        <v>1</v>
      </c>
      <c r="J160" s="172">
        <v>1</v>
      </c>
      <c r="K160" s="172">
        <v>1</v>
      </c>
      <c r="L160" s="172">
        <v>1</v>
      </c>
      <c r="M160" s="172">
        <v>1</v>
      </c>
      <c r="N160" s="172" t="s">
        <v>446</v>
      </c>
      <c r="O160" s="172"/>
      <c r="P160" s="186">
        <f>SUM(Tabela2[[#This Row],[G]]+Tabela2[[#This Row],[D]]+Tabela2[[#This Row],[N]]+Tabela2[[#This Row],[HM]])</f>
        <v>5</v>
      </c>
      <c r="Q160" s="186">
        <f>SUM(Tabela2[[#This Row],[AO]]+Tabela2[[#This Row],[AD]]+Tabela2[[#This Row],[GWO]]+Tabela2[[#This Row],[GWD]])</f>
        <v>4</v>
      </c>
      <c r="R160" s="186">
        <f>Tabela2[[#This Row],[GWO]]+Tabela2[[#This Row],[GWD]]</f>
        <v>2</v>
      </c>
      <c r="S160" s="180">
        <f>SUM(Tabela2[[#This Row],[G]:[GWD]])</f>
        <v>9</v>
      </c>
    </row>
    <row r="161" spans="1:19">
      <c r="A161" s="183">
        <v>98</v>
      </c>
      <c r="B161" s="174" t="s">
        <v>647</v>
      </c>
      <c r="C161" s="174" t="s">
        <v>537</v>
      </c>
      <c r="D161" s="174">
        <v>3</v>
      </c>
      <c r="E161" s="174" t="s">
        <v>250</v>
      </c>
      <c r="F161" s="174">
        <v>1</v>
      </c>
      <c r="G161" s="174">
        <v>3</v>
      </c>
      <c r="H161" s="174">
        <v>1</v>
      </c>
      <c r="I161" s="174">
        <v>1</v>
      </c>
      <c r="J161" s="174">
        <v>1</v>
      </c>
      <c r="K161" s="174">
        <v>1</v>
      </c>
      <c r="L161" s="174">
        <v>1</v>
      </c>
      <c r="M161" s="174">
        <v>1</v>
      </c>
      <c r="N161" s="170"/>
      <c r="O161" s="170"/>
      <c r="P161" s="180">
        <f>SUM(Tabela2[[#This Row],[G]]+Tabela2[[#This Row],[D]]+Tabela2[[#This Row],[N]]+Tabela2[[#This Row],[HM]])</f>
        <v>6</v>
      </c>
      <c r="Q161" s="180">
        <f>SUM(Tabela2[[#This Row],[AO]]+Tabela2[[#This Row],[AD]]+Tabela2[[#This Row],[GWO]]+Tabela2[[#This Row],[GWD]])</f>
        <v>4</v>
      </c>
      <c r="R161" s="180">
        <f>Tabela2[[#This Row],[GWO]]+Tabela2[[#This Row],[GWD]]</f>
        <v>2</v>
      </c>
      <c r="S161" s="180">
        <f>SUM(Tabela2[[#This Row],[G]:[GWD]])</f>
        <v>10</v>
      </c>
    </row>
    <row r="162" spans="1:19" ht="30">
      <c r="A162" s="183">
        <v>189</v>
      </c>
      <c r="B162" s="170" t="s">
        <v>540</v>
      </c>
      <c r="C162" s="170" t="s">
        <v>539</v>
      </c>
      <c r="D162" s="170">
        <v>3</v>
      </c>
      <c r="E162" s="170" t="s">
        <v>273</v>
      </c>
      <c r="F162" s="170">
        <v>1</v>
      </c>
      <c r="G162" s="170">
        <v>1</v>
      </c>
      <c r="H162" s="170">
        <v>1</v>
      </c>
      <c r="I162" s="170">
        <v>2</v>
      </c>
      <c r="J162" s="170">
        <v>1</v>
      </c>
      <c r="K162" s="170">
        <v>1</v>
      </c>
      <c r="L162" s="170">
        <v>2</v>
      </c>
      <c r="M162" s="170">
        <v>1</v>
      </c>
      <c r="N162" s="170"/>
      <c r="O162" s="170"/>
      <c r="P162" s="180">
        <f>SUM(Tabela2[[#This Row],[G]]+Tabela2[[#This Row],[D]]+Tabela2[[#This Row],[N]]+Tabela2[[#This Row],[HM]])</f>
        <v>4</v>
      </c>
      <c r="Q162" s="180">
        <f>SUM(Tabela2[[#This Row],[AO]]+Tabela2[[#This Row],[AD]]+Tabela2[[#This Row],[GWO]]+Tabela2[[#This Row],[GWD]])</f>
        <v>6</v>
      </c>
      <c r="R162" s="180">
        <f>Tabela2[[#This Row],[GWO]]+Tabela2[[#This Row],[GWD]]</f>
        <v>3</v>
      </c>
      <c r="S162" s="180">
        <f>SUM(Tabela2[[#This Row],[G]:[GWD]])</f>
        <v>10</v>
      </c>
    </row>
    <row r="163" spans="1:19" ht="30">
      <c r="A163" s="183">
        <v>155</v>
      </c>
      <c r="B163" s="171" t="s">
        <v>590</v>
      </c>
      <c r="C163" s="171" t="s">
        <v>539</v>
      </c>
      <c r="D163" s="171">
        <v>3</v>
      </c>
      <c r="E163" s="171" t="s">
        <v>252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80">
        <f>SUM(Tabela2[[#This Row],[G]]+Tabela2[[#This Row],[D]]+Tabela2[[#This Row],[N]]+Tabela2[[#This Row],[HM]])</f>
        <v>4</v>
      </c>
      <c r="Q163" s="180">
        <f>SUM(Tabela2[[#This Row],[AO]]+Tabela2[[#This Row],[AD]]+Tabela2[[#This Row],[GWO]]+Tabela2[[#This Row],[GWD]])</f>
        <v>4</v>
      </c>
      <c r="R163" s="180">
        <f>Tabela2[[#This Row],[GWO]]+Tabela2[[#This Row],[GWD]]</f>
        <v>2</v>
      </c>
      <c r="S163" s="180">
        <f>SUM(Tabela2[[#This Row],[G]:[GWD]])</f>
        <v>8</v>
      </c>
    </row>
    <row r="164" spans="1:19" ht="30">
      <c r="A164" s="183">
        <v>125</v>
      </c>
      <c r="B164" s="172" t="s">
        <v>621</v>
      </c>
      <c r="C164" s="172" t="s">
        <v>539</v>
      </c>
      <c r="D164" s="172">
        <v>3</v>
      </c>
      <c r="E164" s="172" t="s">
        <v>251</v>
      </c>
      <c r="F164" s="172">
        <v>3</v>
      </c>
      <c r="G164" s="172">
        <v>1</v>
      </c>
      <c r="H164" s="172">
        <v>1</v>
      </c>
      <c r="I164" s="172">
        <v>3</v>
      </c>
      <c r="J164" s="172">
        <v>1</v>
      </c>
      <c r="K164" s="172">
        <v>1</v>
      </c>
      <c r="L164" s="172">
        <v>5</v>
      </c>
      <c r="M164" s="172">
        <v>1</v>
      </c>
      <c r="N164" s="170"/>
      <c r="O164" s="170" t="s">
        <v>205</v>
      </c>
      <c r="P164" s="180">
        <f>SUM(Tabela2[[#This Row],[G]]+Tabela2[[#This Row],[D]]+Tabela2[[#This Row],[N]]+Tabela2[[#This Row],[HM]])</f>
        <v>6</v>
      </c>
      <c r="Q164" s="180">
        <f>SUM(Tabela2[[#This Row],[AO]]+Tabela2[[#This Row],[AD]]+Tabela2[[#This Row],[GWO]]+Tabela2[[#This Row],[GWD]])</f>
        <v>10</v>
      </c>
      <c r="R164" s="180">
        <f>Tabela2[[#This Row],[GWO]]+Tabela2[[#This Row],[GWD]]</f>
        <v>6</v>
      </c>
      <c r="S164" s="180">
        <f>SUM(Tabela2[[#This Row],[G]:[GWD]])</f>
        <v>16</v>
      </c>
    </row>
    <row r="165" spans="1:19" ht="30">
      <c r="A165" s="183">
        <v>97</v>
      </c>
      <c r="B165" s="174" t="s">
        <v>648</v>
      </c>
      <c r="C165" s="174" t="s">
        <v>539</v>
      </c>
      <c r="D165" s="174">
        <v>3</v>
      </c>
      <c r="E165" s="174" t="s">
        <v>250</v>
      </c>
      <c r="F165" s="174">
        <v>1</v>
      </c>
      <c r="G165" s="174">
        <v>1</v>
      </c>
      <c r="H165" s="174">
        <v>1</v>
      </c>
      <c r="I165" s="174">
        <v>1</v>
      </c>
      <c r="J165" s="174">
        <v>1</v>
      </c>
      <c r="K165" s="174">
        <v>1</v>
      </c>
      <c r="L165" s="174">
        <v>1</v>
      </c>
      <c r="M165" s="174">
        <v>1</v>
      </c>
      <c r="N165" s="170"/>
      <c r="O165" s="191" t="s">
        <v>205</v>
      </c>
      <c r="P165" s="180">
        <f>SUM(Tabela2[[#This Row],[G]]+Tabela2[[#This Row],[D]]+Tabela2[[#This Row],[N]]+Tabela2[[#This Row],[HM]])</f>
        <v>4</v>
      </c>
      <c r="Q165" s="180">
        <f>SUM(Tabela2[[#This Row],[AO]]+Tabela2[[#This Row],[AD]]+Tabela2[[#This Row],[GWO]]+Tabela2[[#This Row],[GWD]])</f>
        <v>4</v>
      </c>
      <c r="R165" s="180">
        <f>Tabela2[[#This Row],[GWO]]+Tabela2[[#This Row],[GWD]]</f>
        <v>2</v>
      </c>
      <c r="S165" s="180">
        <f>SUM(Tabela2[[#This Row],[G]:[GWD]])</f>
        <v>8</v>
      </c>
    </row>
    <row r="166" spans="1:19" ht="30">
      <c r="A166" s="183">
        <v>65</v>
      </c>
      <c r="B166" s="175" t="s">
        <v>683</v>
      </c>
      <c r="C166" s="175" t="s">
        <v>539</v>
      </c>
      <c r="D166" s="175">
        <v>3</v>
      </c>
      <c r="E166" s="175" t="s">
        <v>18</v>
      </c>
      <c r="F166" s="175">
        <v>1</v>
      </c>
      <c r="G166" s="175">
        <v>1</v>
      </c>
      <c r="H166" s="175">
        <v>1</v>
      </c>
      <c r="I166" s="175">
        <v>1</v>
      </c>
      <c r="J166" s="175">
        <v>2</v>
      </c>
      <c r="K166" s="175">
        <v>1</v>
      </c>
      <c r="L166" s="175">
        <v>1</v>
      </c>
      <c r="M166" s="175">
        <v>2</v>
      </c>
      <c r="N166" s="175" t="s">
        <v>446</v>
      </c>
      <c r="O166" s="175" t="s">
        <v>205</v>
      </c>
      <c r="P166" s="184">
        <f>SUM(Tabela2[[#This Row],[G]]+Tabela2[[#This Row],[D]]+Tabela2[[#This Row],[N]]+Tabela2[[#This Row],[HM]])</f>
        <v>4</v>
      </c>
      <c r="Q166" s="184">
        <f>SUM(Tabela2[[#This Row],[AO]]+Tabela2[[#This Row],[AD]]+Tabela2[[#This Row],[GWO]]+Tabela2[[#This Row],[GWD]])</f>
        <v>6</v>
      </c>
      <c r="R166" s="184">
        <f>Tabela2[[#This Row],[GWO]]+Tabela2[[#This Row],[GWD]]</f>
        <v>3</v>
      </c>
      <c r="S166" s="180">
        <f>SUM(Tabela2[[#This Row],[G]:[GWD]])</f>
        <v>10</v>
      </c>
    </row>
    <row r="167" spans="1:19">
      <c r="A167" s="183">
        <v>308</v>
      </c>
      <c r="B167" s="170" t="s">
        <v>407</v>
      </c>
      <c r="C167" s="170" t="s">
        <v>406</v>
      </c>
      <c r="D167" s="170">
        <v>4</v>
      </c>
      <c r="E167" s="170" t="s">
        <v>273</v>
      </c>
      <c r="F167" s="170">
        <v>1</v>
      </c>
      <c r="G167" s="170">
        <v>1</v>
      </c>
      <c r="H167" s="170">
        <v>1</v>
      </c>
      <c r="I167" s="170">
        <v>1</v>
      </c>
      <c r="J167" s="170">
        <v>1</v>
      </c>
      <c r="K167" s="170">
        <v>1</v>
      </c>
      <c r="L167" s="170">
        <v>1</v>
      </c>
      <c r="M167" s="170">
        <v>1</v>
      </c>
      <c r="N167" s="170"/>
      <c r="O167" s="170"/>
      <c r="P167" s="180">
        <f>SUM(Tabela2[[#This Row],[G]]+Tabela2[[#This Row],[D]]+Tabela2[[#This Row],[N]]+Tabela2[[#This Row],[HM]])</f>
        <v>4</v>
      </c>
      <c r="Q167" s="180">
        <f>SUM(Tabela2[[#This Row],[AO]]+Tabela2[[#This Row],[AD]]+Tabela2[[#This Row],[GWO]]+Tabela2[[#This Row],[GWD]])</f>
        <v>4</v>
      </c>
      <c r="R167" s="180">
        <f>Tabela2[[#This Row],[GWO]]+Tabela2[[#This Row],[GWD]]</f>
        <v>2</v>
      </c>
      <c r="S167" s="180">
        <f>SUM(Tabela2[[#This Row],[G]:[GWD]])</f>
        <v>8</v>
      </c>
    </row>
    <row r="168" spans="1:19">
      <c r="A168" s="183">
        <v>285</v>
      </c>
      <c r="B168" s="171" t="s">
        <v>436</v>
      </c>
      <c r="C168" s="171" t="s">
        <v>406</v>
      </c>
      <c r="D168" s="171">
        <v>4</v>
      </c>
      <c r="E168" s="171" t="s">
        <v>252</v>
      </c>
      <c r="F168" s="171">
        <v>1</v>
      </c>
      <c r="G168" s="171">
        <v>1</v>
      </c>
      <c r="H168" s="171">
        <v>1</v>
      </c>
      <c r="I168" s="171">
        <v>1</v>
      </c>
      <c r="J168" s="171">
        <v>3</v>
      </c>
      <c r="K168" s="171">
        <v>1</v>
      </c>
      <c r="L168" s="171">
        <v>3</v>
      </c>
      <c r="M168" s="171">
        <v>3</v>
      </c>
      <c r="N168" s="170"/>
      <c r="O168" s="170"/>
      <c r="P168" s="180">
        <f>SUM(Tabela2[[#This Row],[G]]+Tabela2[[#This Row],[D]]+Tabela2[[#This Row],[N]]+Tabela2[[#This Row],[HM]])</f>
        <v>4</v>
      </c>
      <c r="Q168" s="180">
        <f>SUM(Tabela2[[#This Row],[AO]]+Tabela2[[#This Row],[AD]]+Tabela2[[#This Row],[GWO]]+Tabela2[[#This Row],[GWD]])</f>
        <v>10</v>
      </c>
      <c r="R168" s="180">
        <f>Tabela2[[#This Row],[GWO]]+Tabela2[[#This Row],[GWD]]</f>
        <v>6</v>
      </c>
      <c r="S168" s="180">
        <f>SUM(Tabela2[[#This Row],[G]:[GWD]])</f>
        <v>14</v>
      </c>
    </row>
    <row r="169" spans="1:19">
      <c r="A169" s="183">
        <v>259</v>
      </c>
      <c r="B169" s="172" t="s">
        <v>464</v>
      </c>
      <c r="C169" s="172" t="s">
        <v>406</v>
      </c>
      <c r="D169" s="172">
        <v>4</v>
      </c>
      <c r="E169" s="172" t="s">
        <v>251</v>
      </c>
      <c r="F169" s="172">
        <v>2</v>
      </c>
      <c r="G169" s="172">
        <v>1</v>
      </c>
      <c r="H169" s="172">
        <v>1</v>
      </c>
      <c r="I169" s="172">
        <v>1</v>
      </c>
      <c r="J169" s="172">
        <v>1</v>
      </c>
      <c r="K169" s="172">
        <v>1</v>
      </c>
      <c r="L169" s="172">
        <v>2</v>
      </c>
      <c r="M169" s="172">
        <v>1</v>
      </c>
      <c r="N169" s="170"/>
      <c r="O169" s="170"/>
      <c r="P169" s="180">
        <f>SUM(Tabela2[[#This Row],[G]]+Tabela2[[#This Row],[D]]+Tabela2[[#This Row],[N]]+Tabela2[[#This Row],[HM]])</f>
        <v>5</v>
      </c>
      <c r="Q169" s="180">
        <f>SUM(Tabela2[[#This Row],[AO]]+Tabela2[[#This Row],[AD]]+Tabela2[[#This Row],[GWO]]+Tabela2[[#This Row],[GWD]])</f>
        <v>5</v>
      </c>
      <c r="R169" s="180">
        <f>Tabela2[[#This Row],[GWO]]+Tabela2[[#This Row],[GWD]]</f>
        <v>3</v>
      </c>
      <c r="S169" s="180">
        <f>SUM(Tabela2[[#This Row],[G]:[GWD]])</f>
        <v>10</v>
      </c>
    </row>
    <row r="170" spans="1:19">
      <c r="A170" s="183">
        <v>233</v>
      </c>
      <c r="B170" s="174" t="s">
        <v>489</v>
      </c>
      <c r="C170" s="174" t="s">
        <v>406</v>
      </c>
      <c r="D170" s="174">
        <v>4</v>
      </c>
      <c r="E170" s="174" t="s">
        <v>250</v>
      </c>
      <c r="F170" s="174">
        <v>1</v>
      </c>
      <c r="G170" s="174">
        <v>1</v>
      </c>
      <c r="H170" s="174">
        <v>1</v>
      </c>
      <c r="I170" s="174">
        <v>1</v>
      </c>
      <c r="J170" s="174">
        <v>1</v>
      </c>
      <c r="K170" s="174">
        <v>1</v>
      </c>
      <c r="L170" s="174">
        <v>1</v>
      </c>
      <c r="M170" s="174">
        <v>1</v>
      </c>
      <c r="N170" s="170"/>
      <c r="O170" s="170"/>
      <c r="P170" s="180">
        <f>SUM(Tabela2[[#This Row],[G]]+Tabela2[[#This Row],[D]]+Tabela2[[#This Row],[N]]+Tabela2[[#This Row],[HM]])</f>
        <v>4</v>
      </c>
      <c r="Q170" s="180">
        <f>SUM(Tabela2[[#This Row],[AO]]+Tabela2[[#This Row],[AD]]+Tabela2[[#This Row],[GWO]]+Tabela2[[#This Row],[GWD]])</f>
        <v>4</v>
      </c>
      <c r="R170" s="180">
        <f>Tabela2[[#This Row],[GWO]]+Tabela2[[#This Row],[GWD]]</f>
        <v>2</v>
      </c>
      <c r="S170" s="180">
        <f>SUM(Tabela2[[#This Row],[G]:[GWD]])</f>
        <v>8</v>
      </c>
    </row>
    <row r="171" spans="1:19">
      <c r="A171" s="183">
        <v>208</v>
      </c>
      <c r="B171" s="175" t="s">
        <v>513</v>
      </c>
      <c r="C171" s="175" t="s">
        <v>406</v>
      </c>
      <c r="D171" s="175">
        <v>4</v>
      </c>
      <c r="E171" s="175" t="s">
        <v>18</v>
      </c>
      <c r="F171" s="175">
        <v>1</v>
      </c>
      <c r="G171" s="175">
        <v>1</v>
      </c>
      <c r="H171" s="175">
        <v>1</v>
      </c>
      <c r="I171" s="175">
        <v>1</v>
      </c>
      <c r="J171" s="175">
        <v>1</v>
      </c>
      <c r="K171" s="175">
        <v>1</v>
      </c>
      <c r="L171" s="175">
        <v>1</v>
      </c>
      <c r="M171" s="175">
        <v>1</v>
      </c>
      <c r="N171" s="170"/>
      <c r="O171" s="170"/>
      <c r="P171" s="180">
        <f>SUM(Tabela2[[#This Row],[G]]+Tabela2[[#This Row],[D]]+Tabela2[[#This Row],[N]]+Tabela2[[#This Row],[HM]])</f>
        <v>4</v>
      </c>
      <c r="Q171" s="180">
        <f>SUM(Tabela2[[#This Row],[AO]]+Tabela2[[#This Row],[AD]]+Tabela2[[#This Row],[GWO]]+Tabela2[[#This Row],[GWD]])</f>
        <v>4</v>
      </c>
      <c r="R171" s="180">
        <f>Tabela2[[#This Row],[GWO]]+Tabela2[[#This Row],[GWD]]</f>
        <v>2</v>
      </c>
      <c r="S171" s="180">
        <f>SUM(Tabela2[[#This Row],[G]:[GWD]])</f>
        <v>8</v>
      </c>
    </row>
    <row r="172" spans="1:19" ht="30">
      <c r="A172" s="183">
        <v>307</v>
      </c>
      <c r="B172" s="170" t="s">
        <v>409</v>
      </c>
      <c r="C172" s="170" t="s">
        <v>408</v>
      </c>
      <c r="D172" s="170">
        <v>4</v>
      </c>
      <c r="E172" s="170" t="s">
        <v>273</v>
      </c>
      <c r="F172" s="170">
        <v>1</v>
      </c>
      <c r="G172" s="170">
        <v>1</v>
      </c>
      <c r="H172" s="170">
        <v>3</v>
      </c>
      <c r="I172" s="170">
        <v>2</v>
      </c>
      <c r="J172" s="170">
        <v>1</v>
      </c>
      <c r="K172" s="170">
        <v>1</v>
      </c>
      <c r="L172" s="170">
        <v>3</v>
      </c>
      <c r="M172" s="170">
        <v>1</v>
      </c>
      <c r="N172" s="170"/>
      <c r="O172" s="170"/>
      <c r="P172" s="180">
        <f>SUM(Tabela2[[#This Row],[G]]+Tabela2[[#This Row],[D]]+Tabela2[[#This Row],[N]]+Tabela2[[#This Row],[HM]])</f>
        <v>6</v>
      </c>
      <c r="Q172" s="180">
        <f>SUM(Tabela2[[#This Row],[AO]]+Tabela2[[#This Row],[AD]]+Tabela2[[#This Row],[GWO]]+Tabela2[[#This Row],[GWD]])</f>
        <v>7</v>
      </c>
      <c r="R172" s="180">
        <f>Tabela2[[#This Row],[GWO]]+Tabela2[[#This Row],[GWD]]</f>
        <v>4</v>
      </c>
      <c r="S172" s="180">
        <f>SUM(Tabela2[[#This Row],[G]:[GWD]])</f>
        <v>13</v>
      </c>
    </row>
    <row r="173" spans="1:19" ht="30">
      <c r="A173" s="183">
        <v>284</v>
      </c>
      <c r="B173" s="171" t="s">
        <v>437</v>
      </c>
      <c r="C173" s="171" t="s">
        <v>408</v>
      </c>
      <c r="D173" s="171">
        <v>4</v>
      </c>
      <c r="E173" s="171" t="s">
        <v>252</v>
      </c>
      <c r="F173" s="171">
        <v>2</v>
      </c>
      <c r="G173" s="171">
        <v>2</v>
      </c>
      <c r="H173" s="171">
        <v>4</v>
      </c>
      <c r="I173" s="171">
        <v>4</v>
      </c>
      <c r="J173" s="171">
        <v>4</v>
      </c>
      <c r="K173" s="171">
        <v>1</v>
      </c>
      <c r="L173" s="171">
        <v>5</v>
      </c>
      <c r="M173" s="171">
        <v>4</v>
      </c>
      <c r="N173" s="170"/>
      <c r="O173" s="170"/>
      <c r="P173" s="180">
        <f>SUM(Tabela2[[#This Row],[G]]+Tabela2[[#This Row],[D]]+Tabela2[[#This Row],[N]]+Tabela2[[#This Row],[HM]])</f>
        <v>9</v>
      </c>
      <c r="Q173" s="180">
        <f>SUM(Tabela2[[#This Row],[AO]]+Tabela2[[#This Row],[AD]]+Tabela2[[#This Row],[GWO]]+Tabela2[[#This Row],[GWD]])</f>
        <v>17</v>
      </c>
      <c r="R173" s="180">
        <f>Tabela2[[#This Row],[GWO]]+Tabela2[[#This Row],[GWD]]</f>
        <v>9</v>
      </c>
      <c r="S173" s="180">
        <f>SUM(Tabela2[[#This Row],[G]:[GWD]])</f>
        <v>26</v>
      </c>
    </row>
    <row r="174" spans="1:19" ht="30">
      <c r="A174" s="183">
        <v>258</v>
      </c>
      <c r="B174" s="172" t="s">
        <v>465</v>
      </c>
      <c r="C174" s="172" t="s">
        <v>408</v>
      </c>
      <c r="D174" s="172">
        <v>4</v>
      </c>
      <c r="E174" s="172" t="s">
        <v>251</v>
      </c>
      <c r="F174" s="172">
        <v>1</v>
      </c>
      <c r="G174" s="172">
        <v>1</v>
      </c>
      <c r="H174" s="172">
        <v>1</v>
      </c>
      <c r="I174" s="172">
        <v>1</v>
      </c>
      <c r="J174" s="172">
        <v>1</v>
      </c>
      <c r="K174" s="172">
        <v>1</v>
      </c>
      <c r="L174" s="172">
        <v>1</v>
      </c>
      <c r="M174" s="172">
        <v>1</v>
      </c>
      <c r="N174" s="170"/>
      <c r="O174" s="170"/>
      <c r="P174" s="180">
        <f>SUM(Tabela2[[#This Row],[G]]+Tabela2[[#This Row],[D]]+Tabela2[[#This Row],[N]]+Tabela2[[#This Row],[HM]])</f>
        <v>4</v>
      </c>
      <c r="Q174" s="180">
        <f>SUM(Tabela2[[#This Row],[AO]]+Tabela2[[#This Row],[AD]]+Tabela2[[#This Row],[GWO]]+Tabela2[[#This Row],[GWD]])</f>
        <v>4</v>
      </c>
      <c r="R174" s="180">
        <f>Tabela2[[#This Row],[GWO]]+Tabela2[[#This Row],[GWD]]</f>
        <v>2</v>
      </c>
      <c r="S174" s="180">
        <f>SUM(Tabela2[[#This Row],[G]:[GWD]])</f>
        <v>8</v>
      </c>
    </row>
    <row r="175" spans="1:19" ht="30">
      <c r="A175" s="183">
        <v>232</v>
      </c>
      <c r="B175" s="174" t="s">
        <v>490</v>
      </c>
      <c r="C175" s="174" t="s">
        <v>408</v>
      </c>
      <c r="D175" s="174">
        <v>4</v>
      </c>
      <c r="E175" s="174" t="s">
        <v>250</v>
      </c>
      <c r="F175" s="174">
        <v>1</v>
      </c>
      <c r="G175" s="174">
        <v>1</v>
      </c>
      <c r="H175" s="174">
        <v>3</v>
      </c>
      <c r="I175" s="174">
        <v>2</v>
      </c>
      <c r="J175" s="174">
        <v>1</v>
      </c>
      <c r="K175" s="174">
        <v>1</v>
      </c>
      <c r="L175" s="174">
        <v>2</v>
      </c>
      <c r="M175" s="174">
        <v>1</v>
      </c>
      <c r="N175" s="170"/>
      <c r="O175" s="170"/>
      <c r="P175" s="180">
        <f>SUM(Tabela2[[#This Row],[G]]+Tabela2[[#This Row],[D]]+Tabela2[[#This Row],[N]]+Tabela2[[#This Row],[HM]])</f>
        <v>6</v>
      </c>
      <c r="Q175" s="180">
        <f>SUM(Tabela2[[#This Row],[AO]]+Tabela2[[#This Row],[AD]]+Tabela2[[#This Row],[GWO]]+Tabela2[[#This Row],[GWD]])</f>
        <v>6</v>
      </c>
      <c r="R175" s="180">
        <f>Tabela2[[#This Row],[GWO]]+Tabela2[[#This Row],[GWD]]</f>
        <v>3</v>
      </c>
      <c r="S175" s="180">
        <f>SUM(Tabela2[[#This Row],[G]:[GWD]])</f>
        <v>12</v>
      </c>
    </row>
    <row r="176" spans="1:19" ht="30">
      <c r="A176" s="183">
        <v>207</v>
      </c>
      <c r="B176" s="175" t="s">
        <v>514</v>
      </c>
      <c r="C176" s="175" t="s">
        <v>408</v>
      </c>
      <c r="D176" s="175">
        <v>4</v>
      </c>
      <c r="E176" s="175" t="s">
        <v>18</v>
      </c>
      <c r="F176" s="175">
        <v>1</v>
      </c>
      <c r="G176" s="175">
        <v>1</v>
      </c>
      <c r="H176" s="175">
        <v>3</v>
      </c>
      <c r="I176" s="175">
        <v>1</v>
      </c>
      <c r="J176" s="175">
        <v>1</v>
      </c>
      <c r="K176" s="175">
        <v>1</v>
      </c>
      <c r="L176" s="175">
        <v>1</v>
      </c>
      <c r="M176" s="175">
        <v>1</v>
      </c>
      <c r="N176" s="170"/>
      <c r="O176" s="170"/>
      <c r="P176" s="180">
        <f>SUM(Tabela2[[#This Row],[G]]+Tabela2[[#This Row],[D]]+Tabela2[[#This Row],[N]]+Tabela2[[#This Row],[HM]])</f>
        <v>6</v>
      </c>
      <c r="Q176" s="180">
        <f>SUM(Tabela2[[#This Row],[AO]]+Tabela2[[#This Row],[AD]]+Tabela2[[#This Row],[GWO]]+Tabela2[[#This Row],[GWD]])</f>
        <v>4</v>
      </c>
      <c r="R176" s="180">
        <f>Tabela2[[#This Row],[GWO]]+Tabela2[[#This Row],[GWD]]</f>
        <v>2</v>
      </c>
      <c r="S176" s="180">
        <f>SUM(Tabela2[[#This Row],[G]:[GWD]])</f>
        <v>10</v>
      </c>
    </row>
    <row r="177" spans="1:19" ht="30">
      <c r="A177" s="183">
        <v>306</v>
      </c>
      <c r="B177" s="170" t="s">
        <v>411</v>
      </c>
      <c r="C177" s="170" t="s">
        <v>410</v>
      </c>
      <c r="D177" s="170">
        <v>4</v>
      </c>
      <c r="E177" s="170" t="s">
        <v>273</v>
      </c>
      <c r="F177" s="170">
        <v>1</v>
      </c>
      <c r="G177" s="170">
        <v>1</v>
      </c>
      <c r="H177" s="170">
        <v>1</v>
      </c>
      <c r="I177" s="170">
        <v>4</v>
      </c>
      <c r="J177" s="170">
        <v>1</v>
      </c>
      <c r="K177" s="170">
        <v>2</v>
      </c>
      <c r="L177" s="170">
        <v>4</v>
      </c>
      <c r="M177" s="170">
        <v>1</v>
      </c>
      <c r="N177" s="170"/>
      <c r="O177" s="170"/>
      <c r="P177" s="180">
        <f>SUM(Tabela2[[#This Row],[G]]+Tabela2[[#This Row],[D]]+Tabela2[[#This Row],[N]]+Tabela2[[#This Row],[HM]])</f>
        <v>5</v>
      </c>
      <c r="Q177" s="180">
        <f>SUM(Tabela2[[#This Row],[AO]]+Tabela2[[#This Row],[AD]]+Tabela2[[#This Row],[GWO]]+Tabela2[[#This Row],[GWD]])</f>
        <v>10</v>
      </c>
      <c r="R177" s="180">
        <f>Tabela2[[#This Row],[GWO]]+Tabela2[[#This Row],[GWD]]</f>
        <v>5</v>
      </c>
      <c r="S177" s="180">
        <f>SUM(Tabela2[[#This Row],[G]:[GWD]])</f>
        <v>15</v>
      </c>
    </row>
    <row r="178" spans="1:19" ht="30">
      <c r="A178" s="183">
        <v>283</v>
      </c>
      <c r="B178" s="171" t="s">
        <v>438</v>
      </c>
      <c r="C178" s="171" t="s">
        <v>410</v>
      </c>
      <c r="D178" s="171">
        <v>4</v>
      </c>
      <c r="E178" s="171" t="s">
        <v>252</v>
      </c>
      <c r="F178" s="171">
        <v>1</v>
      </c>
      <c r="G178" s="171">
        <v>1</v>
      </c>
      <c r="H178" s="171">
        <v>2</v>
      </c>
      <c r="I178" s="171">
        <v>4</v>
      </c>
      <c r="J178" s="171">
        <v>2</v>
      </c>
      <c r="K178" s="171">
        <v>1</v>
      </c>
      <c r="L178" s="171">
        <v>3</v>
      </c>
      <c r="M178" s="171">
        <v>1</v>
      </c>
      <c r="N178" s="170"/>
      <c r="O178" s="170"/>
      <c r="P178" s="180">
        <f>SUM(Tabela2[[#This Row],[G]]+Tabela2[[#This Row],[D]]+Tabela2[[#This Row],[N]]+Tabela2[[#This Row],[HM]])</f>
        <v>5</v>
      </c>
      <c r="Q178" s="180">
        <f>SUM(Tabela2[[#This Row],[AO]]+Tabela2[[#This Row],[AD]]+Tabela2[[#This Row],[GWO]]+Tabela2[[#This Row],[GWD]])</f>
        <v>10</v>
      </c>
      <c r="R178" s="180">
        <f>Tabela2[[#This Row],[GWO]]+Tabela2[[#This Row],[GWD]]</f>
        <v>4</v>
      </c>
      <c r="S178" s="180">
        <f>SUM(Tabela2[[#This Row],[G]:[GWD]])</f>
        <v>15</v>
      </c>
    </row>
    <row r="179" spans="1:19" ht="30">
      <c r="A179" s="183">
        <v>257</v>
      </c>
      <c r="B179" s="172" t="s">
        <v>466</v>
      </c>
      <c r="C179" s="172" t="s">
        <v>410</v>
      </c>
      <c r="D179" s="172">
        <v>4</v>
      </c>
      <c r="E179" s="172" t="s">
        <v>251</v>
      </c>
      <c r="F179" s="172">
        <v>3</v>
      </c>
      <c r="G179" s="172">
        <v>1</v>
      </c>
      <c r="H179" s="172">
        <v>2</v>
      </c>
      <c r="I179" s="172">
        <v>4</v>
      </c>
      <c r="J179" s="172">
        <v>1</v>
      </c>
      <c r="K179" s="172">
        <v>1</v>
      </c>
      <c r="L179" s="172">
        <v>4</v>
      </c>
      <c r="M179" s="172">
        <v>1</v>
      </c>
      <c r="N179" s="170"/>
      <c r="O179" s="170"/>
      <c r="P179" s="180">
        <f>SUM(Tabela2[[#This Row],[G]]+Tabela2[[#This Row],[D]]+Tabela2[[#This Row],[N]]+Tabela2[[#This Row],[HM]])</f>
        <v>7</v>
      </c>
      <c r="Q179" s="180">
        <f>SUM(Tabela2[[#This Row],[AO]]+Tabela2[[#This Row],[AD]]+Tabela2[[#This Row],[GWO]]+Tabela2[[#This Row],[GWD]])</f>
        <v>10</v>
      </c>
      <c r="R179" s="180">
        <f>Tabela2[[#This Row],[GWO]]+Tabela2[[#This Row],[GWD]]</f>
        <v>5</v>
      </c>
      <c r="S179" s="180">
        <f>SUM(Tabela2[[#This Row],[G]:[GWD]])</f>
        <v>17</v>
      </c>
    </row>
    <row r="180" spans="1:19" ht="30">
      <c r="A180" s="183">
        <v>231</v>
      </c>
      <c r="B180" s="174" t="s">
        <v>491</v>
      </c>
      <c r="C180" s="174" t="s">
        <v>410</v>
      </c>
      <c r="D180" s="174">
        <v>4</v>
      </c>
      <c r="E180" s="174" t="s">
        <v>250</v>
      </c>
      <c r="F180" s="174">
        <v>1</v>
      </c>
      <c r="G180" s="174">
        <v>1</v>
      </c>
      <c r="H180" s="174">
        <v>3</v>
      </c>
      <c r="I180" s="174">
        <v>4</v>
      </c>
      <c r="J180" s="174">
        <v>1</v>
      </c>
      <c r="K180" s="174">
        <v>3</v>
      </c>
      <c r="L180" s="174">
        <v>3</v>
      </c>
      <c r="M180" s="174">
        <v>1</v>
      </c>
      <c r="N180" s="170"/>
      <c r="O180" s="170"/>
      <c r="P180" s="180">
        <f>SUM(Tabela2[[#This Row],[G]]+Tabela2[[#This Row],[D]]+Tabela2[[#This Row],[N]]+Tabela2[[#This Row],[HM]])</f>
        <v>8</v>
      </c>
      <c r="Q180" s="180">
        <f>SUM(Tabela2[[#This Row],[AO]]+Tabela2[[#This Row],[AD]]+Tabela2[[#This Row],[GWO]]+Tabela2[[#This Row],[GWD]])</f>
        <v>9</v>
      </c>
      <c r="R180" s="180">
        <f>Tabela2[[#This Row],[GWO]]+Tabela2[[#This Row],[GWD]]</f>
        <v>4</v>
      </c>
      <c r="S180" s="180">
        <f>SUM(Tabela2[[#This Row],[G]:[GWD]])</f>
        <v>17</v>
      </c>
    </row>
    <row r="181" spans="1:19" ht="30">
      <c r="A181" s="183">
        <v>206</v>
      </c>
      <c r="B181" s="175" t="s">
        <v>515</v>
      </c>
      <c r="C181" s="175" t="s">
        <v>410</v>
      </c>
      <c r="D181" s="175">
        <v>4</v>
      </c>
      <c r="E181" s="175" t="s">
        <v>18</v>
      </c>
      <c r="F181" s="175">
        <v>1</v>
      </c>
      <c r="G181" s="175">
        <v>1</v>
      </c>
      <c r="H181" s="175">
        <v>4</v>
      </c>
      <c r="I181" s="175">
        <v>1</v>
      </c>
      <c r="J181" s="175">
        <v>1</v>
      </c>
      <c r="K181" s="175">
        <v>1</v>
      </c>
      <c r="L181" s="175">
        <v>1</v>
      </c>
      <c r="M181" s="175">
        <v>1</v>
      </c>
      <c r="N181" s="170"/>
      <c r="O181" s="170"/>
      <c r="P181" s="180">
        <f>SUM(Tabela2[[#This Row],[G]]+Tabela2[[#This Row],[D]]+Tabela2[[#This Row],[N]]+Tabela2[[#This Row],[HM]])</f>
        <v>7</v>
      </c>
      <c r="Q181" s="180">
        <f>SUM(Tabela2[[#This Row],[AO]]+Tabela2[[#This Row],[AD]]+Tabela2[[#This Row],[GWO]]+Tabela2[[#This Row],[GWD]])</f>
        <v>4</v>
      </c>
      <c r="R181" s="180">
        <f>Tabela2[[#This Row],[GWO]]+Tabela2[[#This Row],[GWD]]</f>
        <v>2</v>
      </c>
      <c r="S181" s="180">
        <f>SUM(Tabela2[[#This Row],[G]:[GWD]])</f>
        <v>11</v>
      </c>
    </row>
    <row r="182" spans="1:19">
      <c r="A182" s="183">
        <v>305</v>
      </c>
      <c r="B182" s="170" t="s">
        <v>412</v>
      </c>
      <c r="C182" s="170" t="s">
        <v>211</v>
      </c>
      <c r="D182" s="170">
        <v>4</v>
      </c>
      <c r="E182" s="170" t="s">
        <v>273</v>
      </c>
      <c r="F182" s="170">
        <v>1</v>
      </c>
      <c r="G182" s="170">
        <v>1</v>
      </c>
      <c r="H182" s="170">
        <v>1</v>
      </c>
      <c r="I182" s="170">
        <v>2</v>
      </c>
      <c r="J182" s="170">
        <v>1</v>
      </c>
      <c r="K182" s="170">
        <v>1</v>
      </c>
      <c r="L182" s="170">
        <v>2</v>
      </c>
      <c r="M182" s="170">
        <v>1</v>
      </c>
      <c r="N182" s="170"/>
      <c r="O182" s="170"/>
      <c r="P182" s="180">
        <f>SUM(Tabela2[[#This Row],[G]]+Tabela2[[#This Row],[D]]+Tabela2[[#This Row],[N]]+Tabela2[[#This Row],[HM]])</f>
        <v>4</v>
      </c>
      <c r="Q182" s="180">
        <f>SUM(Tabela2[[#This Row],[AO]]+Tabela2[[#This Row],[AD]]+Tabela2[[#This Row],[GWO]]+Tabela2[[#This Row],[GWD]])</f>
        <v>6</v>
      </c>
      <c r="R182" s="180">
        <f>Tabela2[[#This Row],[GWO]]+Tabela2[[#This Row],[GWD]]</f>
        <v>3</v>
      </c>
      <c r="S182" s="180">
        <f>SUM(Tabela2[[#This Row],[G]:[GWD]])</f>
        <v>10</v>
      </c>
    </row>
    <row r="183" spans="1:19">
      <c r="A183" s="183">
        <v>282</v>
      </c>
      <c r="B183" s="171" t="s">
        <v>439</v>
      </c>
      <c r="C183" s="171" t="s">
        <v>211</v>
      </c>
      <c r="D183" s="171">
        <v>4</v>
      </c>
      <c r="E183" s="171" t="s">
        <v>252</v>
      </c>
      <c r="F183" s="171">
        <v>1</v>
      </c>
      <c r="G183" s="171">
        <v>1</v>
      </c>
      <c r="H183" s="171">
        <v>1</v>
      </c>
      <c r="I183" s="171">
        <v>4</v>
      </c>
      <c r="J183" s="171">
        <v>1</v>
      </c>
      <c r="K183" s="171">
        <v>3</v>
      </c>
      <c r="L183" s="171">
        <v>4</v>
      </c>
      <c r="M183" s="171">
        <v>3</v>
      </c>
      <c r="N183" s="170"/>
      <c r="O183" s="170"/>
      <c r="P183" s="180">
        <f>SUM(Tabela2[[#This Row],[G]]+Tabela2[[#This Row],[D]]+Tabela2[[#This Row],[N]]+Tabela2[[#This Row],[HM]])</f>
        <v>6</v>
      </c>
      <c r="Q183" s="180">
        <f>SUM(Tabela2[[#This Row],[AO]]+Tabela2[[#This Row],[AD]]+Tabela2[[#This Row],[GWO]]+Tabela2[[#This Row],[GWD]])</f>
        <v>12</v>
      </c>
      <c r="R183" s="180">
        <f>Tabela2[[#This Row],[GWO]]+Tabela2[[#This Row],[GWD]]</f>
        <v>7</v>
      </c>
      <c r="S183" s="180">
        <f>SUM(Tabela2[[#This Row],[G]:[GWD]])</f>
        <v>18</v>
      </c>
    </row>
    <row r="184" spans="1:19">
      <c r="A184" s="183">
        <v>256</v>
      </c>
      <c r="B184" s="172" t="s">
        <v>467</v>
      </c>
      <c r="C184" s="172" t="s">
        <v>211</v>
      </c>
      <c r="D184" s="172">
        <v>4</v>
      </c>
      <c r="E184" s="172" t="s">
        <v>251</v>
      </c>
      <c r="F184" s="172">
        <v>5</v>
      </c>
      <c r="G184" s="172">
        <v>1</v>
      </c>
      <c r="H184" s="172">
        <v>2</v>
      </c>
      <c r="I184" s="172">
        <v>5</v>
      </c>
      <c r="J184" s="172">
        <v>1</v>
      </c>
      <c r="K184" s="172">
        <v>1</v>
      </c>
      <c r="L184" s="172">
        <v>5</v>
      </c>
      <c r="M184" s="172">
        <v>1</v>
      </c>
      <c r="N184" s="170"/>
      <c r="O184" s="170"/>
      <c r="P184" s="180">
        <f>SUM(Tabela2[[#This Row],[G]]+Tabela2[[#This Row],[D]]+Tabela2[[#This Row],[N]]+Tabela2[[#This Row],[HM]])</f>
        <v>9</v>
      </c>
      <c r="Q184" s="180">
        <f>SUM(Tabela2[[#This Row],[AO]]+Tabela2[[#This Row],[AD]]+Tabela2[[#This Row],[GWO]]+Tabela2[[#This Row],[GWD]])</f>
        <v>12</v>
      </c>
      <c r="R184" s="180">
        <f>Tabela2[[#This Row],[GWO]]+Tabela2[[#This Row],[GWD]]</f>
        <v>6</v>
      </c>
      <c r="S184" s="180">
        <f>SUM(Tabela2[[#This Row],[G]:[GWD]])</f>
        <v>21</v>
      </c>
    </row>
    <row r="185" spans="1:19">
      <c r="A185" s="183">
        <v>230</v>
      </c>
      <c r="B185" s="174" t="s">
        <v>492</v>
      </c>
      <c r="C185" s="174" t="s">
        <v>211</v>
      </c>
      <c r="D185" s="174">
        <v>4</v>
      </c>
      <c r="E185" s="174" t="s">
        <v>250</v>
      </c>
      <c r="F185" s="174">
        <v>1</v>
      </c>
      <c r="G185" s="174">
        <v>1</v>
      </c>
      <c r="H185" s="174">
        <v>1</v>
      </c>
      <c r="I185" s="174">
        <v>2</v>
      </c>
      <c r="J185" s="174">
        <v>3</v>
      </c>
      <c r="K185" s="174">
        <v>1</v>
      </c>
      <c r="L185" s="174">
        <v>3</v>
      </c>
      <c r="M185" s="174">
        <v>4</v>
      </c>
      <c r="N185" s="170"/>
      <c r="O185" s="170"/>
      <c r="P185" s="180">
        <f>SUM(Tabela2[[#This Row],[G]]+Tabela2[[#This Row],[D]]+Tabela2[[#This Row],[N]]+Tabela2[[#This Row],[HM]])</f>
        <v>4</v>
      </c>
      <c r="Q185" s="180">
        <f>SUM(Tabela2[[#This Row],[AO]]+Tabela2[[#This Row],[AD]]+Tabela2[[#This Row],[GWO]]+Tabela2[[#This Row],[GWD]])</f>
        <v>12</v>
      </c>
      <c r="R185" s="180">
        <f>Tabela2[[#This Row],[GWO]]+Tabela2[[#This Row],[GWD]]</f>
        <v>7</v>
      </c>
      <c r="S185" s="180">
        <f>SUM(Tabela2[[#This Row],[G]:[GWD]])</f>
        <v>16</v>
      </c>
    </row>
    <row r="186" spans="1:19">
      <c r="A186" s="183">
        <v>205</v>
      </c>
      <c r="B186" s="175" t="s">
        <v>516</v>
      </c>
      <c r="C186" s="175" t="s">
        <v>211</v>
      </c>
      <c r="D186" s="175">
        <v>4</v>
      </c>
      <c r="E186" s="175" t="s">
        <v>18</v>
      </c>
      <c r="F186" s="175">
        <v>1</v>
      </c>
      <c r="G186" s="175">
        <v>1</v>
      </c>
      <c r="H186" s="175">
        <v>1</v>
      </c>
      <c r="I186" s="175">
        <v>3</v>
      </c>
      <c r="J186" s="175">
        <v>1</v>
      </c>
      <c r="K186" s="175">
        <v>1</v>
      </c>
      <c r="L186" s="175">
        <v>3</v>
      </c>
      <c r="M186" s="175">
        <v>1</v>
      </c>
      <c r="N186" s="175" t="s">
        <v>446</v>
      </c>
      <c r="O186" s="175"/>
      <c r="P186" s="184">
        <f>SUM(Tabela2[[#This Row],[G]]+Tabela2[[#This Row],[D]]+Tabela2[[#This Row],[N]]+Tabela2[[#This Row],[HM]])</f>
        <v>4</v>
      </c>
      <c r="Q186" s="184">
        <f>SUM(Tabela2[[#This Row],[AO]]+Tabela2[[#This Row],[AD]]+Tabela2[[#This Row],[GWO]]+Tabela2[[#This Row],[GWD]])</f>
        <v>8</v>
      </c>
      <c r="R186" s="184">
        <f>Tabela2[[#This Row],[GWO]]+Tabela2[[#This Row],[GWD]]</f>
        <v>4</v>
      </c>
      <c r="S186" s="180">
        <f>SUM(Tabela2[[#This Row],[G]:[GWD]])</f>
        <v>12</v>
      </c>
    </row>
    <row r="187" spans="1:19">
      <c r="A187" s="183">
        <v>188</v>
      </c>
      <c r="B187" s="170" t="s">
        <v>145</v>
      </c>
      <c r="C187" s="170" t="s">
        <v>359</v>
      </c>
      <c r="D187" s="170">
        <v>3</v>
      </c>
      <c r="E187" s="170" t="s">
        <v>273</v>
      </c>
      <c r="F187" s="170">
        <v>5</v>
      </c>
      <c r="G187" s="170">
        <v>5</v>
      </c>
      <c r="H187" s="170">
        <v>4</v>
      </c>
      <c r="I187" s="170">
        <v>3</v>
      </c>
      <c r="J187" s="170">
        <v>5</v>
      </c>
      <c r="K187" s="170">
        <v>4</v>
      </c>
      <c r="L187" s="170">
        <v>5</v>
      </c>
      <c r="M187" s="170">
        <v>4</v>
      </c>
      <c r="N187" s="170"/>
      <c r="O187" s="170" t="s">
        <v>205</v>
      </c>
      <c r="P187" s="180">
        <f>SUM(Tabela2[[#This Row],[G]]+Tabela2[[#This Row],[D]]+Tabela2[[#This Row],[N]]+Tabela2[[#This Row],[HM]])</f>
        <v>18</v>
      </c>
      <c r="Q187" s="180">
        <f>SUM(Tabela2[[#This Row],[AO]]+Tabela2[[#This Row],[AD]]+Tabela2[[#This Row],[GWO]]+Tabela2[[#This Row],[GWD]])</f>
        <v>17</v>
      </c>
      <c r="R187" s="180">
        <f>Tabela2[[#This Row],[GWO]]+Tabela2[[#This Row],[GWD]]</f>
        <v>9</v>
      </c>
      <c r="S187" s="180">
        <f>SUM(Tabela2[[#This Row],[G]:[GWD]])</f>
        <v>35</v>
      </c>
    </row>
    <row r="188" spans="1:19">
      <c r="A188" s="183">
        <v>154</v>
      </c>
      <c r="B188" s="171" t="s">
        <v>591</v>
      </c>
      <c r="C188" s="171" t="s">
        <v>359</v>
      </c>
      <c r="D188" s="171">
        <v>3</v>
      </c>
      <c r="E188" s="171" t="s">
        <v>252</v>
      </c>
      <c r="F188" s="171">
        <v>1</v>
      </c>
      <c r="G188" s="171">
        <v>1</v>
      </c>
      <c r="H188" s="171">
        <v>1</v>
      </c>
      <c r="I188" s="171">
        <v>1</v>
      </c>
      <c r="J188" s="171">
        <v>1</v>
      </c>
      <c r="K188" s="171">
        <v>1</v>
      </c>
      <c r="L188" s="171">
        <v>1</v>
      </c>
      <c r="M188" s="171">
        <v>1</v>
      </c>
      <c r="N188" s="170"/>
      <c r="O188" s="170"/>
      <c r="P188" s="180">
        <f>SUM(Tabela2[[#This Row],[G]]+Tabela2[[#This Row],[D]]+Tabela2[[#This Row],[N]]+Tabela2[[#This Row],[HM]])</f>
        <v>4</v>
      </c>
      <c r="Q188" s="180">
        <f>SUM(Tabela2[[#This Row],[AO]]+Tabela2[[#This Row],[AD]]+Tabela2[[#This Row],[GWO]]+Tabela2[[#This Row],[GWD]])</f>
        <v>4</v>
      </c>
      <c r="R188" s="180">
        <f>Tabela2[[#This Row],[GWO]]+Tabela2[[#This Row],[GWD]]</f>
        <v>2</v>
      </c>
      <c r="S188" s="180">
        <f>SUM(Tabela2[[#This Row],[G]:[GWD]])</f>
        <v>8</v>
      </c>
    </row>
    <row r="189" spans="1:19">
      <c r="A189" s="183">
        <v>124</v>
      </c>
      <c r="B189" s="172" t="s">
        <v>622</v>
      </c>
      <c r="C189" s="172" t="s">
        <v>359</v>
      </c>
      <c r="D189" s="172">
        <v>3</v>
      </c>
      <c r="E189" s="172" t="s">
        <v>251</v>
      </c>
      <c r="F189" s="172">
        <v>1</v>
      </c>
      <c r="G189" s="172">
        <v>1</v>
      </c>
      <c r="H189" s="172">
        <v>1</v>
      </c>
      <c r="I189" s="172">
        <v>1</v>
      </c>
      <c r="J189" s="172">
        <v>1</v>
      </c>
      <c r="K189" s="172">
        <v>1</v>
      </c>
      <c r="L189" s="172">
        <v>1</v>
      </c>
      <c r="M189" s="172">
        <v>1</v>
      </c>
      <c r="N189" s="170"/>
      <c r="O189" s="170"/>
      <c r="P189" s="180">
        <f>SUM(Tabela2[[#This Row],[G]]+Tabela2[[#This Row],[D]]+Tabela2[[#This Row],[N]]+Tabela2[[#This Row],[HM]])</f>
        <v>4</v>
      </c>
      <c r="Q189" s="180">
        <f>SUM(Tabela2[[#This Row],[AO]]+Tabela2[[#This Row],[AD]]+Tabela2[[#This Row],[GWO]]+Tabela2[[#This Row],[GWD]])</f>
        <v>4</v>
      </c>
      <c r="R189" s="180">
        <f>Tabela2[[#This Row],[GWO]]+Tabela2[[#This Row],[GWD]]</f>
        <v>2</v>
      </c>
      <c r="S189" s="180">
        <f>SUM(Tabela2[[#This Row],[G]:[GWD]])</f>
        <v>8</v>
      </c>
    </row>
    <row r="190" spans="1:19">
      <c r="A190" s="183">
        <v>96</v>
      </c>
      <c r="B190" s="174" t="s">
        <v>649</v>
      </c>
      <c r="C190" s="174" t="s">
        <v>359</v>
      </c>
      <c r="D190" s="174">
        <v>3</v>
      </c>
      <c r="E190" s="174" t="s">
        <v>250</v>
      </c>
      <c r="F190" s="174">
        <v>1</v>
      </c>
      <c r="G190" s="174">
        <v>1</v>
      </c>
      <c r="H190" s="174">
        <v>1</v>
      </c>
      <c r="I190" s="174">
        <v>1</v>
      </c>
      <c r="J190" s="174">
        <v>1</v>
      </c>
      <c r="K190" s="174">
        <v>1</v>
      </c>
      <c r="L190" s="174">
        <v>1</v>
      </c>
      <c r="M190" s="174">
        <v>1</v>
      </c>
      <c r="N190" s="174" t="s">
        <v>446</v>
      </c>
      <c r="O190" s="174"/>
      <c r="P190" s="185">
        <f>SUM(Tabela2[[#This Row],[G]]+Tabela2[[#This Row],[D]]+Tabela2[[#This Row],[N]]+Tabela2[[#This Row],[HM]])</f>
        <v>4</v>
      </c>
      <c r="Q190" s="185">
        <f>SUM(Tabela2[[#This Row],[AO]]+Tabela2[[#This Row],[AD]]+Tabela2[[#This Row],[GWO]]+Tabela2[[#This Row],[GWD]])</f>
        <v>4</v>
      </c>
      <c r="R190" s="185">
        <f>Tabela2[[#This Row],[GWO]]+Tabela2[[#This Row],[GWD]]</f>
        <v>2</v>
      </c>
      <c r="S190" s="180">
        <f>SUM(Tabela2[[#This Row],[G]:[GWD]])</f>
        <v>8</v>
      </c>
    </row>
    <row r="191" spans="1:19">
      <c r="A191" s="183">
        <v>64</v>
      </c>
      <c r="B191" s="175" t="s">
        <v>209</v>
      </c>
      <c r="C191" s="175" t="s">
        <v>359</v>
      </c>
      <c r="D191" s="175">
        <v>3</v>
      </c>
      <c r="E191" s="175" t="s">
        <v>18</v>
      </c>
      <c r="F191" s="175">
        <v>1</v>
      </c>
      <c r="G191" s="175">
        <v>1</v>
      </c>
      <c r="H191" s="175">
        <v>4</v>
      </c>
      <c r="I191" s="175">
        <v>3</v>
      </c>
      <c r="J191" s="175">
        <v>2</v>
      </c>
      <c r="K191" s="175">
        <v>1</v>
      </c>
      <c r="L191" s="175">
        <v>4</v>
      </c>
      <c r="M191" s="175">
        <v>2</v>
      </c>
      <c r="N191" s="170"/>
      <c r="O191" s="170" t="s">
        <v>205</v>
      </c>
      <c r="P191" s="180">
        <f>SUM(Tabela2[[#This Row],[G]]+Tabela2[[#This Row],[D]]+Tabela2[[#This Row],[N]]+Tabela2[[#This Row],[HM]])</f>
        <v>7</v>
      </c>
      <c r="Q191" s="180">
        <f>SUM(Tabela2[[#This Row],[AO]]+Tabela2[[#This Row],[AD]]+Tabela2[[#This Row],[GWO]]+Tabela2[[#This Row],[GWD]])</f>
        <v>11</v>
      </c>
      <c r="R191" s="180">
        <f>Tabela2[[#This Row],[GWO]]+Tabela2[[#This Row],[GWD]]</f>
        <v>6</v>
      </c>
      <c r="S191" s="180">
        <f>SUM(Tabela2[[#This Row],[G]:[GWD]])</f>
        <v>18</v>
      </c>
    </row>
    <row r="192" spans="1:19">
      <c r="A192" s="183">
        <v>187</v>
      </c>
      <c r="B192" s="170" t="s">
        <v>542</v>
      </c>
      <c r="C192" s="170" t="s">
        <v>541</v>
      </c>
      <c r="D192" s="170">
        <v>3</v>
      </c>
      <c r="E192" s="170" t="s">
        <v>273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80">
        <f>SUM(Tabela2[[#This Row],[G]]+Tabela2[[#This Row],[D]]+Tabela2[[#This Row],[N]]+Tabela2[[#This Row],[HM]])</f>
        <v>4</v>
      </c>
      <c r="Q192" s="180">
        <f>SUM(Tabela2[[#This Row],[AO]]+Tabela2[[#This Row],[AD]]+Tabela2[[#This Row],[GWO]]+Tabela2[[#This Row],[GWD]])</f>
        <v>4</v>
      </c>
      <c r="R192" s="180">
        <f>Tabela2[[#This Row],[GWO]]+Tabela2[[#This Row],[GWD]]</f>
        <v>2</v>
      </c>
      <c r="S192" s="180">
        <f>SUM(Tabela2[[#This Row],[G]:[GWD]])</f>
        <v>8</v>
      </c>
    </row>
    <row r="193" spans="1:19">
      <c r="A193" s="183">
        <v>153</v>
      </c>
      <c r="B193" s="171" t="s">
        <v>592</v>
      </c>
      <c r="C193" s="171" t="s">
        <v>541</v>
      </c>
      <c r="D193" s="171">
        <v>3</v>
      </c>
      <c r="E193" s="171" t="s">
        <v>252</v>
      </c>
      <c r="F193" s="171">
        <v>1</v>
      </c>
      <c r="G193" s="171">
        <v>1</v>
      </c>
      <c r="H193" s="171">
        <v>1</v>
      </c>
      <c r="I193" s="171">
        <v>1</v>
      </c>
      <c r="J193" s="171">
        <v>1</v>
      </c>
      <c r="K193" s="171">
        <v>1</v>
      </c>
      <c r="L193" s="171">
        <v>1</v>
      </c>
      <c r="M193" s="171">
        <v>1</v>
      </c>
      <c r="N193" s="170"/>
      <c r="O193" s="170"/>
      <c r="P193" s="180">
        <f>SUM(Tabela2[[#This Row],[G]]+Tabela2[[#This Row],[D]]+Tabela2[[#This Row],[N]]+Tabela2[[#This Row],[HM]])</f>
        <v>4</v>
      </c>
      <c r="Q193" s="180">
        <f>SUM(Tabela2[[#This Row],[AO]]+Tabela2[[#This Row],[AD]]+Tabela2[[#This Row],[GWO]]+Tabela2[[#This Row],[GWD]])</f>
        <v>4</v>
      </c>
      <c r="R193" s="180">
        <f>Tabela2[[#This Row],[GWO]]+Tabela2[[#This Row],[GWD]]</f>
        <v>2</v>
      </c>
      <c r="S193" s="180">
        <f>SUM(Tabela2[[#This Row],[G]:[GWD]])</f>
        <v>8</v>
      </c>
    </row>
    <row r="194" spans="1:19">
      <c r="A194" s="183">
        <v>123</v>
      </c>
      <c r="B194" s="172" t="s">
        <v>623</v>
      </c>
      <c r="C194" s="172" t="s">
        <v>541</v>
      </c>
      <c r="D194" s="172">
        <v>3</v>
      </c>
      <c r="E194" s="172" t="s">
        <v>251</v>
      </c>
      <c r="F194" s="172">
        <v>1</v>
      </c>
      <c r="G194" s="172">
        <v>1</v>
      </c>
      <c r="H194" s="172">
        <v>1</v>
      </c>
      <c r="I194" s="172">
        <v>1</v>
      </c>
      <c r="J194" s="172">
        <v>1</v>
      </c>
      <c r="K194" s="172">
        <v>1</v>
      </c>
      <c r="L194" s="172">
        <v>1</v>
      </c>
      <c r="M194" s="172">
        <v>1</v>
      </c>
      <c r="N194" s="172" t="s">
        <v>446</v>
      </c>
      <c r="O194" s="172"/>
      <c r="P194" s="186">
        <f>SUM(Tabela2[[#This Row],[G]]+Tabela2[[#This Row],[D]]+Tabela2[[#This Row],[N]]+Tabela2[[#This Row],[HM]])</f>
        <v>4</v>
      </c>
      <c r="Q194" s="186">
        <f>SUM(Tabela2[[#This Row],[AO]]+Tabela2[[#This Row],[AD]]+Tabela2[[#This Row],[GWO]]+Tabela2[[#This Row],[GWD]])</f>
        <v>4</v>
      </c>
      <c r="R194" s="186">
        <f>Tabela2[[#This Row],[GWO]]+Tabela2[[#This Row],[GWD]]</f>
        <v>2</v>
      </c>
      <c r="S194" s="180">
        <f>SUM(Tabela2[[#This Row],[G]:[GWD]])</f>
        <v>8</v>
      </c>
    </row>
    <row r="195" spans="1:19">
      <c r="A195" s="183">
        <v>95</v>
      </c>
      <c r="B195" s="174" t="s">
        <v>650</v>
      </c>
      <c r="C195" s="174" t="s">
        <v>541</v>
      </c>
      <c r="D195" s="174">
        <v>3</v>
      </c>
      <c r="E195" s="174" t="s">
        <v>250</v>
      </c>
      <c r="F195" s="174">
        <v>1</v>
      </c>
      <c r="G195" s="174">
        <v>1</v>
      </c>
      <c r="H195" s="174">
        <v>1</v>
      </c>
      <c r="I195" s="174">
        <v>1</v>
      </c>
      <c r="J195" s="174">
        <v>1</v>
      </c>
      <c r="K195" s="174">
        <v>1</v>
      </c>
      <c r="L195" s="174">
        <v>1</v>
      </c>
      <c r="M195" s="174">
        <v>1</v>
      </c>
      <c r="N195" s="170"/>
      <c r="O195" s="170"/>
      <c r="P195" s="180">
        <f>SUM(Tabela2[[#This Row],[G]]+Tabela2[[#This Row],[D]]+Tabela2[[#This Row],[N]]+Tabela2[[#This Row],[HM]])</f>
        <v>4</v>
      </c>
      <c r="Q195" s="180">
        <f>SUM(Tabela2[[#This Row],[AO]]+Tabela2[[#This Row],[AD]]+Tabela2[[#This Row],[GWO]]+Tabela2[[#This Row],[GWD]])</f>
        <v>4</v>
      </c>
      <c r="R195" s="180">
        <f>Tabela2[[#This Row],[GWO]]+Tabela2[[#This Row],[GWD]]</f>
        <v>2</v>
      </c>
      <c r="S195" s="180">
        <f>SUM(Tabela2[[#This Row],[G]:[GWD]])</f>
        <v>8</v>
      </c>
    </row>
    <row r="196" spans="1:19">
      <c r="A196" s="183">
        <v>63</v>
      </c>
      <c r="B196" s="175" t="s">
        <v>684</v>
      </c>
      <c r="C196" s="175" t="s">
        <v>541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1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80">
        <f>SUM(Tabela2[[#This Row],[G]]+Tabela2[[#This Row],[D]]+Tabela2[[#This Row],[N]]+Tabela2[[#This Row],[HM]])</f>
        <v>4</v>
      </c>
      <c r="Q196" s="180">
        <f>SUM(Tabela2[[#This Row],[AO]]+Tabela2[[#This Row],[AD]]+Tabela2[[#This Row],[GWO]]+Tabela2[[#This Row],[GWD]])</f>
        <v>4</v>
      </c>
      <c r="R196" s="180">
        <f>Tabela2[[#This Row],[GWO]]+Tabela2[[#This Row],[GWD]]</f>
        <v>2</v>
      </c>
      <c r="S196" s="180">
        <f>SUM(Tabela2[[#This Row],[G]:[GWD]])</f>
        <v>8</v>
      </c>
    </row>
    <row r="197" spans="1:19" ht="30">
      <c r="A197" s="183">
        <v>186</v>
      </c>
      <c r="B197" s="170" t="s">
        <v>544</v>
      </c>
      <c r="C197" s="170" t="s">
        <v>543</v>
      </c>
      <c r="D197" s="170">
        <v>3</v>
      </c>
      <c r="E197" s="170" t="s">
        <v>273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80">
        <f>SUM(Tabela2[[#This Row],[G]]+Tabela2[[#This Row],[D]]+Tabela2[[#This Row],[N]]+Tabela2[[#This Row],[HM]])</f>
        <v>4</v>
      </c>
      <c r="Q197" s="180">
        <f>SUM(Tabela2[[#This Row],[AO]]+Tabela2[[#This Row],[AD]]+Tabela2[[#This Row],[GWO]]+Tabela2[[#This Row],[GWD]])</f>
        <v>4</v>
      </c>
      <c r="R197" s="180">
        <f>Tabela2[[#This Row],[GWO]]+Tabela2[[#This Row],[GWD]]</f>
        <v>2</v>
      </c>
      <c r="S197" s="180">
        <f>SUM(Tabela2[[#This Row],[G]:[GWD]])</f>
        <v>8</v>
      </c>
    </row>
    <row r="198" spans="1:19" ht="30">
      <c r="A198" s="183">
        <v>152</v>
      </c>
      <c r="B198" s="171" t="s">
        <v>593</v>
      </c>
      <c r="C198" s="171" t="s">
        <v>543</v>
      </c>
      <c r="D198" s="171">
        <v>3</v>
      </c>
      <c r="E198" s="171" t="s">
        <v>252</v>
      </c>
      <c r="F198" s="171">
        <v>1</v>
      </c>
      <c r="G198" s="171">
        <v>1</v>
      </c>
      <c r="H198" s="171">
        <v>1</v>
      </c>
      <c r="I198" s="171">
        <v>1</v>
      </c>
      <c r="J198" s="171">
        <v>1</v>
      </c>
      <c r="K198" s="171">
        <v>1</v>
      </c>
      <c r="L198" s="171">
        <v>1</v>
      </c>
      <c r="M198" s="171">
        <v>1</v>
      </c>
      <c r="N198" s="170"/>
      <c r="O198" s="170"/>
      <c r="P198" s="180">
        <f>SUM(Tabela2[[#This Row],[G]]+Tabela2[[#This Row],[D]]+Tabela2[[#This Row],[N]]+Tabela2[[#This Row],[HM]])</f>
        <v>4</v>
      </c>
      <c r="Q198" s="180">
        <f>SUM(Tabela2[[#This Row],[AO]]+Tabela2[[#This Row],[AD]]+Tabela2[[#This Row],[GWO]]+Tabela2[[#This Row],[GWD]])</f>
        <v>4</v>
      </c>
      <c r="R198" s="180">
        <f>Tabela2[[#This Row],[GWO]]+Tabela2[[#This Row],[GWD]]</f>
        <v>2</v>
      </c>
      <c r="S198" s="180">
        <f>SUM(Tabela2[[#This Row],[G]:[GWD]])</f>
        <v>8</v>
      </c>
    </row>
    <row r="199" spans="1:19" ht="30">
      <c r="A199" s="183">
        <v>122</v>
      </c>
      <c r="B199" s="172" t="s">
        <v>624</v>
      </c>
      <c r="C199" s="172" t="s">
        <v>543</v>
      </c>
      <c r="D199" s="172">
        <v>3</v>
      </c>
      <c r="E199" s="172" t="s">
        <v>251</v>
      </c>
      <c r="F199" s="172">
        <v>1</v>
      </c>
      <c r="G199" s="172">
        <v>1</v>
      </c>
      <c r="H199" s="172">
        <v>1</v>
      </c>
      <c r="I199" s="172">
        <v>1</v>
      </c>
      <c r="J199" s="172">
        <v>1</v>
      </c>
      <c r="K199" s="172">
        <v>1</v>
      </c>
      <c r="L199" s="172">
        <v>1</v>
      </c>
      <c r="M199" s="172">
        <v>1</v>
      </c>
      <c r="N199" s="170"/>
      <c r="O199" s="170"/>
      <c r="P199" s="180">
        <f>SUM(Tabela2[[#This Row],[G]]+Tabela2[[#This Row],[D]]+Tabela2[[#This Row],[N]]+Tabela2[[#This Row],[HM]])</f>
        <v>4</v>
      </c>
      <c r="Q199" s="180">
        <f>SUM(Tabela2[[#This Row],[AO]]+Tabela2[[#This Row],[AD]]+Tabela2[[#This Row],[GWO]]+Tabela2[[#This Row],[GWD]])</f>
        <v>4</v>
      </c>
      <c r="R199" s="180">
        <f>Tabela2[[#This Row],[GWO]]+Tabela2[[#This Row],[GWD]]</f>
        <v>2</v>
      </c>
      <c r="S199" s="180">
        <f>SUM(Tabela2[[#This Row],[G]:[GWD]])</f>
        <v>8</v>
      </c>
    </row>
    <row r="200" spans="1:19" ht="30">
      <c r="A200" s="183">
        <v>94</v>
      </c>
      <c r="B200" s="174" t="s">
        <v>651</v>
      </c>
      <c r="C200" s="174" t="s">
        <v>543</v>
      </c>
      <c r="D200" s="174">
        <v>3</v>
      </c>
      <c r="E200" s="174" t="s">
        <v>250</v>
      </c>
      <c r="F200" s="174">
        <v>1</v>
      </c>
      <c r="G200" s="174">
        <v>1</v>
      </c>
      <c r="H200" s="174">
        <v>1</v>
      </c>
      <c r="I200" s="174">
        <v>1</v>
      </c>
      <c r="J200" s="174">
        <v>1</v>
      </c>
      <c r="K200" s="174">
        <v>1</v>
      </c>
      <c r="L200" s="174">
        <v>1</v>
      </c>
      <c r="M200" s="174">
        <v>1</v>
      </c>
      <c r="N200" s="170"/>
      <c r="O200" s="170"/>
      <c r="P200" s="180">
        <f>SUM(Tabela2[[#This Row],[G]]+Tabela2[[#This Row],[D]]+Tabela2[[#This Row],[N]]+Tabela2[[#This Row],[HM]])</f>
        <v>4</v>
      </c>
      <c r="Q200" s="180">
        <f>SUM(Tabela2[[#This Row],[AO]]+Tabela2[[#This Row],[AD]]+Tabela2[[#This Row],[GWO]]+Tabela2[[#This Row],[GWD]])</f>
        <v>4</v>
      </c>
      <c r="R200" s="180">
        <f>Tabela2[[#This Row],[GWO]]+Tabela2[[#This Row],[GWD]]</f>
        <v>2</v>
      </c>
      <c r="S200" s="180">
        <f>SUM(Tabela2[[#This Row],[G]:[GWD]])</f>
        <v>8</v>
      </c>
    </row>
    <row r="201" spans="1:19" ht="30">
      <c r="A201" s="183">
        <v>62</v>
      </c>
      <c r="B201" s="175" t="s">
        <v>685</v>
      </c>
      <c r="C201" s="175" t="s">
        <v>543</v>
      </c>
      <c r="D201" s="175">
        <v>3</v>
      </c>
      <c r="E201" s="175" t="s">
        <v>18</v>
      </c>
      <c r="F201" s="175">
        <v>1</v>
      </c>
      <c r="G201" s="175">
        <v>1</v>
      </c>
      <c r="H201" s="175">
        <v>2</v>
      </c>
      <c r="I201" s="175">
        <v>1</v>
      </c>
      <c r="J201" s="175">
        <v>1</v>
      </c>
      <c r="K201" s="175">
        <v>1</v>
      </c>
      <c r="L201" s="175">
        <v>1</v>
      </c>
      <c r="M201" s="175">
        <v>1</v>
      </c>
      <c r="N201" s="170"/>
      <c r="O201" s="170"/>
      <c r="P201" s="180">
        <f>SUM(Tabela2[[#This Row],[G]]+Tabela2[[#This Row],[D]]+Tabela2[[#This Row],[N]]+Tabela2[[#This Row],[HM]])</f>
        <v>5</v>
      </c>
      <c r="Q201" s="180">
        <f>SUM(Tabela2[[#This Row],[AO]]+Tabela2[[#This Row],[AD]]+Tabela2[[#This Row],[GWO]]+Tabela2[[#This Row],[GWD]])</f>
        <v>4</v>
      </c>
      <c r="R201" s="180">
        <f>Tabela2[[#This Row],[GWO]]+Tabela2[[#This Row],[GWD]]</f>
        <v>2</v>
      </c>
      <c r="S201" s="180">
        <f>SUM(Tabela2[[#This Row],[G]:[GWD]])</f>
        <v>9</v>
      </c>
    </row>
    <row r="202" spans="1:19">
      <c r="A202" s="183">
        <v>43</v>
      </c>
      <c r="B202" s="170" t="s">
        <v>716</v>
      </c>
      <c r="C202" s="170" t="s">
        <v>715</v>
      </c>
      <c r="D202" s="170">
        <v>2</v>
      </c>
      <c r="E202" s="170" t="s">
        <v>273</v>
      </c>
      <c r="F202" s="170">
        <v>1</v>
      </c>
      <c r="G202" s="170">
        <v>1</v>
      </c>
      <c r="H202" s="170">
        <v>1</v>
      </c>
      <c r="I202" s="170">
        <v>1</v>
      </c>
      <c r="J202" s="170">
        <v>1</v>
      </c>
      <c r="K202" s="170">
        <v>1</v>
      </c>
      <c r="L202" s="170">
        <v>1</v>
      </c>
      <c r="M202" s="170">
        <v>1</v>
      </c>
      <c r="N202" s="170"/>
      <c r="O202" s="170"/>
      <c r="P202" s="180">
        <f>SUM(Tabela2[[#This Row],[G]]+Tabela2[[#This Row],[D]]+Tabela2[[#This Row],[N]]+Tabela2[[#This Row],[HM]])</f>
        <v>4</v>
      </c>
      <c r="Q202" s="180">
        <f>SUM(Tabela2[[#This Row],[AO]]+Tabela2[[#This Row],[AD]]+Tabela2[[#This Row],[GWO]]+Tabela2[[#This Row],[GWD]])</f>
        <v>4</v>
      </c>
      <c r="R202" s="180">
        <f>Tabela2[[#This Row],[GWO]]+Tabela2[[#This Row],[GWD]]</f>
        <v>2</v>
      </c>
      <c r="S202" s="180">
        <f>SUM(Tabela2[[#This Row],[G]:[GWD]])</f>
        <v>8</v>
      </c>
    </row>
    <row r="203" spans="1:19">
      <c r="A203" s="183">
        <v>36</v>
      </c>
      <c r="B203" s="171" t="s">
        <v>725</v>
      </c>
      <c r="C203" s="171" t="s">
        <v>715</v>
      </c>
      <c r="D203" s="171">
        <v>2</v>
      </c>
      <c r="E203" s="171" t="s">
        <v>252</v>
      </c>
      <c r="F203" s="171">
        <v>1</v>
      </c>
      <c r="G203" s="171">
        <v>1</v>
      </c>
      <c r="H203" s="171">
        <v>1</v>
      </c>
      <c r="I203" s="171">
        <v>1</v>
      </c>
      <c r="J203" s="171">
        <v>1</v>
      </c>
      <c r="K203" s="171">
        <v>1</v>
      </c>
      <c r="L203" s="171">
        <v>1</v>
      </c>
      <c r="M203" s="171">
        <v>1</v>
      </c>
      <c r="N203" s="170"/>
      <c r="O203" s="170"/>
      <c r="P203" s="180">
        <f>SUM(Tabela2[[#This Row],[G]]+Tabela2[[#This Row],[D]]+Tabela2[[#This Row],[N]]+Tabela2[[#This Row],[HM]])</f>
        <v>4</v>
      </c>
      <c r="Q203" s="180">
        <f>SUM(Tabela2[[#This Row],[AO]]+Tabela2[[#This Row],[AD]]+Tabela2[[#This Row],[GWO]]+Tabela2[[#This Row],[GWD]])</f>
        <v>4</v>
      </c>
      <c r="R203" s="180">
        <f>Tabela2[[#This Row],[GWO]]+Tabela2[[#This Row],[GWD]]</f>
        <v>2</v>
      </c>
      <c r="S203" s="180">
        <f>SUM(Tabela2[[#This Row],[G]:[GWD]])</f>
        <v>8</v>
      </c>
    </row>
    <row r="204" spans="1:19">
      <c r="A204" s="183">
        <v>21</v>
      </c>
      <c r="B204" s="172" t="s">
        <v>742</v>
      </c>
      <c r="C204" s="172" t="s">
        <v>715</v>
      </c>
      <c r="D204" s="172">
        <v>2</v>
      </c>
      <c r="E204" s="172" t="s">
        <v>251</v>
      </c>
      <c r="F204" s="172">
        <v>1</v>
      </c>
      <c r="G204" s="172">
        <v>1</v>
      </c>
      <c r="H204" s="172">
        <v>1</v>
      </c>
      <c r="I204" s="172">
        <v>1</v>
      </c>
      <c r="J204" s="172">
        <v>1</v>
      </c>
      <c r="K204" s="172">
        <v>1</v>
      </c>
      <c r="L204" s="172">
        <v>1</v>
      </c>
      <c r="M204" s="172">
        <v>1</v>
      </c>
      <c r="N204" s="170"/>
      <c r="O204" s="170"/>
      <c r="P204" s="180">
        <f>SUM(Tabela2[[#This Row],[G]]+Tabela2[[#This Row],[D]]+Tabela2[[#This Row],[N]]+Tabela2[[#This Row],[HM]])</f>
        <v>4</v>
      </c>
      <c r="Q204" s="180">
        <f>SUM(Tabela2[[#This Row],[AO]]+Tabela2[[#This Row],[AD]]+Tabela2[[#This Row],[GWO]]+Tabela2[[#This Row],[GWD]])</f>
        <v>4</v>
      </c>
      <c r="R204" s="180">
        <f>Tabela2[[#This Row],[GWO]]+Tabela2[[#This Row],[GWD]]</f>
        <v>2</v>
      </c>
      <c r="S204" s="180">
        <f>SUM(Tabela2[[#This Row],[G]:[GWD]])</f>
        <v>8</v>
      </c>
    </row>
    <row r="205" spans="1:19">
      <c r="A205" s="183">
        <v>10</v>
      </c>
      <c r="B205" s="174" t="s">
        <v>753</v>
      </c>
      <c r="C205" s="174" t="s">
        <v>715</v>
      </c>
      <c r="D205" s="174">
        <v>2</v>
      </c>
      <c r="E205" s="174" t="s">
        <v>250</v>
      </c>
      <c r="F205" s="174">
        <v>2</v>
      </c>
      <c r="G205" s="174">
        <v>1</v>
      </c>
      <c r="H205" s="174">
        <v>2</v>
      </c>
      <c r="I205" s="174">
        <v>1</v>
      </c>
      <c r="J205" s="174">
        <v>1</v>
      </c>
      <c r="K205" s="174">
        <v>1</v>
      </c>
      <c r="L205" s="174">
        <v>1</v>
      </c>
      <c r="M205" s="174">
        <v>1</v>
      </c>
      <c r="N205" s="170"/>
      <c r="O205" s="170"/>
      <c r="P205" s="180">
        <f>SUM(Tabela2[[#This Row],[G]]+Tabela2[[#This Row],[D]]+Tabela2[[#This Row],[N]]+Tabela2[[#This Row],[HM]])</f>
        <v>6</v>
      </c>
      <c r="Q205" s="180">
        <f>SUM(Tabela2[[#This Row],[AO]]+Tabela2[[#This Row],[AD]]+Tabela2[[#This Row],[GWO]]+Tabela2[[#This Row],[GWD]])</f>
        <v>4</v>
      </c>
      <c r="R205" s="180">
        <f>Tabela2[[#This Row],[GWO]]+Tabela2[[#This Row],[GWD]]</f>
        <v>2</v>
      </c>
      <c r="S205" s="180">
        <f>SUM(Tabela2[[#This Row],[G]:[GWD]])</f>
        <v>10</v>
      </c>
    </row>
    <row r="206" spans="1:19">
      <c r="A206" s="183">
        <v>1</v>
      </c>
      <c r="B206" s="175" t="s">
        <v>765</v>
      </c>
      <c r="C206" s="175" t="s">
        <v>764</v>
      </c>
      <c r="D206" s="175">
        <v>2</v>
      </c>
      <c r="E206" s="175" t="s">
        <v>18</v>
      </c>
      <c r="F206" s="175">
        <v>1</v>
      </c>
      <c r="G206" s="175">
        <v>2</v>
      </c>
      <c r="H206" s="175">
        <v>4</v>
      </c>
      <c r="I206" s="175">
        <v>1</v>
      </c>
      <c r="J206" s="175">
        <v>1</v>
      </c>
      <c r="K206" s="175">
        <v>1</v>
      </c>
      <c r="L206" s="175">
        <v>1</v>
      </c>
      <c r="M206" s="175">
        <v>1</v>
      </c>
      <c r="N206" s="175" t="s">
        <v>446</v>
      </c>
      <c r="O206" s="175"/>
      <c r="P206" s="184">
        <f>SUM(Tabela2[[#This Row],[G]]+Tabela2[[#This Row],[D]]+Tabela2[[#This Row],[N]]+Tabela2[[#This Row],[HM]])</f>
        <v>8</v>
      </c>
      <c r="Q206" s="184">
        <f>SUM(Tabela2[[#This Row],[AO]]+Tabela2[[#This Row],[AD]]+Tabela2[[#This Row],[GWO]]+Tabela2[[#This Row],[GWD]])</f>
        <v>4</v>
      </c>
      <c r="R206" s="184">
        <f>Tabela2[[#This Row],[GWO]]+Tabela2[[#This Row],[GWD]]</f>
        <v>2</v>
      </c>
      <c r="S206" s="180">
        <f>SUM(Tabela2[[#This Row],[G]:[GWD]])</f>
        <v>12</v>
      </c>
    </row>
    <row r="207" spans="1:19">
      <c r="A207" s="183">
        <v>42</v>
      </c>
      <c r="B207" s="170" t="s">
        <v>718</v>
      </c>
      <c r="C207" s="170" t="s">
        <v>717</v>
      </c>
      <c r="D207" s="170">
        <v>2</v>
      </c>
      <c r="E207" s="170" t="s">
        <v>273</v>
      </c>
      <c r="F207" s="170">
        <v>1</v>
      </c>
      <c r="G207" s="170">
        <v>1</v>
      </c>
      <c r="H207" s="170">
        <v>1</v>
      </c>
      <c r="I207" s="170">
        <v>1</v>
      </c>
      <c r="J207" s="170">
        <v>1</v>
      </c>
      <c r="K207" s="170">
        <v>1</v>
      </c>
      <c r="L207" s="170">
        <v>1</v>
      </c>
      <c r="M207" s="170">
        <v>1</v>
      </c>
      <c r="N207" s="170"/>
      <c r="O207" s="170"/>
      <c r="P207" s="180">
        <f>SUM(Tabela2[[#This Row],[G]]+Tabela2[[#This Row],[D]]+Tabela2[[#This Row],[N]]+Tabela2[[#This Row],[HM]])</f>
        <v>4</v>
      </c>
      <c r="Q207" s="180">
        <f>SUM(Tabela2[[#This Row],[AO]]+Tabela2[[#This Row],[AD]]+Tabela2[[#This Row],[GWO]]+Tabela2[[#This Row],[GWD]])</f>
        <v>4</v>
      </c>
      <c r="R207" s="180">
        <f>Tabela2[[#This Row],[GWO]]+Tabela2[[#This Row],[GWD]]</f>
        <v>2</v>
      </c>
      <c r="S207" s="180">
        <f>SUM(Tabela2[[#This Row],[G]:[GWD]])</f>
        <v>8</v>
      </c>
    </row>
    <row r="208" spans="1:19">
      <c r="A208" s="183">
        <v>34</v>
      </c>
      <c r="B208" s="171" t="s">
        <v>728</v>
      </c>
      <c r="C208" s="171" t="s">
        <v>717</v>
      </c>
      <c r="D208" s="171">
        <v>2</v>
      </c>
      <c r="E208" s="171" t="s">
        <v>252</v>
      </c>
      <c r="F208" s="171">
        <v>1</v>
      </c>
      <c r="G208" s="171">
        <v>1</v>
      </c>
      <c r="H208" s="171">
        <v>1</v>
      </c>
      <c r="I208" s="171">
        <v>1</v>
      </c>
      <c r="J208" s="171">
        <v>1</v>
      </c>
      <c r="K208" s="171">
        <v>1</v>
      </c>
      <c r="L208" s="171">
        <v>1</v>
      </c>
      <c r="M208" s="171">
        <v>1</v>
      </c>
      <c r="N208" s="170"/>
      <c r="O208" s="170"/>
      <c r="P208" s="180">
        <f>SUM(Tabela2[[#This Row],[G]]+Tabela2[[#This Row],[D]]+Tabela2[[#This Row],[N]]+Tabela2[[#This Row],[HM]])</f>
        <v>4</v>
      </c>
      <c r="Q208" s="180">
        <f>SUM(Tabela2[[#This Row],[AO]]+Tabela2[[#This Row],[AD]]+Tabela2[[#This Row],[GWO]]+Tabela2[[#This Row],[GWD]])</f>
        <v>4</v>
      </c>
      <c r="R208" s="180">
        <f>Tabela2[[#This Row],[GWO]]+Tabela2[[#This Row],[GWD]]</f>
        <v>2</v>
      </c>
      <c r="S208" s="180">
        <f>SUM(Tabela2[[#This Row],[G]:[GWD]])</f>
        <v>8</v>
      </c>
    </row>
    <row r="209" spans="1:19">
      <c r="A209" s="183">
        <v>28</v>
      </c>
      <c r="B209" s="172" t="s">
        <v>734</v>
      </c>
      <c r="C209" s="172" t="s">
        <v>717</v>
      </c>
      <c r="D209" s="172">
        <v>2</v>
      </c>
      <c r="E209" s="172" t="s">
        <v>251</v>
      </c>
      <c r="F209" s="172">
        <v>1</v>
      </c>
      <c r="G209" s="172">
        <v>1</v>
      </c>
      <c r="H209" s="172">
        <v>1</v>
      </c>
      <c r="I209" s="172">
        <v>1</v>
      </c>
      <c r="J209" s="172">
        <v>1</v>
      </c>
      <c r="K209" s="172">
        <v>1</v>
      </c>
      <c r="L209" s="172">
        <v>1</v>
      </c>
      <c r="M209" s="172">
        <v>1</v>
      </c>
      <c r="N209" s="172" t="s">
        <v>446</v>
      </c>
      <c r="O209" s="172"/>
      <c r="P209" s="186">
        <f>SUM(Tabela2[[#This Row],[G]]+Tabela2[[#This Row],[D]]+Tabela2[[#This Row],[N]]+Tabela2[[#This Row],[HM]])</f>
        <v>4</v>
      </c>
      <c r="Q209" s="186">
        <f>SUM(Tabela2[[#This Row],[AO]]+Tabela2[[#This Row],[AD]]+Tabela2[[#This Row],[GWO]]+Tabela2[[#This Row],[GWD]])</f>
        <v>4</v>
      </c>
      <c r="R209" s="186">
        <f>Tabela2[[#This Row],[GWO]]+Tabela2[[#This Row],[GWD]]</f>
        <v>2</v>
      </c>
      <c r="S209" s="180">
        <f>SUM(Tabela2[[#This Row],[G]:[GWD]])</f>
        <v>8</v>
      </c>
    </row>
    <row r="210" spans="1:19">
      <c r="A210" s="183">
        <v>18</v>
      </c>
      <c r="B210" s="174" t="s">
        <v>744</v>
      </c>
      <c r="C210" s="174" t="s">
        <v>717</v>
      </c>
      <c r="D210" s="174">
        <v>2</v>
      </c>
      <c r="E210" s="174" t="s">
        <v>250</v>
      </c>
      <c r="F210" s="174">
        <v>1</v>
      </c>
      <c r="G210" s="174">
        <v>2</v>
      </c>
      <c r="H210" s="174">
        <v>1</v>
      </c>
      <c r="I210" s="174">
        <v>1</v>
      </c>
      <c r="J210" s="174">
        <v>1</v>
      </c>
      <c r="K210" s="174">
        <v>1</v>
      </c>
      <c r="L210" s="174">
        <v>2</v>
      </c>
      <c r="M210" s="174">
        <v>2</v>
      </c>
      <c r="N210" s="170"/>
      <c r="O210" s="170"/>
      <c r="P210" s="180">
        <f>SUM(Tabela2[[#This Row],[G]]+Tabela2[[#This Row],[D]]+Tabela2[[#This Row],[N]]+Tabela2[[#This Row],[HM]])</f>
        <v>5</v>
      </c>
      <c r="Q210" s="180">
        <f>SUM(Tabela2[[#This Row],[AO]]+Tabela2[[#This Row],[AD]]+Tabela2[[#This Row],[GWO]]+Tabela2[[#This Row],[GWD]])</f>
        <v>6</v>
      </c>
      <c r="R210" s="180">
        <f>Tabela2[[#This Row],[GWO]]+Tabela2[[#This Row],[GWD]]</f>
        <v>4</v>
      </c>
      <c r="S210" s="180">
        <f>SUM(Tabela2[[#This Row],[G]:[GWD]])</f>
        <v>11</v>
      </c>
    </row>
    <row r="211" spans="1:19">
      <c r="A211" s="183">
        <v>9</v>
      </c>
      <c r="B211" s="175" t="s">
        <v>755</v>
      </c>
      <c r="C211" s="175" t="s">
        <v>754</v>
      </c>
      <c r="D211" s="175">
        <v>2</v>
      </c>
      <c r="E211" s="175" t="s">
        <v>18</v>
      </c>
      <c r="F211" s="175">
        <v>1</v>
      </c>
      <c r="G211" s="175">
        <v>1</v>
      </c>
      <c r="H211" s="175">
        <v>1</v>
      </c>
      <c r="I211" s="175">
        <v>1</v>
      </c>
      <c r="J211" s="175">
        <v>1</v>
      </c>
      <c r="K211" s="175">
        <v>1</v>
      </c>
      <c r="L211" s="175">
        <v>1</v>
      </c>
      <c r="M211" s="175">
        <v>1</v>
      </c>
      <c r="N211" s="170"/>
      <c r="O211" s="170"/>
      <c r="P211" s="180">
        <f>SUM(Tabela2[[#This Row],[G]]+Tabela2[[#This Row],[D]]+Tabela2[[#This Row],[N]]+Tabela2[[#This Row],[HM]])</f>
        <v>4</v>
      </c>
      <c r="Q211" s="180">
        <f>SUM(Tabela2[[#This Row],[AO]]+Tabela2[[#This Row],[AD]]+Tabela2[[#This Row],[GWO]]+Tabela2[[#This Row],[GWD]])</f>
        <v>4</v>
      </c>
      <c r="R211" s="180">
        <f>Tabela2[[#This Row],[GWO]]+Tabela2[[#This Row],[GWD]]</f>
        <v>2</v>
      </c>
      <c r="S211" s="180">
        <f>SUM(Tabela2[[#This Row],[G]:[GWD]])</f>
        <v>8</v>
      </c>
    </row>
    <row r="212" spans="1:19" ht="30">
      <c r="A212" s="183">
        <v>61</v>
      </c>
      <c r="B212" s="175" t="s">
        <v>687</v>
      </c>
      <c r="C212" s="175" t="s">
        <v>686</v>
      </c>
      <c r="D212" s="175">
        <v>3</v>
      </c>
      <c r="E212" s="175" t="s">
        <v>18</v>
      </c>
      <c r="F212" s="175">
        <v>1</v>
      </c>
      <c r="G212" s="175">
        <v>1</v>
      </c>
      <c r="H212" s="175">
        <v>1</v>
      </c>
      <c r="I212" s="175">
        <v>4</v>
      </c>
      <c r="J212" s="175">
        <v>1</v>
      </c>
      <c r="K212" s="175">
        <v>1</v>
      </c>
      <c r="L212" s="175">
        <v>4</v>
      </c>
      <c r="M212" s="175">
        <v>1</v>
      </c>
      <c r="N212" s="175" t="s">
        <v>446</v>
      </c>
      <c r="O212" s="175" t="s">
        <v>784</v>
      </c>
      <c r="P212" s="184">
        <f>SUM(Tabela2[[#This Row],[G]]+Tabela2[[#This Row],[D]]+Tabela2[[#This Row],[N]]+Tabela2[[#This Row],[HM]])</f>
        <v>4</v>
      </c>
      <c r="Q212" s="184">
        <f>SUM(Tabela2[[#This Row],[AO]]+Tabela2[[#This Row],[AD]]+Tabela2[[#This Row],[GWO]]+Tabela2[[#This Row],[GWD]])</f>
        <v>10</v>
      </c>
      <c r="R212" s="184">
        <f>Tabela2[[#This Row],[GWO]]+Tabela2[[#This Row],[GWD]]</f>
        <v>5</v>
      </c>
      <c r="S212" s="180">
        <f>SUM(Tabela2[[#This Row],[G]:[GWD]])</f>
        <v>14</v>
      </c>
    </row>
    <row r="213" spans="1:19" ht="30">
      <c r="A213" s="183">
        <v>185</v>
      </c>
      <c r="B213" s="170" t="s">
        <v>546</v>
      </c>
      <c r="C213" s="170" t="s">
        <v>545</v>
      </c>
      <c r="D213" s="170">
        <v>3</v>
      </c>
      <c r="E213" s="170" t="s">
        <v>273</v>
      </c>
      <c r="F213" s="170">
        <v>1</v>
      </c>
      <c r="G213" s="170">
        <v>1</v>
      </c>
      <c r="H213" s="170">
        <v>1</v>
      </c>
      <c r="I213" s="170">
        <v>2</v>
      </c>
      <c r="J213" s="170">
        <v>1</v>
      </c>
      <c r="K213" s="170">
        <v>1</v>
      </c>
      <c r="L213" s="170">
        <v>2</v>
      </c>
      <c r="M213" s="170">
        <v>1</v>
      </c>
      <c r="N213" s="170"/>
      <c r="O213" s="170"/>
      <c r="P213" s="180">
        <f>SUM(Tabela2[[#This Row],[G]]+Tabela2[[#This Row],[D]]+Tabela2[[#This Row],[N]]+Tabela2[[#This Row],[HM]])</f>
        <v>4</v>
      </c>
      <c r="Q213" s="180">
        <f>SUM(Tabela2[[#This Row],[AO]]+Tabela2[[#This Row],[AD]]+Tabela2[[#This Row],[GWO]]+Tabela2[[#This Row],[GWD]])</f>
        <v>6</v>
      </c>
      <c r="R213" s="180">
        <f>Tabela2[[#This Row],[GWO]]+Tabela2[[#This Row],[GWD]]</f>
        <v>3</v>
      </c>
      <c r="S213" s="180">
        <f>SUM(Tabela2[[#This Row],[G]:[GWD]])</f>
        <v>10</v>
      </c>
    </row>
    <row r="214" spans="1:19" ht="30">
      <c r="A214" s="183">
        <v>151</v>
      </c>
      <c r="B214" s="171" t="s">
        <v>594</v>
      </c>
      <c r="C214" s="171" t="s">
        <v>545</v>
      </c>
      <c r="D214" s="171">
        <v>3</v>
      </c>
      <c r="E214" s="171" t="s">
        <v>252</v>
      </c>
      <c r="F214" s="171">
        <v>1</v>
      </c>
      <c r="G214" s="171">
        <v>1</v>
      </c>
      <c r="H214" s="171">
        <v>1</v>
      </c>
      <c r="I214" s="171">
        <v>1</v>
      </c>
      <c r="J214" s="171">
        <v>1</v>
      </c>
      <c r="K214" s="171">
        <v>1</v>
      </c>
      <c r="L214" s="171">
        <v>1</v>
      </c>
      <c r="M214" s="171">
        <v>1</v>
      </c>
      <c r="N214" s="170"/>
      <c r="O214" s="170"/>
      <c r="P214" s="180">
        <f>SUM(Tabela2[[#This Row],[G]]+Tabela2[[#This Row],[D]]+Tabela2[[#This Row],[N]]+Tabela2[[#This Row],[HM]])</f>
        <v>4</v>
      </c>
      <c r="Q214" s="180">
        <f>SUM(Tabela2[[#This Row],[AO]]+Tabela2[[#This Row],[AD]]+Tabela2[[#This Row],[GWO]]+Tabela2[[#This Row],[GWD]])</f>
        <v>4</v>
      </c>
      <c r="R214" s="180">
        <f>Tabela2[[#This Row],[GWO]]+Tabela2[[#This Row],[GWD]]</f>
        <v>2</v>
      </c>
      <c r="S214" s="180">
        <f>SUM(Tabela2[[#This Row],[G]:[GWD]])</f>
        <v>8</v>
      </c>
    </row>
    <row r="215" spans="1:19" ht="30">
      <c r="A215" s="183">
        <v>121</v>
      </c>
      <c r="B215" s="172" t="s">
        <v>625</v>
      </c>
      <c r="C215" s="172" t="s">
        <v>545</v>
      </c>
      <c r="D215" s="172">
        <v>3</v>
      </c>
      <c r="E215" s="172" t="s">
        <v>251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0"/>
      <c r="O215" s="170"/>
      <c r="P215" s="180">
        <f>SUM(Tabela2[[#This Row],[G]]+Tabela2[[#This Row],[D]]+Tabela2[[#This Row],[N]]+Tabela2[[#This Row],[HM]])</f>
        <v>4</v>
      </c>
      <c r="Q215" s="180">
        <f>SUM(Tabela2[[#This Row],[AO]]+Tabela2[[#This Row],[AD]]+Tabela2[[#This Row],[GWO]]+Tabela2[[#This Row],[GWD]])</f>
        <v>4</v>
      </c>
      <c r="R215" s="180">
        <f>Tabela2[[#This Row],[GWO]]+Tabela2[[#This Row],[GWD]]</f>
        <v>2</v>
      </c>
      <c r="S215" s="180">
        <f>SUM(Tabela2[[#This Row],[G]:[GWD]])</f>
        <v>8</v>
      </c>
    </row>
    <row r="216" spans="1:19" ht="30">
      <c r="A216" s="183">
        <v>93</v>
      </c>
      <c r="B216" s="174" t="s">
        <v>652</v>
      </c>
      <c r="C216" s="174" t="s">
        <v>545</v>
      </c>
      <c r="D216" s="174">
        <v>3</v>
      </c>
      <c r="E216" s="174" t="s">
        <v>250</v>
      </c>
      <c r="F216" s="174">
        <v>1</v>
      </c>
      <c r="G216" s="174">
        <v>1</v>
      </c>
      <c r="H216" s="174">
        <v>1</v>
      </c>
      <c r="I216" s="174">
        <v>2</v>
      </c>
      <c r="J216" s="174">
        <v>1</v>
      </c>
      <c r="K216" s="174">
        <v>1</v>
      </c>
      <c r="L216" s="174">
        <v>2</v>
      </c>
      <c r="M216" s="174">
        <v>1</v>
      </c>
      <c r="N216" s="170"/>
      <c r="O216" s="170"/>
      <c r="P216" s="180">
        <f>SUM(Tabela2[[#This Row],[G]]+Tabela2[[#This Row],[D]]+Tabela2[[#This Row],[N]]+Tabela2[[#This Row],[HM]])</f>
        <v>4</v>
      </c>
      <c r="Q216" s="180">
        <f>SUM(Tabela2[[#This Row],[AO]]+Tabela2[[#This Row],[AD]]+Tabela2[[#This Row],[GWO]]+Tabela2[[#This Row],[GWD]])</f>
        <v>6</v>
      </c>
      <c r="R216" s="180">
        <f>Tabela2[[#This Row],[GWO]]+Tabela2[[#This Row],[GWD]]</f>
        <v>3</v>
      </c>
      <c r="S216" s="180">
        <f>SUM(Tabela2[[#This Row],[G]:[GWD]])</f>
        <v>10</v>
      </c>
    </row>
    <row r="217" spans="1:19">
      <c r="A217" s="183">
        <v>150</v>
      </c>
      <c r="B217" s="171" t="s">
        <v>596</v>
      </c>
      <c r="C217" s="171" t="s">
        <v>595</v>
      </c>
      <c r="D217" s="171">
        <v>3</v>
      </c>
      <c r="E217" s="171" t="s">
        <v>252</v>
      </c>
      <c r="F217" s="171">
        <v>1</v>
      </c>
      <c r="G217" s="171">
        <v>1</v>
      </c>
      <c r="H217" s="171">
        <v>1</v>
      </c>
      <c r="I217" s="171">
        <v>1</v>
      </c>
      <c r="J217" s="171">
        <v>1</v>
      </c>
      <c r="K217" s="171">
        <v>1</v>
      </c>
      <c r="L217" s="171">
        <v>1</v>
      </c>
      <c r="M217" s="171">
        <v>1</v>
      </c>
      <c r="N217" s="170"/>
      <c r="O217" s="170"/>
      <c r="P217" s="180">
        <f>SUM(Tabela2[[#This Row],[G]]+Tabela2[[#This Row],[D]]+Tabela2[[#This Row],[N]]+Tabela2[[#This Row],[HM]])</f>
        <v>4</v>
      </c>
      <c r="Q217" s="180">
        <f>SUM(Tabela2[[#This Row],[AO]]+Tabela2[[#This Row],[AD]]+Tabela2[[#This Row],[GWO]]+Tabela2[[#This Row],[GWD]])</f>
        <v>4</v>
      </c>
      <c r="R217" s="180">
        <f>Tabela2[[#This Row],[GWO]]+Tabela2[[#This Row],[GWD]]</f>
        <v>2</v>
      </c>
      <c r="S217" s="180">
        <f>SUM(Tabela2[[#This Row],[G]:[GWD]])</f>
        <v>8</v>
      </c>
    </row>
    <row r="218" spans="1:19">
      <c r="A218" s="183">
        <v>41</v>
      </c>
      <c r="B218" s="170" t="s">
        <v>719</v>
      </c>
      <c r="C218" s="170" t="s">
        <v>595</v>
      </c>
      <c r="D218" s="170">
        <v>2</v>
      </c>
      <c r="E218" s="170" t="s">
        <v>273</v>
      </c>
      <c r="F218" s="170">
        <v>1</v>
      </c>
      <c r="G218" s="170">
        <v>1</v>
      </c>
      <c r="H218" s="170">
        <v>1</v>
      </c>
      <c r="I218" s="170">
        <v>1</v>
      </c>
      <c r="J218" s="170">
        <v>1</v>
      </c>
      <c r="K218" s="170">
        <v>1</v>
      </c>
      <c r="L218" s="170">
        <v>1</v>
      </c>
      <c r="M218" s="170">
        <v>1</v>
      </c>
      <c r="N218" s="170"/>
      <c r="O218" s="170"/>
      <c r="P218" s="180">
        <f>SUM(Tabela2[[#This Row],[G]]+Tabela2[[#This Row],[D]]+Tabela2[[#This Row],[N]]+Tabela2[[#This Row],[HM]])</f>
        <v>4</v>
      </c>
      <c r="Q218" s="180">
        <f>SUM(Tabela2[[#This Row],[AO]]+Tabela2[[#This Row],[AD]]+Tabela2[[#This Row],[GWO]]+Tabela2[[#This Row],[GWD]])</f>
        <v>4</v>
      </c>
      <c r="R218" s="180">
        <f>Tabela2[[#This Row],[GWO]]+Tabela2[[#This Row],[GWD]]</f>
        <v>2</v>
      </c>
      <c r="S218" s="180">
        <f>SUM(Tabela2[[#This Row],[G]:[GWD]])</f>
        <v>8</v>
      </c>
    </row>
    <row r="219" spans="1:19">
      <c r="A219" s="183">
        <v>24</v>
      </c>
      <c r="B219" s="172" t="s">
        <v>740</v>
      </c>
      <c r="C219" s="172" t="s">
        <v>595</v>
      </c>
      <c r="D219" s="172">
        <v>2</v>
      </c>
      <c r="E219" s="172" t="s">
        <v>251</v>
      </c>
      <c r="F219" s="172">
        <v>1</v>
      </c>
      <c r="G219" s="172">
        <v>1</v>
      </c>
      <c r="H219" s="172">
        <v>1</v>
      </c>
      <c r="I219" s="172">
        <v>1</v>
      </c>
      <c r="J219" s="172">
        <v>1</v>
      </c>
      <c r="K219" s="172">
        <v>1</v>
      </c>
      <c r="L219" s="172">
        <v>1</v>
      </c>
      <c r="M219" s="172">
        <v>1</v>
      </c>
      <c r="N219" s="170"/>
      <c r="O219" s="170"/>
      <c r="P219" s="180">
        <f>SUM(Tabela2[[#This Row],[G]]+Tabela2[[#This Row],[D]]+Tabela2[[#This Row],[N]]+Tabela2[[#This Row],[HM]])</f>
        <v>4</v>
      </c>
      <c r="Q219" s="180">
        <f>SUM(Tabela2[[#This Row],[AO]]+Tabela2[[#This Row],[AD]]+Tabela2[[#This Row],[GWO]]+Tabela2[[#This Row],[GWD]])</f>
        <v>4</v>
      </c>
      <c r="R219" s="180">
        <f>Tabela2[[#This Row],[GWO]]+Tabela2[[#This Row],[GWD]]</f>
        <v>2</v>
      </c>
      <c r="S219" s="180">
        <f>SUM(Tabela2[[#This Row],[G]:[GWD]])</f>
        <v>8</v>
      </c>
    </row>
    <row r="220" spans="1:19">
      <c r="A220" s="183">
        <v>13</v>
      </c>
      <c r="B220" s="174" t="s">
        <v>750</v>
      </c>
      <c r="C220" s="174" t="s">
        <v>595</v>
      </c>
      <c r="D220" s="174">
        <v>2</v>
      </c>
      <c r="E220" s="174" t="s">
        <v>250</v>
      </c>
      <c r="F220" s="174">
        <v>1</v>
      </c>
      <c r="G220" s="174">
        <v>2</v>
      </c>
      <c r="H220" s="174">
        <v>1</v>
      </c>
      <c r="I220" s="174">
        <v>1</v>
      </c>
      <c r="J220" s="174">
        <v>1</v>
      </c>
      <c r="K220" s="174">
        <v>1</v>
      </c>
      <c r="L220" s="174">
        <v>1</v>
      </c>
      <c r="M220" s="174">
        <v>1</v>
      </c>
      <c r="N220" s="170"/>
      <c r="O220" s="170"/>
      <c r="P220" s="180">
        <f>SUM(Tabela2[[#This Row],[G]]+Tabela2[[#This Row],[D]]+Tabela2[[#This Row],[N]]+Tabela2[[#This Row],[HM]])</f>
        <v>5</v>
      </c>
      <c r="Q220" s="180">
        <f>SUM(Tabela2[[#This Row],[AO]]+Tabela2[[#This Row],[AD]]+Tabela2[[#This Row],[GWO]]+Tabela2[[#This Row],[GWD]])</f>
        <v>4</v>
      </c>
      <c r="R220" s="180">
        <f>Tabela2[[#This Row],[GWO]]+Tabela2[[#This Row],[GWD]]</f>
        <v>2</v>
      </c>
      <c r="S220" s="180">
        <f>SUM(Tabela2[[#This Row],[G]:[GWD]])</f>
        <v>9</v>
      </c>
    </row>
    <row r="221" spans="1:19">
      <c r="A221" s="183">
        <v>4</v>
      </c>
      <c r="B221" s="175" t="s">
        <v>210</v>
      </c>
      <c r="C221" s="175" t="s">
        <v>761</v>
      </c>
      <c r="D221" s="175">
        <v>2</v>
      </c>
      <c r="E221" s="175" t="s">
        <v>18</v>
      </c>
      <c r="F221" s="175">
        <v>1</v>
      </c>
      <c r="G221" s="175">
        <v>4</v>
      </c>
      <c r="H221" s="175">
        <v>1</v>
      </c>
      <c r="I221" s="175">
        <v>5</v>
      </c>
      <c r="J221" s="175">
        <v>1</v>
      </c>
      <c r="K221" s="175">
        <v>1</v>
      </c>
      <c r="L221" s="175">
        <v>4</v>
      </c>
      <c r="M221" s="175">
        <v>1</v>
      </c>
      <c r="N221" s="170"/>
      <c r="O221" s="170" t="s">
        <v>205</v>
      </c>
      <c r="P221" s="180">
        <f>SUM(Tabela2[[#This Row],[G]]+Tabela2[[#This Row],[D]]+Tabela2[[#This Row],[N]]+Tabela2[[#This Row],[HM]])</f>
        <v>7</v>
      </c>
      <c r="Q221" s="180">
        <f>SUM(Tabela2[[#This Row],[AO]]+Tabela2[[#This Row],[AD]]+Tabela2[[#This Row],[GWO]]+Tabela2[[#This Row],[GWD]])</f>
        <v>11</v>
      </c>
      <c r="R221" s="180">
        <f>Tabela2[[#This Row],[GWO]]+Tabela2[[#This Row],[GWD]]</f>
        <v>5</v>
      </c>
      <c r="S221" s="180">
        <f>SUM(Tabela2[[#This Row],[G]:[GWD]])</f>
        <v>18</v>
      </c>
    </row>
    <row r="222" spans="1:19">
      <c r="A222" s="183">
        <v>184</v>
      </c>
      <c r="B222" s="170" t="s">
        <v>548</v>
      </c>
      <c r="C222" s="170" t="s">
        <v>547</v>
      </c>
      <c r="D222" s="170">
        <v>3</v>
      </c>
      <c r="E222" s="170" t="s">
        <v>273</v>
      </c>
      <c r="F222" s="170">
        <v>2</v>
      </c>
      <c r="G222" s="170">
        <v>2</v>
      </c>
      <c r="H222" s="170">
        <v>2</v>
      </c>
      <c r="I222" s="170">
        <v>2</v>
      </c>
      <c r="J222" s="170">
        <v>2</v>
      </c>
      <c r="K222" s="170">
        <v>1</v>
      </c>
      <c r="L222" s="170">
        <v>2</v>
      </c>
      <c r="M222" s="170">
        <v>1</v>
      </c>
      <c r="N222" s="170"/>
      <c r="O222" s="170"/>
      <c r="P222" s="180">
        <f>SUM(Tabela2[[#This Row],[G]]+Tabela2[[#This Row],[D]]+Tabela2[[#This Row],[N]]+Tabela2[[#This Row],[HM]])</f>
        <v>7</v>
      </c>
      <c r="Q222" s="180">
        <f>SUM(Tabela2[[#This Row],[AO]]+Tabela2[[#This Row],[AD]]+Tabela2[[#This Row],[GWO]]+Tabela2[[#This Row],[GWD]])</f>
        <v>7</v>
      </c>
      <c r="R222" s="180">
        <f>Tabela2[[#This Row],[GWO]]+Tabela2[[#This Row],[GWD]]</f>
        <v>3</v>
      </c>
      <c r="S222" s="180">
        <f>SUM(Tabela2[[#This Row],[G]:[GWD]])</f>
        <v>14</v>
      </c>
    </row>
    <row r="223" spans="1:19">
      <c r="A223" s="183">
        <v>149</v>
      </c>
      <c r="B223" s="171" t="s">
        <v>597</v>
      </c>
      <c r="C223" s="171" t="s">
        <v>547</v>
      </c>
      <c r="D223" s="171">
        <v>3</v>
      </c>
      <c r="E223" s="171" t="s">
        <v>252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80">
        <f>SUM(Tabela2[[#This Row],[G]]+Tabela2[[#This Row],[D]]+Tabela2[[#This Row],[N]]+Tabela2[[#This Row],[HM]])</f>
        <v>4</v>
      </c>
      <c r="Q223" s="180">
        <f>SUM(Tabela2[[#This Row],[AO]]+Tabela2[[#This Row],[AD]]+Tabela2[[#This Row],[GWO]]+Tabela2[[#This Row],[GWD]])</f>
        <v>4</v>
      </c>
      <c r="R223" s="180">
        <f>Tabela2[[#This Row],[GWO]]+Tabela2[[#This Row],[GWD]]</f>
        <v>2</v>
      </c>
      <c r="S223" s="180">
        <f>SUM(Tabela2[[#This Row],[G]:[GWD]])</f>
        <v>8</v>
      </c>
    </row>
    <row r="224" spans="1:19">
      <c r="A224" s="183">
        <v>120</v>
      </c>
      <c r="B224" s="172" t="s">
        <v>626</v>
      </c>
      <c r="C224" s="172" t="s">
        <v>547</v>
      </c>
      <c r="D224" s="172">
        <v>3</v>
      </c>
      <c r="E224" s="172" t="s">
        <v>251</v>
      </c>
      <c r="F224" s="172">
        <v>1</v>
      </c>
      <c r="G224" s="172">
        <v>1</v>
      </c>
      <c r="H224" s="172">
        <v>1</v>
      </c>
      <c r="I224" s="172">
        <v>1</v>
      </c>
      <c r="J224" s="172">
        <v>1</v>
      </c>
      <c r="K224" s="172">
        <v>1</v>
      </c>
      <c r="L224" s="172">
        <v>1</v>
      </c>
      <c r="M224" s="172">
        <v>1</v>
      </c>
      <c r="N224" s="172" t="s">
        <v>446</v>
      </c>
      <c r="O224" s="172"/>
      <c r="P224" s="186">
        <f>SUM(Tabela2[[#This Row],[G]]+Tabela2[[#This Row],[D]]+Tabela2[[#This Row],[N]]+Tabela2[[#This Row],[HM]])</f>
        <v>4</v>
      </c>
      <c r="Q224" s="186">
        <f>SUM(Tabela2[[#This Row],[AO]]+Tabela2[[#This Row],[AD]]+Tabela2[[#This Row],[GWO]]+Tabela2[[#This Row],[GWD]])</f>
        <v>4</v>
      </c>
      <c r="R224" s="186">
        <f>Tabela2[[#This Row],[GWO]]+Tabela2[[#This Row],[GWD]]</f>
        <v>2</v>
      </c>
      <c r="S224" s="180">
        <f>SUM(Tabela2[[#This Row],[G]:[GWD]])</f>
        <v>8</v>
      </c>
    </row>
    <row r="225" spans="1:19">
      <c r="A225" s="183">
        <v>92</v>
      </c>
      <c r="B225" s="174" t="s">
        <v>653</v>
      </c>
      <c r="C225" s="174" t="s">
        <v>547</v>
      </c>
      <c r="D225" s="174">
        <v>3</v>
      </c>
      <c r="E225" s="174" t="s">
        <v>250</v>
      </c>
      <c r="F225" s="174">
        <v>1</v>
      </c>
      <c r="G225" s="174">
        <v>1</v>
      </c>
      <c r="H225" s="174">
        <v>1</v>
      </c>
      <c r="I225" s="174">
        <v>1</v>
      </c>
      <c r="J225" s="174">
        <v>1</v>
      </c>
      <c r="K225" s="174">
        <v>1</v>
      </c>
      <c r="L225" s="174">
        <v>1</v>
      </c>
      <c r="M225" s="174">
        <v>1</v>
      </c>
      <c r="N225" s="174" t="s">
        <v>446</v>
      </c>
      <c r="O225" s="174"/>
      <c r="P225" s="185">
        <f>SUM(Tabela2[[#This Row],[G]]+Tabela2[[#This Row],[D]]+Tabela2[[#This Row],[N]]+Tabela2[[#This Row],[HM]])</f>
        <v>4</v>
      </c>
      <c r="Q225" s="185">
        <f>SUM(Tabela2[[#This Row],[AO]]+Tabela2[[#This Row],[AD]]+Tabela2[[#This Row],[GWO]]+Tabela2[[#This Row],[GWD]])</f>
        <v>4</v>
      </c>
      <c r="R225" s="185">
        <f>Tabela2[[#This Row],[GWO]]+Tabela2[[#This Row],[GWD]]</f>
        <v>2</v>
      </c>
      <c r="S225" s="180">
        <f>SUM(Tabela2[[#This Row],[G]:[GWD]])</f>
        <v>8</v>
      </c>
    </row>
    <row r="226" spans="1:19">
      <c r="A226" s="183">
        <v>60</v>
      </c>
      <c r="B226" s="175" t="s">
        <v>688</v>
      </c>
      <c r="C226" s="175" t="s">
        <v>547</v>
      </c>
      <c r="D226" s="175">
        <v>3</v>
      </c>
      <c r="E226" s="175" t="s">
        <v>18</v>
      </c>
      <c r="F226" s="175">
        <v>1</v>
      </c>
      <c r="G226" s="175">
        <v>1</v>
      </c>
      <c r="H226" s="175">
        <v>3</v>
      </c>
      <c r="I226" s="175">
        <v>1</v>
      </c>
      <c r="J226" s="175">
        <v>1</v>
      </c>
      <c r="K226" s="175">
        <v>1</v>
      </c>
      <c r="L226" s="175">
        <v>1</v>
      </c>
      <c r="M226" s="175">
        <v>1</v>
      </c>
      <c r="N226" s="170"/>
      <c r="O226" s="170"/>
      <c r="P226" s="180">
        <f>SUM(Tabela2[[#This Row],[G]]+Tabela2[[#This Row],[D]]+Tabela2[[#This Row],[N]]+Tabela2[[#This Row],[HM]])</f>
        <v>6</v>
      </c>
      <c r="Q226" s="180">
        <f>SUM(Tabela2[[#This Row],[AO]]+Tabela2[[#This Row],[AD]]+Tabela2[[#This Row],[GWO]]+Tabela2[[#This Row],[GWD]])</f>
        <v>4</v>
      </c>
      <c r="R226" s="180">
        <f>Tabela2[[#This Row],[GWO]]+Tabela2[[#This Row],[GWD]]</f>
        <v>2</v>
      </c>
      <c r="S226" s="180">
        <f>SUM(Tabela2[[#This Row],[G]:[GWD]])</f>
        <v>10</v>
      </c>
    </row>
    <row r="227" spans="1:19">
      <c r="A227" s="183">
        <v>183</v>
      </c>
      <c r="B227" s="170" t="s">
        <v>550</v>
      </c>
      <c r="C227" s="170" t="s">
        <v>549</v>
      </c>
      <c r="D227" s="170">
        <v>3</v>
      </c>
      <c r="E227" s="170" t="s">
        <v>273</v>
      </c>
      <c r="F227" s="170">
        <v>1</v>
      </c>
      <c r="G227" s="170">
        <v>1</v>
      </c>
      <c r="H227" s="170">
        <v>3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80">
        <f>SUM(Tabela2[[#This Row],[G]]+Tabela2[[#This Row],[D]]+Tabela2[[#This Row],[N]]+Tabela2[[#This Row],[HM]])</f>
        <v>6</v>
      </c>
      <c r="Q227" s="180">
        <f>SUM(Tabela2[[#This Row],[AO]]+Tabela2[[#This Row],[AD]]+Tabela2[[#This Row],[GWO]]+Tabela2[[#This Row],[GWD]])</f>
        <v>4</v>
      </c>
      <c r="R227" s="180">
        <f>Tabela2[[#This Row],[GWO]]+Tabela2[[#This Row],[GWD]]</f>
        <v>2</v>
      </c>
      <c r="S227" s="180">
        <f>SUM(Tabela2[[#This Row],[G]:[GWD]])</f>
        <v>10</v>
      </c>
    </row>
    <row r="228" spans="1:19">
      <c r="A228" s="183">
        <v>148</v>
      </c>
      <c r="B228" s="171" t="s">
        <v>598</v>
      </c>
      <c r="C228" s="171" t="s">
        <v>549</v>
      </c>
      <c r="D228" s="171">
        <v>3</v>
      </c>
      <c r="E228" s="171" t="s">
        <v>252</v>
      </c>
      <c r="F228" s="171">
        <v>1</v>
      </c>
      <c r="G228" s="171">
        <v>1</v>
      </c>
      <c r="H228" s="171">
        <v>3</v>
      </c>
      <c r="I228" s="171">
        <v>1</v>
      </c>
      <c r="J228" s="171">
        <v>1</v>
      </c>
      <c r="K228" s="171">
        <v>1</v>
      </c>
      <c r="L228" s="171">
        <v>1</v>
      </c>
      <c r="M228" s="171">
        <v>1</v>
      </c>
      <c r="N228" s="170"/>
      <c r="O228" s="170"/>
      <c r="P228" s="180">
        <f>SUM(Tabela2[[#This Row],[G]]+Tabela2[[#This Row],[D]]+Tabela2[[#This Row],[N]]+Tabela2[[#This Row],[HM]])</f>
        <v>6</v>
      </c>
      <c r="Q228" s="180">
        <f>SUM(Tabela2[[#This Row],[AO]]+Tabela2[[#This Row],[AD]]+Tabela2[[#This Row],[GWO]]+Tabela2[[#This Row],[GWD]])</f>
        <v>4</v>
      </c>
      <c r="R228" s="180">
        <f>Tabela2[[#This Row],[GWO]]+Tabela2[[#This Row],[GWD]]</f>
        <v>2</v>
      </c>
      <c r="S228" s="180">
        <f>SUM(Tabela2[[#This Row],[G]:[GWD]])</f>
        <v>10</v>
      </c>
    </row>
    <row r="229" spans="1:19">
      <c r="A229" s="183">
        <v>26</v>
      </c>
      <c r="B229" s="172" t="s">
        <v>737</v>
      </c>
      <c r="C229" s="172" t="s">
        <v>736</v>
      </c>
      <c r="D229" s="172">
        <v>2</v>
      </c>
      <c r="E229" s="172" t="s">
        <v>251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2" t="s">
        <v>446</v>
      </c>
      <c r="O229" s="172"/>
      <c r="P229" s="186">
        <f>SUM(Tabela2[[#This Row],[G]]+Tabela2[[#This Row],[D]]+Tabela2[[#This Row],[N]]+Tabela2[[#This Row],[HM]])</f>
        <v>4</v>
      </c>
      <c r="Q229" s="186">
        <f>SUM(Tabela2[[#This Row],[AO]]+Tabela2[[#This Row],[AD]]+Tabela2[[#This Row],[GWO]]+Tabela2[[#This Row],[GWD]])</f>
        <v>4</v>
      </c>
      <c r="R229" s="186">
        <f>Tabela2[[#This Row],[GWO]]+Tabela2[[#This Row],[GWD]]</f>
        <v>2</v>
      </c>
      <c r="S229" s="180">
        <f>SUM(Tabela2[[#This Row],[G]:[GWD]])</f>
        <v>8</v>
      </c>
    </row>
    <row r="230" spans="1:19">
      <c r="A230" s="183">
        <v>15</v>
      </c>
      <c r="B230" s="174" t="s">
        <v>747</v>
      </c>
      <c r="C230" s="174" t="s">
        <v>736</v>
      </c>
      <c r="D230" s="174">
        <v>2</v>
      </c>
      <c r="E230" s="174" t="s">
        <v>250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80">
        <f>SUM(Tabela2[[#This Row],[G]]+Tabela2[[#This Row],[D]]+Tabela2[[#This Row],[N]]+Tabela2[[#This Row],[HM]])</f>
        <v>4</v>
      </c>
      <c r="Q230" s="180">
        <f>SUM(Tabela2[[#This Row],[AO]]+Tabela2[[#This Row],[AD]]+Tabela2[[#This Row],[GWO]]+Tabela2[[#This Row],[GWD]])</f>
        <v>4</v>
      </c>
      <c r="R230" s="180">
        <f>Tabela2[[#This Row],[GWO]]+Tabela2[[#This Row],[GWD]]</f>
        <v>2</v>
      </c>
      <c r="S230" s="180">
        <f>SUM(Tabela2[[#This Row],[G]:[GWD]])</f>
        <v>8</v>
      </c>
    </row>
    <row r="231" spans="1:19">
      <c r="A231" s="183">
        <v>8</v>
      </c>
      <c r="B231" s="175" t="s">
        <v>756</v>
      </c>
      <c r="C231" s="175" t="s">
        <v>549</v>
      </c>
      <c r="D231" s="175">
        <v>2</v>
      </c>
      <c r="E231" s="175" t="s">
        <v>18</v>
      </c>
      <c r="F231" s="175">
        <v>1</v>
      </c>
      <c r="G231" s="175">
        <v>1</v>
      </c>
      <c r="H231" s="175">
        <v>4</v>
      </c>
      <c r="I231" s="175">
        <v>1</v>
      </c>
      <c r="J231" s="175">
        <v>1</v>
      </c>
      <c r="K231" s="175">
        <v>1</v>
      </c>
      <c r="L231" s="175">
        <v>1</v>
      </c>
      <c r="M231" s="175">
        <v>1</v>
      </c>
      <c r="N231" s="170"/>
      <c r="O231" s="170"/>
      <c r="P231" s="180">
        <f>SUM(Tabela2[[#This Row],[G]]+Tabela2[[#This Row],[D]]+Tabela2[[#This Row],[N]]+Tabela2[[#This Row],[HM]])</f>
        <v>7</v>
      </c>
      <c r="Q231" s="180">
        <f>SUM(Tabela2[[#This Row],[AO]]+Tabela2[[#This Row],[AD]]+Tabela2[[#This Row],[GWO]]+Tabela2[[#This Row],[GWD]])</f>
        <v>4</v>
      </c>
      <c r="R231" s="180">
        <f>Tabela2[[#This Row],[GWO]]+Tabela2[[#This Row],[GWD]]</f>
        <v>2</v>
      </c>
      <c r="S231" s="180">
        <f>SUM(Tabela2[[#This Row],[G]:[GWD]])</f>
        <v>11</v>
      </c>
    </row>
    <row r="232" spans="1:19" ht="30">
      <c r="A232" s="183">
        <v>182</v>
      </c>
      <c r="B232" s="170" t="s">
        <v>552</v>
      </c>
      <c r="C232" s="170" t="s">
        <v>551</v>
      </c>
      <c r="D232" s="170">
        <v>3</v>
      </c>
      <c r="E232" s="170" t="s">
        <v>273</v>
      </c>
      <c r="F232" s="170">
        <v>1</v>
      </c>
      <c r="G232" s="170">
        <v>1</v>
      </c>
      <c r="H232" s="170">
        <v>1</v>
      </c>
      <c r="I232" s="170">
        <v>3</v>
      </c>
      <c r="J232" s="170">
        <v>1</v>
      </c>
      <c r="K232" s="170">
        <v>3</v>
      </c>
      <c r="L232" s="170">
        <v>2</v>
      </c>
      <c r="M232" s="170">
        <v>1</v>
      </c>
      <c r="N232" s="170"/>
      <c r="O232" s="170"/>
      <c r="P232" s="180">
        <f>SUM(Tabela2[[#This Row],[G]]+Tabela2[[#This Row],[D]]+Tabela2[[#This Row],[N]]+Tabela2[[#This Row],[HM]])</f>
        <v>6</v>
      </c>
      <c r="Q232" s="180">
        <f>SUM(Tabela2[[#This Row],[AO]]+Tabela2[[#This Row],[AD]]+Tabela2[[#This Row],[GWO]]+Tabela2[[#This Row],[GWD]])</f>
        <v>7</v>
      </c>
      <c r="R232" s="180">
        <f>Tabela2[[#This Row],[GWO]]+Tabela2[[#This Row],[GWD]]</f>
        <v>3</v>
      </c>
      <c r="S232" s="180">
        <f>SUM(Tabela2[[#This Row],[G]:[GWD]])</f>
        <v>13</v>
      </c>
    </row>
    <row r="233" spans="1:19" ht="30">
      <c r="A233" s="183">
        <v>147</v>
      </c>
      <c r="B233" s="171" t="s">
        <v>599</v>
      </c>
      <c r="C233" s="171" t="s">
        <v>551</v>
      </c>
      <c r="D233" s="171">
        <v>3</v>
      </c>
      <c r="E233" s="171" t="s">
        <v>252</v>
      </c>
      <c r="F233" s="171">
        <v>1</v>
      </c>
      <c r="G233" s="171">
        <v>1</v>
      </c>
      <c r="H233" s="171">
        <v>3</v>
      </c>
      <c r="I233" s="171">
        <v>2</v>
      </c>
      <c r="J233" s="171">
        <v>1</v>
      </c>
      <c r="K233" s="171">
        <v>5</v>
      </c>
      <c r="L233" s="171">
        <v>2</v>
      </c>
      <c r="M233" s="171">
        <v>1</v>
      </c>
      <c r="N233" s="170"/>
      <c r="O233" s="170"/>
      <c r="P233" s="180">
        <f>SUM(Tabela2[[#This Row],[G]]+Tabela2[[#This Row],[D]]+Tabela2[[#This Row],[N]]+Tabela2[[#This Row],[HM]])</f>
        <v>10</v>
      </c>
      <c r="Q233" s="180">
        <f>SUM(Tabela2[[#This Row],[AO]]+Tabela2[[#This Row],[AD]]+Tabela2[[#This Row],[GWO]]+Tabela2[[#This Row],[GWD]])</f>
        <v>6</v>
      </c>
      <c r="R233" s="180">
        <f>Tabela2[[#This Row],[GWO]]+Tabela2[[#This Row],[GWD]]</f>
        <v>3</v>
      </c>
      <c r="S233" s="180">
        <f>SUM(Tabela2[[#This Row],[G]:[GWD]])</f>
        <v>16</v>
      </c>
    </row>
    <row r="234" spans="1:19" ht="30">
      <c r="A234" s="183">
        <v>119</v>
      </c>
      <c r="B234" s="172" t="s">
        <v>627</v>
      </c>
      <c r="C234" s="172" t="s">
        <v>551</v>
      </c>
      <c r="D234" s="172">
        <v>3</v>
      </c>
      <c r="E234" s="172" t="s">
        <v>251</v>
      </c>
      <c r="F234" s="172">
        <v>1</v>
      </c>
      <c r="G234" s="172">
        <v>1</v>
      </c>
      <c r="H234" s="172">
        <v>1</v>
      </c>
      <c r="I234" s="172">
        <v>1</v>
      </c>
      <c r="J234" s="172">
        <v>1</v>
      </c>
      <c r="K234" s="172">
        <v>1</v>
      </c>
      <c r="L234" s="172">
        <v>1</v>
      </c>
      <c r="M234" s="172">
        <v>1</v>
      </c>
      <c r="N234" s="170"/>
      <c r="O234" s="170"/>
      <c r="P234" s="180">
        <f>SUM(Tabela2[[#This Row],[G]]+Tabela2[[#This Row],[D]]+Tabela2[[#This Row],[N]]+Tabela2[[#This Row],[HM]])</f>
        <v>4</v>
      </c>
      <c r="Q234" s="180">
        <f>SUM(Tabela2[[#This Row],[AO]]+Tabela2[[#This Row],[AD]]+Tabela2[[#This Row],[GWO]]+Tabela2[[#This Row],[GWD]])</f>
        <v>4</v>
      </c>
      <c r="R234" s="180">
        <f>Tabela2[[#This Row],[GWO]]+Tabela2[[#This Row],[GWD]]</f>
        <v>2</v>
      </c>
      <c r="S234" s="180">
        <f>SUM(Tabela2[[#This Row],[G]:[GWD]])</f>
        <v>8</v>
      </c>
    </row>
    <row r="235" spans="1:19" ht="30">
      <c r="A235" s="183">
        <v>91</v>
      </c>
      <c r="B235" s="174" t="s">
        <v>654</v>
      </c>
      <c r="C235" s="174" t="s">
        <v>551</v>
      </c>
      <c r="D235" s="174">
        <v>3</v>
      </c>
      <c r="E235" s="174" t="s">
        <v>250</v>
      </c>
      <c r="F235" s="174">
        <v>2</v>
      </c>
      <c r="G235" s="174">
        <v>2</v>
      </c>
      <c r="H235" s="174">
        <v>1</v>
      </c>
      <c r="I235" s="174">
        <v>1</v>
      </c>
      <c r="J235" s="174">
        <v>1</v>
      </c>
      <c r="K235" s="174">
        <v>5</v>
      </c>
      <c r="L235" s="174">
        <v>1</v>
      </c>
      <c r="M235" s="174">
        <v>1</v>
      </c>
      <c r="N235" s="174" t="s">
        <v>446</v>
      </c>
      <c r="O235" s="174" t="s">
        <v>205</v>
      </c>
      <c r="P235" s="185">
        <f>SUM(Tabela2[[#This Row],[G]]+Tabela2[[#This Row],[D]]+Tabela2[[#This Row],[N]]+Tabela2[[#This Row],[HM]])</f>
        <v>10</v>
      </c>
      <c r="Q235" s="185">
        <f>SUM(Tabela2[[#This Row],[AO]]+Tabela2[[#This Row],[AD]]+Tabela2[[#This Row],[GWO]]+Tabela2[[#This Row],[GWD]])</f>
        <v>4</v>
      </c>
      <c r="R235" s="185">
        <f>Tabela2[[#This Row],[GWO]]+Tabela2[[#This Row],[GWD]]</f>
        <v>2</v>
      </c>
      <c r="S235" s="180">
        <f>SUM(Tabela2[[#This Row],[G]:[GWD]])</f>
        <v>14</v>
      </c>
    </row>
    <row r="236" spans="1:19" ht="30">
      <c r="A236" s="183">
        <v>59</v>
      </c>
      <c r="B236" s="175" t="s">
        <v>690</v>
      </c>
      <c r="C236" s="175" t="s">
        <v>689</v>
      </c>
      <c r="D236" s="175">
        <v>3</v>
      </c>
      <c r="E236" s="175" t="s">
        <v>18</v>
      </c>
      <c r="F236" s="175">
        <v>1</v>
      </c>
      <c r="G236" s="175">
        <v>1</v>
      </c>
      <c r="H236" s="175">
        <v>1</v>
      </c>
      <c r="I236" s="175">
        <v>2</v>
      </c>
      <c r="J236" s="175">
        <v>1</v>
      </c>
      <c r="K236" s="175">
        <v>1</v>
      </c>
      <c r="L236" s="175">
        <v>2</v>
      </c>
      <c r="M236" s="175">
        <v>1</v>
      </c>
      <c r="N236" s="170"/>
      <c r="O236" s="170" t="s">
        <v>205</v>
      </c>
      <c r="P236" s="180">
        <f>SUM(Tabela2[[#This Row],[G]]+Tabela2[[#This Row],[D]]+Tabela2[[#This Row],[N]]+Tabela2[[#This Row],[HM]])</f>
        <v>4</v>
      </c>
      <c r="Q236" s="180">
        <f>SUM(Tabela2[[#This Row],[AO]]+Tabela2[[#This Row],[AD]]+Tabela2[[#This Row],[GWO]]+Tabela2[[#This Row],[GWD]])</f>
        <v>6</v>
      </c>
      <c r="R236" s="180">
        <f>Tabela2[[#This Row],[GWO]]+Tabela2[[#This Row],[GWD]]</f>
        <v>3</v>
      </c>
      <c r="S236" s="180">
        <f>SUM(Tabela2[[#This Row],[G]:[GWD]])</f>
        <v>10</v>
      </c>
    </row>
    <row r="237" spans="1:19">
      <c r="A237" s="183">
        <v>181</v>
      </c>
      <c r="B237" s="170" t="s">
        <v>554</v>
      </c>
      <c r="C237" s="170" t="s">
        <v>553</v>
      </c>
      <c r="D237" s="170">
        <v>3</v>
      </c>
      <c r="E237" s="170" t="s">
        <v>273</v>
      </c>
      <c r="F237" s="170">
        <v>1</v>
      </c>
      <c r="G237" s="170">
        <v>1</v>
      </c>
      <c r="H237" s="170">
        <v>1</v>
      </c>
      <c r="I237" s="170">
        <v>1</v>
      </c>
      <c r="J237" s="170">
        <v>1</v>
      </c>
      <c r="K237" s="170">
        <v>1</v>
      </c>
      <c r="L237" s="170">
        <v>1</v>
      </c>
      <c r="M237" s="170">
        <v>1</v>
      </c>
      <c r="N237" s="170"/>
      <c r="O237" s="170"/>
      <c r="P237" s="180">
        <f>SUM(Tabela2[[#This Row],[G]]+Tabela2[[#This Row],[D]]+Tabela2[[#This Row],[N]]+Tabela2[[#This Row],[HM]])</f>
        <v>4</v>
      </c>
      <c r="Q237" s="180">
        <f>SUM(Tabela2[[#This Row],[AO]]+Tabela2[[#This Row],[AD]]+Tabela2[[#This Row],[GWO]]+Tabela2[[#This Row],[GWD]])</f>
        <v>4</v>
      </c>
      <c r="R237" s="180">
        <f>Tabela2[[#This Row],[GWO]]+Tabela2[[#This Row],[GWD]]</f>
        <v>2</v>
      </c>
      <c r="S237" s="180">
        <f>SUM(Tabela2[[#This Row],[G]:[GWD]])</f>
        <v>8</v>
      </c>
    </row>
    <row r="238" spans="1:19">
      <c r="A238" s="183">
        <v>146</v>
      </c>
      <c r="B238" s="171" t="s">
        <v>600</v>
      </c>
      <c r="C238" s="171" t="s">
        <v>553</v>
      </c>
      <c r="D238" s="171">
        <v>3</v>
      </c>
      <c r="E238" s="171" t="s">
        <v>252</v>
      </c>
      <c r="F238" s="171">
        <v>2</v>
      </c>
      <c r="G238" s="171">
        <v>1</v>
      </c>
      <c r="H238" s="171">
        <v>1</v>
      </c>
      <c r="I238" s="171">
        <v>2</v>
      </c>
      <c r="J238" s="171">
        <v>2</v>
      </c>
      <c r="K238" s="171">
        <v>3</v>
      </c>
      <c r="L238" s="171">
        <v>2</v>
      </c>
      <c r="M238" s="171">
        <v>1</v>
      </c>
      <c r="N238" s="170"/>
      <c r="O238" s="170"/>
      <c r="P238" s="180">
        <f>SUM(Tabela2[[#This Row],[G]]+Tabela2[[#This Row],[D]]+Tabela2[[#This Row],[N]]+Tabela2[[#This Row],[HM]])</f>
        <v>7</v>
      </c>
      <c r="Q238" s="180">
        <f>SUM(Tabela2[[#This Row],[AO]]+Tabela2[[#This Row],[AD]]+Tabela2[[#This Row],[GWO]]+Tabela2[[#This Row],[GWD]])</f>
        <v>7</v>
      </c>
      <c r="R238" s="180">
        <f>Tabela2[[#This Row],[GWO]]+Tabela2[[#This Row],[GWD]]</f>
        <v>3</v>
      </c>
      <c r="S238" s="180">
        <f>SUM(Tabela2[[#This Row],[G]:[GWD]])</f>
        <v>14</v>
      </c>
    </row>
    <row r="239" spans="1:19">
      <c r="A239" s="183">
        <v>118</v>
      </c>
      <c r="B239" s="172" t="s">
        <v>150</v>
      </c>
      <c r="C239" s="172" t="s">
        <v>553</v>
      </c>
      <c r="D239" s="172">
        <v>3</v>
      </c>
      <c r="E239" s="172" t="s">
        <v>251</v>
      </c>
      <c r="F239" s="172">
        <v>5</v>
      </c>
      <c r="G239" s="172">
        <v>4</v>
      </c>
      <c r="H239" s="172">
        <v>3</v>
      </c>
      <c r="I239" s="172">
        <v>5</v>
      </c>
      <c r="J239" s="172">
        <v>5</v>
      </c>
      <c r="K239" s="172">
        <v>5</v>
      </c>
      <c r="L239" s="172">
        <v>4</v>
      </c>
      <c r="M239" s="172">
        <v>3</v>
      </c>
      <c r="N239" s="170"/>
      <c r="O239" s="170" t="s">
        <v>205</v>
      </c>
      <c r="P239" s="180">
        <f>SUM(Tabela2[[#This Row],[G]]+Tabela2[[#This Row],[D]]+Tabela2[[#This Row],[N]]+Tabela2[[#This Row],[HM]])</f>
        <v>17</v>
      </c>
      <c r="Q239" s="180">
        <f>SUM(Tabela2[[#This Row],[AO]]+Tabela2[[#This Row],[AD]]+Tabela2[[#This Row],[GWO]]+Tabela2[[#This Row],[GWD]])</f>
        <v>17</v>
      </c>
      <c r="R239" s="180">
        <f>Tabela2[[#This Row],[GWO]]+Tabela2[[#This Row],[GWD]]</f>
        <v>7</v>
      </c>
      <c r="S239" s="180">
        <f>SUM(Tabela2[[#This Row],[G]:[GWD]])</f>
        <v>34</v>
      </c>
    </row>
    <row r="240" spans="1:19">
      <c r="A240" s="183">
        <v>90</v>
      </c>
      <c r="B240" s="174" t="s">
        <v>655</v>
      </c>
      <c r="C240" s="174" t="s">
        <v>553</v>
      </c>
      <c r="D240" s="174">
        <v>3</v>
      </c>
      <c r="E240" s="174" t="s">
        <v>250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446</v>
      </c>
      <c r="O240" s="174"/>
      <c r="P240" s="185">
        <f>SUM(Tabela2[[#This Row],[G]]+Tabela2[[#This Row],[D]]+Tabela2[[#This Row],[N]]+Tabela2[[#This Row],[HM]])</f>
        <v>4</v>
      </c>
      <c r="Q240" s="185">
        <f>SUM(Tabela2[[#This Row],[AO]]+Tabela2[[#This Row],[AD]]+Tabela2[[#This Row],[GWO]]+Tabela2[[#This Row],[GWD]])</f>
        <v>4</v>
      </c>
      <c r="R240" s="185">
        <f>Tabela2[[#This Row],[GWO]]+Tabela2[[#This Row],[GWD]]</f>
        <v>2</v>
      </c>
      <c r="S240" s="180">
        <f>SUM(Tabela2[[#This Row],[G]:[GWD]])</f>
        <v>8</v>
      </c>
    </row>
    <row r="241" spans="1:19">
      <c r="A241" s="183">
        <v>58</v>
      </c>
      <c r="B241" s="175" t="s">
        <v>692</v>
      </c>
      <c r="C241" s="175" t="s">
        <v>691</v>
      </c>
      <c r="D241" s="175">
        <v>3</v>
      </c>
      <c r="E241" s="175" t="s">
        <v>18</v>
      </c>
      <c r="F241" s="175">
        <v>3</v>
      </c>
      <c r="G241" s="175">
        <v>5</v>
      </c>
      <c r="H241" s="175">
        <v>1</v>
      </c>
      <c r="I241" s="175">
        <v>2</v>
      </c>
      <c r="J241" s="175">
        <v>2</v>
      </c>
      <c r="K241" s="175">
        <v>4</v>
      </c>
      <c r="L241" s="175">
        <v>2</v>
      </c>
      <c r="M241" s="175">
        <v>2</v>
      </c>
      <c r="N241" s="170"/>
      <c r="O241" s="170" t="s">
        <v>205</v>
      </c>
      <c r="P241" s="180">
        <f>SUM(Tabela2[[#This Row],[G]]+Tabela2[[#This Row],[D]]+Tabela2[[#This Row],[N]]+Tabela2[[#This Row],[HM]])</f>
        <v>13</v>
      </c>
      <c r="Q241" s="180">
        <f>SUM(Tabela2[[#This Row],[AO]]+Tabela2[[#This Row],[AD]]+Tabela2[[#This Row],[GWO]]+Tabela2[[#This Row],[GWD]])</f>
        <v>8</v>
      </c>
      <c r="R241" s="180">
        <f>Tabela2[[#This Row],[GWO]]+Tabela2[[#This Row],[GWD]]</f>
        <v>4</v>
      </c>
      <c r="S241" s="180">
        <f>SUM(Tabela2[[#This Row],[G]:[GWD]])</f>
        <v>21</v>
      </c>
    </row>
    <row r="242" spans="1:19">
      <c r="A242" s="183">
        <v>180</v>
      </c>
      <c r="B242" s="170" t="s">
        <v>555</v>
      </c>
      <c r="C242" s="170" t="s">
        <v>284</v>
      </c>
      <c r="D242" s="170">
        <v>3</v>
      </c>
      <c r="E242" s="170" t="s">
        <v>273</v>
      </c>
      <c r="F242" s="170">
        <v>1</v>
      </c>
      <c r="G242" s="170">
        <v>1</v>
      </c>
      <c r="H242" s="170">
        <v>1</v>
      </c>
      <c r="I242" s="170">
        <v>2</v>
      </c>
      <c r="J242" s="170">
        <v>1</v>
      </c>
      <c r="K242" s="170">
        <v>4</v>
      </c>
      <c r="L242" s="170">
        <v>3</v>
      </c>
      <c r="M242" s="170">
        <v>2</v>
      </c>
      <c r="N242" s="170"/>
      <c r="O242" s="170"/>
      <c r="P242" s="180">
        <f>SUM(Tabela2[[#This Row],[G]]+Tabela2[[#This Row],[D]]+Tabela2[[#This Row],[N]]+Tabela2[[#This Row],[HM]])</f>
        <v>7</v>
      </c>
      <c r="Q242" s="180">
        <f>SUM(Tabela2[[#This Row],[AO]]+Tabela2[[#This Row],[AD]]+Tabela2[[#This Row],[GWO]]+Tabela2[[#This Row],[GWD]])</f>
        <v>8</v>
      </c>
      <c r="R242" s="180">
        <f>Tabela2[[#This Row],[GWO]]+Tabela2[[#This Row],[GWD]]</f>
        <v>5</v>
      </c>
      <c r="S242" s="180">
        <f>SUM(Tabela2[[#This Row],[G]:[GWD]])</f>
        <v>15</v>
      </c>
    </row>
    <row r="243" spans="1:19">
      <c r="A243" s="183">
        <v>145</v>
      </c>
      <c r="B243" s="171" t="s">
        <v>601</v>
      </c>
      <c r="C243" s="171" t="s">
        <v>284</v>
      </c>
      <c r="D243" s="171">
        <v>3</v>
      </c>
      <c r="E243" s="171" t="s">
        <v>252</v>
      </c>
      <c r="F243" s="171">
        <v>1</v>
      </c>
      <c r="G243" s="171">
        <v>1</v>
      </c>
      <c r="H243" s="171">
        <v>1</v>
      </c>
      <c r="I243" s="171">
        <v>1</v>
      </c>
      <c r="J243" s="171">
        <v>1</v>
      </c>
      <c r="K243" s="171">
        <v>2</v>
      </c>
      <c r="L243" s="171">
        <v>1</v>
      </c>
      <c r="M243" s="171">
        <v>1</v>
      </c>
      <c r="N243" s="170"/>
      <c r="O243" s="170"/>
      <c r="P243" s="180">
        <f>SUM(Tabela2[[#This Row],[G]]+Tabela2[[#This Row],[D]]+Tabela2[[#This Row],[N]]+Tabela2[[#This Row],[HM]])</f>
        <v>5</v>
      </c>
      <c r="Q243" s="180">
        <f>SUM(Tabela2[[#This Row],[AO]]+Tabela2[[#This Row],[AD]]+Tabela2[[#This Row],[GWO]]+Tabela2[[#This Row],[GWD]])</f>
        <v>4</v>
      </c>
      <c r="R243" s="180">
        <f>Tabela2[[#This Row],[GWO]]+Tabela2[[#This Row],[GWD]]</f>
        <v>2</v>
      </c>
      <c r="S243" s="180">
        <f>SUM(Tabela2[[#This Row],[G]:[GWD]])</f>
        <v>9</v>
      </c>
    </row>
    <row r="244" spans="1:19">
      <c r="A244" s="183">
        <v>117</v>
      </c>
      <c r="B244" s="172" t="s">
        <v>628</v>
      </c>
      <c r="C244" s="172" t="s">
        <v>284</v>
      </c>
      <c r="D244" s="172">
        <v>3</v>
      </c>
      <c r="E244" s="172" t="s">
        <v>251</v>
      </c>
      <c r="F244" s="172">
        <v>2</v>
      </c>
      <c r="G244" s="172">
        <v>1</v>
      </c>
      <c r="H244" s="172">
        <v>1</v>
      </c>
      <c r="I244" s="172">
        <v>2</v>
      </c>
      <c r="J244" s="172">
        <v>1</v>
      </c>
      <c r="K244" s="172">
        <v>1</v>
      </c>
      <c r="L244" s="172">
        <v>3</v>
      </c>
      <c r="M244" s="172">
        <v>1</v>
      </c>
      <c r="N244" s="170"/>
      <c r="O244" s="170"/>
      <c r="P244" s="180">
        <f>SUM(Tabela2[[#This Row],[G]]+Tabela2[[#This Row],[D]]+Tabela2[[#This Row],[N]]+Tabela2[[#This Row],[HM]])</f>
        <v>5</v>
      </c>
      <c r="Q244" s="180">
        <f>SUM(Tabela2[[#This Row],[AO]]+Tabela2[[#This Row],[AD]]+Tabela2[[#This Row],[GWO]]+Tabela2[[#This Row],[GWD]])</f>
        <v>7</v>
      </c>
      <c r="R244" s="180">
        <f>Tabela2[[#This Row],[GWO]]+Tabela2[[#This Row],[GWD]]</f>
        <v>4</v>
      </c>
      <c r="S244" s="180">
        <f>SUM(Tabela2[[#This Row],[G]:[GWD]])</f>
        <v>12</v>
      </c>
    </row>
    <row r="245" spans="1:19">
      <c r="A245" s="183">
        <v>89</v>
      </c>
      <c r="B245" s="174" t="s">
        <v>656</v>
      </c>
      <c r="C245" s="174" t="s">
        <v>284</v>
      </c>
      <c r="D245" s="174">
        <v>3</v>
      </c>
      <c r="E245" s="174" t="s">
        <v>250</v>
      </c>
      <c r="F245" s="174">
        <v>1</v>
      </c>
      <c r="G245" s="174">
        <v>1</v>
      </c>
      <c r="H245" s="174">
        <v>1</v>
      </c>
      <c r="I245" s="174">
        <v>1</v>
      </c>
      <c r="J245" s="174">
        <v>2</v>
      </c>
      <c r="K245" s="174">
        <v>1</v>
      </c>
      <c r="L245" s="174">
        <v>1</v>
      </c>
      <c r="M245" s="174">
        <v>1</v>
      </c>
      <c r="N245" s="174" t="s">
        <v>446</v>
      </c>
      <c r="O245" s="174"/>
      <c r="P245" s="185">
        <f>SUM(Tabela2[[#This Row],[G]]+Tabela2[[#This Row],[D]]+Tabela2[[#This Row],[N]]+Tabela2[[#This Row],[HM]])</f>
        <v>4</v>
      </c>
      <c r="Q245" s="185">
        <f>SUM(Tabela2[[#This Row],[AO]]+Tabela2[[#This Row],[AD]]+Tabela2[[#This Row],[GWO]]+Tabela2[[#This Row],[GWD]])</f>
        <v>5</v>
      </c>
      <c r="R245" s="185">
        <f>Tabela2[[#This Row],[GWO]]+Tabela2[[#This Row],[GWD]]</f>
        <v>2</v>
      </c>
      <c r="S245" s="180">
        <f>SUM(Tabela2[[#This Row],[G]:[GWD]])</f>
        <v>9</v>
      </c>
    </row>
    <row r="246" spans="1:19">
      <c r="A246" s="183">
        <v>57</v>
      </c>
      <c r="B246" s="175" t="s">
        <v>693</v>
      </c>
      <c r="C246" s="175" t="s">
        <v>284</v>
      </c>
      <c r="D246" s="175">
        <v>3</v>
      </c>
      <c r="E246" s="175" t="s">
        <v>18</v>
      </c>
      <c r="F246" s="175">
        <v>1</v>
      </c>
      <c r="G246" s="175">
        <v>1</v>
      </c>
      <c r="H246" s="175">
        <v>1</v>
      </c>
      <c r="I246" s="175">
        <v>1</v>
      </c>
      <c r="J246" s="175">
        <v>2</v>
      </c>
      <c r="K246" s="175">
        <v>1</v>
      </c>
      <c r="L246" s="175">
        <v>1</v>
      </c>
      <c r="M246" s="175">
        <v>1</v>
      </c>
      <c r="N246" s="170"/>
      <c r="O246" s="170"/>
      <c r="P246" s="180">
        <f>SUM(Tabela2[[#This Row],[G]]+Tabela2[[#This Row],[D]]+Tabela2[[#This Row],[N]]+Tabela2[[#This Row],[HM]])</f>
        <v>4</v>
      </c>
      <c r="Q246" s="180">
        <f>SUM(Tabela2[[#This Row],[AO]]+Tabela2[[#This Row],[AD]]+Tabela2[[#This Row],[GWO]]+Tabela2[[#This Row],[GWD]])</f>
        <v>5</v>
      </c>
      <c r="R246" s="180">
        <f>Tabela2[[#This Row],[GWO]]+Tabela2[[#This Row],[GWD]]</f>
        <v>2</v>
      </c>
      <c r="S246" s="180">
        <f>SUM(Tabela2[[#This Row],[G]:[GWD]])</f>
        <v>9</v>
      </c>
    </row>
    <row r="247" spans="1:19">
      <c r="A247" s="183">
        <v>179</v>
      </c>
      <c r="B247" s="170" t="s">
        <v>557</v>
      </c>
      <c r="C247" s="170" t="s">
        <v>556</v>
      </c>
      <c r="D247" s="170">
        <v>3</v>
      </c>
      <c r="E247" s="170" t="s">
        <v>273</v>
      </c>
      <c r="F247" s="170">
        <v>2</v>
      </c>
      <c r="G247" s="170">
        <v>2</v>
      </c>
      <c r="H247" s="170">
        <v>1</v>
      </c>
      <c r="I247" s="170">
        <v>2</v>
      </c>
      <c r="J247" s="170">
        <v>2</v>
      </c>
      <c r="K247" s="170">
        <v>1</v>
      </c>
      <c r="L247" s="170">
        <v>2</v>
      </c>
      <c r="M247" s="170">
        <v>1</v>
      </c>
      <c r="N247" s="170"/>
      <c r="O247" s="170"/>
      <c r="P247" s="180">
        <f>SUM(Tabela2[[#This Row],[G]]+Tabela2[[#This Row],[D]]+Tabela2[[#This Row],[N]]+Tabela2[[#This Row],[HM]])</f>
        <v>6</v>
      </c>
      <c r="Q247" s="180">
        <f>SUM(Tabela2[[#This Row],[AO]]+Tabela2[[#This Row],[AD]]+Tabela2[[#This Row],[GWO]]+Tabela2[[#This Row],[GWD]])</f>
        <v>7</v>
      </c>
      <c r="R247" s="180">
        <f>Tabela2[[#This Row],[GWO]]+Tabela2[[#This Row],[GWD]]</f>
        <v>3</v>
      </c>
      <c r="S247" s="180">
        <f>SUM(Tabela2[[#This Row],[G]:[GWD]])</f>
        <v>13</v>
      </c>
    </row>
    <row r="248" spans="1:19">
      <c r="A248" s="183">
        <v>35</v>
      </c>
      <c r="B248" s="171" t="s">
        <v>727</v>
      </c>
      <c r="C248" s="171" t="s">
        <v>726</v>
      </c>
      <c r="D248" s="171">
        <v>2</v>
      </c>
      <c r="E248" s="171" t="s">
        <v>252</v>
      </c>
      <c r="F248" s="171">
        <v>1</v>
      </c>
      <c r="G248" s="171">
        <v>1</v>
      </c>
      <c r="H248" s="171">
        <v>1</v>
      </c>
      <c r="I248" s="171">
        <v>1</v>
      </c>
      <c r="J248" s="171">
        <v>1</v>
      </c>
      <c r="K248" s="171">
        <v>1</v>
      </c>
      <c r="L248" s="171">
        <v>1</v>
      </c>
      <c r="M248" s="171">
        <v>1</v>
      </c>
      <c r="N248" s="170"/>
      <c r="O248" s="170"/>
      <c r="P248" s="180">
        <f>SUM(Tabela2[[#This Row],[G]]+Tabela2[[#This Row],[D]]+Tabela2[[#This Row],[N]]+Tabela2[[#This Row],[HM]])</f>
        <v>4</v>
      </c>
      <c r="Q248" s="180">
        <f>SUM(Tabela2[[#This Row],[AO]]+Tabela2[[#This Row],[AD]]+Tabela2[[#This Row],[GWO]]+Tabela2[[#This Row],[GWD]])</f>
        <v>4</v>
      </c>
      <c r="R248" s="180">
        <f>Tabela2[[#This Row],[GWO]]+Tabela2[[#This Row],[GWD]]</f>
        <v>2</v>
      </c>
      <c r="S248" s="180">
        <f>SUM(Tabela2[[#This Row],[G]:[GWD]])</f>
        <v>8</v>
      </c>
    </row>
    <row r="249" spans="1:19">
      <c r="A249" s="183">
        <v>29</v>
      </c>
      <c r="B249" s="172" t="s">
        <v>733</v>
      </c>
      <c r="C249" s="172" t="s">
        <v>726</v>
      </c>
      <c r="D249" s="172">
        <v>2</v>
      </c>
      <c r="E249" s="172" t="s">
        <v>251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80">
        <f>SUM(Tabela2[[#This Row],[G]]+Tabela2[[#This Row],[D]]+Tabela2[[#This Row],[N]]+Tabela2[[#This Row],[HM]])</f>
        <v>4</v>
      </c>
      <c r="Q249" s="180">
        <f>SUM(Tabela2[[#This Row],[AO]]+Tabela2[[#This Row],[AD]]+Tabela2[[#This Row],[GWO]]+Tabela2[[#This Row],[GWD]])</f>
        <v>4</v>
      </c>
      <c r="R249" s="180">
        <f>Tabela2[[#This Row],[GWO]]+Tabela2[[#This Row],[GWD]]</f>
        <v>2</v>
      </c>
      <c r="S249" s="180">
        <f>SUM(Tabela2[[#This Row],[G]:[GWD]])</f>
        <v>8</v>
      </c>
    </row>
    <row r="250" spans="1:19">
      <c r="A250" s="183">
        <v>19</v>
      </c>
      <c r="B250" s="174" t="s">
        <v>147</v>
      </c>
      <c r="C250" s="174" t="s">
        <v>726</v>
      </c>
      <c r="D250" s="174">
        <v>2</v>
      </c>
      <c r="E250" s="174" t="s">
        <v>250</v>
      </c>
      <c r="F250" s="174">
        <v>3</v>
      </c>
      <c r="G250" s="174">
        <v>4</v>
      </c>
      <c r="H250" s="174">
        <v>1</v>
      </c>
      <c r="I250" s="174">
        <v>3</v>
      </c>
      <c r="J250" s="174">
        <v>3</v>
      </c>
      <c r="K250" s="174">
        <v>3</v>
      </c>
      <c r="L250" s="174">
        <v>3</v>
      </c>
      <c r="M250" s="174">
        <v>3</v>
      </c>
      <c r="N250" s="174" t="s">
        <v>446</v>
      </c>
      <c r="O250" s="174" t="s">
        <v>205</v>
      </c>
      <c r="P250" s="185">
        <f>SUM(Tabela2[[#This Row],[G]]+Tabela2[[#This Row],[D]]+Tabela2[[#This Row],[N]]+Tabela2[[#This Row],[HM]])</f>
        <v>11</v>
      </c>
      <c r="Q250" s="185">
        <f>SUM(Tabela2[[#This Row],[AO]]+Tabela2[[#This Row],[AD]]+Tabela2[[#This Row],[GWO]]+Tabela2[[#This Row],[GWD]])</f>
        <v>12</v>
      </c>
      <c r="R250" s="185">
        <f>Tabela2[[#This Row],[GWO]]+Tabela2[[#This Row],[GWD]]</f>
        <v>6</v>
      </c>
      <c r="S250" s="180">
        <f>SUM(Tabela2[[#This Row],[G]:[GWD]])</f>
        <v>23</v>
      </c>
    </row>
    <row r="251" spans="1:19">
      <c r="A251" s="183">
        <v>7</v>
      </c>
      <c r="B251" s="175" t="s">
        <v>757</v>
      </c>
      <c r="C251" s="175" t="s">
        <v>556</v>
      </c>
      <c r="D251" s="175">
        <v>2</v>
      </c>
      <c r="E251" s="175" t="s">
        <v>18</v>
      </c>
      <c r="F251" s="175">
        <v>1</v>
      </c>
      <c r="G251" s="175">
        <v>1</v>
      </c>
      <c r="H251" s="175">
        <v>1</v>
      </c>
      <c r="I251" s="175">
        <v>1</v>
      </c>
      <c r="J251" s="175">
        <v>1</v>
      </c>
      <c r="K251" s="175">
        <v>1</v>
      </c>
      <c r="L251" s="175">
        <v>1</v>
      </c>
      <c r="M251" s="175">
        <v>1</v>
      </c>
      <c r="N251" s="170"/>
      <c r="O251" s="170"/>
      <c r="P251" s="180">
        <f>SUM(Tabela2[[#This Row],[G]]+Tabela2[[#This Row],[D]]+Tabela2[[#This Row],[N]]+Tabela2[[#This Row],[HM]])</f>
        <v>4</v>
      </c>
      <c r="Q251" s="180">
        <f>SUM(Tabela2[[#This Row],[AO]]+Tabela2[[#This Row],[AD]]+Tabela2[[#This Row],[GWO]]+Tabela2[[#This Row],[GWD]])</f>
        <v>4</v>
      </c>
      <c r="R251" s="180">
        <f>Tabela2[[#This Row],[GWO]]+Tabela2[[#This Row],[GWD]]</f>
        <v>2</v>
      </c>
      <c r="S251" s="180">
        <f>SUM(Tabela2[[#This Row],[G]:[GWD]])</f>
        <v>8</v>
      </c>
    </row>
    <row r="252" spans="1:19" ht="30">
      <c r="A252" s="183">
        <v>178</v>
      </c>
      <c r="B252" s="170" t="s">
        <v>559</v>
      </c>
      <c r="C252" s="170" t="s">
        <v>558</v>
      </c>
      <c r="D252" s="170">
        <v>3</v>
      </c>
      <c r="E252" s="170" t="s">
        <v>273</v>
      </c>
      <c r="F252" s="170">
        <v>1</v>
      </c>
      <c r="G252" s="170">
        <v>1</v>
      </c>
      <c r="H252" s="170">
        <v>1</v>
      </c>
      <c r="I252" s="170">
        <v>1</v>
      </c>
      <c r="J252" s="170">
        <v>1</v>
      </c>
      <c r="K252" s="170">
        <v>1</v>
      </c>
      <c r="L252" s="170">
        <v>1</v>
      </c>
      <c r="M252" s="170">
        <v>1</v>
      </c>
      <c r="N252" s="170"/>
      <c r="O252" s="170"/>
      <c r="P252" s="180">
        <f>SUM(Tabela2[[#This Row],[G]]+Tabela2[[#This Row],[D]]+Tabela2[[#This Row],[N]]+Tabela2[[#This Row],[HM]])</f>
        <v>4</v>
      </c>
      <c r="Q252" s="180">
        <f>SUM(Tabela2[[#This Row],[AO]]+Tabela2[[#This Row],[AD]]+Tabela2[[#This Row],[GWO]]+Tabela2[[#This Row],[GWD]])</f>
        <v>4</v>
      </c>
      <c r="R252" s="180">
        <f>Tabela2[[#This Row],[GWO]]+Tabela2[[#This Row],[GWD]]</f>
        <v>2</v>
      </c>
      <c r="S252" s="180">
        <f>SUM(Tabela2[[#This Row],[G]:[GWD]])</f>
        <v>8</v>
      </c>
    </row>
    <row r="253" spans="1:19">
      <c r="A253" s="183">
        <v>177</v>
      </c>
      <c r="B253" s="170" t="s">
        <v>561</v>
      </c>
      <c r="C253" s="170" t="s">
        <v>560</v>
      </c>
      <c r="D253" s="170">
        <v>3</v>
      </c>
      <c r="E253" s="170" t="s">
        <v>273</v>
      </c>
      <c r="F253" s="170">
        <v>1</v>
      </c>
      <c r="G253" s="170">
        <v>1</v>
      </c>
      <c r="H253" s="170">
        <v>1</v>
      </c>
      <c r="I253" s="170">
        <v>1</v>
      </c>
      <c r="J253" s="170">
        <v>1</v>
      </c>
      <c r="K253" s="170">
        <v>3</v>
      </c>
      <c r="L253" s="170">
        <v>1</v>
      </c>
      <c r="M253" s="170">
        <v>1</v>
      </c>
      <c r="N253" s="170"/>
      <c r="O253" s="170"/>
      <c r="P253" s="180">
        <f>SUM(Tabela2[[#This Row],[G]]+Tabela2[[#This Row],[D]]+Tabela2[[#This Row],[N]]+Tabela2[[#This Row],[HM]])</f>
        <v>6</v>
      </c>
      <c r="Q253" s="180">
        <f>SUM(Tabela2[[#This Row],[AO]]+Tabela2[[#This Row],[AD]]+Tabela2[[#This Row],[GWO]]+Tabela2[[#This Row],[GWD]])</f>
        <v>4</v>
      </c>
      <c r="R253" s="180">
        <f>Tabela2[[#This Row],[GWO]]+Tabela2[[#This Row],[GWD]]</f>
        <v>2</v>
      </c>
      <c r="S253" s="180">
        <f>SUM(Tabela2[[#This Row],[G]:[GWD]])</f>
        <v>10</v>
      </c>
    </row>
    <row r="254" spans="1:19">
      <c r="A254" s="183">
        <v>88</v>
      </c>
      <c r="B254" s="174" t="s">
        <v>657</v>
      </c>
      <c r="C254" s="174" t="s">
        <v>560</v>
      </c>
      <c r="D254" s="174">
        <v>3</v>
      </c>
      <c r="E254" s="174" t="s">
        <v>250</v>
      </c>
      <c r="F254" s="174">
        <v>1</v>
      </c>
      <c r="G254" s="174">
        <v>1</v>
      </c>
      <c r="H254" s="174">
        <v>1</v>
      </c>
      <c r="I254" s="174">
        <v>1</v>
      </c>
      <c r="J254" s="174">
        <v>1</v>
      </c>
      <c r="K254" s="174">
        <v>1</v>
      </c>
      <c r="L254" s="174">
        <v>1</v>
      </c>
      <c r="M254" s="174">
        <v>1</v>
      </c>
      <c r="N254" s="170"/>
      <c r="O254" s="170"/>
      <c r="P254" s="180">
        <f>SUM(Tabela2[[#This Row],[G]]+Tabela2[[#This Row],[D]]+Tabela2[[#This Row],[N]]+Tabela2[[#This Row],[HM]])</f>
        <v>4</v>
      </c>
      <c r="Q254" s="180">
        <f>SUM(Tabela2[[#This Row],[AO]]+Tabela2[[#This Row],[AD]]+Tabela2[[#This Row],[GWO]]+Tabela2[[#This Row],[GWD]])</f>
        <v>4</v>
      </c>
      <c r="R254" s="180">
        <f>Tabela2[[#This Row],[GWO]]+Tabela2[[#This Row],[GWD]]</f>
        <v>2</v>
      </c>
      <c r="S254" s="180">
        <f>SUM(Tabela2[[#This Row],[G]:[GWD]])</f>
        <v>8</v>
      </c>
    </row>
    <row r="255" spans="1:19">
      <c r="A255" s="183">
        <v>56</v>
      </c>
      <c r="B255" s="175" t="s">
        <v>695</v>
      </c>
      <c r="C255" s="175" t="s">
        <v>694</v>
      </c>
      <c r="D255" s="175">
        <v>3</v>
      </c>
      <c r="E255" s="175" t="s">
        <v>18</v>
      </c>
      <c r="F255" s="175">
        <v>1</v>
      </c>
      <c r="G255" s="175">
        <v>1</v>
      </c>
      <c r="H255" s="175">
        <v>1</v>
      </c>
      <c r="I255" s="175">
        <v>1</v>
      </c>
      <c r="J255" s="175">
        <v>1</v>
      </c>
      <c r="K255" s="175">
        <v>1</v>
      </c>
      <c r="L255" s="175">
        <v>1</v>
      </c>
      <c r="M255" s="175">
        <v>1</v>
      </c>
      <c r="N255" s="170"/>
      <c r="O255" s="170"/>
      <c r="P255" s="180">
        <f>SUM(Tabela2[[#This Row],[G]]+Tabela2[[#This Row],[D]]+Tabela2[[#This Row],[N]]+Tabela2[[#This Row],[HM]])</f>
        <v>4</v>
      </c>
      <c r="Q255" s="180">
        <f>SUM(Tabela2[[#This Row],[AO]]+Tabela2[[#This Row],[AD]]+Tabela2[[#This Row],[GWO]]+Tabela2[[#This Row],[GWD]])</f>
        <v>4</v>
      </c>
      <c r="R255" s="180">
        <f>Tabela2[[#This Row],[GWO]]+Tabela2[[#This Row],[GWD]]</f>
        <v>2</v>
      </c>
      <c r="S255" s="180">
        <f>SUM(Tabela2[[#This Row],[G]:[GWD]])</f>
        <v>8</v>
      </c>
    </row>
    <row r="256" spans="1:19">
      <c r="A256" s="183">
        <v>39</v>
      </c>
      <c r="B256" s="171" t="s">
        <v>721</v>
      </c>
      <c r="C256" s="171" t="s">
        <v>694</v>
      </c>
      <c r="D256" s="171">
        <v>2</v>
      </c>
      <c r="E256" s="171" t="s">
        <v>252</v>
      </c>
      <c r="F256" s="171">
        <v>1</v>
      </c>
      <c r="G256" s="171">
        <v>1</v>
      </c>
      <c r="H256" s="171">
        <v>1</v>
      </c>
      <c r="I256" s="171">
        <v>1</v>
      </c>
      <c r="J256" s="171">
        <v>1</v>
      </c>
      <c r="K256" s="171">
        <v>1</v>
      </c>
      <c r="L256" s="171">
        <v>1</v>
      </c>
      <c r="M256" s="171">
        <v>1</v>
      </c>
      <c r="N256" s="170"/>
      <c r="O256" s="170"/>
      <c r="P256" s="180">
        <f>SUM(Tabela2[[#This Row],[G]]+Tabela2[[#This Row],[D]]+Tabela2[[#This Row],[N]]+Tabela2[[#This Row],[HM]])</f>
        <v>4</v>
      </c>
      <c r="Q256" s="180">
        <f>SUM(Tabela2[[#This Row],[AO]]+Tabela2[[#This Row],[AD]]+Tabela2[[#This Row],[GWO]]+Tabela2[[#This Row],[GWD]])</f>
        <v>4</v>
      </c>
      <c r="R256" s="180">
        <f>Tabela2[[#This Row],[GWO]]+Tabela2[[#This Row],[GWD]]</f>
        <v>2</v>
      </c>
      <c r="S256" s="180">
        <f>SUM(Tabela2[[#This Row],[G]:[GWD]])</f>
        <v>8</v>
      </c>
    </row>
    <row r="257" spans="1:19">
      <c r="A257" s="183">
        <v>32</v>
      </c>
      <c r="B257" s="172" t="s">
        <v>729</v>
      </c>
      <c r="C257" s="172" t="s">
        <v>694</v>
      </c>
      <c r="D257" s="172">
        <v>2</v>
      </c>
      <c r="E257" s="172" t="s">
        <v>251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80">
        <f>SUM(Tabela2[[#This Row],[G]]+Tabela2[[#This Row],[D]]+Tabela2[[#This Row],[N]]+Tabela2[[#This Row],[HM]])</f>
        <v>4</v>
      </c>
      <c r="Q257" s="180">
        <f>SUM(Tabela2[[#This Row],[AO]]+Tabela2[[#This Row],[AD]]+Tabela2[[#This Row],[GWO]]+Tabela2[[#This Row],[GWD]])</f>
        <v>4</v>
      </c>
      <c r="R257" s="180">
        <f>Tabela2[[#This Row],[GWO]]+Tabela2[[#This Row],[GWD]]</f>
        <v>2</v>
      </c>
      <c r="S257" s="180">
        <f>SUM(Tabela2[[#This Row],[G]:[GWD]])</f>
        <v>8</v>
      </c>
    </row>
    <row r="258" spans="1:19" ht="30">
      <c r="A258" s="183">
        <v>304</v>
      </c>
      <c r="B258" s="170" t="s">
        <v>414</v>
      </c>
      <c r="C258" s="170" t="s">
        <v>413</v>
      </c>
      <c r="D258" s="170">
        <v>4</v>
      </c>
      <c r="E258" s="170" t="s">
        <v>273</v>
      </c>
      <c r="F258" s="170">
        <v>1</v>
      </c>
      <c r="G258" s="170">
        <v>2</v>
      </c>
      <c r="H258" s="170">
        <v>1</v>
      </c>
      <c r="I258" s="170">
        <v>2</v>
      </c>
      <c r="J258" s="170">
        <v>4</v>
      </c>
      <c r="K258" s="170">
        <v>4</v>
      </c>
      <c r="L258" s="170">
        <v>5</v>
      </c>
      <c r="M258" s="170">
        <v>5</v>
      </c>
      <c r="N258" s="170"/>
      <c r="O258" s="170"/>
      <c r="P258" s="180">
        <f>SUM(Tabela2[[#This Row],[G]]+Tabela2[[#This Row],[D]]+Tabela2[[#This Row],[N]]+Tabela2[[#This Row],[HM]])</f>
        <v>8</v>
      </c>
      <c r="Q258" s="180">
        <f>SUM(Tabela2[[#This Row],[AO]]+Tabela2[[#This Row],[AD]]+Tabela2[[#This Row],[GWO]]+Tabela2[[#This Row],[GWD]])</f>
        <v>16</v>
      </c>
      <c r="R258" s="180">
        <f>Tabela2[[#This Row],[GWO]]+Tabela2[[#This Row],[GWD]]</f>
        <v>10</v>
      </c>
      <c r="S258" s="180">
        <f>SUM(Tabela2[[#This Row],[G]:[GWD]])</f>
        <v>24</v>
      </c>
    </row>
    <row r="259" spans="1:19" ht="30">
      <c r="A259" s="183">
        <v>204</v>
      </c>
      <c r="B259" s="175" t="s">
        <v>517</v>
      </c>
      <c r="C259" s="175" t="s">
        <v>413</v>
      </c>
      <c r="D259" s="175">
        <v>4</v>
      </c>
      <c r="E259" s="175" t="s">
        <v>18</v>
      </c>
      <c r="F259" s="175">
        <v>1</v>
      </c>
      <c r="G259" s="175">
        <v>1</v>
      </c>
      <c r="H259" s="175">
        <v>1</v>
      </c>
      <c r="I259" s="175">
        <v>3</v>
      </c>
      <c r="J259" s="175">
        <v>5</v>
      </c>
      <c r="K259" s="175">
        <v>3</v>
      </c>
      <c r="L259" s="175">
        <v>4</v>
      </c>
      <c r="M259" s="175">
        <v>4</v>
      </c>
      <c r="N259" s="170"/>
      <c r="O259" s="170"/>
      <c r="P259" s="180">
        <f>SUM(Tabela2[[#This Row],[G]]+Tabela2[[#This Row],[D]]+Tabela2[[#This Row],[N]]+Tabela2[[#This Row],[HM]])</f>
        <v>6</v>
      </c>
      <c r="Q259" s="180">
        <f>SUM(Tabela2[[#This Row],[AO]]+Tabela2[[#This Row],[AD]]+Tabela2[[#This Row],[GWO]]+Tabela2[[#This Row],[GWD]])</f>
        <v>16</v>
      </c>
      <c r="R259" s="180">
        <f>Tabela2[[#This Row],[GWO]]+Tabela2[[#This Row],[GWD]]</f>
        <v>8</v>
      </c>
      <c r="S259" s="180">
        <f>SUM(Tabela2[[#This Row],[G]:[GWD]])</f>
        <v>22</v>
      </c>
    </row>
    <row r="260" spans="1:19" ht="30">
      <c r="A260" s="183">
        <v>144</v>
      </c>
      <c r="B260" s="171" t="s">
        <v>602</v>
      </c>
      <c r="C260" s="171" t="s">
        <v>413</v>
      </c>
      <c r="D260" s="171">
        <v>3</v>
      </c>
      <c r="E260" s="171" t="s">
        <v>252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2</v>
      </c>
      <c r="L260" s="171">
        <v>2</v>
      </c>
      <c r="M260" s="171">
        <v>1</v>
      </c>
      <c r="N260" s="170"/>
      <c r="O260" s="170"/>
      <c r="P260" s="180">
        <f>SUM(Tabela2[[#This Row],[G]]+Tabela2[[#This Row],[D]]+Tabela2[[#This Row],[N]]+Tabela2[[#This Row],[HM]])</f>
        <v>5</v>
      </c>
      <c r="Q260" s="180">
        <f>SUM(Tabela2[[#This Row],[AO]]+Tabela2[[#This Row],[AD]]+Tabela2[[#This Row],[GWO]]+Tabela2[[#This Row],[GWD]])</f>
        <v>5</v>
      </c>
      <c r="R260" s="180">
        <f>Tabela2[[#This Row],[GWO]]+Tabela2[[#This Row],[GWD]]</f>
        <v>3</v>
      </c>
      <c r="S260" s="180">
        <f>SUM(Tabela2[[#This Row],[G]:[GWD]])</f>
        <v>10</v>
      </c>
    </row>
    <row r="261" spans="1:19" ht="30">
      <c r="A261" s="183">
        <v>116</v>
      </c>
      <c r="B261" s="172" t="s">
        <v>629</v>
      </c>
      <c r="C261" s="172" t="s">
        <v>413</v>
      </c>
      <c r="D261" s="172">
        <v>3</v>
      </c>
      <c r="E261" s="172" t="s">
        <v>251</v>
      </c>
      <c r="F261" s="172">
        <v>3</v>
      </c>
      <c r="G261" s="172">
        <v>2</v>
      </c>
      <c r="H261" s="172">
        <v>1</v>
      </c>
      <c r="I261" s="172">
        <v>1</v>
      </c>
      <c r="J261" s="172">
        <v>3</v>
      </c>
      <c r="K261" s="172">
        <v>2</v>
      </c>
      <c r="L261" s="172">
        <v>3</v>
      </c>
      <c r="M261" s="172">
        <v>2</v>
      </c>
      <c r="N261" s="173"/>
      <c r="O261" s="173" t="s">
        <v>205</v>
      </c>
      <c r="P261" s="181">
        <f>SUM(Tabela2[[#This Row],[G]]+Tabela2[[#This Row],[D]]+Tabela2[[#This Row],[N]]+Tabela2[[#This Row],[HM]])</f>
        <v>8</v>
      </c>
      <c r="Q261" s="181">
        <f>SUM(Tabela2[[#This Row],[AO]]+Tabela2[[#This Row],[AD]]+Tabela2[[#This Row],[GWO]]+Tabela2[[#This Row],[GWD]])</f>
        <v>9</v>
      </c>
      <c r="R261" s="181">
        <f>Tabela2[[#This Row],[GWO]]+Tabela2[[#This Row],[GWD]]</f>
        <v>5</v>
      </c>
      <c r="S261" s="181">
        <f>SUM(Tabela2[[#This Row],[G]:[GWD]])</f>
        <v>17</v>
      </c>
    </row>
    <row r="262" spans="1:19" ht="30">
      <c r="A262" s="183">
        <v>86</v>
      </c>
      <c r="B262" s="174" t="s">
        <v>659</v>
      </c>
      <c r="C262" s="174" t="s">
        <v>413</v>
      </c>
      <c r="D262" s="174">
        <v>3</v>
      </c>
      <c r="E262" s="174" t="s">
        <v>250</v>
      </c>
      <c r="F262" s="174">
        <v>1</v>
      </c>
      <c r="G262" s="174">
        <v>1</v>
      </c>
      <c r="H262" s="174">
        <v>1</v>
      </c>
      <c r="I262" s="174">
        <v>1</v>
      </c>
      <c r="J262" s="174">
        <v>3</v>
      </c>
      <c r="K262" s="174">
        <v>1</v>
      </c>
      <c r="L262" s="174">
        <v>1</v>
      </c>
      <c r="M262" s="174">
        <v>1</v>
      </c>
      <c r="N262" s="170"/>
      <c r="O262" s="170"/>
      <c r="P262" s="180">
        <f>SUM(Tabela2[[#This Row],[G]]+Tabela2[[#This Row],[D]]+Tabela2[[#This Row],[N]]+Tabela2[[#This Row],[HM]])</f>
        <v>4</v>
      </c>
      <c r="Q262" s="180">
        <f>SUM(Tabela2[[#This Row],[AO]]+Tabela2[[#This Row],[AD]]+Tabela2[[#This Row],[GWO]]+Tabela2[[#This Row],[GWD]])</f>
        <v>6</v>
      </c>
      <c r="R262" s="180">
        <f>Tabela2[[#This Row],[GWO]]+Tabela2[[#This Row],[GWD]]</f>
        <v>2</v>
      </c>
      <c r="S262" s="180">
        <f>SUM(Tabela2[[#This Row],[G]:[GWD]])</f>
        <v>10</v>
      </c>
    </row>
    <row r="263" spans="1:19">
      <c r="A263" s="183">
        <v>6</v>
      </c>
      <c r="B263" s="175" t="s">
        <v>759</v>
      </c>
      <c r="C263" s="175" t="s">
        <v>758</v>
      </c>
      <c r="D263" s="175">
        <v>2</v>
      </c>
      <c r="E263" s="175" t="s">
        <v>18</v>
      </c>
      <c r="F263" s="175">
        <v>1</v>
      </c>
      <c r="G263" s="175">
        <v>1</v>
      </c>
      <c r="H263" s="175">
        <v>1</v>
      </c>
      <c r="I263" s="175">
        <v>1</v>
      </c>
      <c r="J263" s="175">
        <v>1</v>
      </c>
      <c r="K263" s="175">
        <v>1</v>
      </c>
      <c r="L263" s="175">
        <v>1</v>
      </c>
      <c r="M263" s="175">
        <v>1</v>
      </c>
      <c r="N263" s="170"/>
      <c r="O263" s="170"/>
      <c r="P263" s="180">
        <f>SUM(Tabela2[[#This Row],[G]]+Tabela2[[#This Row],[D]]+Tabela2[[#This Row],[N]]+Tabela2[[#This Row],[HM]])</f>
        <v>4</v>
      </c>
      <c r="Q263" s="180">
        <f>SUM(Tabela2[[#This Row],[AO]]+Tabela2[[#This Row],[AD]]+Tabela2[[#This Row],[GWO]]+Tabela2[[#This Row],[GWD]])</f>
        <v>4</v>
      </c>
      <c r="R263" s="180">
        <f>Tabela2[[#This Row],[GWO]]+Tabela2[[#This Row],[GWD]]</f>
        <v>2</v>
      </c>
      <c r="S263" s="180">
        <f>SUM(Tabela2[[#This Row],[G]:[GWD]])</f>
        <v>8</v>
      </c>
    </row>
    <row r="264" spans="1:19">
      <c r="A264" s="183">
        <v>14</v>
      </c>
      <c r="B264" s="174" t="s">
        <v>749</v>
      </c>
      <c r="C264" s="174" t="s">
        <v>748</v>
      </c>
      <c r="D264" s="174">
        <v>2</v>
      </c>
      <c r="E264" s="174" t="s">
        <v>250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80">
        <f>SUM(Tabela2[[#This Row],[G]]+Tabela2[[#This Row],[D]]+Tabela2[[#This Row],[N]]+Tabela2[[#This Row],[HM]])</f>
        <v>4</v>
      </c>
      <c r="Q264" s="180">
        <f>SUM(Tabela2[[#This Row],[AO]]+Tabela2[[#This Row],[AD]]+Tabela2[[#This Row],[GWO]]+Tabela2[[#This Row],[GWD]])</f>
        <v>4</v>
      </c>
      <c r="R264" s="180">
        <f>Tabela2[[#This Row],[GWO]]+Tabela2[[#This Row],[GWD]]</f>
        <v>2</v>
      </c>
      <c r="S264" s="180">
        <f>SUM(Tabela2[[#This Row],[G]:[GWD]])</f>
        <v>8</v>
      </c>
    </row>
    <row r="265" spans="1:19">
      <c r="A265" s="183">
        <v>25</v>
      </c>
      <c r="B265" s="172" t="s">
        <v>739</v>
      </c>
      <c r="C265" s="172" t="s">
        <v>738</v>
      </c>
      <c r="D265" s="172">
        <v>2</v>
      </c>
      <c r="E265" s="172" t="s">
        <v>251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80">
        <f>SUM(Tabela2[[#This Row],[G]]+Tabela2[[#This Row],[D]]+Tabela2[[#This Row],[N]]+Tabela2[[#This Row],[HM]])</f>
        <v>4</v>
      </c>
      <c r="Q265" s="180">
        <f>SUM(Tabela2[[#This Row],[AO]]+Tabela2[[#This Row],[AD]]+Tabela2[[#This Row],[GWO]]+Tabela2[[#This Row],[GWD]])</f>
        <v>4</v>
      </c>
      <c r="R265" s="180">
        <f>Tabela2[[#This Row],[GWO]]+Tabela2[[#This Row],[GWD]]</f>
        <v>2</v>
      </c>
      <c r="S265" s="180">
        <f>SUM(Tabela2[[#This Row],[G]:[GWD]])</f>
        <v>8</v>
      </c>
    </row>
    <row r="266" spans="1:19">
      <c r="A266" s="183">
        <v>176</v>
      </c>
      <c r="B266" s="170" t="s">
        <v>563</v>
      </c>
      <c r="C266" s="170" t="s">
        <v>562</v>
      </c>
      <c r="D266" s="170">
        <v>3</v>
      </c>
      <c r="E266" s="170" t="s">
        <v>273</v>
      </c>
      <c r="F266" s="170">
        <v>1</v>
      </c>
      <c r="G266" s="170">
        <v>1</v>
      </c>
      <c r="H266" s="170">
        <v>1</v>
      </c>
      <c r="I266" s="170">
        <v>1</v>
      </c>
      <c r="J266" s="170">
        <v>1</v>
      </c>
      <c r="K266" s="170">
        <v>1</v>
      </c>
      <c r="L266" s="170">
        <v>2</v>
      </c>
      <c r="M266" s="170">
        <v>1</v>
      </c>
      <c r="N266" s="170"/>
      <c r="O266" s="170"/>
      <c r="P266" s="180">
        <f>SUM(Tabela2[[#This Row],[G]]+Tabela2[[#This Row],[D]]+Tabela2[[#This Row],[N]]+Tabela2[[#This Row],[HM]])</f>
        <v>4</v>
      </c>
      <c r="Q266" s="180">
        <f>SUM(Tabela2[[#This Row],[AO]]+Tabela2[[#This Row],[AD]]+Tabela2[[#This Row],[GWO]]+Tabela2[[#This Row],[GWD]])</f>
        <v>5</v>
      </c>
      <c r="R266" s="180">
        <f>Tabela2[[#This Row],[GWO]]+Tabela2[[#This Row],[GWD]]</f>
        <v>3</v>
      </c>
      <c r="S266" s="180">
        <f>SUM(Tabela2[[#This Row],[G]:[GWD]])</f>
        <v>9</v>
      </c>
    </row>
    <row r="267" spans="1:19">
      <c r="A267" s="183">
        <v>143</v>
      </c>
      <c r="B267" s="171" t="s">
        <v>603</v>
      </c>
      <c r="C267" s="171" t="s">
        <v>562</v>
      </c>
      <c r="D267" s="171">
        <v>3</v>
      </c>
      <c r="E267" s="171" t="s">
        <v>252</v>
      </c>
      <c r="F267" s="171">
        <v>1</v>
      </c>
      <c r="G267" s="171">
        <v>1</v>
      </c>
      <c r="H267" s="171">
        <v>1</v>
      </c>
      <c r="I267" s="171">
        <v>1</v>
      </c>
      <c r="J267" s="171">
        <v>1</v>
      </c>
      <c r="K267" s="171">
        <v>2</v>
      </c>
      <c r="L267" s="171">
        <v>1</v>
      </c>
      <c r="M267" s="171">
        <v>1</v>
      </c>
      <c r="N267" s="170"/>
      <c r="O267" s="170"/>
      <c r="P267" s="180">
        <f>SUM(Tabela2[[#This Row],[G]]+Tabela2[[#This Row],[D]]+Tabela2[[#This Row],[N]]+Tabela2[[#This Row],[HM]])</f>
        <v>5</v>
      </c>
      <c r="Q267" s="180">
        <f>SUM(Tabela2[[#This Row],[AO]]+Tabela2[[#This Row],[AD]]+Tabela2[[#This Row],[GWO]]+Tabela2[[#This Row],[GWD]])</f>
        <v>4</v>
      </c>
      <c r="R267" s="180">
        <f>Tabela2[[#This Row],[GWO]]+Tabela2[[#This Row],[GWD]]</f>
        <v>2</v>
      </c>
      <c r="S267" s="180">
        <f>SUM(Tabela2[[#This Row],[G]:[GWD]])</f>
        <v>9</v>
      </c>
    </row>
    <row r="268" spans="1:19" ht="30">
      <c r="A268" s="183">
        <v>175</v>
      </c>
      <c r="B268" s="170" t="s">
        <v>565</v>
      </c>
      <c r="C268" s="170" t="s">
        <v>564</v>
      </c>
      <c r="D268" s="170">
        <v>3</v>
      </c>
      <c r="E268" s="170" t="s">
        <v>273</v>
      </c>
      <c r="F268" s="170">
        <v>1</v>
      </c>
      <c r="G268" s="170">
        <v>1</v>
      </c>
      <c r="H268" s="170">
        <v>1</v>
      </c>
      <c r="I268" s="170">
        <v>1</v>
      </c>
      <c r="J268" s="170">
        <v>1</v>
      </c>
      <c r="K268" s="170">
        <v>1</v>
      </c>
      <c r="L268" s="170">
        <v>1</v>
      </c>
      <c r="M268" s="170">
        <v>1</v>
      </c>
      <c r="N268" s="170"/>
      <c r="O268" s="170"/>
      <c r="P268" s="180">
        <f>SUM(Tabela2[[#This Row],[G]]+Tabela2[[#This Row],[D]]+Tabela2[[#This Row],[N]]+Tabela2[[#This Row],[HM]])</f>
        <v>4</v>
      </c>
      <c r="Q268" s="180">
        <f>SUM(Tabela2[[#This Row],[AO]]+Tabela2[[#This Row],[AD]]+Tabela2[[#This Row],[GWO]]+Tabela2[[#This Row],[GWD]])</f>
        <v>4</v>
      </c>
      <c r="R268" s="180">
        <f>Tabela2[[#This Row],[GWO]]+Tabela2[[#This Row],[GWD]]</f>
        <v>2</v>
      </c>
      <c r="S268" s="180">
        <f>SUM(Tabela2[[#This Row],[G]:[GWD]])</f>
        <v>8</v>
      </c>
    </row>
    <row r="269" spans="1:19" ht="30">
      <c r="A269" s="183">
        <v>142</v>
      </c>
      <c r="B269" s="171" t="s">
        <v>604</v>
      </c>
      <c r="C269" s="171" t="s">
        <v>564</v>
      </c>
      <c r="D269" s="171">
        <v>3</v>
      </c>
      <c r="E269" s="171" t="s">
        <v>252</v>
      </c>
      <c r="F269" s="171">
        <v>1</v>
      </c>
      <c r="G269" s="171">
        <v>1</v>
      </c>
      <c r="H269" s="171">
        <v>1</v>
      </c>
      <c r="I269" s="171">
        <v>1</v>
      </c>
      <c r="J269" s="171">
        <v>1</v>
      </c>
      <c r="K269" s="171">
        <v>1</v>
      </c>
      <c r="L269" s="171">
        <v>1</v>
      </c>
      <c r="M269" s="171">
        <v>1</v>
      </c>
      <c r="N269" s="170"/>
      <c r="O269" s="170"/>
      <c r="P269" s="180">
        <f>SUM(Tabela2[[#This Row],[G]]+Tabela2[[#This Row],[D]]+Tabela2[[#This Row],[N]]+Tabela2[[#This Row],[HM]])</f>
        <v>4</v>
      </c>
      <c r="Q269" s="180">
        <f>SUM(Tabela2[[#This Row],[AO]]+Tabela2[[#This Row],[AD]]+Tabela2[[#This Row],[GWO]]+Tabela2[[#This Row],[GWD]])</f>
        <v>4</v>
      </c>
      <c r="R269" s="180">
        <f>Tabela2[[#This Row],[GWO]]+Tabela2[[#This Row],[GWD]]</f>
        <v>2</v>
      </c>
      <c r="S269" s="180">
        <f>SUM(Tabela2[[#This Row],[G]:[GWD]])</f>
        <v>8</v>
      </c>
    </row>
    <row r="270" spans="1:19" ht="30">
      <c r="A270" s="183">
        <v>115</v>
      </c>
      <c r="B270" s="172" t="s">
        <v>630</v>
      </c>
      <c r="C270" s="172" t="s">
        <v>564</v>
      </c>
      <c r="D270" s="172">
        <v>3</v>
      </c>
      <c r="E270" s="172" t="s">
        <v>251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0"/>
      <c r="O270" s="170"/>
      <c r="P270" s="180">
        <f>SUM(Tabela2[[#This Row],[G]]+Tabela2[[#This Row],[D]]+Tabela2[[#This Row],[N]]+Tabela2[[#This Row],[HM]])</f>
        <v>4</v>
      </c>
      <c r="Q270" s="180">
        <f>SUM(Tabela2[[#This Row],[AO]]+Tabela2[[#This Row],[AD]]+Tabela2[[#This Row],[GWO]]+Tabela2[[#This Row],[GWD]])</f>
        <v>4</v>
      </c>
      <c r="R270" s="180">
        <f>Tabela2[[#This Row],[GWO]]+Tabela2[[#This Row],[GWD]]</f>
        <v>2</v>
      </c>
      <c r="S270" s="180">
        <f>SUM(Tabela2[[#This Row],[G]:[GWD]])</f>
        <v>8</v>
      </c>
    </row>
    <row r="271" spans="1:19" ht="30">
      <c r="A271" s="183">
        <v>87</v>
      </c>
      <c r="B271" s="174" t="s">
        <v>658</v>
      </c>
      <c r="C271" s="174" t="s">
        <v>564</v>
      </c>
      <c r="D271" s="174">
        <v>3</v>
      </c>
      <c r="E271" s="174" t="s">
        <v>250</v>
      </c>
      <c r="F271" s="174">
        <v>1</v>
      </c>
      <c r="G271" s="174">
        <v>1</v>
      </c>
      <c r="H271" s="174">
        <v>1</v>
      </c>
      <c r="I271" s="174">
        <v>1</v>
      </c>
      <c r="J271" s="174">
        <v>1</v>
      </c>
      <c r="K271" s="174">
        <v>1</v>
      </c>
      <c r="L271" s="174">
        <v>1</v>
      </c>
      <c r="M271" s="174">
        <v>1</v>
      </c>
      <c r="N271" s="170"/>
      <c r="O271" s="170"/>
      <c r="P271" s="180">
        <f>SUM(Tabela2[[#This Row],[G]]+Tabela2[[#This Row],[D]]+Tabela2[[#This Row],[N]]+Tabela2[[#This Row],[HM]])</f>
        <v>4</v>
      </c>
      <c r="Q271" s="180">
        <f>SUM(Tabela2[[#This Row],[AO]]+Tabela2[[#This Row],[AD]]+Tabela2[[#This Row],[GWO]]+Tabela2[[#This Row],[GWD]])</f>
        <v>4</v>
      </c>
      <c r="R271" s="180">
        <f>Tabela2[[#This Row],[GWO]]+Tabela2[[#This Row],[GWD]]</f>
        <v>2</v>
      </c>
      <c r="S271" s="180">
        <f>SUM(Tabela2[[#This Row],[G]:[GWD]])</f>
        <v>8</v>
      </c>
    </row>
    <row r="272" spans="1:19" ht="30">
      <c r="A272" s="183">
        <v>55</v>
      </c>
      <c r="B272" s="175" t="s">
        <v>697</v>
      </c>
      <c r="C272" s="175" t="s">
        <v>696</v>
      </c>
      <c r="D272" s="175">
        <v>3</v>
      </c>
      <c r="E272" s="175" t="s">
        <v>18</v>
      </c>
      <c r="F272" s="175">
        <v>1</v>
      </c>
      <c r="G272" s="175">
        <v>1</v>
      </c>
      <c r="H272" s="175">
        <v>1</v>
      </c>
      <c r="I272" s="175">
        <v>1</v>
      </c>
      <c r="J272" s="175">
        <v>1</v>
      </c>
      <c r="K272" s="175">
        <v>1</v>
      </c>
      <c r="L272" s="175">
        <v>1</v>
      </c>
      <c r="M272" s="175">
        <v>1</v>
      </c>
      <c r="N272" s="170"/>
      <c r="O272" s="170"/>
      <c r="P272" s="180">
        <f>SUM(Tabela2[[#This Row],[G]]+Tabela2[[#This Row],[D]]+Tabela2[[#This Row],[N]]+Tabela2[[#This Row],[HM]])</f>
        <v>4</v>
      </c>
      <c r="Q272" s="180">
        <f>SUM(Tabela2[[#This Row],[AO]]+Tabela2[[#This Row],[AD]]+Tabela2[[#This Row],[GWO]]+Tabela2[[#This Row],[GWD]])</f>
        <v>4</v>
      </c>
      <c r="R272" s="180">
        <f>Tabela2[[#This Row],[GWO]]+Tabela2[[#This Row],[GWD]]</f>
        <v>2</v>
      </c>
      <c r="S272" s="180">
        <f>SUM(Tabela2[[#This Row],[G]:[GWD]])</f>
        <v>8</v>
      </c>
    </row>
    <row r="273" spans="1:19" ht="30">
      <c r="A273" s="183">
        <v>303</v>
      </c>
      <c r="B273" s="170" t="s">
        <v>415</v>
      </c>
      <c r="C273" s="170" t="s">
        <v>358</v>
      </c>
      <c r="D273" s="170">
        <v>4</v>
      </c>
      <c r="E273" s="170" t="s">
        <v>273</v>
      </c>
      <c r="F273" s="170">
        <v>1</v>
      </c>
      <c r="G273" s="170">
        <v>1</v>
      </c>
      <c r="H273" s="170">
        <v>1</v>
      </c>
      <c r="I273" s="170">
        <v>1</v>
      </c>
      <c r="J273" s="170">
        <v>1</v>
      </c>
      <c r="K273" s="170">
        <v>1</v>
      </c>
      <c r="L273" s="170">
        <v>1</v>
      </c>
      <c r="M273" s="170">
        <v>1</v>
      </c>
      <c r="N273" s="170"/>
      <c r="O273" s="170"/>
      <c r="P273" s="180">
        <f>SUM(Tabela2[[#This Row],[G]]+Tabela2[[#This Row],[D]]+Tabela2[[#This Row],[N]]+Tabela2[[#This Row],[HM]])</f>
        <v>4</v>
      </c>
      <c r="Q273" s="180">
        <f>SUM(Tabela2[[#This Row],[AO]]+Tabela2[[#This Row],[AD]]+Tabela2[[#This Row],[GWO]]+Tabela2[[#This Row],[GWD]])</f>
        <v>4</v>
      </c>
      <c r="R273" s="180">
        <f>Tabela2[[#This Row],[GWO]]+Tabela2[[#This Row],[GWD]]</f>
        <v>2</v>
      </c>
      <c r="S273" s="180">
        <f>SUM(Tabela2[[#This Row],[G]:[GWD]])</f>
        <v>8</v>
      </c>
    </row>
    <row r="274" spans="1:19" ht="30">
      <c r="A274" s="183">
        <v>281</v>
      </c>
      <c r="B274" s="171" t="s">
        <v>440</v>
      </c>
      <c r="C274" s="171" t="s">
        <v>358</v>
      </c>
      <c r="D274" s="171">
        <v>4</v>
      </c>
      <c r="E274" s="171" t="s">
        <v>252</v>
      </c>
      <c r="F274" s="171">
        <v>3</v>
      </c>
      <c r="G274" s="171">
        <v>1</v>
      </c>
      <c r="H274" s="171">
        <v>1</v>
      </c>
      <c r="I274" s="171">
        <v>1</v>
      </c>
      <c r="J274" s="171">
        <v>3</v>
      </c>
      <c r="K274" s="171">
        <v>1</v>
      </c>
      <c r="L274" s="171">
        <v>3</v>
      </c>
      <c r="M274" s="171">
        <v>3</v>
      </c>
      <c r="N274" s="170"/>
      <c r="O274" s="170"/>
      <c r="P274" s="180">
        <f>SUM(Tabela2[[#This Row],[G]]+Tabela2[[#This Row],[D]]+Tabela2[[#This Row],[N]]+Tabela2[[#This Row],[HM]])</f>
        <v>6</v>
      </c>
      <c r="Q274" s="180">
        <f>SUM(Tabela2[[#This Row],[AO]]+Tabela2[[#This Row],[AD]]+Tabela2[[#This Row],[GWO]]+Tabela2[[#This Row],[GWD]])</f>
        <v>10</v>
      </c>
      <c r="R274" s="180">
        <f>Tabela2[[#This Row],[GWO]]+Tabela2[[#This Row],[GWD]]</f>
        <v>6</v>
      </c>
      <c r="S274" s="180">
        <f>SUM(Tabela2[[#This Row],[G]:[GWD]])</f>
        <v>16</v>
      </c>
    </row>
    <row r="275" spans="1:19" ht="30">
      <c r="A275" s="183">
        <v>255</v>
      </c>
      <c r="B275" s="172" t="s">
        <v>468</v>
      </c>
      <c r="C275" s="172" t="s">
        <v>358</v>
      </c>
      <c r="D275" s="172">
        <v>4</v>
      </c>
      <c r="E275" s="172" t="s">
        <v>251</v>
      </c>
      <c r="F275" s="172">
        <v>3</v>
      </c>
      <c r="G275" s="172">
        <v>3</v>
      </c>
      <c r="H275" s="172">
        <v>1</v>
      </c>
      <c r="I275" s="172">
        <v>1</v>
      </c>
      <c r="J275" s="172">
        <v>3</v>
      </c>
      <c r="K275" s="172">
        <v>5</v>
      </c>
      <c r="L275" s="172">
        <v>4</v>
      </c>
      <c r="M275" s="172">
        <v>3</v>
      </c>
      <c r="N275" s="170"/>
      <c r="O275" s="170"/>
      <c r="P275" s="180">
        <f>SUM(Tabela2[[#This Row],[G]]+Tabela2[[#This Row],[D]]+Tabela2[[#This Row],[N]]+Tabela2[[#This Row],[HM]])</f>
        <v>12</v>
      </c>
      <c r="Q275" s="180">
        <f>SUM(Tabela2[[#This Row],[AO]]+Tabela2[[#This Row],[AD]]+Tabela2[[#This Row],[GWO]]+Tabela2[[#This Row],[GWD]])</f>
        <v>11</v>
      </c>
      <c r="R275" s="180">
        <f>Tabela2[[#This Row],[GWO]]+Tabela2[[#This Row],[GWD]]</f>
        <v>7</v>
      </c>
      <c r="S275" s="180">
        <f>SUM(Tabela2[[#This Row],[G]:[GWD]])</f>
        <v>23</v>
      </c>
    </row>
    <row r="276" spans="1:19" ht="30">
      <c r="A276" s="183">
        <v>229</v>
      </c>
      <c r="B276" s="174" t="s">
        <v>493</v>
      </c>
      <c r="C276" s="174" t="s">
        <v>358</v>
      </c>
      <c r="D276" s="174">
        <v>4</v>
      </c>
      <c r="E276" s="174" t="s">
        <v>250</v>
      </c>
      <c r="F276" s="174">
        <v>1</v>
      </c>
      <c r="G276" s="174">
        <v>2</v>
      </c>
      <c r="H276" s="174">
        <v>1</v>
      </c>
      <c r="I276" s="174">
        <v>2</v>
      </c>
      <c r="J276" s="174">
        <v>2</v>
      </c>
      <c r="K276" s="174">
        <v>2</v>
      </c>
      <c r="L276" s="174">
        <v>1</v>
      </c>
      <c r="M276" s="174">
        <v>1</v>
      </c>
      <c r="N276" s="170"/>
      <c r="O276" s="170"/>
      <c r="P276" s="180">
        <f>SUM(Tabela2[[#This Row],[G]]+Tabela2[[#This Row],[D]]+Tabela2[[#This Row],[N]]+Tabela2[[#This Row],[HM]])</f>
        <v>6</v>
      </c>
      <c r="Q276" s="180">
        <f>SUM(Tabela2[[#This Row],[AO]]+Tabela2[[#This Row],[AD]]+Tabela2[[#This Row],[GWO]]+Tabela2[[#This Row],[GWD]])</f>
        <v>6</v>
      </c>
      <c r="R276" s="180">
        <f>Tabela2[[#This Row],[GWO]]+Tabela2[[#This Row],[GWD]]</f>
        <v>2</v>
      </c>
      <c r="S276" s="180">
        <f>SUM(Tabela2[[#This Row],[G]:[GWD]])</f>
        <v>12</v>
      </c>
    </row>
    <row r="277" spans="1:19" ht="30">
      <c r="A277" s="183">
        <v>203</v>
      </c>
      <c r="B277" s="175" t="s">
        <v>518</v>
      </c>
      <c r="C277" s="175" t="s">
        <v>358</v>
      </c>
      <c r="D277" s="175">
        <v>4</v>
      </c>
      <c r="E277" s="175" t="s">
        <v>18</v>
      </c>
      <c r="F277" s="175">
        <v>1</v>
      </c>
      <c r="G277" s="175">
        <v>1</v>
      </c>
      <c r="H277" s="175">
        <v>1</v>
      </c>
      <c r="I277" s="175">
        <v>2</v>
      </c>
      <c r="J277" s="175">
        <v>2</v>
      </c>
      <c r="K277" s="175">
        <v>1</v>
      </c>
      <c r="L277" s="175">
        <v>4</v>
      </c>
      <c r="M277" s="175">
        <v>3</v>
      </c>
      <c r="N277" s="170"/>
      <c r="O277" s="170" t="s">
        <v>205</v>
      </c>
      <c r="P277" s="180">
        <f>SUM(Tabela2[[#This Row],[G]]+Tabela2[[#This Row],[D]]+Tabela2[[#This Row],[N]]+Tabela2[[#This Row],[HM]])</f>
        <v>4</v>
      </c>
      <c r="Q277" s="180">
        <f>SUM(Tabela2[[#This Row],[AO]]+Tabela2[[#This Row],[AD]]+Tabela2[[#This Row],[GWO]]+Tabela2[[#This Row],[GWD]])</f>
        <v>11</v>
      </c>
      <c r="R277" s="180">
        <f>Tabela2[[#This Row],[GWO]]+Tabela2[[#This Row],[GWD]]</f>
        <v>7</v>
      </c>
      <c r="S277" s="180">
        <f>SUM(Tabela2[[#This Row],[G]:[GWD]])</f>
        <v>15</v>
      </c>
    </row>
    <row r="278" spans="1:19">
      <c r="A278" s="183">
        <v>174</v>
      </c>
      <c r="B278" s="177" t="s">
        <v>566</v>
      </c>
      <c r="C278" s="177" t="s">
        <v>566</v>
      </c>
      <c r="D278" s="177">
        <v>3</v>
      </c>
      <c r="E278" s="177" t="s">
        <v>273</v>
      </c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82">
        <f>SUM(Tabela2[[#This Row],[G]]+Tabela2[[#This Row],[D]]+Tabela2[[#This Row],[N]]+Tabela2[[#This Row],[HM]])</f>
        <v>0</v>
      </c>
      <c r="Q278" s="182">
        <f>SUM(Tabela2[[#This Row],[AO]]+Tabela2[[#This Row],[AD]]+Tabela2[[#This Row],[GWO]]+Tabela2[[#This Row],[GWD]])</f>
        <v>0</v>
      </c>
      <c r="R278" s="182">
        <f>Tabela2[[#This Row],[GWO]]+Tabela2[[#This Row],[GWD]]</f>
        <v>0</v>
      </c>
      <c r="S278" s="182">
        <f>SUM(Tabela2[[#This Row],[G]:[GWD]])</f>
        <v>0</v>
      </c>
    </row>
    <row r="279" spans="1:19">
      <c r="A279" s="183">
        <v>141</v>
      </c>
      <c r="B279" s="171" t="s">
        <v>605</v>
      </c>
      <c r="C279" s="171" t="s">
        <v>566</v>
      </c>
      <c r="D279" s="171">
        <v>3</v>
      </c>
      <c r="E279" s="171" t="s">
        <v>252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1</v>
      </c>
      <c r="M279" s="171">
        <v>1</v>
      </c>
      <c r="N279" s="170"/>
      <c r="O279" s="170"/>
      <c r="P279" s="180">
        <f>SUM(Tabela2[[#This Row],[G]]+Tabela2[[#This Row],[D]]+Tabela2[[#This Row],[N]]+Tabela2[[#This Row],[HM]])</f>
        <v>4</v>
      </c>
      <c r="Q279" s="180">
        <f>SUM(Tabela2[[#This Row],[AO]]+Tabela2[[#This Row],[AD]]+Tabela2[[#This Row],[GWO]]+Tabela2[[#This Row],[GWD]])</f>
        <v>4</v>
      </c>
      <c r="R279" s="180">
        <f>Tabela2[[#This Row],[GWO]]+Tabela2[[#This Row],[GWD]]</f>
        <v>2</v>
      </c>
      <c r="S279" s="180">
        <f>SUM(Tabela2[[#This Row],[G]:[GWD]])</f>
        <v>8</v>
      </c>
    </row>
    <row r="280" spans="1:19">
      <c r="A280" s="183">
        <v>114</v>
      </c>
      <c r="B280" s="172" t="s">
        <v>631</v>
      </c>
      <c r="C280" s="172" t="s">
        <v>566</v>
      </c>
      <c r="D280" s="172">
        <v>3</v>
      </c>
      <c r="E280" s="172" t="s">
        <v>251</v>
      </c>
      <c r="F280" s="172">
        <v>1</v>
      </c>
      <c r="G280" s="172">
        <v>1</v>
      </c>
      <c r="H280" s="172">
        <v>2</v>
      </c>
      <c r="I280" s="172">
        <v>2</v>
      </c>
      <c r="J280" s="172">
        <v>1</v>
      </c>
      <c r="K280" s="172">
        <v>1</v>
      </c>
      <c r="L280" s="172">
        <v>2</v>
      </c>
      <c r="M280" s="172">
        <v>1</v>
      </c>
      <c r="N280" s="170"/>
      <c r="O280" s="170"/>
      <c r="P280" s="180">
        <f>SUM(Tabela2[[#This Row],[G]]+Tabela2[[#This Row],[D]]+Tabela2[[#This Row],[N]]+Tabela2[[#This Row],[HM]])</f>
        <v>5</v>
      </c>
      <c r="Q280" s="180">
        <f>SUM(Tabela2[[#This Row],[AO]]+Tabela2[[#This Row],[AD]]+Tabela2[[#This Row],[GWO]]+Tabela2[[#This Row],[GWD]])</f>
        <v>6</v>
      </c>
      <c r="R280" s="180">
        <f>Tabela2[[#This Row],[GWO]]+Tabela2[[#This Row],[GWD]]</f>
        <v>3</v>
      </c>
      <c r="S280" s="180">
        <f>SUM(Tabela2[[#This Row],[G]:[GWD]])</f>
        <v>11</v>
      </c>
    </row>
    <row r="281" spans="1:19">
      <c r="A281" s="183">
        <v>84</v>
      </c>
      <c r="B281" s="174" t="s">
        <v>661</v>
      </c>
      <c r="C281" s="174" t="s">
        <v>566</v>
      </c>
      <c r="D281" s="174">
        <v>3</v>
      </c>
      <c r="E281" s="174" t="s">
        <v>250</v>
      </c>
      <c r="F281" s="174">
        <v>1</v>
      </c>
      <c r="G281" s="174">
        <v>1</v>
      </c>
      <c r="H281" s="174">
        <v>4</v>
      </c>
      <c r="I281" s="174">
        <v>2</v>
      </c>
      <c r="J281" s="174">
        <v>1</v>
      </c>
      <c r="K281" s="174">
        <v>1</v>
      </c>
      <c r="L281" s="174">
        <v>3</v>
      </c>
      <c r="M281" s="174">
        <v>1</v>
      </c>
      <c r="N281" s="170"/>
      <c r="O281" s="170"/>
      <c r="P281" s="180">
        <f>SUM(Tabela2[[#This Row],[G]]+Tabela2[[#This Row],[D]]+Tabela2[[#This Row],[N]]+Tabela2[[#This Row],[HM]])</f>
        <v>7</v>
      </c>
      <c r="Q281" s="180">
        <f>SUM(Tabela2[[#This Row],[AO]]+Tabela2[[#This Row],[AD]]+Tabela2[[#This Row],[GWO]]+Tabela2[[#This Row],[GWD]])</f>
        <v>7</v>
      </c>
      <c r="R281" s="180">
        <f>Tabela2[[#This Row],[GWO]]+Tabela2[[#This Row],[GWD]]</f>
        <v>4</v>
      </c>
      <c r="S281" s="180">
        <f>SUM(Tabela2[[#This Row],[G]:[GWD]])</f>
        <v>14</v>
      </c>
    </row>
    <row r="282" spans="1:19">
      <c r="A282" s="183">
        <v>54</v>
      </c>
      <c r="B282" s="175" t="s">
        <v>698</v>
      </c>
      <c r="C282" s="175" t="s">
        <v>566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2</v>
      </c>
      <c r="I282" s="175">
        <v>1</v>
      </c>
      <c r="J282" s="175">
        <v>1</v>
      </c>
      <c r="K282" s="175">
        <v>1</v>
      </c>
      <c r="L282" s="175">
        <v>3</v>
      </c>
      <c r="M282" s="175">
        <v>1</v>
      </c>
      <c r="N282" s="170"/>
      <c r="O282" s="170"/>
      <c r="P282" s="180">
        <f>SUM(Tabela2[[#This Row],[G]]+Tabela2[[#This Row],[D]]+Tabela2[[#This Row],[N]]+Tabela2[[#This Row],[HM]])</f>
        <v>5</v>
      </c>
      <c r="Q282" s="180">
        <f>SUM(Tabela2[[#This Row],[AO]]+Tabela2[[#This Row],[AD]]+Tabela2[[#This Row],[GWO]]+Tabela2[[#This Row],[GWD]])</f>
        <v>6</v>
      </c>
      <c r="R282" s="180">
        <f>Tabela2[[#This Row],[GWO]]+Tabela2[[#This Row],[GWD]]</f>
        <v>4</v>
      </c>
      <c r="S282" s="180">
        <f>SUM(Tabela2[[#This Row],[G]:[GWD]])</f>
        <v>11</v>
      </c>
    </row>
    <row r="283" spans="1:19" ht="30">
      <c r="A283" s="183">
        <v>173</v>
      </c>
      <c r="B283" s="170" t="s">
        <v>568</v>
      </c>
      <c r="C283" s="170" t="s">
        <v>567</v>
      </c>
      <c r="D283" s="170">
        <v>3</v>
      </c>
      <c r="E283" s="170" t="s">
        <v>273</v>
      </c>
      <c r="F283" s="170">
        <v>1</v>
      </c>
      <c r="G283" s="170">
        <v>1</v>
      </c>
      <c r="H283" s="170">
        <v>1</v>
      </c>
      <c r="I283" s="170">
        <v>1</v>
      </c>
      <c r="J283" s="170">
        <v>1</v>
      </c>
      <c r="K283" s="170">
        <v>1</v>
      </c>
      <c r="L283" s="170">
        <v>1</v>
      </c>
      <c r="M283" s="170">
        <v>1</v>
      </c>
      <c r="N283" s="170"/>
      <c r="O283" s="170"/>
      <c r="P283" s="180">
        <f>SUM(Tabela2[[#This Row],[G]]+Tabela2[[#This Row],[D]]+Tabela2[[#This Row],[N]]+Tabela2[[#This Row],[HM]])</f>
        <v>4</v>
      </c>
      <c r="Q283" s="180">
        <f>SUM(Tabela2[[#This Row],[AO]]+Tabela2[[#This Row],[AD]]+Tabela2[[#This Row],[GWO]]+Tabela2[[#This Row],[GWD]])</f>
        <v>4</v>
      </c>
      <c r="R283" s="180">
        <f>Tabela2[[#This Row],[GWO]]+Tabela2[[#This Row],[GWD]]</f>
        <v>2</v>
      </c>
      <c r="S283" s="180">
        <f>SUM(Tabela2[[#This Row],[G]:[GWD]])</f>
        <v>8</v>
      </c>
    </row>
    <row r="284" spans="1:19" ht="30">
      <c r="A284" s="183">
        <v>140</v>
      </c>
      <c r="B284" s="171" t="s">
        <v>606</v>
      </c>
      <c r="C284" s="171" t="s">
        <v>567</v>
      </c>
      <c r="D284" s="171">
        <v>3</v>
      </c>
      <c r="E284" s="171" t="s">
        <v>252</v>
      </c>
      <c r="F284" s="171">
        <v>1</v>
      </c>
      <c r="G284" s="171">
        <v>1</v>
      </c>
      <c r="H284" s="171">
        <v>1</v>
      </c>
      <c r="I284" s="171">
        <v>1</v>
      </c>
      <c r="J284" s="171">
        <v>1</v>
      </c>
      <c r="K284" s="171">
        <v>1</v>
      </c>
      <c r="L284" s="171">
        <v>1</v>
      </c>
      <c r="M284" s="171">
        <v>1</v>
      </c>
      <c r="N284" s="170"/>
      <c r="O284" s="170"/>
      <c r="P284" s="180">
        <f>SUM(Tabela2[[#This Row],[G]]+Tabela2[[#This Row],[D]]+Tabela2[[#This Row],[N]]+Tabela2[[#This Row],[HM]])</f>
        <v>4</v>
      </c>
      <c r="Q284" s="180">
        <f>SUM(Tabela2[[#This Row],[AO]]+Tabela2[[#This Row],[AD]]+Tabela2[[#This Row],[GWO]]+Tabela2[[#This Row],[GWD]])</f>
        <v>4</v>
      </c>
      <c r="R284" s="180">
        <f>Tabela2[[#This Row],[GWO]]+Tabela2[[#This Row],[GWD]]</f>
        <v>2</v>
      </c>
      <c r="S284" s="180">
        <f>SUM(Tabela2[[#This Row],[G]:[GWD]])</f>
        <v>8</v>
      </c>
    </row>
    <row r="285" spans="1:19" ht="30">
      <c r="A285" s="183">
        <v>113</v>
      </c>
      <c r="B285" s="172" t="s">
        <v>632</v>
      </c>
      <c r="C285" s="172" t="s">
        <v>567</v>
      </c>
      <c r="D285" s="172">
        <v>3</v>
      </c>
      <c r="E285" s="172" t="s">
        <v>251</v>
      </c>
      <c r="F285" s="172">
        <v>1</v>
      </c>
      <c r="G285" s="172">
        <v>1</v>
      </c>
      <c r="H285" s="172">
        <v>1</v>
      </c>
      <c r="I285" s="172">
        <v>1</v>
      </c>
      <c r="J285" s="172">
        <v>1</v>
      </c>
      <c r="K285" s="172">
        <v>1</v>
      </c>
      <c r="L285" s="172">
        <v>1</v>
      </c>
      <c r="M285" s="172">
        <v>1</v>
      </c>
      <c r="N285" s="170"/>
      <c r="O285" s="170"/>
      <c r="P285" s="180">
        <f>SUM(Tabela2[[#This Row],[G]]+Tabela2[[#This Row],[D]]+Tabela2[[#This Row],[N]]+Tabela2[[#This Row],[HM]])</f>
        <v>4</v>
      </c>
      <c r="Q285" s="180">
        <f>SUM(Tabela2[[#This Row],[AO]]+Tabela2[[#This Row],[AD]]+Tabela2[[#This Row],[GWO]]+Tabela2[[#This Row],[GWD]])</f>
        <v>4</v>
      </c>
      <c r="R285" s="180">
        <f>Tabela2[[#This Row],[GWO]]+Tabela2[[#This Row],[GWD]]</f>
        <v>2</v>
      </c>
      <c r="S285" s="180">
        <f>SUM(Tabela2[[#This Row],[G]:[GWD]])</f>
        <v>8</v>
      </c>
    </row>
    <row r="286" spans="1:19" ht="30">
      <c r="A286" s="183">
        <v>83</v>
      </c>
      <c r="B286" s="174" t="s">
        <v>662</v>
      </c>
      <c r="C286" s="174" t="s">
        <v>567</v>
      </c>
      <c r="D286" s="174">
        <v>3</v>
      </c>
      <c r="E286" s="174" t="s">
        <v>250</v>
      </c>
      <c r="F286" s="174">
        <v>1</v>
      </c>
      <c r="G286" s="174">
        <v>3</v>
      </c>
      <c r="H286" s="174">
        <v>1</v>
      </c>
      <c r="I286" s="174">
        <v>1</v>
      </c>
      <c r="J286" s="174">
        <v>1</v>
      </c>
      <c r="K286" s="174">
        <v>1</v>
      </c>
      <c r="L286" s="174">
        <v>1</v>
      </c>
      <c r="M286" s="174">
        <v>1</v>
      </c>
      <c r="N286" s="170"/>
      <c r="O286" s="170"/>
      <c r="P286" s="180">
        <f>SUM(Tabela2[[#This Row],[G]]+Tabela2[[#This Row],[D]]+Tabela2[[#This Row],[N]]+Tabela2[[#This Row],[HM]])</f>
        <v>6</v>
      </c>
      <c r="Q286" s="180">
        <f>SUM(Tabela2[[#This Row],[AO]]+Tabela2[[#This Row],[AD]]+Tabela2[[#This Row],[GWO]]+Tabela2[[#This Row],[GWD]])</f>
        <v>4</v>
      </c>
      <c r="R286" s="180">
        <f>Tabela2[[#This Row],[GWO]]+Tabela2[[#This Row],[GWD]]</f>
        <v>2</v>
      </c>
      <c r="S286" s="180">
        <f>SUM(Tabela2[[#This Row],[G]:[GWD]])</f>
        <v>10</v>
      </c>
    </row>
    <row r="287" spans="1:19" ht="30">
      <c r="A287" s="183">
        <v>53</v>
      </c>
      <c r="B287" s="175" t="s">
        <v>699</v>
      </c>
      <c r="C287" s="175" t="s">
        <v>567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2</v>
      </c>
      <c r="J287" s="175">
        <v>2</v>
      </c>
      <c r="K287" s="175">
        <v>1</v>
      </c>
      <c r="L287" s="175">
        <v>3</v>
      </c>
      <c r="M287" s="175">
        <v>2</v>
      </c>
      <c r="N287" s="170"/>
      <c r="O287" s="170" t="s">
        <v>205</v>
      </c>
      <c r="P287" s="180">
        <f>SUM(Tabela2[[#This Row],[G]]+Tabela2[[#This Row],[D]]+Tabela2[[#This Row],[N]]+Tabela2[[#This Row],[HM]])</f>
        <v>4</v>
      </c>
      <c r="Q287" s="180">
        <f>SUM(Tabela2[[#This Row],[AO]]+Tabela2[[#This Row],[AD]]+Tabela2[[#This Row],[GWO]]+Tabela2[[#This Row],[GWD]])</f>
        <v>9</v>
      </c>
      <c r="R287" s="180">
        <f>Tabela2[[#This Row],[GWO]]+Tabela2[[#This Row],[GWD]]</f>
        <v>5</v>
      </c>
      <c r="S287" s="180">
        <f>SUM(Tabela2[[#This Row],[G]:[GWD]])</f>
        <v>13</v>
      </c>
    </row>
    <row r="288" spans="1:19" ht="30">
      <c r="A288" s="183">
        <v>302</v>
      </c>
      <c r="B288" s="170" t="s">
        <v>417</v>
      </c>
      <c r="C288" s="170" t="s">
        <v>416</v>
      </c>
      <c r="D288" s="170">
        <v>4</v>
      </c>
      <c r="E288" s="170" t="s">
        <v>273</v>
      </c>
      <c r="F288" s="170">
        <v>1</v>
      </c>
      <c r="G288" s="170">
        <v>1</v>
      </c>
      <c r="H288" s="170">
        <v>1</v>
      </c>
      <c r="I288" s="170">
        <v>2</v>
      </c>
      <c r="J288" s="170">
        <v>1</v>
      </c>
      <c r="K288" s="170">
        <v>1</v>
      </c>
      <c r="L288" s="170">
        <v>2</v>
      </c>
      <c r="M288" s="170">
        <v>1</v>
      </c>
      <c r="N288" s="170"/>
      <c r="O288" s="170"/>
      <c r="P288" s="180">
        <f>SUM(Tabela2[[#This Row],[G]]+Tabela2[[#This Row],[D]]+Tabela2[[#This Row],[N]]+Tabela2[[#This Row],[HM]])</f>
        <v>4</v>
      </c>
      <c r="Q288" s="180">
        <f>SUM(Tabela2[[#This Row],[AO]]+Tabela2[[#This Row],[AD]]+Tabela2[[#This Row],[GWO]]+Tabela2[[#This Row],[GWD]])</f>
        <v>6</v>
      </c>
      <c r="R288" s="180">
        <f>Tabela2[[#This Row],[GWO]]+Tabela2[[#This Row],[GWD]]</f>
        <v>3</v>
      </c>
      <c r="S288" s="180">
        <f>SUM(Tabela2[[#This Row],[G]:[GWD]])</f>
        <v>10</v>
      </c>
    </row>
    <row r="289" spans="1:19" ht="30">
      <c r="A289" s="183">
        <v>280</v>
      </c>
      <c r="B289" s="171" t="s">
        <v>441</v>
      </c>
      <c r="C289" s="171" t="s">
        <v>416</v>
      </c>
      <c r="D289" s="171">
        <v>4</v>
      </c>
      <c r="E289" s="171" t="s">
        <v>252</v>
      </c>
      <c r="F289" s="171">
        <v>1</v>
      </c>
      <c r="G289" s="171">
        <v>1</v>
      </c>
      <c r="H289" s="171">
        <v>1</v>
      </c>
      <c r="I289" s="171">
        <v>4</v>
      </c>
      <c r="J289" s="171">
        <v>3</v>
      </c>
      <c r="K289" s="171">
        <v>3</v>
      </c>
      <c r="L289" s="171">
        <v>3</v>
      </c>
      <c r="M289" s="171">
        <v>3</v>
      </c>
      <c r="N289" s="170"/>
      <c r="O289" s="170"/>
      <c r="P289" s="180">
        <f>SUM(Tabela2[[#This Row],[G]]+Tabela2[[#This Row],[D]]+Tabela2[[#This Row],[N]]+Tabela2[[#This Row],[HM]])</f>
        <v>6</v>
      </c>
      <c r="Q289" s="180">
        <f>SUM(Tabela2[[#This Row],[AO]]+Tabela2[[#This Row],[AD]]+Tabela2[[#This Row],[GWO]]+Tabela2[[#This Row],[GWD]])</f>
        <v>13</v>
      </c>
      <c r="R289" s="180">
        <f>Tabela2[[#This Row],[GWO]]+Tabela2[[#This Row],[GWD]]</f>
        <v>6</v>
      </c>
      <c r="S289" s="180">
        <f>SUM(Tabela2[[#This Row],[G]:[GWD]])</f>
        <v>19</v>
      </c>
    </row>
    <row r="290" spans="1:19" ht="30">
      <c r="A290" s="183">
        <v>254</v>
      </c>
      <c r="B290" s="172" t="s">
        <v>469</v>
      </c>
      <c r="C290" s="172" t="s">
        <v>416</v>
      </c>
      <c r="D290" s="172">
        <v>4</v>
      </c>
      <c r="E290" s="172" t="s">
        <v>251</v>
      </c>
      <c r="F290" s="172">
        <v>3</v>
      </c>
      <c r="G290" s="172">
        <v>1</v>
      </c>
      <c r="H290" s="172">
        <v>1</v>
      </c>
      <c r="I290" s="172">
        <v>4</v>
      </c>
      <c r="J290" s="172">
        <v>3</v>
      </c>
      <c r="K290" s="172">
        <v>1</v>
      </c>
      <c r="L290" s="172">
        <v>4</v>
      </c>
      <c r="M290" s="172">
        <v>1</v>
      </c>
      <c r="N290" s="170"/>
      <c r="O290" s="170"/>
      <c r="P290" s="180">
        <f>SUM(Tabela2[[#This Row],[G]]+Tabela2[[#This Row],[D]]+Tabela2[[#This Row],[N]]+Tabela2[[#This Row],[HM]])</f>
        <v>6</v>
      </c>
      <c r="Q290" s="180">
        <f>SUM(Tabela2[[#This Row],[AO]]+Tabela2[[#This Row],[AD]]+Tabela2[[#This Row],[GWO]]+Tabela2[[#This Row],[GWD]])</f>
        <v>12</v>
      </c>
      <c r="R290" s="180">
        <f>Tabela2[[#This Row],[GWO]]+Tabela2[[#This Row],[GWD]]</f>
        <v>5</v>
      </c>
      <c r="S290" s="180">
        <f>SUM(Tabela2[[#This Row],[G]:[GWD]])</f>
        <v>18</v>
      </c>
    </row>
    <row r="291" spans="1:19" ht="30">
      <c r="A291" s="183">
        <v>228</v>
      </c>
      <c r="B291" s="174" t="s">
        <v>494</v>
      </c>
      <c r="C291" s="174" t="s">
        <v>416</v>
      </c>
      <c r="D291" s="174">
        <v>4</v>
      </c>
      <c r="E291" s="174" t="s">
        <v>250</v>
      </c>
      <c r="F291" s="174">
        <v>2</v>
      </c>
      <c r="G291" s="174">
        <v>3</v>
      </c>
      <c r="H291" s="174">
        <v>1</v>
      </c>
      <c r="I291" s="174">
        <v>4</v>
      </c>
      <c r="J291" s="174">
        <v>5</v>
      </c>
      <c r="K291" s="174">
        <v>1</v>
      </c>
      <c r="L291" s="174">
        <v>5</v>
      </c>
      <c r="M291" s="174">
        <v>5</v>
      </c>
      <c r="N291" s="170"/>
      <c r="O291" s="170" t="s">
        <v>205</v>
      </c>
      <c r="P291" s="180">
        <f>SUM(Tabela2[[#This Row],[G]]+Tabela2[[#This Row],[D]]+Tabela2[[#This Row],[N]]+Tabela2[[#This Row],[HM]])</f>
        <v>7</v>
      </c>
      <c r="Q291" s="180">
        <f>SUM(Tabela2[[#This Row],[AO]]+Tabela2[[#This Row],[AD]]+Tabela2[[#This Row],[GWO]]+Tabela2[[#This Row],[GWD]])</f>
        <v>19</v>
      </c>
      <c r="R291" s="180">
        <f>Tabela2[[#This Row],[GWO]]+Tabela2[[#This Row],[GWD]]</f>
        <v>10</v>
      </c>
      <c r="S291" s="180">
        <f>SUM(Tabela2[[#This Row],[G]:[GWD]])</f>
        <v>26</v>
      </c>
    </row>
    <row r="292" spans="1:19" ht="30">
      <c r="A292" s="183">
        <v>202</v>
      </c>
      <c r="B292" s="175" t="s">
        <v>519</v>
      </c>
      <c r="C292" s="175" t="s">
        <v>416</v>
      </c>
      <c r="D292" s="175">
        <v>4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2</v>
      </c>
      <c r="J292" s="175">
        <v>3</v>
      </c>
      <c r="K292" s="175">
        <v>3</v>
      </c>
      <c r="L292" s="175">
        <v>3</v>
      </c>
      <c r="M292" s="175">
        <v>3</v>
      </c>
      <c r="N292" s="170"/>
      <c r="O292" s="170"/>
      <c r="P292" s="180">
        <f>SUM(Tabela2[[#This Row],[G]]+Tabela2[[#This Row],[D]]+Tabela2[[#This Row],[N]]+Tabela2[[#This Row],[HM]])</f>
        <v>6</v>
      </c>
      <c r="Q292" s="180">
        <f>SUM(Tabela2[[#This Row],[AO]]+Tabela2[[#This Row],[AD]]+Tabela2[[#This Row],[GWO]]+Tabela2[[#This Row],[GWD]])</f>
        <v>11</v>
      </c>
      <c r="R292" s="180">
        <f>Tabela2[[#This Row],[GWO]]+Tabela2[[#This Row],[GWD]]</f>
        <v>6</v>
      </c>
      <c r="S292" s="180">
        <f>SUM(Tabela2[[#This Row],[G]:[GWD]])</f>
        <v>17</v>
      </c>
    </row>
    <row r="293" spans="1:19" ht="30">
      <c r="A293" s="183">
        <v>172</v>
      </c>
      <c r="B293" s="170" t="s">
        <v>570</v>
      </c>
      <c r="C293" s="170" t="s">
        <v>569</v>
      </c>
      <c r="D293" s="170">
        <v>3</v>
      </c>
      <c r="E293" s="170" t="s">
        <v>273</v>
      </c>
      <c r="F293" s="170">
        <v>1</v>
      </c>
      <c r="G293" s="170">
        <v>1</v>
      </c>
      <c r="H293" s="170">
        <v>1</v>
      </c>
      <c r="I293" s="170">
        <v>1</v>
      </c>
      <c r="J293" s="170">
        <v>1</v>
      </c>
      <c r="K293" s="170">
        <v>1</v>
      </c>
      <c r="L293" s="170">
        <v>1</v>
      </c>
      <c r="M293" s="170">
        <v>1</v>
      </c>
      <c r="N293" s="170"/>
      <c r="O293" s="170"/>
      <c r="P293" s="180">
        <f>SUM(Tabela2[[#This Row],[G]]+Tabela2[[#This Row],[D]]+Tabela2[[#This Row],[N]]+Tabela2[[#This Row],[HM]])</f>
        <v>4</v>
      </c>
      <c r="Q293" s="180">
        <f>SUM(Tabela2[[#This Row],[AO]]+Tabela2[[#This Row],[AD]]+Tabela2[[#This Row],[GWO]]+Tabela2[[#This Row],[GWD]])</f>
        <v>4</v>
      </c>
      <c r="R293" s="180">
        <f>Tabela2[[#This Row],[GWO]]+Tabela2[[#This Row],[GWD]]</f>
        <v>2</v>
      </c>
      <c r="S293" s="180">
        <f>SUM(Tabela2[[#This Row],[G]:[GWD]])</f>
        <v>8</v>
      </c>
    </row>
    <row r="294" spans="1:19" ht="30">
      <c r="A294" s="183">
        <v>139</v>
      </c>
      <c r="B294" s="171" t="s">
        <v>607</v>
      </c>
      <c r="C294" s="171" t="s">
        <v>569</v>
      </c>
      <c r="D294" s="171">
        <v>3</v>
      </c>
      <c r="E294" s="171" t="s">
        <v>252</v>
      </c>
      <c r="F294" s="171">
        <v>1</v>
      </c>
      <c r="G294" s="171">
        <v>1</v>
      </c>
      <c r="H294" s="171">
        <v>1</v>
      </c>
      <c r="I294" s="171">
        <v>1</v>
      </c>
      <c r="J294" s="171">
        <v>1</v>
      </c>
      <c r="K294" s="171">
        <v>1</v>
      </c>
      <c r="L294" s="171">
        <v>1</v>
      </c>
      <c r="M294" s="171">
        <v>1</v>
      </c>
      <c r="N294" s="170"/>
      <c r="O294" s="170"/>
      <c r="P294" s="180">
        <f>SUM(Tabela2[[#This Row],[G]]+Tabela2[[#This Row],[D]]+Tabela2[[#This Row],[N]]+Tabela2[[#This Row],[HM]])</f>
        <v>4</v>
      </c>
      <c r="Q294" s="180">
        <f>SUM(Tabela2[[#This Row],[AO]]+Tabela2[[#This Row],[AD]]+Tabela2[[#This Row],[GWO]]+Tabela2[[#This Row],[GWD]])</f>
        <v>4</v>
      </c>
      <c r="R294" s="180">
        <f>Tabela2[[#This Row],[GWO]]+Tabela2[[#This Row],[GWD]]</f>
        <v>2</v>
      </c>
      <c r="S294" s="180">
        <f>SUM(Tabela2[[#This Row],[G]:[GWD]])</f>
        <v>8</v>
      </c>
    </row>
    <row r="295" spans="1:19" ht="30">
      <c r="A295" s="183">
        <v>112</v>
      </c>
      <c r="B295" s="172" t="s">
        <v>633</v>
      </c>
      <c r="C295" s="172" t="s">
        <v>569</v>
      </c>
      <c r="D295" s="172">
        <v>3</v>
      </c>
      <c r="E295" s="172" t="s">
        <v>251</v>
      </c>
      <c r="F295" s="172">
        <v>1</v>
      </c>
      <c r="G295" s="172">
        <v>1</v>
      </c>
      <c r="H295" s="172">
        <v>2</v>
      </c>
      <c r="I295" s="172">
        <v>2</v>
      </c>
      <c r="J295" s="172">
        <v>1</v>
      </c>
      <c r="K295" s="172">
        <v>1</v>
      </c>
      <c r="L295" s="172">
        <v>2</v>
      </c>
      <c r="M295" s="172">
        <v>1</v>
      </c>
      <c r="N295" s="170"/>
      <c r="O295" s="170"/>
      <c r="P295" s="180">
        <f>SUM(Tabela2[[#This Row],[G]]+Tabela2[[#This Row],[D]]+Tabela2[[#This Row],[N]]+Tabela2[[#This Row],[HM]])</f>
        <v>5</v>
      </c>
      <c r="Q295" s="180">
        <f>SUM(Tabela2[[#This Row],[AO]]+Tabela2[[#This Row],[AD]]+Tabela2[[#This Row],[GWO]]+Tabela2[[#This Row],[GWD]])</f>
        <v>6</v>
      </c>
      <c r="R295" s="180">
        <f>Tabela2[[#This Row],[GWO]]+Tabela2[[#This Row],[GWD]]</f>
        <v>3</v>
      </c>
      <c r="S295" s="180">
        <f>SUM(Tabela2[[#This Row],[G]:[GWD]])</f>
        <v>11</v>
      </c>
    </row>
    <row r="296" spans="1:19" ht="30">
      <c r="A296" s="183">
        <v>82</v>
      </c>
      <c r="B296" s="174" t="s">
        <v>663</v>
      </c>
      <c r="C296" s="174" t="s">
        <v>569</v>
      </c>
      <c r="D296" s="174">
        <v>3</v>
      </c>
      <c r="E296" s="174" t="s">
        <v>250</v>
      </c>
      <c r="F296" s="174">
        <v>1</v>
      </c>
      <c r="G296" s="174">
        <v>1</v>
      </c>
      <c r="H296" s="174">
        <v>2</v>
      </c>
      <c r="I296" s="174">
        <v>3</v>
      </c>
      <c r="J296" s="174">
        <v>3</v>
      </c>
      <c r="K296" s="174">
        <v>1</v>
      </c>
      <c r="L296" s="174">
        <v>2</v>
      </c>
      <c r="M296" s="174">
        <v>1</v>
      </c>
      <c r="N296" s="170"/>
      <c r="O296" s="170"/>
      <c r="P296" s="180">
        <f>SUM(Tabela2[[#This Row],[G]]+Tabela2[[#This Row],[D]]+Tabela2[[#This Row],[N]]+Tabela2[[#This Row],[HM]])</f>
        <v>5</v>
      </c>
      <c r="Q296" s="180">
        <f>SUM(Tabela2[[#This Row],[AO]]+Tabela2[[#This Row],[AD]]+Tabela2[[#This Row],[GWO]]+Tabela2[[#This Row],[GWD]])</f>
        <v>9</v>
      </c>
      <c r="R296" s="180">
        <f>Tabela2[[#This Row],[GWO]]+Tabela2[[#This Row],[GWD]]</f>
        <v>3</v>
      </c>
      <c r="S296" s="180">
        <f>SUM(Tabela2[[#This Row],[G]:[GWD]])</f>
        <v>14</v>
      </c>
    </row>
    <row r="297" spans="1:19" ht="30">
      <c r="A297" s="183">
        <v>52</v>
      </c>
      <c r="B297" s="175" t="s">
        <v>700</v>
      </c>
      <c r="C297" s="175" t="s">
        <v>569</v>
      </c>
      <c r="D297" s="175">
        <v>3</v>
      </c>
      <c r="E297" s="175" t="s">
        <v>18</v>
      </c>
      <c r="F297" s="175">
        <v>1</v>
      </c>
      <c r="G297" s="175">
        <v>3</v>
      </c>
      <c r="H297" s="175">
        <v>5</v>
      </c>
      <c r="I297" s="175">
        <v>4</v>
      </c>
      <c r="J297" s="175">
        <v>2</v>
      </c>
      <c r="K297" s="175">
        <v>1</v>
      </c>
      <c r="L297" s="175">
        <v>5</v>
      </c>
      <c r="M297" s="175">
        <v>2</v>
      </c>
      <c r="N297" s="170"/>
      <c r="O297" s="170" t="s">
        <v>785</v>
      </c>
      <c r="P297" s="180">
        <f>SUM(Tabela2[[#This Row],[G]]+Tabela2[[#This Row],[D]]+Tabela2[[#This Row],[N]]+Tabela2[[#This Row],[HM]])</f>
        <v>10</v>
      </c>
      <c r="Q297" s="180">
        <f>SUM(Tabela2[[#This Row],[AO]]+Tabela2[[#This Row],[AD]]+Tabela2[[#This Row],[GWO]]+Tabela2[[#This Row],[GWD]])</f>
        <v>13</v>
      </c>
      <c r="R297" s="180">
        <f>Tabela2[[#This Row],[GWO]]+Tabela2[[#This Row],[GWD]]</f>
        <v>7</v>
      </c>
      <c r="S297" s="180">
        <f>SUM(Tabela2[[#This Row],[G]:[GWD]])</f>
        <v>23</v>
      </c>
    </row>
    <row r="298" spans="1:19" ht="30">
      <c r="A298" s="183">
        <v>171</v>
      </c>
      <c r="B298" s="170" t="s">
        <v>572</v>
      </c>
      <c r="C298" s="170" t="s">
        <v>571</v>
      </c>
      <c r="D298" s="170">
        <v>3</v>
      </c>
      <c r="E298" s="170" t="s">
        <v>273</v>
      </c>
      <c r="F298" s="170">
        <v>1</v>
      </c>
      <c r="G298" s="170">
        <v>2</v>
      </c>
      <c r="H298" s="170">
        <v>3</v>
      </c>
      <c r="I298" s="170">
        <v>1</v>
      </c>
      <c r="J298" s="170">
        <v>1</v>
      </c>
      <c r="K298" s="170">
        <v>2</v>
      </c>
      <c r="L298" s="170">
        <v>1</v>
      </c>
      <c r="M298" s="170">
        <v>1</v>
      </c>
      <c r="N298" s="170"/>
      <c r="O298" s="170"/>
      <c r="P298" s="180">
        <f>SUM(Tabela2[[#This Row],[G]]+Tabela2[[#This Row],[D]]+Tabela2[[#This Row],[N]]+Tabela2[[#This Row],[HM]])</f>
        <v>8</v>
      </c>
      <c r="Q298" s="180">
        <f>SUM(Tabela2[[#This Row],[AO]]+Tabela2[[#This Row],[AD]]+Tabela2[[#This Row],[GWO]]+Tabela2[[#This Row],[GWD]])</f>
        <v>4</v>
      </c>
      <c r="R298" s="180">
        <f>Tabela2[[#This Row],[GWO]]+Tabela2[[#This Row],[GWD]]</f>
        <v>2</v>
      </c>
      <c r="S298" s="180">
        <f>SUM(Tabela2[[#This Row],[G]:[GWD]])</f>
        <v>12</v>
      </c>
    </row>
    <row r="299" spans="1:19" ht="30">
      <c r="A299" s="183">
        <v>138</v>
      </c>
      <c r="B299" s="171" t="s">
        <v>608</v>
      </c>
      <c r="C299" s="171" t="s">
        <v>571</v>
      </c>
      <c r="D299" s="171">
        <v>3</v>
      </c>
      <c r="E299" s="171" t="s">
        <v>252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80">
        <f>SUM(Tabela2[[#This Row],[G]]+Tabela2[[#This Row],[D]]+Tabela2[[#This Row],[N]]+Tabela2[[#This Row],[HM]])</f>
        <v>4</v>
      </c>
      <c r="Q299" s="180">
        <f>SUM(Tabela2[[#This Row],[AO]]+Tabela2[[#This Row],[AD]]+Tabela2[[#This Row],[GWO]]+Tabela2[[#This Row],[GWD]])</f>
        <v>4</v>
      </c>
      <c r="R299" s="180">
        <f>Tabela2[[#This Row],[GWO]]+Tabela2[[#This Row],[GWD]]</f>
        <v>2</v>
      </c>
      <c r="S299" s="180">
        <f>SUM(Tabela2[[#This Row],[G]:[GWD]])</f>
        <v>8</v>
      </c>
    </row>
    <row r="300" spans="1:19" ht="30">
      <c r="A300" s="183">
        <v>111</v>
      </c>
      <c r="B300" s="178" t="s">
        <v>634</v>
      </c>
      <c r="C300" s="172" t="s">
        <v>571</v>
      </c>
      <c r="D300" s="172">
        <v>3</v>
      </c>
      <c r="E300" s="172" t="s">
        <v>251</v>
      </c>
      <c r="F300" s="172">
        <v>1</v>
      </c>
      <c r="G300" s="172">
        <v>1</v>
      </c>
      <c r="H300" s="172">
        <v>1</v>
      </c>
      <c r="I300" s="172">
        <v>1</v>
      </c>
      <c r="J300" s="172">
        <v>1</v>
      </c>
      <c r="K300" s="172">
        <v>1</v>
      </c>
      <c r="L300" s="172">
        <v>1</v>
      </c>
      <c r="M300" s="172">
        <v>1</v>
      </c>
      <c r="N300" s="170"/>
      <c r="O300" s="170"/>
      <c r="P300" s="180">
        <f>SUM(Tabela2[[#This Row],[G]]+Tabela2[[#This Row],[D]]+Tabela2[[#This Row],[N]]+Tabela2[[#This Row],[HM]])</f>
        <v>4</v>
      </c>
      <c r="Q300" s="180">
        <f>SUM(Tabela2[[#This Row],[AO]]+Tabela2[[#This Row],[AD]]+Tabela2[[#This Row],[GWO]]+Tabela2[[#This Row],[GWD]])</f>
        <v>4</v>
      </c>
      <c r="R300" s="180">
        <f>Tabela2[[#This Row],[GWO]]+Tabela2[[#This Row],[GWD]]</f>
        <v>2</v>
      </c>
      <c r="S300" s="180">
        <f>SUM(Tabela2[[#This Row],[G]:[GWD]])</f>
        <v>8</v>
      </c>
    </row>
    <row r="301" spans="1:19" ht="30">
      <c r="A301" s="183">
        <v>85</v>
      </c>
      <c r="B301" s="174" t="s">
        <v>660</v>
      </c>
      <c r="C301" s="174" t="s">
        <v>571</v>
      </c>
      <c r="D301" s="174">
        <v>3</v>
      </c>
      <c r="E301" s="174" t="s">
        <v>250</v>
      </c>
      <c r="F301" s="174">
        <v>1</v>
      </c>
      <c r="G301" s="174">
        <v>1</v>
      </c>
      <c r="H301" s="174">
        <v>1</v>
      </c>
      <c r="I301" s="174">
        <v>2</v>
      </c>
      <c r="J301" s="174">
        <v>1</v>
      </c>
      <c r="K301" s="174">
        <v>1</v>
      </c>
      <c r="L301" s="174">
        <v>2</v>
      </c>
      <c r="M301" s="174">
        <v>1</v>
      </c>
      <c r="N301" s="170"/>
      <c r="O301" s="170"/>
      <c r="P301" s="180">
        <f>SUM(Tabela2[[#This Row],[G]]+Tabela2[[#This Row],[D]]+Tabela2[[#This Row],[N]]+Tabela2[[#This Row],[HM]])</f>
        <v>4</v>
      </c>
      <c r="Q301" s="180">
        <f>SUM(Tabela2[[#This Row],[AO]]+Tabela2[[#This Row],[AD]]+Tabela2[[#This Row],[GWO]]+Tabela2[[#This Row],[GWD]])</f>
        <v>6</v>
      </c>
      <c r="R301" s="180">
        <f>Tabela2[[#This Row],[GWO]]+Tabela2[[#This Row],[GWD]]</f>
        <v>3</v>
      </c>
      <c r="S301" s="180">
        <f>SUM(Tabela2[[#This Row],[G]:[GWD]])</f>
        <v>10</v>
      </c>
    </row>
    <row r="302" spans="1:19" ht="30">
      <c r="A302" s="183">
        <v>51</v>
      </c>
      <c r="B302" s="175" t="s">
        <v>701</v>
      </c>
      <c r="C302" s="175" t="s">
        <v>571</v>
      </c>
      <c r="D302" s="175">
        <v>3</v>
      </c>
      <c r="E302" s="175" t="s">
        <v>18</v>
      </c>
      <c r="F302" s="175">
        <v>1</v>
      </c>
      <c r="G302" s="175">
        <v>1</v>
      </c>
      <c r="H302" s="175">
        <v>1</v>
      </c>
      <c r="I302" s="175">
        <v>2</v>
      </c>
      <c r="J302" s="175">
        <v>1</v>
      </c>
      <c r="K302" s="175">
        <v>1</v>
      </c>
      <c r="L302" s="175">
        <v>3</v>
      </c>
      <c r="M302" s="175">
        <v>1</v>
      </c>
      <c r="N302" s="175" t="s">
        <v>446</v>
      </c>
      <c r="O302" s="175"/>
      <c r="P302" s="184">
        <f>SUM(Tabela2[[#This Row],[G]]+Tabela2[[#This Row],[D]]+Tabela2[[#This Row],[N]]+Tabela2[[#This Row],[HM]])</f>
        <v>4</v>
      </c>
      <c r="Q302" s="184">
        <f>SUM(Tabela2[[#This Row],[AO]]+Tabela2[[#This Row],[AD]]+Tabela2[[#This Row],[GWO]]+Tabela2[[#This Row],[GWD]])</f>
        <v>7</v>
      </c>
      <c r="R302" s="184">
        <f>Tabela2[[#This Row],[GWO]]+Tabela2[[#This Row],[GWD]]</f>
        <v>4</v>
      </c>
      <c r="S302" s="180">
        <f>SUM(Tabela2[[#This Row],[G]:[GWD]])</f>
        <v>11</v>
      </c>
    </row>
    <row r="303" spans="1:19">
      <c r="A303" s="183">
        <v>170</v>
      </c>
      <c r="B303" s="170" t="s">
        <v>187</v>
      </c>
      <c r="C303" s="170" t="s">
        <v>291</v>
      </c>
      <c r="D303" s="170">
        <v>3</v>
      </c>
      <c r="E303" s="170" t="s">
        <v>273</v>
      </c>
      <c r="F303" s="170">
        <v>3</v>
      </c>
      <c r="G303" s="170">
        <v>3</v>
      </c>
      <c r="H303" s="170">
        <v>1</v>
      </c>
      <c r="I303" s="170">
        <v>2</v>
      </c>
      <c r="J303" s="170">
        <v>2</v>
      </c>
      <c r="K303" s="170">
        <v>3</v>
      </c>
      <c r="L303" s="170">
        <v>2</v>
      </c>
      <c r="M303" s="170">
        <v>2</v>
      </c>
      <c r="N303" s="170"/>
      <c r="O303" s="170" t="s">
        <v>205</v>
      </c>
      <c r="P303" s="180">
        <f>SUM(Tabela2[[#This Row],[G]]+Tabela2[[#This Row],[D]]+Tabela2[[#This Row],[N]]+Tabela2[[#This Row],[HM]])</f>
        <v>10</v>
      </c>
      <c r="Q303" s="180">
        <f>SUM(Tabela2[[#This Row],[AO]]+Tabela2[[#This Row],[AD]]+Tabela2[[#This Row],[GWO]]+Tabela2[[#This Row],[GWD]])</f>
        <v>8</v>
      </c>
      <c r="R303" s="180">
        <f>Tabela2[[#This Row],[GWO]]+Tabela2[[#This Row],[GWD]]</f>
        <v>4</v>
      </c>
      <c r="S303" s="180">
        <f>SUM(Tabela2[[#This Row],[G]:[GWD]])</f>
        <v>18</v>
      </c>
    </row>
    <row r="304" spans="1:19">
      <c r="A304" s="183">
        <v>137</v>
      </c>
      <c r="B304" s="171" t="s">
        <v>609</v>
      </c>
      <c r="C304" s="171" t="s">
        <v>291</v>
      </c>
      <c r="D304" s="171">
        <v>3</v>
      </c>
      <c r="E304" s="171" t="s">
        <v>252</v>
      </c>
      <c r="F304" s="171">
        <v>1</v>
      </c>
      <c r="G304" s="171">
        <v>1</v>
      </c>
      <c r="H304" s="171">
        <v>1</v>
      </c>
      <c r="I304" s="171">
        <v>1</v>
      </c>
      <c r="J304" s="171">
        <v>1</v>
      </c>
      <c r="K304" s="171">
        <v>1</v>
      </c>
      <c r="L304" s="171">
        <v>1</v>
      </c>
      <c r="M304" s="171">
        <v>1</v>
      </c>
      <c r="N304" s="170"/>
      <c r="O304" s="170"/>
      <c r="P304" s="180">
        <f>SUM(Tabela2[[#This Row],[G]]+Tabela2[[#This Row],[D]]+Tabela2[[#This Row],[N]]+Tabela2[[#This Row],[HM]])</f>
        <v>4</v>
      </c>
      <c r="Q304" s="180">
        <f>SUM(Tabela2[[#This Row],[AO]]+Tabela2[[#This Row],[AD]]+Tabela2[[#This Row],[GWO]]+Tabela2[[#This Row],[GWD]])</f>
        <v>4</v>
      </c>
      <c r="R304" s="180">
        <f>Tabela2[[#This Row],[GWO]]+Tabela2[[#This Row],[GWD]]</f>
        <v>2</v>
      </c>
      <c r="S304" s="180">
        <f>SUM(Tabela2[[#This Row],[G]:[GWD]])</f>
        <v>8</v>
      </c>
    </row>
    <row r="305" spans="1:19">
      <c r="A305" s="183">
        <v>110</v>
      </c>
      <c r="B305" s="172" t="s">
        <v>635</v>
      </c>
      <c r="C305" s="172" t="s">
        <v>291</v>
      </c>
      <c r="D305" s="172">
        <v>3</v>
      </c>
      <c r="E305" s="172" t="s">
        <v>251</v>
      </c>
      <c r="F305" s="172">
        <v>1</v>
      </c>
      <c r="G305" s="172">
        <v>1</v>
      </c>
      <c r="H305" s="172">
        <v>1</v>
      </c>
      <c r="I305" s="172">
        <v>1</v>
      </c>
      <c r="J305" s="172">
        <v>1</v>
      </c>
      <c r="K305" s="172">
        <v>1</v>
      </c>
      <c r="L305" s="172">
        <v>1</v>
      </c>
      <c r="M305" s="172">
        <v>1</v>
      </c>
      <c r="N305" s="172" t="s">
        <v>446</v>
      </c>
      <c r="O305" s="172"/>
      <c r="P305" s="186">
        <f>SUM(Tabela2[[#This Row],[G]]+Tabela2[[#This Row],[D]]+Tabela2[[#This Row],[N]]+Tabela2[[#This Row],[HM]])</f>
        <v>4</v>
      </c>
      <c r="Q305" s="186">
        <f>SUM(Tabela2[[#This Row],[AO]]+Tabela2[[#This Row],[AD]]+Tabela2[[#This Row],[GWO]]+Tabela2[[#This Row],[GWD]])</f>
        <v>4</v>
      </c>
      <c r="R305" s="186">
        <f>Tabela2[[#This Row],[GWO]]+Tabela2[[#This Row],[GWD]]</f>
        <v>2</v>
      </c>
      <c r="S305" s="180">
        <f>SUM(Tabela2[[#This Row],[G]:[GWD]])</f>
        <v>8</v>
      </c>
    </row>
    <row r="306" spans="1:19">
      <c r="A306" s="183">
        <v>81</v>
      </c>
      <c r="B306" s="174" t="s">
        <v>664</v>
      </c>
      <c r="C306" s="174" t="s">
        <v>291</v>
      </c>
      <c r="D306" s="174">
        <v>3</v>
      </c>
      <c r="E306" s="174" t="s">
        <v>250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4" t="s">
        <v>446</v>
      </c>
      <c r="O306" s="174"/>
      <c r="P306" s="185">
        <f>SUM(Tabela2[[#This Row],[G]]+Tabela2[[#This Row],[D]]+Tabela2[[#This Row],[N]]+Tabela2[[#This Row],[HM]])</f>
        <v>4</v>
      </c>
      <c r="Q306" s="185">
        <f>SUM(Tabela2[[#This Row],[AO]]+Tabela2[[#This Row],[AD]]+Tabela2[[#This Row],[GWO]]+Tabela2[[#This Row],[GWD]])</f>
        <v>4</v>
      </c>
      <c r="R306" s="185">
        <f>Tabela2[[#This Row],[GWO]]+Tabela2[[#This Row],[GWD]]</f>
        <v>2</v>
      </c>
      <c r="S306" s="180">
        <f>SUM(Tabela2[[#This Row],[G]:[GWD]])</f>
        <v>8</v>
      </c>
    </row>
    <row r="307" spans="1:19">
      <c r="A307" s="183">
        <v>50</v>
      </c>
      <c r="B307" s="175" t="s">
        <v>703</v>
      </c>
      <c r="C307" s="175" t="s">
        <v>702</v>
      </c>
      <c r="D307" s="175">
        <v>3</v>
      </c>
      <c r="E307" s="175" t="s">
        <v>18</v>
      </c>
      <c r="F307" s="175">
        <v>1</v>
      </c>
      <c r="G307" s="175">
        <v>1</v>
      </c>
      <c r="H307" s="175">
        <v>2</v>
      </c>
      <c r="I307" s="175">
        <v>2</v>
      </c>
      <c r="J307" s="175">
        <v>2</v>
      </c>
      <c r="K307" s="175">
        <v>1</v>
      </c>
      <c r="L307" s="175">
        <v>2</v>
      </c>
      <c r="M307" s="175">
        <v>2</v>
      </c>
      <c r="N307" s="170"/>
      <c r="O307" s="170"/>
      <c r="P307" s="180">
        <f>SUM(Tabela2[[#This Row],[G]]+Tabela2[[#This Row],[D]]+Tabela2[[#This Row],[N]]+Tabela2[[#This Row],[HM]])</f>
        <v>5</v>
      </c>
      <c r="Q307" s="180">
        <f>SUM(Tabela2[[#This Row],[AO]]+Tabela2[[#This Row],[AD]]+Tabela2[[#This Row],[GWO]]+Tabela2[[#This Row],[GWD]])</f>
        <v>8</v>
      </c>
      <c r="R307" s="180">
        <f>Tabela2[[#This Row],[GWO]]+Tabela2[[#This Row],[GWD]]</f>
        <v>4</v>
      </c>
      <c r="S307" s="180">
        <f>SUM(Tabela2[[#This Row],[G]:[GWD]])</f>
        <v>13</v>
      </c>
    </row>
    <row r="308" spans="1:19" ht="30">
      <c r="A308" s="183">
        <v>169</v>
      </c>
      <c r="B308" s="170" t="s">
        <v>574</v>
      </c>
      <c r="C308" s="170" t="s">
        <v>573</v>
      </c>
      <c r="D308" s="170">
        <v>3</v>
      </c>
      <c r="E308" s="170" t="s">
        <v>273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4</v>
      </c>
      <c r="M308" s="170">
        <v>2</v>
      </c>
      <c r="N308" s="170"/>
      <c r="O308" s="170"/>
      <c r="P308" s="180">
        <f>SUM(Tabela2[[#This Row],[G]]+Tabela2[[#This Row],[D]]+Tabela2[[#This Row],[N]]+Tabela2[[#This Row],[HM]])</f>
        <v>4</v>
      </c>
      <c r="Q308" s="180">
        <f>SUM(Tabela2[[#This Row],[AO]]+Tabela2[[#This Row],[AD]]+Tabela2[[#This Row],[GWO]]+Tabela2[[#This Row],[GWD]])</f>
        <v>8</v>
      </c>
      <c r="R308" s="180">
        <f>Tabela2[[#This Row],[GWO]]+Tabela2[[#This Row],[GWD]]</f>
        <v>6</v>
      </c>
      <c r="S308" s="180">
        <f>SUM(Tabela2[[#This Row],[G]:[GWD]])</f>
        <v>12</v>
      </c>
    </row>
    <row r="309" spans="1:19" ht="30">
      <c r="A309" s="183">
        <v>136</v>
      </c>
      <c r="B309" s="171" t="s">
        <v>610</v>
      </c>
      <c r="C309" s="171" t="s">
        <v>573</v>
      </c>
      <c r="D309" s="171">
        <v>3</v>
      </c>
      <c r="E309" s="171" t="s">
        <v>252</v>
      </c>
      <c r="F309" s="171">
        <v>2</v>
      </c>
      <c r="G309" s="171">
        <v>2</v>
      </c>
      <c r="H309" s="171">
        <v>1</v>
      </c>
      <c r="I309" s="171">
        <v>3</v>
      </c>
      <c r="J309" s="171">
        <v>1</v>
      </c>
      <c r="K309" s="171">
        <v>4</v>
      </c>
      <c r="L309" s="171">
        <v>3</v>
      </c>
      <c r="M309" s="171">
        <v>2</v>
      </c>
      <c r="N309" s="170"/>
      <c r="O309" s="170"/>
      <c r="P309" s="180">
        <f>SUM(Tabela2[[#This Row],[G]]+Tabela2[[#This Row],[D]]+Tabela2[[#This Row],[N]]+Tabela2[[#This Row],[HM]])</f>
        <v>9</v>
      </c>
      <c r="Q309" s="180">
        <f>SUM(Tabela2[[#This Row],[AO]]+Tabela2[[#This Row],[AD]]+Tabela2[[#This Row],[GWO]]+Tabela2[[#This Row],[GWD]])</f>
        <v>9</v>
      </c>
      <c r="R309" s="180">
        <f>Tabela2[[#This Row],[GWO]]+Tabela2[[#This Row],[GWD]]</f>
        <v>5</v>
      </c>
      <c r="S309" s="180">
        <f>SUM(Tabela2[[#This Row],[G]:[GWD]])</f>
        <v>18</v>
      </c>
    </row>
    <row r="310" spans="1:19" ht="30">
      <c r="A310" s="183">
        <v>109</v>
      </c>
      <c r="B310" s="172" t="s">
        <v>636</v>
      </c>
      <c r="C310" s="172" t="s">
        <v>573</v>
      </c>
      <c r="D310" s="172">
        <v>3</v>
      </c>
      <c r="E310" s="172" t="s">
        <v>251</v>
      </c>
      <c r="F310" s="172">
        <v>2</v>
      </c>
      <c r="G310" s="172">
        <v>1</v>
      </c>
      <c r="H310" s="172">
        <v>1</v>
      </c>
      <c r="I310" s="172">
        <v>1</v>
      </c>
      <c r="J310" s="172">
        <v>1</v>
      </c>
      <c r="K310" s="172">
        <v>1</v>
      </c>
      <c r="L310" s="172">
        <v>1</v>
      </c>
      <c r="M310" s="172">
        <v>1</v>
      </c>
      <c r="N310" s="170"/>
      <c r="O310" s="170"/>
      <c r="P310" s="180">
        <f>SUM(Tabela2[[#This Row],[G]]+Tabela2[[#This Row],[D]]+Tabela2[[#This Row],[N]]+Tabela2[[#This Row],[HM]])</f>
        <v>5</v>
      </c>
      <c r="Q310" s="180">
        <f>SUM(Tabela2[[#This Row],[AO]]+Tabela2[[#This Row],[AD]]+Tabela2[[#This Row],[GWO]]+Tabela2[[#This Row],[GWD]])</f>
        <v>4</v>
      </c>
      <c r="R310" s="180">
        <f>Tabela2[[#This Row],[GWO]]+Tabela2[[#This Row],[GWD]]</f>
        <v>2</v>
      </c>
      <c r="S310" s="180">
        <f>SUM(Tabela2[[#This Row],[G]:[GWD]])</f>
        <v>9</v>
      </c>
    </row>
    <row r="311" spans="1:19" ht="30">
      <c r="A311" s="183">
        <v>80</v>
      </c>
      <c r="B311" s="174" t="s">
        <v>665</v>
      </c>
      <c r="C311" s="174" t="s">
        <v>573</v>
      </c>
      <c r="D311" s="174">
        <v>3</v>
      </c>
      <c r="E311" s="174" t="s">
        <v>250</v>
      </c>
      <c r="F311" s="174">
        <v>3</v>
      </c>
      <c r="G311" s="174">
        <v>3</v>
      </c>
      <c r="H311" s="174">
        <v>1</v>
      </c>
      <c r="I311" s="174">
        <v>1</v>
      </c>
      <c r="J311" s="174">
        <v>3</v>
      </c>
      <c r="K311" s="174">
        <v>4</v>
      </c>
      <c r="L311" s="174">
        <v>4</v>
      </c>
      <c r="M311" s="174">
        <v>2</v>
      </c>
      <c r="N311" s="170"/>
      <c r="O311" s="170"/>
      <c r="P311" s="180">
        <f>SUM(Tabela2[[#This Row],[G]]+Tabela2[[#This Row],[D]]+Tabela2[[#This Row],[N]]+Tabela2[[#This Row],[HM]])</f>
        <v>11</v>
      </c>
      <c r="Q311" s="180">
        <f>SUM(Tabela2[[#This Row],[AO]]+Tabela2[[#This Row],[AD]]+Tabela2[[#This Row],[GWO]]+Tabela2[[#This Row],[GWD]])</f>
        <v>10</v>
      </c>
      <c r="R311" s="180">
        <f>Tabela2[[#This Row],[GWO]]+Tabela2[[#This Row],[GWD]]</f>
        <v>6</v>
      </c>
      <c r="S311" s="180">
        <f>SUM(Tabela2[[#This Row],[G]:[GWD]])</f>
        <v>21</v>
      </c>
    </row>
    <row r="312" spans="1:19" ht="30">
      <c r="A312" s="183">
        <v>49</v>
      </c>
      <c r="B312" s="175" t="s">
        <v>704</v>
      </c>
      <c r="C312" s="175" t="s">
        <v>573</v>
      </c>
      <c r="D312" s="175">
        <v>3</v>
      </c>
      <c r="E312" s="175" t="s">
        <v>18</v>
      </c>
      <c r="F312" s="175">
        <v>1</v>
      </c>
      <c r="G312" s="175">
        <v>2</v>
      </c>
      <c r="H312" s="175">
        <v>1</v>
      </c>
      <c r="I312" s="175">
        <v>2</v>
      </c>
      <c r="J312" s="175">
        <v>2</v>
      </c>
      <c r="K312" s="175">
        <v>2</v>
      </c>
      <c r="L312" s="175">
        <v>2</v>
      </c>
      <c r="M312" s="175">
        <v>2</v>
      </c>
      <c r="N312" s="170"/>
      <c r="O312" s="170"/>
      <c r="P312" s="180">
        <f>SUM(Tabela2[[#This Row],[G]]+Tabela2[[#This Row],[D]]+Tabela2[[#This Row],[N]]+Tabela2[[#This Row],[HM]])</f>
        <v>6</v>
      </c>
      <c r="Q312" s="180">
        <f>SUM(Tabela2[[#This Row],[AO]]+Tabela2[[#This Row],[AD]]+Tabela2[[#This Row],[GWO]]+Tabela2[[#This Row],[GWD]])</f>
        <v>8</v>
      </c>
      <c r="R312" s="180">
        <f>Tabela2[[#This Row],[GWO]]+Tabela2[[#This Row],[GWD]]</f>
        <v>4</v>
      </c>
      <c r="S312" s="180">
        <f>SUM(Tabela2[[#This Row],[G]:[GWD]])</f>
        <v>14</v>
      </c>
    </row>
    <row r="313" spans="1:19" ht="30">
      <c r="A313" s="183">
        <v>301</v>
      </c>
      <c r="B313" s="170" t="s">
        <v>419</v>
      </c>
      <c r="C313" s="170" t="s">
        <v>418</v>
      </c>
      <c r="D313" s="170">
        <v>4</v>
      </c>
      <c r="E313" s="170" t="s">
        <v>273</v>
      </c>
      <c r="F313" s="170">
        <v>2</v>
      </c>
      <c r="G313" s="170">
        <v>2</v>
      </c>
      <c r="H313" s="170">
        <v>1</v>
      </c>
      <c r="I313" s="170">
        <v>2</v>
      </c>
      <c r="J313" s="170">
        <v>1</v>
      </c>
      <c r="K313" s="170">
        <v>1</v>
      </c>
      <c r="L313" s="170">
        <v>4</v>
      </c>
      <c r="M313" s="170">
        <v>1</v>
      </c>
      <c r="N313" s="170"/>
      <c r="O313" s="170"/>
      <c r="P313" s="180">
        <f>SUM(Tabela2[[#This Row],[G]]+Tabela2[[#This Row],[D]]+Tabela2[[#This Row],[N]]+Tabela2[[#This Row],[HM]])</f>
        <v>6</v>
      </c>
      <c r="Q313" s="180">
        <f>SUM(Tabela2[[#This Row],[AO]]+Tabela2[[#This Row],[AD]]+Tabela2[[#This Row],[GWO]]+Tabela2[[#This Row],[GWD]])</f>
        <v>8</v>
      </c>
      <c r="R313" s="180">
        <f>Tabela2[[#This Row],[GWO]]+Tabela2[[#This Row],[GWD]]</f>
        <v>5</v>
      </c>
      <c r="S313" s="180">
        <f>SUM(Tabela2[[#This Row],[G]:[GWD]])</f>
        <v>14</v>
      </c>
    </row>
    <row r="314" spans="1:19" ht="30">
      <c r="A314" s="183">
        <v>279</v>
      </c>
      <c r="B314" s="171" t="s">
        <v>443</v>
      </c>
      <c r="C314" s="171" t="s">
        <v>442</v>
      </c>
      <c r="D314" s="171">
        <v>4</v>
      </c>
      <c r="E314" s="171" t="s">
        <v>252</v>
      </c>
      <c r="F314" s="171">
        <v>2</v>
      </c>
      <c r="G314" s="171">
        <v>2</v>
      </c>
      <c r="H314" s="171">
        <v>2</v>
      </c>
      <c r="I314" s="171">
        <v>3</v>
      </c>
      <c r="J314" s="171">
        <v>1</v>
      </c>
      <c r="K314" s="171">
        <v>1</v>
      </c>
      <c r="L314" s="171">
        <v>4</v>
      </c>
      <c r="M314" s="171">
        <v>1</v>
      </c>
      <c r="N314" s="170"/>
      <c r="O314" s="170"/>
      <c r="P314" s="180">
        <f>SUM(Tabela2[[#This Row],[G]]+Tabela2[[#This Row],[D]]+Tabela2[[#This Row],[N]]+Tabela2[[#This Row],[HM]])</f>
        <v>7</v>
      </c>
      <c r="Q314" s="180">
        <f>SUM(Tabela2[[#This Row],[AO]]+Tabela2[[#This Row],[AD]]+Tabela2[[#This Row],[GWO]]+Tabela2[[#This Row],[GWD]])</f>
        <v>9</v>
      </c>
      <c r="R314" s="180">
        <f>Tabela2[[#This Row],[GWO]]+Tabela2[[#This Row],[GWD]]</f>
        <v>5</v>
      </c>
      <c r="S314" s="180">
        <f>SUM(Tabela2[[#This Row],[G]:[GWD]])</f>
        <v>16</v>
      </c>
    </row>
    <row r="315" spans="1:19" ht="30">
      <c r="A315" s="183">
        <v>253</v>
      </c>
      <c r="B315" s="172" t="s">
        <v>470</v>
      </c>
      <c r="C315" s="172" t="s">
        <v>442</v>
      </c>
      <c r="D315" s="172">
        <v>4</v>
      </c>
      <c r="E315" s="172" t="s">
        <v>251</v>
      </c>
      <c r="F315" s="172">
        <v>2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0"/>
      <c r="O315" s="170"/>
      <c r="P315" s="180">
        <f>SUM(Tabela2[[#This Row],[G]]+Tabela2[[#This Row],[D]]+Tabela2[[#This Row],[N]]+Tabela2[[#This Row],[HM]])</f>
        <v>5</v>
      </c>
      <c r="Q315" s="180">
        <f>SUM(Tabela2[[#This Row],[AO]]+Tabela2[[#This Row],[AD]]+Tabela2[[#This Row],[GWO]]+Tabela2[[#This Row],[GWD]])</f>
        <v>4</v>
      </c>
      <c r="R315" s="180">
        <f>Tabela2[[#This Row],[GWO]]+Tabela2[[#This Row],[GWD]]</f>
        <v>2</v>
      </c>
      <c r="S315" s="180">
        <f>SUM(Tabela2[[#This Row],[G]:[GWD]])</f>
        <v>9</v>
      </c>
    </row>
    <row r="316" spans="1:19" ht="30">
      <c r="A316" s="183">
        <v>227</v>
      </c>
      <c r="B316" s="174" t="s">
        <v>495</v>
      </c>
      <c r="C316" s="174" t="s">
        <v>442</v>
      </c>
      <c r="D316" s="174">
        <v>4</v>
      </c>
      <c r="E316" s="174" t="s">
        <v>250</v>
      </c>
      <c r="F316" s="174">
        <v>1</v>
      </c>
      <c r="G316" s="174">
        <v>3</v>
      </c>
      <c r="H316" s="174">
        <v>3</v>
      </c>
      <c r="I316" s="174">
        <v>2</v>
      </c>
      <c r="J316" s="174">
        <v>1</v>
      </c>
      <c r="K316" s="174">
        <v>1</v>
      </c>
      <c r="L316" s="174">
        <v>2</v>
      </c>
      <c r="M316" s="174">
        <v>1</v>
      </c>
      <c r="N316" s="170"/>
      <c r="O316" s="170"/>
      <c r="P316" s="180">
        <f>SUM(Tabela2[[#This Row],[G]]+Tabela2[[#This Row],[D]]+Tabela2[[#This Row],[N]]+Tabela2[[#This Row],[HM]])</f>
        <v>8</v>
      </c>
      <c r="Q316" s="180">
        <f>SUM(Tabela2[[#This Row],[AO]]+Tabela2[[#This Row],[AD]]+Tabela2[[#This Row],[GWO]]+Tabela2[[#This Row],[GWD]])</f>
        <v>6</v>
      </c>
      <c r="R316" s="180">
        <f>Tabela2[[#This Row],[GWO]]+Tabela2[[#This Row],[GWD]]</f>
        <v>3</v>
      </c>
      <c r="S316" s="180">
        <f>SUM(Tabela2[[#This Row],[G]:[GWD]])</f>
        <v>14</v>
      </c>
    </row>
    <row r="317" spans="1:19" ht="30">
      <c r="A317" s="183">
        <v>201</v>
      </c>
      <c r="B317" s="176" t="s">
        <v>520</v>
      </c>
      <c r="C317" s="175" t="s">
        <v>442</v>
      </c>
      <c r="D317" s="175">
        <v>4</v>
      </c>
      <c r="E317" s="175" t="s">
        <v>18</v>
      </c>
      <c r="F317" s="175">
        <v>1</v>
      </c>
      <c r="G317" s="175">
        <v>1</v>
      </c>
      <c r="H317" s="175">
        <v>2</v>
      </c>
      <c r="I317" s="175">
        <v>3</v>
      </c>
      <c r="J317" s="175">
        <v>1</v>
      </c>
      <c r="K317" s="175">
        <v>1</v>
      </c>
      <c r="L317" s="175">
        <v>3</v>
      </c>
      <c r="M317" s="175">
        <v>1</v>
      </c>
      <c r="N317" s="170"/>
      <c r="O317" s="170"/>
      <c r="P317" s="180">
        <f>SUM(Tabela2[[#This Row],[G]]+Tabela2[[#This Row],[D]]+Tabela2[[#This Row],[N]]+Tabela2[[#This Row],[HM]])</f>
        <v>5</v>
      </c>
      <c r="Q317" s="180">
        <f>SUM(Tabela2[[#This Row],[AO]]+Tabela2[[#This Row],[AD]]+Tabela2[[#This Row],[GWO]]+Tabela2[[#This Row],[GWD]])</f>
        <v>8</v>
      </c>
      <c r="R317" s="180">
        <f>Tabela2[[#This Row],[GWO]]+Tabela2[[#This Row],[GWD]]</f>
        <v>4</v>
      </c>
      <c r="S317" s="180">
        <f>SUM(Tabela2[[#This Row],[G]:[GWD]])</f>
        <v>13</v>
      </c>
    </row>
    <row r="318" spans="1:19">
      <c r="A318" s="183">
        <v>300</v>
      </c>
      <c r="B318" s="170" t="s">
        <v>421</v>
      </c>
      <c r="C318" s="170" t="s">
        <v>420</v>
      </c>
      <c r="D318" s="170">
        <v>4</v>
      </c>
      <c r="E318" s="170" t="s">
        <v>273</v>
      </c>
      <c r="F318" s="170">
        <v>2</v>
      </c>
      <c r="G318" s="170">
        <v>2</v>
      </c>
      <c r="H318" s="170">
        <v>1</v>
      </c>
      <c r="I318" s="170">
        <v>2</v>
      </c>
      <c r="J318" s="170">
        <v>1</v>
      </c>
      <c r="K318" s="170">
        <v>2</v>
      </c>
      <c r="L318" s="170">
        <v>3</v>
      </c>
      <c r="M318" s="170">
        <v>1</v>
      </c>
      <c r="N318" s="170"/>
      <c r="O318" s="170"/>
      <c r="P318" s="180">
        <f>SUM(Tabela2[[#This Row],[G]]+Tabela2[[#This Row],[D]]+Tabela2[[#This Row],[N]]+Tabela2[[#This Row],[HM]])</f>
        <v>7</v>
      </c>
      <c r="Q318" s="180">
        <f>SUM(Tabela2[[#This Row],[AO]]+Tabela2[[#This Row],[AD]]+Tabela2[[#This Row],[GWO]]+Tabela2[[#This Row],[GWD]])</f>
        <v>7</v>
      </c>
      <c r="R318" s="180">
        <f>Tabela2[[#This Row],[GWO]]+Tabela2[[#This Row],[GWD]]</f>
        <v>4</v>
      </c>
      <c r="S318" s="180">
        <f>SUM(Tabela2[[#This Row],[G]:[GWD]])</f>
        <v>14</v>
      </c>
    </row>
    <row r="319" spans="1:19">
      <c r="A319" s="183">
        <v>278</v>
      </c>
      <c r="B319" s="171" t="s">
        <v>444</v>
      </c>
      <c r="C319" s="171" t="s">
        <v>420</v>
      </c>
      <c r="D319" s="171">
        <v>4</v>
      </c>
      <c r="E319" s="171" t="s">
        <v>252</v>
      </c>
      <c r="F319" s="171">
        <v>1</v>
      </c>
      <c r="G319" s="171">
        <v>1</v>
      </c>
      <c r="H319" s="171">
        <v>1</v>
      </c>
      <c r="I319" s="171">
        <v>1</v>
      </c>
      <c r="J319" s="171">
        <v>1</v>
      </c>
      <c r="K319" s="171">
        <v>1</v>
      </c>
      <c r="L319" s="171">
        <v>3</v>
      </c>
      <c r="M319" s="171">
        <v>1</v>
      </c>
      <c r="N319" s="170"/>
      <c r="O319" s="170"/>
      <c r="P319" s="180">
        <f>SUM(Tabela2[[#This Row],[G]]+Tabela2[[#This Row],[D]]+Tabela2[[#This Row],[N]]+Tabela2[[#This Row],[HM]])</f>
        <v>4</v>
      </c>
      <c r="Q319" s="180">
        <f>SUM(Tabela2[[#This Row],[AO]]+Tabela2[[#This Row],[AD]]+Tabela2[[#This Row],[GWO]]+Tabela2[[#This Row],[GWD]])</f>
        <v>6</v>
      </c>
      <c r="R319" s="180">
        <f>Tabela2[[#This Row],[GWO]]+Tabela2[[#This Row],[GWD]]</f>
        <v>4</v>
      </c>
      <c r="S319" s="180">
        <f>SUM(Tabela2[[#This Row],[G]:[GWD]])</f>
        <v>10</v>
      </c>
    </row>
    <row r="320" spans="1:19">
      <c r="A320" s="183">
        <v>252</v>
      </c>
      <c r="B320" s="172" t="s">
        <v>471</v>
      </c>
      <c r="C320" s="172" t="s">
        <v>420</v>
      </c>
      <c r="D320" s="172">
        <v>4</v>
      </c>
      <c r="E320" s="172" t="s">
        <v>251</v>
      </c>
      <c r="F320" s="172">
        <v>2</v>
      </c>
      <c r="G320" s="172">
        <v>1</v>
      </c>
      <c r="H320" s="172">
        <v>1</v>
      </c>
      <c r="I320" s="172">
        <v>1</v>
      </c>
      <c r="J320" s="172">
        <v>1</v>
      </c>
      <c r="K320" s="172">
        <v>1</v>
      </c>
      <c r="L320" s="172">
        <v>4</v>
      </c>
      <c r="M320" s="172">
        <v>1</v>
      </c>
      <c r="N320" s="170"/>
      <c r="O320" s="191" t="s">
        <v>205</v>
      </c>
      <c r="P320" s="180">
        <f>SUM(Tabela2[[#This Row],[G]]+Tabela2[[#This Row],[D]]+Tabela2[[#This Row],[N]]+Tabela2[[#This Row],[HM]])</f>
        <v>5</v>
      </c>
      <c r="Q320" s="180">
        <f>SUM(Tabela2[[#This Row],[AO]]+Tabela2[[#This Row],[AD]]+Tabela2[[#This Row],[GWO]]+Tabela2[[#This Row],[GWD]])</f>
        <v>7</v>
      </c>
      <c r="R320" s="180">
        <f>Tabela2[[#This Row],[GWO]]+Tabela2[[#This Row],[GWD]]</f>
        <v>5</v>
      </c>
      <c r="S320" s="180">
        <f>SUM(Tabela2[[#This Row],[G]:[GWD]])</f>
        <v>12</v>
      </c>
    </row>
    <row r="321" spans="1:19">
      <c r="A321" s="183">
        <v>226</v>
      </c>
      <c r="B321" s="174" t="s">
        <v>496</v>
      </c>
      <c r="C321" s="174" t="s">
        <v>420</v>
      </c>
      <c r="D321" s="174">
        <v>4</v>
      </c>
      <c r="E321" s="174" t="s">
        <v>250</v>
      </c>
      <c r="F321" s="174">
        <v>1</v>
      </c>
      <c r="G321" s="174">
        <v>1</v>
      </c>
      <c r="H321" s="174">
        <v>1</v>
      </c>
      <c r="I321" s="174">
        <v>1</v>
      </c>
      <c r="J321" s="174">
        <v>1</v>
      </c>
      <c r="K321" s="174">
        <v>1</v>
      </c>
      <c r="L321" s="174">
        <v>3</v>
      </c>
      <c r="M321" s="174">
        <v>1</v>
      </c>
      <c r="N321" s="170"/>
      <c r="O321" s="170"/>
      <c r="P321" s="180">
        <f>SUM(Tabela2[[#This Row],[G]]+Tabela2[[#This Row],[D]]+Tabela2[[#This Row],[N]]+Tabela2[[#This Row],[HM]])</f>
        <v>4</v>
      </c>
      <c r="Q321" s="180">
        <f>SUM(Tabela2[[#This Row],[AO]]+Tabela2[[#This Row],[AD]]+Tabela2[[#This Row],[GWO]]+Tabela2[[#This Row],[GWD]])</f>
        <v>6</v>
      </c>
      <c r="R321" s="180">
        <f>Tabela2[[#This Row],[GWO]]+Tabela2[[#This Row],[GWD]]</f>
        <v>4</v>
      </c>
      <c r="S321" s="180">
        <f>SUM(Tabela2[[#This Row],[G]:[GWD]])</f>
        <v>10</v>
      </c>
    </row>
    <row r="322" spans="1:19">
      <c r="A322" s="183">
        <v>200</v>
      </c>
      <c r="B322" s="176" t="s">
        <v>521</v>
      </c>
      <c r="C322" s="175" t="s">
        <v>420</v>
      </c>
      <c r="D322" s="175">
        <v>4</v>
      </c>
      <c r="E322" s="175" t="s">
        <v>18</v>
      </c>
      <c r="F322" s="175">
        <v>1</v>
      </c>
      <c r="G322" s="175">
        <v>3</v>
      </c>
      <c r="H322" s="175">
        <v>3</v>
      </c>
      <c r="I322" s="175">
        <v>3</v>
      </c>
      <c r="J322" s="175">
        <v>1</v>
      </c>
      <c r="K322" s="175">
        <v>1</v>
      </c>
      <c r="L322" s="175">
        <v>3</v>
      </c>
      <c r="M322" s="175">
        <v>1</v>
      </c>
      <c r="N322" s="170"/>
      <c r="O322" s="170"/>
      <c r="P322" s="180">
        <f>SUM(Tabela2[[#This Row],[G]]+Tabela2[[#This Row],[D]]+Tabela2[[#This Row],[N]]+Tabela2[[#This Row],[HM]])</f>
        <v>8</v>
      </c>
      <c r="Q322" s="180">
        <f>SUM(Tabela2[[#This Row],[AO]]+Tabela2[[#This Row],[AD]]+Tabela2[[#This Row],[GWO]]+Tabela2[[#This Row],[GWD]])</f>
        <v>8</v>
      </c>
      <c r="R322" s="180">
        <f>Tabela2[[#This Row],[GWO]]+Tabela2[[#This Row],[GWD]]</f>
        <v>4</v>
      </c>
      <c r="S322" s="180">
        <f>SUM(Tabela2[[#This Row],[G]:[GWD]])</f>
        <v>16</v>
      </c>
    </row>
    <row r="323" spans="1:19">
      <c r="A323" s="183">
        <v>168</v>
      </c>
      <c r="B323" s="170" t="s">
        <v>576</v>
      </c>
      <c r="C323" s="170" t="s">
        <v>575</v>
      </c>
      <c r="D323" s="170">
        <v>3</v>
      </c>
      <c r="E323" s="170" t="s">
        <v>273</v>
      </c>
      <c r="F323" s="170">
        <v>1</v>
      </c>
      <c r="G323" s="170">
        <v>1</v>
      </c>
      <c r="H323" s="170">
        <v>2</v>
      </c>
      <c r="I323" s="170">
        <v>1</v>
      </c>
      <c r="J323" s="170">
        <v>1</v>
      </c>
      <c r="K323" s="170">
        <v>1</v>
      </c>
      <c r="L323" s="170">
        <v>1</v>
      </c>
      <c r="M323" s="170">
        <v>1</v>
      </c>
      <c r="N323" s="170"/>
      <c r="O323" s="170"/>
      <c r="P323" s="180">
        <f>SUM(Tabela2[[#This Row],[G]]+Tabela2[[#This Row],[D]]+Tabela2[[#This Row],[N]]+Tabela2[[#This Row],[HM]])</f>
        <v>5</v>
      </c>
      <c r="Q323" s="180">
        <f>SUM(Tabela2[[#This Row],[AO]]+Tabela2[[#This Row],[AD]]+Tabela2[[#This Row],[GWO]]+Tabela2[[#This Row],[GWD]])</f>
        <v>4</v>
      </c>
      <c r="R323" s="180">
        <f>Tabela2[[#This Row],[GWO]]+Tabela2[[#This Row],[GWD]]</f>
        <v>2</v>
      </c>
      <c r="S323" s="180">
        <f>SUM(Tabela2[[#This Row],[G]:[GWD]])</f>
        <v>9</v>
      </c>
    </row>
    <row r="324" spans="1:19">
      <c r="A324" s="183">
        <v>135</v>
      </c>
      <c r="B324" s="171" t="s">
        <v>611</v>
      </c>
      <c r="C324" s="171" t="s">
        <v>575</v>
      </c>
      <c r="D324" s="171">
        <v>3</v>
      </c>
      <c r="E324" s="171" t="s">
        <v>252</v>
      </c>
      <c r="F324" s="171">
        <v>1</v>
      </c>
      <c r="G324" s="171">
        <v>1</v>
      </c>
      <c r="H324" s="171">
        <v>1</v>
      </c>
      <c r="I324" s="171">
        <v>2</v>
      </c>
      <c r="J324" s="171">
        <v>1</v>
      </c>
      <c r="K324" s="171">
        <v>1</v>
      </c>
      <c r="L324" s="171">
        <v>2</v>
      </c>
      <c r="M324" s="171">
        <v>1</v>
      </c>
      <c r="N324" s="170"/>
      <c r="O324" s="170"/>
      <c r="P324" s="180">
        <f>SUM(Tabela2[[#This Row],[G]]+Tabela2[[#This Row],[D]]+Tabela2[[#This Row],[N]]+Tabela2[[#This Row],[HM]])</f>
        <v>4</v>
      </c>
      <c r="Q324" s="180">
        <f>SUM(Tabela2[[#This Row],[AO]]+Tabela2[[#This Row],[AD]]+Tabela2[[#This Row],[GWO]]+Tabela2[[#This Row],[GWD]])</f>
        <v>6</v>
      </c>
      <c r="R324" s="180">
        <f>Tabela2[[#This Row],[GWO]]+Tabela2[[#This Row],[GWD]]</f>
        <v>3</v>
      </c>
      <c r="S324" s="180">
        <f>SUM(Tabela2[[#This Row],[G]:[GWD]])</f>
        <v>10</v>
      </c>
    </row>
    <row r="325" spans="1:19">
      <c r="A325" s="183">
        <v>108</v>
      </c>
      <c r="B325" s="172" t="s">
        <v>637</v>
      </c>
      <c r="C325" s="172" t="s">
        <v>575</v>
      </c>
      <c r="D325" s="172">
        <v>3</v>
      </c>
      <c r="E325" s="172" t="s">
        <v>251</v>
      </c>
      <c r="F325" s="172">
        <v>1</v>
      </c>
      <c r="G325" s="172">
        <v>1</v>
      </c>
      <c r="H325" s="172">
        <v>2</v>
      </c>
      <c r="I325" s="172">
        <v>1</v>
      </c>
      <c r="J325" s="172">
        <v>1</v>
      </c>
      <c r="K325" s="172">
        <v>1</v>
      </c>
      <c r="L325" s="172">
        <v>1</v>
      </c>
      <c r="M325" s="172">
        <v>1</v>
      </c>
      <c r="N325" s="172" t="s">
        <v>446</v>
      </c>
      <c r="O325" s="172"/>
      <c r="P325" s="186">
        <f>SUM(Tabela2[[#This Row],[G]]+Tabela2[[#This Row],[D]]+Tabela2[[#This Row],[N]]+Tabela2[[#This Row],[HM]])</f>
        <v>5</v>
      </c>
      <c r="Q325" s="186">
        <f>SUM(Tabela2[[#This Row],[AO]]+Tabela2[[#This Row],[AD]]+Tabela2[[#This Row],[GWO]]+Tabela2[[#This Row],[GWD]])</f>
        <v>4</v>
      </c>
      <c r="R325" s="186">
        <f>Tabela2[[#This Row],[GWO]]+Tabela2[[#This Row],[GWD]]</f>
        <v>2</v>
      </c>
      <c r="S325" s="180">
        <f>SUM(Tabela2[[#This Row],[G]:[GWD]])</f>
        <v>9</v>
      </c>
    </row>
    <row r="326" spans="1:19">
      <c r="A326" s="183">
        <v>79</v>
      </c>
      <c r="B326" s="174" t="s">
        <v>666</v>
      </c>
      <c r="C326" s="174" t="s">
        <v>575</v>
      </c>
      <c r="D326" s="174">
        <v>3</v>
      </c>
      <c r="E326" s="174" t="s">
        <v>250</v>
      </c>
      <c r="F326" s="174">
        <v>2</v>
      </c>
      <c r="G326" s="174">
        <v>2</v>
      </c>
      <c r="H326" s="174">
        <v>3</v>
      </c>
      <c r="I326" s="174">
        <v>3</v>
      </c>
      <c r="J326" s="174">
        <v>1</v>
      </c>
      <c r="K326" s="174">
        <v>2</v>
      </c>
      <c r="L326" s="174">
        <v>2</v>
      </c>
      <c r="M326" s="174">
        <v>1</v>
      </c>
      <c r="N326" s="170"/>
      <c r="O326" s="170"/>
      <c r="P326" s="180">
        <f>SUM(Tabela2[[#This Row],[G]]+Tabela2[[#This Row],[D]]+Tabela2[[#This Row],[N]]+Tabela2[[#This Row],[HM]])</f>
        <v>9</v>
      </c>
      <c r="Q326" s="180">
        <f>SUM(Tabela2[[#This Row],[AO]]+Tabela2[[#This Row],[AD]]+Tabela2[[#This Row],[GWO]]+Tabela2[[#This Row],[GWD]])</f>
        <v>7</v>
      </c>
      <c r="R326" s="180">
        <f>Tabela2[[#This Row],[GWO]]+Tabela2[[#This Row],[GWD]]</f>
        <v>3</v>
      </c>
      <c r="S326" s="180">
        <f>SUM(Tabela2[[#This Row],[G]:[GWD]])</f>
        <v>16</v>
      </c>
    </row>
    <row r="327" spans="1:19">
      <c r="A327" s="183">
        <v>48</v>
      </c>
      <c r="B327" s="175" t="s">
        <v>706</v>
      </c>
      <c r="C327" s="175" t="s">
        <v>705</v>
      </c>
      <c r="D327" s="175">
        <v>3</v>
      </c>
      <c r="E327" s="175" t="s">
        <v>18</v>
      </c>
      <c r="F327" s="175">
        <v>1</v>
      </c>
      <c r="G327" s="175">
        <v>2</v>
      </c>
      <c r="H327" s="175">
        <v>1</v>
      </c>
      <c r="I327" s="175">
        <v>3</v>
      </c>
      <c r="J327" s="175">
        <v>1</v>
      </c>
      <c r="K327" s="175">
        <v>1</v>
      </c>
      <c r="L327" s="175">
        <v>3</v>
      </c>
      <c r="M327" s="175">
        <v>1</v>
      </c>
      <c r="N327" s="170"/>
      <c r="O327" s="170"/>
      <c r="P327" s="180">
        <f>SUM(Tabela2[[#This Row],[G]]+Tabela2[[#This Row],[D]]+Tabela2[[#This Row],[N]]+Tabela2[[#This Row],[HM]])</f>
        <v>5</v>
      </c>
      <c r="Q327" s="180">
        <f>SUM(Tabela2[[#This Row],[AO]]+Tabela2[[#This Row],[AD]]+Tabela2[[#This Row],[GWO]]+Tabela2[[#This Row],[GWD]])</f>
        <v>8</v>
      </c>
      <c r="R327" s="180">
        <f>Tabela2[[#This Row],[GWO]]+Tabela2[[#This Row],[GWD]]</f>
        <v>4</v>
      </c>
      <c r="S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0"/>
  <sheetViews>
    <sheetView workbookViewId="0">
      <selection activeCell="E14" sqref="E14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787</v>
      </c>
      <c r="D1" t="s">
        <v>776</v>
      </c>
      <c r="E1" t="s">
        <v>791</v>
      </c>
      <c r="F1" t="s">
        <v>794</v>
      </c>
      <c r="G1" t="s">
        <v>792</v>
      </c>
      <c r="J1" t="s">
        <v>796</v>
      </c>
    </row>
    <row r="2" spans="1:12">
      <c r="A2" t="s">
        <v>793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4002.6666666666665</v>
      </c>
    </row>
    <row r="3" spans="1:12">
      <c r="A3" t="s">
        <v>793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4213.333333333333</v>
      </c>
      <c r="L3">
        <f>(K3-K2)/J2*30/G20</f>
        <v>5.2631578947368376E-2</v>
      </c>
    </row>
    <row r="4" spans="1:12">
      <c r="A4" t="s">
        <v>793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793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793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793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793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793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793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793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786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788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823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2">
      <c r="A15" t="s">
        <v>788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2">
      <c r="A16" t="s">
        <v>788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789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790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795</v>
      </c>
      <c r="G20" s="36">
        <f>SUM(Tabela20[Cryst/Month])</f>
        <v>1580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848</v>
      </c>
      <c r="H1" t="s">
        <v>5</v>
      </c>
    </row>
    <row r="2" spans="1:8">
      <c r="A2" t="s">
        <v>825</v>
      </c>
      <c r="C2" t="s">
        <v>824</v>
      </c>
      <c r="D2" t="s">
        <v>247</v>
      </c>
      <c r="E2" t="s">
        <v>150</v>
      </c>
      <c r="F2" t="s">
        <v>151</v>
      </c>
      <c r="G2" t="s">
        <v>187</v>
      </c>
      <c r="H2">
        <v>49</v>
      </c>
    </row>
    <row r="3" spans="1:8">
      <c r="A3" t="s">
        <v>826</v>
      </c>
      <c r="C3" t="s">
        <v>824</v>
      </c>
      <c r="D3" t="s">
        <v>247</v>
      </c>
      <c r="E3" t="s">
        <v>150</v>
      </c>
      <c r="F3" t="s">
        <v>151</v>
      </c>
      <c r="G3" t="s">
        <v>187</v>
      </c>
      <c r="H3">
        <v>29</v>
      </c>
    </row>
    <row r="4" spans="1:8">
      <c r="A4" t="s">
        <v>827</v>
      </c>
      <c r="C4" t="s">
        <v>824</v>
      </c>
      <c r="D4" t="s">
        <v>145</v>
      </c>
      <c r="E4" t="s">
        <v>150</v>
      </c>
      <c r="F4" t="s">
        <v>151</v>
      </c>
      <c r="G4" t="s">
        <v>187</v>
      </c>
      <c r="H4">
        <v>30</v>
      </c>
    </row>
    <row r="5" spans="1:8">
      <c r="A5" t="s">
        <v>826</v>
      </c>
      <c r="C5" t="s">
        <v>824</v>
      </c>
      <c r="D5" t="s">
        <v>247</v>
      </c>
      <c r="E5" t="s">
        <v>150</v>
      </c>
      <c r="F5" t="s">
        <v>151</v>
      </c>
      <c r="G5" t="s">
        <v>187</v>
      </c>
      <c r="H5">
        <v>31</v>
      </c>
    </row>
    <row r="6" spans="1:8">
      <c r="A6" t="s">
        <v>825</v>
      </c>
      <c r="C6" t="s">
        <v>824</v>
      </c>
      <c r="D6" t="s">
        <v>247</v>
      </c>
      <c r="E6" t="s">
        <v>150</v>
      </c>
      <c r="F6" t="s">
        <v>151</v>
      </c>
      <c r="G6" t="s">
        <v>187</v>
      </c>
      <c r="H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2015-11-20T16:37:01Z</dcterms:modified>
</cp:coreProperties>
</file>