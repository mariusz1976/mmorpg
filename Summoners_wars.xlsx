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tables/table4.xml" ContentType="application/vnd.openxmlformats-officedocument.spreadsheetml.table+xml"/>
  <Override PartName="/xl/tables/table16.xml" ContentType="application/vnd.openxmlformats-officedocument.spreadsheetml.table+xml"/>
  <Override PartName="/xl/pivotTables/pivotTable6.xml" ContentType="application/vnd.openxmlformats-officedocument.spreadsheetml.pivot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2.xml" ContentType="application/vnd.openxmlformats-officedocument.spreadsheetml.table+xml"/>
  <Override PartName="/xl/pivotTables/pivotTable4.xml" ContentType="application/vnd.openxmlformats-officedocument.spreadsheetml.pivotTable+xml"/>
  <Override PartName="/xl/tables/table14.xml" ContentType="application/vnd.openxmlformats-officedocument.spreadsheetml.table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pivotCache/pivotCacheRecords3.xml" ContentType="application/vnd.openxmlformats-officedocument.spreadsheetml.pivotCacheRecords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19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7.xml" ContentType="application/vnd.openxmlformats-officedocument.spreadsheetml.pivot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docProps/core.xml" ContentType="application/vnd.openxmlformats-package.core-properties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pivotTables/pivotTable5.xml" ContentType="application/vnd.openxmlformats-officedocument.spreadsheetml.pivotTable+xml"/>
  <Override PartName="/xl/tables/table15.xml" ContentType="application/vnd.openxmlformats-officedocument.spreadsheetml.table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tables/table13.xml" ContentType="application/vnd.openxmlformats-officedocument.spreadsheetml.table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tables/table1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showPivotChartFilter="1" defaultThemeVersion="124226"/>
  <bookViews>
    <workbookView xWindow="240" yWindow="90" windowWidth="15540" windowHeight="11820"/>
  </bookViews>
  <sheets>
    <sheet name="HP vs DEF" sheetId="19" r:id="rId1"/>
    <sheet name="Crystals" sheetId="14" r:id="rId2"/>
    <sheet name="EXP lvls" sheetId="1" r:id="rId3"/>
    <sheet name="Arkusz3" sheetId="18" r:id="rId4"/>
    <sheet name="Drop analityka" sheetId="3" r:id="rId5"/>
    <sheet name="Fusion" sheetId="9" r:id="rId6"/>
    <sheet name="Location features" sheetId="4" r:id="rId7"/>
    <sheet name="TabPrz" sheetId="5" r:id="rId8"/>
    <sheet name="Arkusz1" sheetId="15" r:id="rId9"/>
    <sheet name="Runes for DPS" sheetId="6" r:id="rId10"/>
    <sheet name="Runes stats" sheetId="11" r:id="rId11"/>
    <sheet name="Runes DB" sheetId="8" r:id="rId12"/>
    <sheet name="TP_Mon.Runes" sheetId="12" r:id="rId13"/>
    <sheet name="Grind.Summary" sheetId="2" r:id="rId14"/>
    <sheet name="Runes Mon.build" sheetId="7" r:id="rId15"/>
    <sheet name="ToA auto" sheetId="16" r:id="rId16"/>
    <sheet name="Mon.Utilities" sheetId="13" r:id="rId17"/>
    <sheet name="Arkusz2" sheetId="17" r:id="rId18"/>
  </sheets>
  <definedNames>
    <definedName name="_xlnm._FilterDatabase" localSheetId="16" hidden="1">Mon.Utilities!$A$1:$N$1</definedName>
  </definedNames>
  <calcPr calcId="125725"/>
  <pivotCaches>
    <pivotCache cacheId="3" r:id="rId19"/>
    <pivotCache cacheId="4" r:id="rId20"/>
    <pivotCache cacheId="5" r:id="rId21"/>
  </pivotCaches>
</workbook>
</file>

<file path=xl/calcChain.xml><?xml version="1.0" encoding="utf-8"?>
<calcChain xmlns="http://schemas.openxmlformats.org/spreadsheetml/2006/main">
  <c r="E16" i="19"/>
  <c r="F16" s="1"/>
  <c r="D16"/>
  <c r="G16" s="1"/>
  <c r="E15"/>
  <c r="D15"/>
  <c r="B14"/>
  <c r="C13"/>
  <c r="B13"/>
  <c r="F35"/>
  <c r="D35"/>
  <c r="C12" s="1"/>
  <c r="L31"/>
  <c r="K31"/>
  <c r="I31"/>
  <c r="H31"/>
  <c r="G31"/>
  <c r="E31"/>
  <c r="D31"/>
  <c r="J31" s="1"/>
  <c r="C31"/>
  <c r="L30"/>
  <c r="K30"/>
  <c r="J30"/>
  <c r="H30"/>
  <c r="G30"/>
  <c r="F30"/>
  <c r="D30"/>
  <c r="C30"/>
  <c r="I30" s="1"/>
  <c r="L29"/>
  <c r="K29"/>
  <c r="I29"/>
  <c r="H29"/>
  <c r="G29"/>
  <c r="E29"/>
  <c r="D29"/>
  <c r="J29" s="1"/>
  <c r="C29"/>
  <c r="L28"/>
  <c r="K28"/>
  <c r="J28"/>
  <c r="H28"/>
  <c r="G28"/>
  <c r="F28"/>
  <c r="D28"/>
  <c r="C28"/>
  <c r="I28" s="1"/>
  <c r="L27"/>
  <c r="K27"/>
  <c r="I27"/>
  <c r="H27"/>
  <c r="G27"/>
  <c r="E27"/>
  <c r="D27"/>
  <c r="J27" s="1"/>
  <c r="C27"/>
  <c r="L26"/>
  <c r="K26"/>
  <c r="J26"/>
  <c r="H26"/>
  <c r="G26"/>
  <c r="F26"/>
  <c r="D26"/>
  <c r="C26"/>
  <c r="I26" s="1"/>
  <c r="L25"/>
  <c r="K25"/>
  <c r="I25"/>
  <c r="H25"/>
  <c r="G25"/>
  <c r="E25"/>
  <c r="D25"/>
  <c r="J25" s="1"/>
  <c r="C25"/>
  <c r="L24"/>
  <c r="K24"/>
  <c r="J24"/>
  <c r="H24"/>
  <c r="G24"/>
  <c r="F24"/>
  <c r="D24"/>
  <c r="C24"/>
  <c r="I24" s="1"/>
  <c r="L23"/>
  <c r="K23"/>
  <c r="I23"/>
  <c r="H23"/>
  <c r="G23"/>
  <c r="E23"/>
  <c r="D23"/>
  <c r="J23" s="1"/>
  <c r="C23"/>
  <c r="L22"/>
  <c r="K22"/>
  <c r="J22"/>
  <c r="H22"/>
  <c r="G22"/>
  <c r="F22"/>
  <c r="D22"/>
  <c r="C22"/>
  <c r="I22" s="1"/>
  <c r="E13"/>
  <c r="F13" s="1"/>
  <c r="D13"/>
  <c r="P11"/>
  <c r="O11"/>
  <c r="M11"/>
  <c r="L11"/>
  <c r="K11"/>
  <c r="J11"/>
  <c r="I11"/>
  <c r="G11"/>
  <c r="E11"/>
  <c r="N11" s="1"/>
  <c r="D11"/>
  <c r="P10"/>
  <c r="O10"/>
  <c r="M10"/>
  <c r="L10"/>
  <c r="J10"/>
  <c r="I10"/>
  <c r="H10"/>
  <c r="E10"/>
  <c r="N10" s="1"/>
  <c r="D10"/>
  <c r="K10" s="1"/>
  <c r="P9"/>
  <c r="O9"/>
  <c r="M9"/>
  <c r="L9"/>
  <c r="J9"/>
  <c r="I9"/>
  <c r="E9"/>
  <c r="H9" s="1"/>
  <c r="D9"/>
  <c r="K9" s="1"/>
  <c r="P8"/>
  <c r="O8"/>
  <c r="N8"/>
  <c r="M8"/>
  <c r="L8"/>
  <c r="J8"/>
  <c r="I8"/>
  <c r="F8"/>
  <c r="E8"/>
  <c r="H8" s="1"/>
  <c r="D8"/>
  <c r="K8" s="1"/>
  <c r="P7"/>
  <c r="O7"/>
  <c r="M7"/>
  <c r="L7"/>
  <c r="K7"/>
  <c r="J7"/>
  <c r="I7"/>
  <c r="G7"/>
  <c r="E7"/>
  <c r="N7" s="1"/>
  <c r="D7"/>
  <c r="P6"/>
  <c r="O6"/>
  <c r="M6"/>
  <c r="L6"/>
  <c r="J6"/>
  <c r="I6"/>
  <c r="H6"/>
  <c r="E6"/>
  <c r="N6" s="1"/>
  <c r="D6"/>
  <c r="K6" s="1"/>
  <c r="P5"/>
  <c r="O5"/>
  <c r="M5"/>
  <c r="L5"/>
  <c r="J5"/>
  <c r="I5"/>
  <c r="E5"/>
  <c r="H5" s="1"/>
  <c r="D5"/>
  <c r="K5" s="1"/>
  <c r="P4"/>
  <c r="O4"/>
  <c r="N4"/>
  <c r="M4"/>
  <c r="L4"/>
  <c r="J4"/>
  <c r="I4"/>
  <c r="F4"/>
  <c r="E4"/>
  <c r="H4" s="1"/>
  <c r="D4"/>
  <c r="K4" s="1"/>
  <c r="P3"/>
  <c r="O3"/>
  <c r="M3"/>
  <c r="L3"/>
  <c r="K3"/>
  <c r="J3"/>
  <c r="I3"/>
  <c r="G3"/>
  <c r="E3"/>
  <c r="N3" s="1"/>
  <c r="D3"/>
  <c r="P2"/>
  <c r="O2"/>
  <c r="M2"/>
  <c r="L2"/>
  <c r="J2"/>
  <c r="I2"/>
  <c r="H2"/>
  <c r="E2"/>
  <c r="N2" s="1"/>
  <c r="D2"/>
  <c r="K2" s="1"/>
  <c r="D1461" i="3"/>
  <c r="D1460"/>
  <c r="D1459"/>
  <c r="H16" i="19" l="1"/>
  <c r="F15"/>
  <c r="H15"/>
  <c r="G15"/>
  <c r="D14"/>
  <c r="G14" s="1"/>
  <c r="E14"/>
  <c r="F14" s="1"/>
  <c r="O12"/>
  <c r="E12"/>
  <c r="P12"/>
  <c r="L12"/>
  <c r="D12"/>
  <c r="M12"/>
  <c r="J12"/>
  <c r="I12"/>
  <c r="G13"/>
  <c r="H3"/>
  <c r="G4"/>
  <c r="F5"/>
  <c r="N5"/>
  <c r="H7"/>
  <c r="G8"/>
  <c r="F9"/>
  <c r="N9"/>
  <c r="H11"/>
  <c r="H13"/>
  <c r="B32"/>
  <c r="G2"/>
  <c r="F3"/>
  <c r="G6"/>
  <c r="F7"/>
  <c r="G10"/>
  <c r="F11"/>
  <c r="E22"/>
  <c r="E24"/>
  <c r="E26"/>
  <c r="E28"/>
  <c r="E30"/>
  <c r="F2"/>
  <c r="G5"/>
  <c r="F6"/>
  <c r="G9"/>
  <c r="F10"/>
  <c r="F23"/>
  <c r="F25"/>
  <c r="F27"/>
  <c r="F29"/>
  <c r="F31"/>
  <c r="O18" i="14"/>
  <c r="C18"/>
  <c r="C17"/>
  <c r="C16"/>
  <c r="C15"/>
  <c r="C14"/>
  <c r="C13"/>
  <c r="G18"/>
  <c r="G16"/>
  <c r="G15"/>
  <c r="Q13"/>
  <c r="H14" i="19" l="1"/>
  <c r="K12"/>
  <c r="G12"/>
  <c r="K32"/>
  <c r="G32"/>
  <c r="C32"/>
  <c r="L32"/>
  <c r="H32"/>
  <c r="D32"/>
  <c r="H12"/>
  <c r="N12"/>
  <c r="F12"/>
  <c r="R18" i="14"/>
  <c r="I32" i="19" l="1"/>
  <c r="E32"/>
  <c r="J32"/>
  <c r="F32"/>
  <c r="P33" i="4"/>
  <c r="P34"/>
  <c r="P35"/>
  <c r="P36"/>
  <c r="P37"/>
  <c r="P38"/>
  <c r="P39"/>
  <c r="P40"/>
  <c r="P41"/>
  <c r="P42"/>
  <c r="P43"/>
  <c r="P44"/>
  <c r="P45"/>
  <c r="P46"/>
  <c r="P47"/>
  <c r="P48"/>
  <c r="P49"/>
  <c r="P50"/>
  <c r="P51"/>
  <c r="P52"/>
  <c r="P53"/>
  <c r="P54"/>
  <c r="P55"/>
  <c r="P56"/>
  <c r="P57"/>
  <c r="P58"/>
  <c r="P59"/>
  <c r="P60"/>
  <c r="P61"/>
  <c r="P62"/>
  <c r="P63"/>
  <c r="P64"/>
  <c r="P65"/>
  <c r="P66"/>
  <c r="P67"/>
  <c r="P68"/>
  <c r="P69"/>
  <c r="P70"/>
  <c r="P71"/>
  <c r="P72"/>
  <c r="P73"/>
  <c r="P74"/>
  <c r="P75"/>
  <c r="P76"/>
  <c r="P77"/>
  <c r="P78"/>
  <c r="P79"/>
  <c r="P80"/>
  <c r="P81"/>
  <c r="P82"/>
  <c r="P83"/>
  <c r="P84"/>
  <c r="P85"/>
  <c r="P86"/>
  <c r="P87"/>
  <c r="P88"/>
  <c r="P89"/>
  <c r="P90"/>
  <c r="P91"/>
  <c r="P92"/>
  <c r="P93"/>
  <c r="P94"/>
  <c r="O19" i="14"/>
  <c r="D2" i="18" l="1"/>
  <c r="R8" i="4" l="1"/>
  <c r="L8"/>
  <c r="K8"/>
  <c r="J8"/>
  <c r="O8" s="1"/>
  <c r="S8" s="1"/>
  <c r="D3" i="18"/>
  <c r="C5"/>
  <c r="C4"/>
  <c r="C2"/>
  <c r="C9" l="1"/>
  <c r="E9" s="1"/>
  <c r="C8"/>
  <c r="C3"/>
  <c r="C7" s="1"/>
  <c r="I2"/>
  <c r="D6"/>
  <c r="D7"/>
  <c r="D4"/>
  <c r="D5" l="1"/>
  <c r="I5" s="1"/>
  <c r="E2"/>
  <c r="C6"/>
  <c r="E6" s="1"/>
  <c r="F6" s="1"/>
  <c r="D8"/>
  <c r="I4"/>
  <c r="E8"/>
  <c r="E4"/>
  <c r="J55" i="6"/>
  <c r="J46"/>
  <c r="F2" i="18" l="1"/>
  <c r="H2" s="1"/>
  <c r="G2"/>
  <c r="F4"/>
  <c r="G4"/>
  <c r="E5"/>
  <c r="F8"/>
  <c r="D9"/>
  <c r="F9" s="1"/>
  <c r="I3"/>
  <c r="E7"/>
  <c r="F7" s="1"/>
  <c r="E3"/>
  <c r="R6" i="4"/>
  <c r="L6"/>
  <c r="K6"/>
  <c r="J6"/>
  <c r="K2" i="17"/>
  <c r="J2"/>
  <c r="I2"/>
  <c r="H2"/>
  <c r="G2"/>
  <c r="H4" i="18" l="1"/>
  <c r="F5"/>
  <c r="H5" s="1"/>
  <c r="G5"/>
  <c r="F3"/>
  <c r="H3" s="1"/>
  <c r="G3"/>
  <c r="O6" i="4"/>
  <c r="S6" s="1"/>
  <c r="D3" i="17"/>
  <c r="B4"/>
  <c r="B3"/>
  <c r="D2"/>
  <c r="Q6" i="3"/>
  <c r="R7" i="4" l="1"/>
  <c r="L7"/>
  <c r="K7"/>
  <c r="J7"/>
  <c r="S7" l="1"/>
  <c r="O7"/>
  <c r="O6" i="14"/>
  <c r="P6"/>
  <c r="M3" i="1"/>
  <c r="O4" s="1"/>
  <c r="O9" i="14" l="1"/>
  <c r="O13"/>
  <c r="P9"/>
  <c r="P13"/>
  <c r="R14" i="4"/>
  <c r="L14"/>
  <c r="K14"/>
  <c r="J14"/>
  <c r="O14" l="1"/>
  <c r="S14" s="1"/>
  <c r="T88" i="9" l="1"/>
  <c r="S88"/>
  <c r="R88"/>
  <c r="Q88"/>
  <c r="P88"/>
  <c r="O88"/>
  <c r="N88"/>
  <c r="M88"/>
  <c r="L88"/>
  <c r="K88"/>
  <c r="J88"/>
  <c r="I88"/>
  <c r="H88"/>
  <c r="G88"/>
  <c r="F88"/>
  <c r="T56" l="1"/>
  <c r="T58" s="1"/>
  <c r="S56"/>
  <c r="R56"/>
  <c r="Q56"/>
  <c r="Q58" s="1"/>
  <c r="P56"/>
  <c r="P58" s="1"/>
  <c r="O56"/>
  <c r="O58" s="1"/>
  <c r="N56"/>
  <c r="N58" s="1"/>
  <c r="M56"/>
  <c r="M58" s="1"/>
  <c r="L56"/>
  <c r="L58" s="1"/>
  <c r="K56"/>
  <c r="K58" s="1"/>
  <c r="J56"/>
  <c r="J58" s="1"/>
  <c r="I56"/>
  <c r="I58" s="1"/>
  <c r="H56"/>
  <c r="H58" s="1"/>
  <c r="G56"/>
  <c r="G58" s="1"/>
  <c r="F56"/>
  <c r="T90"/>
  <c r="S90"/>
  <c r="H90"/>
  <c r="G90"/>
  <c r="F90"/>
  <c r="S58"/>
  <c r="F58"/>
  <c r="Q10" i="1"/>
  <c r="G17" i="14" l="1"/>
  <c r="G14"/>
  <c r="G13"/>
  <c r="E8"/>
  <c r="G8" s="1"/>
  <c r="E5"/>
  <c r="E4"/>
  <c r="G4" s="1"/>
  <c r="E3"/>
  <c r="G3" s="1"/>
  <c r="R2" i="6"/>
  <c r="R3"/>
  <c r="F3"/>
  <c r="G3"/>
  <c r="AM3"/>
  <c r="AM36"/>
  <c r="AM69"/>
  <c r="AM102"/>
  <c r="AM135"/>
  <c r="AM168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M299"/>
  <c r="AM300"/>
  <c r="AM301"/>
  <c r="AM302"/>
  <c r="AM303"/>
  <c r="AM304"/>
  <c r="AM305"/>
  <c r="AM306"/>
  <c r="AM307"/>
  <c r="AM308"/>
  <c r="AM309"/>
  <c r="AM310"/>
  <c r="AM311"/>
  <c r="AM312"/>
  <c r="AM313"/>
  <c r="AM314"/>
  <c r="AM315"/>
  <c r="AM316"/>
  <c r="AM317"/>
  <c r="AM318"/>
  <c r="AM319"/>
  <c r="AM320"/>
  <c r="AM321"/>
  <c r="AM322"/>
  <c r="AM323"/>
  <c r="AM324"/>
  <c r="AM325"/>
  <c r="AM326"/>
  <c r="AM327"/>
  <c r="AM328"/>
  <c r="AM329"/>
  <c r="AM330"/>
  <c r="AM331"/>
  <c r="AM332"/>
  <c r="AM333"/>
  <c r="AM334"/>
  <c r="AM335"/>
  <c r="AM336"/>
  <c r="AM337"/>
  <c r="AM338"/>
  <c r="AM339"/>
  <c r="AM340"/>
  <c r="AM341"/>
  <c r="AM342"/>
  <c r="AM343"/>
  <c r="AM344"/>
  <c r="AM345"/>
  <c r="AM346"/>
  <c r="AM347"/>
  <c r="AM348"/>
  <c r="AM349"/>
  <c r="AM350"/>
  <c r="AM351"/>
  <c r="AM352"/>
  <c r="AM353"/>
  <c r="AM354"/>
  <c r="AM355"/>
  <c r="AM356"/>
  <c r="AM357"/>
  <c r="AM358"/>
  <c r="AM359"/>
  <c r="AM360"/>
  <c r="AM361"/>
  <c r="AM362"/>
  <c r="AM363"/>
  <c r="AM364"/>
  <c r="AM365"/>
  <c r="AM366"/>
  <c r="AM367"/>
  <c r="AM368"/>
  <c r="AM369"/>
  <c r="AM370"/>
  <c r="AM371"/>
  <c r="AM372"/>
  <c r="AM373"/>
  <c r="AM374"/>
  <c r="AM375"/>
  <c r="AM376"/>
  <c r="AM377"/>
  <c r="AM378"/>
  <c r="AM379"/>
  <c r="AM380"/>
  <c r="AM381"/>
  <c r="AM382"/>
  <c r="AM383"/>
  <c r="AM384"/>
  <c r="AM385"/>
  <c r="AM386"/>
  <c r="AM387"/>
  <c r="AM388"/>
  <c r="AM389"/>
  <c r="AM390"/>
  <c r="AM391"/>
  <c r="AM392"/>
  <c r="AM393"/>
  <c r="AM394"/>
  <c r="AM395"/>
  <c r="AM396"/>
  <c r="AM397"/>
  <c r="AM398"/>
  <c r="AM399"/>
  <c r="AM400"/>
  <c r="AM401"/>
  <c r="AM402"/>
  <c r="AM403"/>
  <c r="AM404"/>
  <c r="AM405"/>
  <c r="AM406"/>
  <c r="AM407"/>
  <c r="AM408"/>
  <c r="AM409"/>
  <c r="AM410"/>
  <c r="AM411"/>
  <c r="AM412"/>
  <c r="AM413"/>
  <c r="AM414"/>
  <c r="AM415"/>
  <c r="AM416"/>
  <c r="AM417"/>
  <c r="AM418"/>
  <c r="AM419"/>
  <c r="AM420"/>
  <c r="AM421"/>
  <c r="AM422"/>
  <c r="AM423"/>
  <c r="AM424"/>
  <c r="AM425"/>
  <c r="AM426"/>
  <c r="AM427"/>
  <c r="AM428"/>
  <c r="AM429"/>
  <c r="AM430"/>
  <c r="AM431"/>
  <c r="AM432"/>
  <c r="AM433"/>
  <c r="AM434"/>
  <c r="AM435"/>
  <c r="AM436"/>
  <c r="AM437"/>
  <c r="AM438"/>
  <c r="AM439"/>
  <c r="AM440"/>
  <c r="AM441"/>
  <c r="AM442"/>
  <c r="AM443"/>
  <c r="AM444"/>
  <c r="AM445"/>
  <c r="AM446"/>
  <c r="AM447"/>
  <c r="AM448"/>
  <c r="AM449"/>
  <c r="AM450"/>
  <c r="AM451"/>
  <c r="AM452"/>
  <c r="AM453"/>
  <c r="AM454"/>
  <c r="AM455"/>
  <c r="AM456"/>
  <c r="AM457"/>
  <c r="AM458"/>
  <c r="AM459"/>
  <c r="AM460"/>
  <c r="AM461"/>
  <c r="AM462"/>
  <c r="AM463"/>
  <c r="AM464"/>
  <c r="AM465"/>
  <c r="AM466"/>
  <c r="AM467"/>
  <c r="AM468"/>
  <c r="AM469"/>
  <c r="AM470"/>
  <c r="AM471"/>
  <c r="AM472"/>
  <c r="AM473"/>
  <c r="AM474"/>
  <c r="AM475"/>
  <c r="AM476"/>
  <c r="AM477"/>
  <c r="AM478"/>
  <c r="AM479"/>
  <c r="AM480"/>
  <c r="AM481"/>
  <c r="AM482"/>
  <c r="AM483"/>
  <c r="AM484"/>
  <c r="AM485"/>
  <c r="AM486"/>
  <c r="AM487"/>
  <c r="AM488"/>
  <c r="AM489"/>
  <c r="AM490"/>
  <c r="AM491"/>
  <c r="AM492"/>
  <c r="AM493"/>
  <c r="AM494"/>
  <c r="AM495"/>
  <c r="AM496"/>
  <c r="AM497"/>
  <c r="AM498"/>
  <c r="AM499"/>
  <c r="AM500"/>
  <c r="AM501"/>
  <c r="AM502"/>
  <c r="AM503"/>
  <c r="AM504"/>
  <c r="AM505"/>
  <c r="AM506"/>
  <c r="AM507"/>
  <c r="AM508"/>
  <c r="AM509"/>
  <c r="AM510"/>
  <c r="AM511"/>
  <c r="AM512"/>
  <c r="AM513"/>
  <c r="AM514"/>
  <c r="AM515"/>
  <c r="AM516"/>
  <c r="AM517"/>
  <c r="AM518"/>
  <c r="AM519"/>
  <c r="AM520"/>
  <c r="AM521"/>
  <c r="AM522"/>
  <c r="AM523"/>
  <c r="AM524"/>
  <c r="AM525"/>
  <c r="AM526"/>
  <c r="AM527"/>
  <c r="AM528"/>
  <c r="AM529"/>
  <c r="AM530"/>
  <c r="AM531"/>
  <c r="AM532"/>
  <c r="AM533"/>
  <c r="AM534"/>
  <c r="AM535"/>
  <c r="AM536"/>
  <c r="AM537"/>
  <c r="AM538"/>
  <c r="AM539"/>
  <c r="AM540"/>
  <c r="AM541"/>
  <c r="AM542"/>
  <c r="AM543"/>
  <c r="AM544"/>
  <c r="AM545"/>
  <c r="AM546"/>
  <c r="AM547"/>
  <c r="AM548"/>
  <c r="AM549"/>
  <c r="AM550"/>
  <c r="AM551"/>
  <c r="AM552"/>
  <c r="AM553"/>
  <c r="AM554"/>
  <c r="AM555"/>
  <c r="AM556"/>
  <c r="AM557"/>
  <c r="AM558"/>
  <c r="AM559"/>
  <c r="AM560"/>
  <c r="AM561"/>
  <c r="AM562"/>
  <c r="AM563"/>
  <c r="AM564"/>
  <c r="AM565"/>
  <c r="AM566"/>
  <c r="AM567"/>
  <c r="AM568"/>
  <c r="AM569"/>
  <c r="AM570"/>
  <c r="AM571"/>
  <c r="AM572"/>
  <c r="AM573"/>
  <c r="AM574"/>
  <c r="AM575"/>
  <c r="AM576"/>
  <c r="AM577"/>
  <c r="AM578"/>
  <c r="AM579"/>
  <c r="AM580"/>
  <c r="AM581"/>
  <c r="AM582"/>
  <c r="AM583"/>
  <c r="AM584"/>
  <c r="AM585"/>
  <c r="AM586"/>
  <c r="AM587"/>
  <c r="AM588"/>
  <c r="AM589"/>
  <c r="AM590"/>
  <c r="AM591"/>
  <c r="AM592"/>
  <c r="AM593"/>
  <c r="AM594"/>
  <c r="AM595"/>
  <c r="AM596"/>
  <c r="AM597"/>
  <c r="AM598"/>
  <c r="AM599"/>
  <c r="AM600"/>
  <c r="AM601"/>
  <c r="AM602"/>
  <c r="AM603"/>
  <c r="AM604"/>
  <c r="AM605"/>
  <c r="AM606"/>
  <c r="AM607"/>
  <c r="AM608"/>
  <c r="AM609"/>
  <c r="AM610"/>
  <c r="AM611"/>
  <c r="AM612"/>
  <c r="AM613"/>
  <c r="AM614"/>
  <c r="AM615"/>
  <c r="AM616"/>
  <c r="AM617"/>
  <c r="AM618"/>
  <c r="AM619"/>
  <c r="AM620"/>
  <c r="AM621"/>
  <c r="AM622"/>
  <c r="AM623"/>
  <c r="AM624"/>
  <c r="AM625"/>
  <c r="AM626"/>
  <c r="AM627"/>
  <c r="AM628"/>
  <c r="AM629"/>
  <c r="AM630"/>
  <c r="AM631"/>
  <c r="AM632"/>
  <c r="AM633"/>
  <c r="AM634"/>
  <c r="AM635"/>
  <c r="AM636"/>
  <c r="AM637"/>
  <c r="AM638"/>
  <c r="AM639"/>
  <c r="AM640"/>
  <c r="AM641"/>
  <c r="AM642"/>
  <c r="AM643"/>
  <c r="AM644"/>
  <c r="AM645"/>
  <c r="AM646"/>
  <c r="AM647"/>
  <c r="AM648"/>
  <c r="AM649"/>
  <c r="AM650"/>
  <c r="AM651"/>
  <c r="AM652"/>
  <c r="AM653"/>
  <c r="AM654"/>
  <c r="AM655"/>
  <c r="AM656"/>
  <c r="AM657"/>
  <c r="AM658"/>
  <c r="AM659"/>
  <c r="AM660"/>
  <c r="AM661"/>
  <c r="AM662"/>
  <c r="AM663"/>
  <c r="AM664"/>
  <c r="AM665"/>
  <c r="AM666"/>
  <c r="AM667"/>
  <c r="AM668"/>
  <c r="AM669"/>
  <c r="AM670"/>
  <c r="AM671"/>
  <c r="AM672"/>
  <c r="AM673"/>
  <c r="AM674"/>
  <c r="AM675"/>
  <c r="AM676"/>
  <c r="AM677"/>
  <c r="AM678"/>
  <c r="AM679"/>
  <c r="AM680"/>
  <c r="AM681"/>
  <c r="AM682"/>
  <c r="AM683"/>
  <c r="AM684"/>
  <c r="AM685"/>
  <c r="AM686"/>
  <c r="AM687"/>
  <c r="AM688"/>
  <c r="AM689"/>
  <c r="AM690"/>
  <c r="AM691"/>
  <c r="AM692"/>
  <c r="AM693"/>
  <c r="AM694"/>
  <c r="AM695"/>
  <c r="AM696"/>
  <c r="AM697"/>
  <c r="AM698"/>
  <c r="AM699"/>
  <c r="AM700"/>
  <c r="AM701"/>
  <c r="AM702"/>
  <c r="AM703"/>
  <c r="AM704"/>
  <c r="AM705"/>
  <c r="AM706"/>
  <c r="AM707"/>
  <c r="AM708"/>
  <c r="AM709"/>
  <c r="AM710"/>
  <c r="AM711"/>
  <c r="AM712"/>
  <c r="AM713"/>
  <c r="AM714"/>
  <c r="AM715"/>
  <c r="AM716"/>
  <c r="AM717"/>
  <c r="AM718"/>
  <c r="AM719"/>
  <c r="AM720"/>
  <c r="AM721"/>
  <c r="AM722"/>
  <c r="AM723"/>
  <c r="AM724"/>
  <c r="AM725"/>
  <c r="AM726"/>
  <c r="AM727"/>
  <c r="AM728"/>
  <c r="AM729"/>
  <c r="AM730"/>
  <c r="AM731"/>
  <c r="AM732"/>
  <c r="AM733"/>
  <c r="AM734"/>
  <c r="AM735"/>
  <c r="AM736"/>
  <c r="AM737"/>
  <c r="AM738"/>
  <c r="AM739"/>
  <c r="AM740"/>
  <c r="AM741"/>
  <c r="AM742"/>
  <c r="AM743"/>
  <c r="AM744"/>
  <c r="AM745"/>
  <c r="AM746"/>
  <c r="AM747"/>
  <c r="AM748"/>
  <c r="AM749"/>
  <c r="AM750"/>
  <c r="AM751"/>
  <c r="AM752"/>
  <c r="AM753"/>
  <c r="AM754"/>
  <c r="AM755"/>
  <c r="AM756"/>
  <c r="AM757"/>
  <c r="AM758"/>
  <c r="AM759"/>
  <c r="AM760"/>
  <c r="AM761"/>
  <c r="AM762"/>
  <c r="AM763"/>
  <c r="AM764"/>
  <c r="AM765"/>
  <c r="AM766"/>
  <c r="AM767"/>
  <c r="AM768"/>
  <c r="AM769"/>
  <c r="AM770"/>
  <c r="AM771"/>
  <c r="AM772"/>
  <c r="AM773"/>
  <c r="AM774"/>
  <c r="AM775"/>
  <c r="AM776"/>
  <c r="AM777"/>
  <c r="AM778"/>
  <c r="AM779"/>
  <c r="AM780"/>
  <c r="AM781"/>
  <c r="AM782"/>
  <c r="AM783"/>
  <c r="AM784"/>
  <c r="AM785"/>
  <c r="AM786"/>
  <c r="AM787"/>
  <c r="AM788"/>
  <c r="AM789"/>
  <c r="AM790"/>
  <c r="AM791"/>
  <c r="AM792"/>
  <c r="AM793"/>
  <c r="AM794"/>
  <c r="AM795"/>
  <c r="AM796"/>
  <c r="AM797"/>
  <c r="AM798"/>
  <c r="AM799"/>
  <c r="AM800"/>
  <c r="AM801"/>
  <c r="AM802"/>
  <c r="AM803"/>
  <c r="AM804"/>
  <c r="AM805"/>
  <c r="AM806"/>
  <c r="AM807"/>
  <c r="AM808"/>
  <c r="AM809"/>
  <c r="AM810"/>
  <c r="AM811"/>
  <c r="AM812"/>
  <c r="AM813"/>
  <c r="AM814"/>
  <c r="AM815"/>
  <c r="AM816"/>
  <c r="AM817"/>
  <c r="AM818"/>
  <c r="AM819"/>
  <c r="AM820"/>
  <c r="AM821"/>
  <c r="AM822"/>
  <c r="AM823"/>
  <c r="AM824"/>
  <c r="AM825"/>
  <c r="AM826"/>
  <c r="AM827"/>
  <c r="AM828"/>
  <c r="AM829"/>
  <c r="AM830"/>
  <c r="AM831"/>
  <c r="AM832"/>
  <c r="AM833"/>
  <c r="AM834"/>
  <c r="AM835"/>
  <c r="AM836"/>
  <c r="AM837"/>
  <c r="AM838"/>
  <c r="AM839"/>
  <c r="AM840"/>
  <c r="AM841"/>
  <c r="AM842"/>
  <c r="AM843"/>
  <c r="AM844"/>
  <c r="AM845"/>
  <c r="AM846"/>
  <c r="AM847"/>
  <c r="AM848"/>
  <c r="AM849"/>
  <c r="AM850"/>
  <c r="AM851"/>
  <c r="AM852"/>
  <c r="AM853"/>
  <c r="AM854"/>
  <c r="AM855"/>
  <c r="AM856"/>
  <c r="AM857"/>
  <c r="AM858"/>
  <c r="AM859"/>
  <c r="AM860"/>
  <c r="AM861"/>
  <c r="AM862"/>
  <c r="AM863"/>
  <c r="AM864"/>
  <c r="AM865"/>
  <c r="AM866"/>
  <c r="AM867"/>
  <c r="AM868"/>
  <c r="AM869"/>
  <c r="AM870"/>
  <c r="AM871"/>
  <c r="AM872"/>
  <c r="AM873"/>
  <c r="AM874"/>
  <c r="AM875"/>
  <c r="AM876"/>
  <c r="AM877"/>
  <c r="AM878"/>
  <c r="AM879"/>
  <c r="AM880"/>
  <c r="AM881"/>
  <c r="AM882"/>
  <c r="AM883"/>
  <c r="AM884"/>
  <c r="AM885"/>
  <c r="AM886"/>
  <c r="AM887"/>
  <c r="AM888"/>
  <c r="AM889"/>
  <c r="AM890"/>
  <c r="AM891"/>
  <c r="AM892"/>
  <c r="AM893"/>
  <c r="AM894"/>
  <c r="AM895"/>
  <c r="AM896"/>
  <c r="AM897"/>
  <c r="AM898"/>
  <c r="AM899"/>
  <c r="AM900"/>
  <c r="AM901"/>
  <c r="AM902"/>
  <c r="AM903"/>
  <c r="AM904"/>
  <c r="AM905"/>
  <c r="AM906"/>
  <c r="AM907"/>
  <c r="AM908"/>
  <c r="AM909"/>
  <c r="AM910"/>
  <c r="AM911"/>
  <c r="AM912"/>
  <c r="AM913"/>
  <c r="AM914"/>
  <c r="AM915"/>
  <c r="AM916"/>
  <c r="AM917"/>
  <c r="AM918"/>
  <c r="AM919"/>
  <c r="AM920"/>
  <c r="AM921"/>
  <c r="AM922"/>
  <c r="AM923"/>
  <c r="AM924"/>
  <c r="AM925"/>
  <c r="AM926"/>
  <c r="AM927"/>
  <c r="AM928"/>
  <c r="AM929"/>
  <c r="AM930"/>
  <c r="AM931"/>
  <c r="AM932"/>
  <c r="AM933"/>
  <c r="AM934"/>
  <c r="AM935"/>
  <c r="AM936"/>
  <c r="AM937"/>
  <c r="AM938"/>
  <c r="AM939"/>
  <c r="AM940"/>
  <c r="AM941"/>
  <c r="AM942"/>
  <c r="AM943"/>
  <c r="AM944"/>
  <c r="AM945"/>
  <c r="AM946"/>
  <c r="AM947"/>
  <c r="AM948"/>
  <c r="AM949"/>
  <c r="AM950"/>
  <c r="AM951"/>
  <c r="AM952"/>
  <c r="AM953"/>
  <c r="AM954"/>
  <c r="AM955"/>
  <c r="AM956"/>
  <c r="AM957"/>
  <c r="AM958"/>
  <c r="AM959"/>
  <c r="AM960"/>
  <c r="AM961"/>
  <c r="AM962"/>
  <c r="AM963"/>
  <c r="AM964"/>
  <c r="AM965"/>
  <c r="AM966"/>
  <c r="AM967"/>
  <c r="AM968"/>
  <c r="AM969"/>
  <c r="AM970"/>
  <c r="AM971"/>
  <c r="AM972"/>
  <c r="AM973"/>
  <c r="AM974"/>
  <c r="AM975"/>
  <c r="AM976"/>
  <c r="AM977"/>
  <c r="AM978"/>
  <c r="AM979"/>
  <c r="AM980"/>
  <c r="AM981"/>
  <c r="AM982"/>
  <c r="AM983"/>
  <c r="AM984"/>
  <c r="AM985"/>
  <c r="AM986"/>
  <c r="AM987"/>
  <c r="AM988"/>
  <c r="AM989"/>
  <c r="AM990"/>
  <c r="AM991"/>
  <c r="AM992"/>
  <c r="AM993"/>
  <c r="AM994"/>
  <c r="AM995"/>
  <c r="AM996"/>
  <c r="AM997"/>
  <c r="AM998"/>
  <c r="AM999"/>
  <c r="AM1000"/>
  <c r="AM1001"/>
  <c r="AM1002"/>
  <c r="AM1003"/>
  <c r="AM1004"/>
  <c r="AM1005"/>
  <c r="AM1006"/>
  <c r="AM1007"/>
  <c r="AM1008"/>
  <c r="AM1009"/>
  <c r="AM1010"/>
  <c r="AM1011"/>
  <c r="AM1012"/>
  <c r="AM1013"/>
  <c r="AM1014"/>
  <c r="AM1015"/>
  <c r="AM1016"/>
  <c r="AM1017"/>
  <c r="AM1018"/>
  <c r="AM1019"/>
  <c r="AM1020"/>
  <c r="AM1021"/>
  <c r="AM1022"/>
  <c r="AM1023"/>
  <c r="AM1024"/>
  <c r="AM1025"/>
  <c r="AM1026"/>
  <c r="AM1027"/>
  <c r="AM1028"/>
  <c r="AM1029"/>
  <c r="AM1030"/>
  <c r="AM1031"/>
  <c r="AM1032"/>
  <c r="AM1033"/>
  <c r="AM1034"/>
  <c r="AM1035"/>
  <c r="AM1036"/>
  <c r="AM1037"/>
  <c r="AM1038"/>
  <c r="AM1039"/>
  <c r="AM1040"/>
  <c r="AM1041"/>
  <c r="AM1042"/>
  <c r="AM1043"/>
  <c r="AM1044"/>
  <c r="AM1045"/>
  <c r="AM1046"/>
  <c r="AM1047"/>
  <c r="AM1048"/>
  <c r="AM1049"/>
  <c r="AM1050"/>
  <c r="AM1051"/>
  <c r="AM1052"/>
  <c r="AM1053"/>
  <c r="AM1054"/>
  <c r="AM1055"/>
  <c r="AM1056"/>
  <c r="AM1057"/>
  <c r="AM1058"/>
  <c r="AM1059"/>
  <c r="AM1060"/>
  <c r="AM1061"/>
  <c r="AM1062"/>
  <c r="AM1063"/>
  <c r="AM1064"/>
  <c r="AM1065"/>
  <c r="AM1066"/>
  <c r="AM1067"/>
  <c r="AM1068"/>
  <c r="AM1069"/>
  <c r="AM1070"/>
  <c r="AM1071"/>
  <c r="AM1072"/>
  <c r="AM1073"/>
  <c r="AM1074"/>
  <c r="AM1075"/>
  <c r="AM1076"/>
  <c r="AM1077"/>
  <c r="AM1078"/>
  <c r="AM1079"/>
  <c r="AM1080"/>
  <c r="AM1081"/>
  <c r="AM1082"/>
  <c r="AM1083"/>
  <c r="AM1084"/>
  <c r="AM1085"/>
  <c r="AM1086"/>
  <c r="AM1087"/>
  <c r="AM1088"/>
  <c r="AM1089"/>
  <c r="AM1090"/>
  <c r="AM1091"/>
  <c r="AM1092"/>
  <c r="AM1093"/>
  <c r="AM1094"/>
  <c r="AM1095"/>
  <c r="AM1096"/>
  <c r="AM1097"/>
  <c r="AM1098"/>
  <c r="AM1099"/>
  <c r="AM1100"/>
  <c r="AM1101"/>
  <c r="AM1102"/>
  <c r="AM1103"/>
  <c r="AM1104"/>
  <c r="AM1105"/>
  <c r="AM1106"/>
  <c r="AM1107"/>
  <c r="AM1108"/>
  <c r="AM1109"/>
  <c r="AM1110"/>
  <c r="AM1111"/>
  <c r="AM1112"/>
  <c r="AM1113"/>
  <c r="AM1114"/>
  <c r="AM1115"/>
  <c r="AM1116"/>
  <c r="AM1117"/>
  <c r="AM1118"/>
  <c r="AM1119"/>
  <c r="AM1120"/>
  <c r="AM1121"/>
  <c r="AM1122"/>
  <c r="AM1123"/>
  <c r="AM1124"/>
  <c r="AM1125"/>
  <c r="AM1126"/>
  <c r="AM1127"/>
  <c r="AM1128"/>
  <c r="AM1129"/>
  <c r="AM1130"/>
  <c r="AM1131"/>
  <c r="AM1132"/>
  <c r="AM1133"/>
  <c r="AM1134"/>
  <c r="AM1135"/>
  <c r="AM1136"/>
  <c r="AM1137"/>
  <c r="AM1138"/>
  <c r="AM1139"/>
  <c r="AM1140"/>
  <c r="AM1141"/>
  <c r="AM1142"/>
  <c r="AM1143"/>
  <c r="AM1144"/>
  <c r="AM1145"/>
  <c r="AM1146"/>
  <c r="AM1147"/>
  <c r="AM1148"/>
  <c r="AM1149"/>
  <c r="AM1150"/>
  <c r="AM1151"/>
  <c r="AM1152"/>
  <c r="AM1153"/>
  <c r="AM1154"/>
  <c r="AM1155"/>
  <c r="AM1156"/>
  <c r="AM1157"/>
  <c r="AM1158"/>
  <c r="AM1159"/>
  <c r="AM1160"/>
  <c r="AM1161"/>
  <c r="AM1162"/>
  <c r="AM1163"/>
  <c r="AM1164"/>
  <c r="AM1165"/>
  <c r="AM1166"/>
  <c r="AM1167"/>
  <c r="AM1168"/>
  <c r="AM1169"/>
  <c r="AM1170"/>
  <c r="AM1171"/>
  <c r="AM1172"/>
  <c r="AM1173"/>
  <c r="AM1174"/>
  <c r="AM1175"/>
  <c r="AM1176"/>
  <c r="AM1177"/>
  <c r="AM1178"/>
  <c r="AM1179"/>
  <c r="AM1180"/>
  <c r="AM1181"/>
  <c r="AM1182"/>
  <c r="AM1183"/>
  <c r="AM1184"/>
  <c r="AM1185"/>
  <c r="AM1186"/>
  <c r="AM1187"/>
  <c r="AM1188"/>
  <c r="AM1189"/>
  <c r="AM1190"/>
  <c r="AO169"/>
  <c r="AO170" s="1"/>
  <c r="AO171" s="1"/>
  <c r="AO172" s="1"/>
  <c r="AO173" s="1"/>
  <c r="AO174" s="1"/>
  <c r="AO175" s="1"/>
  <c r="AO176" s="1"/>
  <c r="AO177" s="1"/>
  <c r="AO178" s="1"/>
  <c r="AO179" s="1"/>
  <c r="AO180" s="1"/>
  <c r="AO181" s="1"/>
  <c r="AO182" s="1"/>
  <c r="AO183" s="1"/>
  <c r="AO184" s="1"/>
  <c r="AO185" s="1"/>
  <c r="AO186" s="1"/>
  <c r="AO187" s="1"/>
  <c r="AO188" s="1"/>
  <c r="AO189" s="1"/>
  <c r="AO190" s="1"/>
  <c r="AO191" s="1"/>
  <c r="AO192" s="1"/>
  <c r="AO193" s="1"/>
  <c r="AO194" s="1"/>
  <c r="AO195" s="1"/>
  <c r="AO196" s="1"/>
  <c r="AO197" s="1"/>
  <c r="AO198" s="1"/>
  <c r="AO199" s="1"/>
  <c r="AO200" s="1"/>
  <c r="AO136"/>
  <c r="AO137" s="1"/>
  <c r="AO138" s="1"/>
  <c r="AO139" s="1"/>
  <c r="AO140" s="1"/>
  <c r="AO141" s="1"/>
  <c r="AO142" s="1"/>
  <c r="AO143" s="1"/>
  <c r="AO144" s="1"/>
  <c r="AO145" s="1"/>
  <c r="AO146" s="1"/>
  <c r="AO147" s="1"/>
  <c r="AO148" s="1"/>
  <c r="AO149" s="1"/>
  <c r="AO150" s="1"/>
  <c r="AO151" s="1"/>
  <c r="AO152" s="1"/>
  <c r="AO153" s="1"/>
  <c r="AO154" s="1"/>
  <c r="AO155" s="1"/>
  <c r="AO156" s="1"/>
  <c r="AO157" s="1"/>
  <c r="AO158" s="1"/>
  <c r="AO159" s="1"/>
  <c r="AO160" s="1"/>
  <c r="AO161" s="1"/>
  <c r="AO162" s="1"/>
  <c r="AO163" s="1"/>
  <c r="AO164" s="1"/>
  <c r="AO165" s="1"/>
  <c r="AO166" s="1"/>
  <c r="AO167" s="1"/>
  <c r="AO103"/>
  <c r="AO104" s="1"/>
  <c r="AO105" s="1"/>
  <c r="AO106" s="1"/>
  <c r="AO107" s="1"/>
  <c r="AO108" s="1"/>
  <c r="AO109" s="1"/>
  <c r="AO110" s="1"/>
  <c r="AO111" s="1"/>
  <c r="AO112" s="1"/>
  <c r="AO113" s="1"/>
  <c r="AO114" s="1"/>
  <c r="AO115" s="1"/>
  <c r="AO116" s="1"/>
  <c r="AO117" s="1"/>
  <c r="AO118" s="1"/>
  <c r="AO119" s="1"/>
  <c r="AO120" s="1"/>
  <c r="AO121" s="1"/>
  <c r="AO122" s="1"/>
  <c r="AO123" s="1"/>
  <c r="AO124" s="1"/>
  <c r="AO125" s="1"/>
  <c r="AO126" s="1"/>
  <c r="AO127" s="1"/>
  <c r="AO128" s="1"/>
  <c r="AO129" s="1"/>
  <c r="AO130" s="1"/>
  <c r="AO131" s="1"/>
  <c r="AO132" s="1"/>
  <c r="AO133" s="1"/>
  <c r="AO134" s="1"/>
  <c r="AM134" s="1"/>
  <c r="AO70"/>
  <c r="AO71" s="1"/>
  <c r="AO72" s="1"/>
  <c r="AO73" s="1"/>
  <c r="AO74" s="1"/>
  <c r="AO75" s="1"/>
  <c r="AO76" s="1"/>
  <c r="AO77" s="1"/>
  <c r="AO78" s="1"/>
  <c r="AO79" s="1"/>
  <c r="AO80" s="1"/>
  <c r="AO81" s="1"/>
  <c r="AO82" s="1"/>
  <c r="AO83" s="1"/>
  <c r="AO84" s="1"/>
  <c r="AO85" s="1"/>
  <c r="AO86" s="1"/>
  <c r="AO87" s="1"/>
  <c r="AO88" s="1"/>
  <c r="AO89" s="1"/>
  <c r="AO90" s="1"/>
  <c r="AO91" s="1"/>
  <c r="AO92" s="1"/>
  <c r="AO93" s="1"/>
  <c r="AO94" s="1"/>
  <c r="AO95" s="1"/>
  <c r="AO96" s="1"/>
  <c r="AO97" s="1"/>
  <c r="AO98" s="1"/>
  <c r="AO99" s="1"/>
  <c r="AO100" s="1"/>
  <c r="AO101" s="1"/>
  <c r="AO37"/>
  <c r="AO38" s="1"/>
  <c r="AO39" s="1"/>
  <c r="AO40" s="1"/>
  <c r="AO41" s="1"/>
  <c r="AO42" s="1"/>
  <c r="AO43" s="1"/>
  <c r="AO44" s="1"/>
  <c r="AO45" s="1"/>
  <c r="AO46" s="1"/>
  <c r="AO47" s="1"/>
  <c r="AO48" s="1"/>
  <c r="AO49" s="1"/>
  <c r="AO50" s="1"/>
  <c r="AO51" s="1"/>
  <c r="AO52" s="1"/>
  <c r="AO53" s="1"/>
  <c r="AO54" s="1"/>
  <c r="AO55" s="1"/>
  <c r="AO56" s="1"/>
  <c r="AO57" s="1"/>
  <c r="AO58" s="1"/>
  <c r="AO59" s="1"/>
  <c r="AO60" s="1"/>
  <c r="AO61" s="1"/>
  <c r="AO62" s="1"/>
  <c r="AO63" s="1"/>
  <c r="AO64" s="1"/>
  <c r="AO65" s="1"/>
  <c r="AO66" s="1"/>
  <c r="AO67" s="1"/>
  <c r="AO68" s="1"/>
  <c r="AO4"/>
  <c r="AO5" s="1"/>
  <c r="AO6" s="1"/>
  <c r="AO7" s="1"/>
  <c r="AM7" s="1"/>
  <c r="AG3"/>
  <c r="AQ1072" s="1"/>
  <c r="G20" i="14"/>
  <c r="G19"/>
  <c r="G6"/>
  <c r="G7"/>
  <c r="G9"/>
  <c r="G10"/>
  <c r="G11"/>
  <c r="G12"/>
  <c r="G2"/>
  <c r="J4" i="6"/>
  <c r="R4" s="1"/>
  <c r="H4"/>
  <c r="F4" s="1"/>
  <c r="I4"/>
  <c r="G4" s="1"/>
  <c r="C20" i="14"/>
  <c r="C12"/>
  <c r="C19" s="1"/>
  <c r="S2" i="13"/>
  <c r="S3"/>
  <c r="S4"/>
  <c r="S5"/>
  <c r="S6"/>
  <c r="S7"/>
  <c r="S8"/>
  <c r="S9"/>
  <c r="S10"/>
  <c r="S11"/>
  <c r="S12"/>
  <c r="S13"/>
  <c r="S14"/>
  <c r="S15"/>
  <c r="S16"/>
  <c r="S17"/>
  <c r="S18"/>
  <c r="S19"/>
  <c r="S20"/>
  <c r="S21"/>
  <c r="S22"/>
  <c r="S23"/>
  <c r="S24"/>
  <c r="S25"/>
  <c r="S26"/>
  <c r="S27"/>
  <c r="S28"/>
  <c r="S29"/>
  <c r="S30"/>
  <c r="S31"/>
  <c r="S32"/>
  <c r="S33"/>
  <c r="S34"/>
  <c r="S35"/>
  <c r="S36"/>
  <c r="S37"/>
  <c r="S38"/>
  <c r="S39"/>
  <c r="S40"/>
  <c r="S41"/>
  <c r="S42"/>
  <c r="S43"/>
  <c r="S44"/>
  <c r="S45"/>
  <c r="S46"/>
  <c r="S47"/>
  <c r="S48"/>
  <c r="S49"/>
  <c r="S50"/>
  <c r="S51"/>
  <c r="S52"/>
  <c r="S53"/>
  <c r="S54"/>
  <c r="S55"/>
  <c r="S56"/>
  <c r="S57"/>
  <c r="S58"/>
  <c r="S59"/>
  <c r="S60"/>
  <c r="S61"/>
  <c r="S62"/>
  <c r="S63"/>
  <c r="S64"/>
  <c r="S65"/>
  <c r="S66"/>
  <c r="S67"/>
  <c r="S68"/>
  <c r="S69"/>
  <c r="S70"/>
  <c r="S71"/>
  <c r="S72"/>
  <c r="S73"/>
  <c r="S74"/>
  <c r="S75"/>
  <c r="S76"/>
  <c r="S77"/>
  <c r="S78"/>
  <c r="S79"/>
  <c r="S80"/>
  <c r="S81"/>
  <c r="S82"/>
  <c r="S83"/>
  <c r="S84"/>
  <c r="S85"/>
  <c r="S86"/>
  <c r="S87"/>
  <c r="S88"/>
  <c r="S89"/>
  <c r="S90"/>
  <c r="S91"/>
  <c r="S92"/>
  <c r="S93"/>
  <c r="S94"/>
  <c r="S95"/>
  <c r="S96"/>
  <c r="S97"/>
  <c r="S98"/>
  <c r="S99"/>
  <c r="S100"/>
  <c r="S101"/>
  <c r="S102"/>
  <c r="S103"/>
  <c r="S104"/>
  <c r="S105"/>
  <c r="S106"/>
  <c r="S107"/>
  <c r="S108"/>
  <c r="S109"/>
  <c r="S110"/>
  <c r="S111"/>
  <c r="S112"/>
  <c r="S113"/>
  <c r="S114"/>
  <c r="S115"/>
  <c r="S116"/>
  <c r="S117"/>
  <c r="S118"/>
  <c r="S119"/>
  <c r="S120"/>
  <c r="S121"/>
  <c r="S122"/>
  <c r="S123"/>
  <c r="S124"/>
  <c r="S125"/>
  <c r="S126"/>
  <c r="S127"/>
  <c r="S128"/>
  <c r="S129"/>
  <c r="S130"/>
  <c r="S131"/>
  <c r="S132"/>
  <c r="S133"/>
  <c r="S134"/>
  <c r="S135"/>
  <c r="S136"/>
  <c r="S137"/>
  <c r="S138"/>
  <c r="S139"/>
  <c r="S140"/>
  <c r="S141"/>
  <c r="S142"/>
  <c r="S143"/>
  <c r="S144"/>
  <c r="S145"/>
  <c r="S146"/>
  <c r="S147"/>
  <c r="S148"/>
  <c r="S149"/>
  <c r="S150"/>
  <c r="S151"/>
  <c r="S152"/>
  <c r="S153"/>
  <c r="S154"/>
  <c r="S155"/>
  <c r="S156"/>
  <c r="S157"/>
  <c r="S158"/>
  <c r="S159"/>
  <c r="S160"/>
  <c r="S161"/>
  <c r="S162"/>
  <c r="S163"/>
  <c r="S164"/>
  <c r="S165"/>
  <c r="S166"/>
  <c r="S167"/>
  <c r="S168"/>
  <c r="S169"/>
  <c r="S170"/>
  <c r="S171"/>
  <c r="S172"/>
  <c r="S173"/>
  <c r="S174"/>
  <c r="S175"/>
  <c r="S176"/>
  <c r="S177"/>
  <c r="S178"/>
  <c r="S179"/>
  <c r="S180"/>
  <c r="S181"/>
  <c r="S182"/>
  <c r="S183"/>
  <c r="S184"/>
  <c r="S185"/>
  <c r="S186"/>
  <c r="S187"/>
  <c r="S188"/>
  <c r="S189"/>
  <c r="S190"/>
  <c r="S191"/>
  <c r="S192"/>
  <c r="S193"/>
  <c r="S194"/>
  <c r="S195"/>
  <c r="S196"/>
  <c r="S197"/>
  <c r="S198"/>
  <c r="S199"/>
  <c r="S200"/>
  <c r="S201"/>
  <c r="S202"/>
  <c r="S203"/>
  <c r="S204"/>
  <c r="S205"/>
  <c r="S206"/>
  <c r="S207"/>
  <c r="S208"/>
  <c r="S209"/>
  <c r="S210"/>
  <c r="S211"/>
  <c r="S212"/>
  <c r="S213"/>
  <c r="S214"/>
  <c r="S215"/>
  <c r="S216"/>
  <c r="S217"/>
  <c r="S218"/>
  <c r="S219"/>
  <c r="S220"/>
  <c r="S221"/>
  <c r="S222"/>
  <c r="S223"/>
  <c r="S224"/>
  <c r="S225"/>
  <c r="S226"/>
  <c r="S227"/>
  <c r="S228"/>
  <c r="S229"/>
  <c r="S230"/>
  <c r="S231"/>
  <c r="S232"/>
  <c r="S233"/>
  <c r="S234"/>
  <c r="S235"/>
  <c r="S236"/>
  <c r="S237"/>
  <c r="S238"/>
  <c r="S239"/>
  <c r="S240"/>
  <c r="S241"/>
  <c r="S242"/>
  <c r="S243"/>
  <c r="S244"/>
  <c r="S245"/>
  <c r="S246"/>
  <c r="S247"/>
  <c r="S248"/>
  <c r="S249"/>
  <c r="S250"/>
  <c r="S251"/>
  <c r="S252"/>
  <c r="S253"/>
  <c r="S254"/>
  <c r="S255"/>
  <c r="S256"/>
  <c r="S257"/>
  <c r="S258"/>
  <c r="S259"/>
  <c r="S260"/>
  <c r="S261"/>
  <c r="S262"/>
  <c r="S263"/>
  <c r="S264"/>
  <c r="S265"/>
  <c r="S266"/>
  <c r="S267"/>
  <c r="S268"/>
  <c r="S269"/>
  <c r="S270"/>
  <c r="S271"/>
  <c r="S272"/>
  <c r="S273"/>
  <c r="S274"/>
  <c r="S275"/>
  <c r="S276"/>
  <c r="S277"/>
  <c r="S278"/>
  <c r="S279"/>
  <c r="S280"/>
  <c r="S281"/>
  <c r="S282"/>
  <c r="S283"/>
  <c r="S284"/>
  <c r="S285"/>
  <c r="S286"/>
  <c r="S287"/>
  <c r="S288"/>
  <c r="S289"/>
  <c r="S290"/>
  <c r="S291"/>
  <c r="S292"/>
  <c r="S293"/>
  <c r="S294"/>
  <c r="S295"/>
  <c r="S296"/>
  <c r="S297"/>
  <c r="S298"/>
  <c r="S299"/>
  <c r="S300"/>
  <c r="S301"/>
  <c r="S302"/>
  <c r="S303"/>
  <c r="S304"/>
  <c r="S305"/>
  <c r="S306"/>
  <c r="S307"/>
  <c r="S308"/>
  <c r="S309"/>
  <c r="S310"/>
  <c r="S311"/>
  <c r="S312"/>
  <c r="S313"/>
  <c r="S314"/>
  <c r="S315"/>
  <c r="S316"/>
  <c r="S317"/>
  <c r="S318"/>
  <c r="S319"/>
  <c r="S320"/>
  <c r="S321"/>
  <c r="S322"/>
  <c r="S323"/>
  <c r="S324"/>
  <c r="S325"/>
  <c r="S326"/>
  <c r="S327"/>
  <c r="R2"/>
  <c r="R3"/>
  <c r="R4"/>
  <c r="R5"/>
  <c r="R6"/>
  <c r="R7"/>
  <c r="R8"/>
  <c r="R9"/>
  <c r="R10"/>
  <c r="R11"/>
  <c r="R12"/>
  <c r="R13"/>
  <c r="R14"/>
  <c r="R15"/>
  <c r="R16"/>
  <c r="R17"/>
  <c r="R18"/>
  <c r="R19"/>
  <c r="R20"/>
  <c r="R21"/>
  <c r="R22"/>
  <c r="R23"/>
  <c r="R24"/>
  <c r="R25"/>
  <c r="R26"/>
  <c r="R27"/>
  <c r="R28"/>
  <c r="R29"/>
  <c r="R30"/>
  <c r="R31"/>
  <c r="R32"/>
  <c r="R33"/>
  <c r="R34"/>
  <c r="R35"/>
  <c r="R36"/>
  <c r="R37"/>
  <c r="R38"/>
  <c r="R39"/>
  <c r="R40"/>
  <c r="R41"/>
  <c r="R42"/>
  <c r="R43"/>
  <c r="R44"/>
  <c r="R45"/>
  <c r="R46"/>
  <c r="R47"/>
  <c r="R48"/>
  <c r="R49"/>
  <c r="R50"/>
  <c r="R51"/>
  <c r="R52"/>
  <c r="R53"/>
  <c r="R54"/>
  <c r="R55"/>
  <c r="R56"/>
  <c r="R57"/>
  <c r="R58"/>
  <c r="R59"/>
  <c r="R60"/>
  <c r="R61"/>
  <c r="R62"/>
  <c r="R63"/>
  <c r="R64"/>
  <c r="R65"/>
  <c r="R66"/>
  <c r="R67"/>
  <c r="R68"/>
  <c r="R69"/>
  <c r="R70"/>
  <c r="R71"/>
  <c r="R72"/>
  <c r="R73"/>
  <c r="R74"/>
  <c r="R75"/>
  <c r="R76"/>
  <c r="R77"/>
  <c r="R78"/>
  <c r="R79"/>
  <c r="R80"/>
  <c r="R81"/>
  <c r="R82"/>
  <c r="R83"/>
  <c r="R84"/>
  <c r="R85"/>
  <c r="R86"/>
  <c r="R87"/>
  <c r="R88"/>
  <c r="R89"/>
  <c r="R90"/>
  <c r="R91"/>
  <c r="R92"/>
  <c r="R93"/>
  <c r="R94"/>
  <c r="R95"/>
  <c r="R96"/>
  <c r="R97"/>
  <c r="R98"/>
  <c r="R99"/>
  <c r="R100"/>
  <c r="R101"/>
  <c r="R102"/>
  <c r="R103"/>
  <c r="R104"/>
  <c r="R105"/>
  <c r="R106"/>
  <c r="R107"/>
  <c r="R108"/>
  <c r="R109"/>
  <c r="R110"/>
  <c r="R111"/>
  <c r="R112"/>
  <c r="R113"/>
  <c r="R114"/>
  <c r="R115"/>
  <c r="R116"/>
  <c r="R117"/>
  <c r="R118"/>
  <c r="R119"/>
  <c r="R120"/>
  <c r="R121"/>
  <c r="R122"/>
  <c r="R123"/>
  <c r="R124"/>
  <c r="R125"/>
  <c r="R126"/>
  <c r="R127"/>
  <c r="R128"/>
  <c r="R129"/>
  <c r="R130"/>
  <c r="R131"/>
  <c r="R132"/>
  <c r="R133"/>
  <c r="R134"/>
  <c r="R135"/>
  <c r="R136"/>
  <c r="R137"/>
  <c r="R138"/>
  <c r="R139"/>
  <c r="R140"/>
  <c r="R141"/>
  <c r="R142"/>
  <c r="R143"/>
  <c r="R144"/>
  <c r="R145"/>
  <c r="R146"/>
  <c r="R147"/>
  <c r="R148"/>
  <c r="R149"/>
  <c r="R150"/>
  <c r="R151"/>
  <c r="R152"/>
  <c r="R153"/>
  <c r="R154"/>
  <c r="R155"/>
  <c r="R156"/>
  <c r="R157"/>
  <c r="R158"/>
  <c r="R159"/>
  <c r="R160"/>
  <c r="R161"/>
  <c r="R162"/>
  <c r="R163"/>
  <c r="R164"/>
  <c r="R165"/>
  <c r="R166"/>
  <c r="R167"/>
  <c r="R168"/>
  <c r="R169"/>
  <c r="R170"/>
  <c r="R171"/>
  <c r="R172"/>
  <c r="R173"/>
  <c r="R174"/>
  <c r="R175"/>
  <c r="R176"/>
  <c r="R177"/>
  <c r="R178"/>
  <c r="R179"/>
  <c r="R180"/>
  <c r="R181"/>
  <c r="R182"/>
  <c r="R183"/>
  <c r="R184"/>
  <c r="R185"/>
  <c r="R186"/>
  <c r="R187"/>
  <c r="R188"/>
  <c r="R189"/>
  <c r="R190"/>
  <c r="R191"/>
  <c r="R192"/>
  <c r="R193"/>
  <c r="R194"/>
  <c r="R195"/>
  <c r="R196"/>
  <c r="R197"/>
  <c r="R198"/>
  <c r="R199"/>
  <c r="R200"/>
  <c r="R201"/>
  <c r="R202"/>
  <c r="R203"/>
  <c r="R204"/>
  <c r="R205"/>
  <c r="R206"/>
  <c r="R207"/>
  <c r="R208"/>
  <c r="R209"/>
  <c r="R210"/>
  <c r="R211"/>
  <c r="R212"/>
  <c r="R213"/>
  <c r="R214"/>
  <c r="R215"/>
  <c r="R216"/>
  <c r="R217"/>
  <c r="R218"/>
  <c r="R219"/>
  <c r="R220"/>
  <c r="R221"/>
  <c r="R222"/>
  <c r="R223"/>
  <c r="R224"/>
  <c r="R225"/>
  <c r="R226"/>
  <c r="R227"/>
  <c r="R228"/>
  <c r="R229"/>
  <c r="R230"/>
  <c r="R231"/>
  <c r="R232"/>
  <c r="R233"/>
  <c r="R234"/>
  <c r="R235"/>
  <c r="R236"/>
  <c r="R237"/>
  <c r="R238"/>
  <c r="R239"/>
  <c r="R240"/>
  <c r="R241"/>
  <c r="R242"/>
  <c r="R243"/>
  <c r="R244"/>
  <c r="R245"/>
  <c r="R246"/>
  <c r="R247"/>
  <c r="R248"/>
  <c r="R249"/>
  <c r="R250"/>
  <c r="R251"/>
  <c r="R252"/>
  <c r="R253"/>
  <c r="R254"/>
  <c r="R255"/>
  <c r="R256"/>
  <c r="R257"/>
  <c r="R258"/>
  <c r="R259"/>
  <c r="R260"/>
  <c r="R261"/>
  <c r="R262"/>
  <c r="R263"/>
  <c r="R264"/>
  <c r="R265"/>
  <c r="R266"/>
  <c r="R267"/>
  <c r="R268"/>
  <c r="R269"/>
  <c r="R270"/>
  <c r="R271"/>
  <c r="R272"/>
  <c r="R273"/>
  <c r="R274"/>
  <c r="R275"/>
  <c r="R276"/>
  <c r="R277"/>
  <c r="R278"/>
  <c r="R279"/>
  <c r="R280"/>
  <c r="R281"/>
  <c r="R282"/>
  <c r="R283"/>
  <c r="R284"/>
  <c r="R285"/>
  <c r="R286"/>
  <c r="R287"/>
  <c r="R288"/>
  <c r="R289"/>
  <c r="R290"/>
  <c r="R291"/>
  <c r="R292"/>
  <c r="R293"/>
  <c r="R294"/>
  <c r="R295"/>
  <c r="R296"/>
  <c r="R297"/>
  <c r="R298"/>
  <c r="R299"/>
  <c r="R300"/>
  <c r="R301"/>
  <c r="R302"/>
  <c r="R303"/>
  <c r="R304"/>
  <c r="R305"/>
  <c r="R306"/>
  <c r="R307"/>
  <c r="R308"/>
  <c r="R309"/>
  <c r="R310"/>
  <c r="R311"/>
  <c r="R312"/>
  <c r="R313"/>
  <c r="R314"/>
  <c r="R315"/>
  <c r="R316"/>
  <c r="R317"/>
  <c r="R318"/>
  <c r="R319"/>
  <c r="R320"/>
  <c r="R321"/>
  <c r="R322"/>
  <c r="R323"/>
  <c r="R324"/>
  <c r="R325"/>
  <c r="R326"/>
  <c r="R327"/>
  <c r="Q2"/>
  <c r="Q3"/>
  <c r="Q4"/>
  <c r="Q5"/>
  <c r="Q6"/>
  <c r="Q7"/>
  <c r="Q8"/>
  <c r="Q9"/>
  <c r="Q10"/>
  <c r="Q11"/>
  <c r="Q12"/>
  <c r="Q13"/>
  <c r="Q14"/>
  <c r="Q15"/>
  <c r="Q16"/>
  <c r="Q17"/>
  <c r="Q18"/>
  <c r="Q19"/>
  <c r="Q20"/>
  <c r="Q21"/>
  <c r="Q22"/>
  <c r="Q23"/>
  <c r="Q24"/>
  <c r="Q25"/>
  <c r="Q26"/>
  <c r="Q27"/>
  <c r="Q28"/>
  <c r="Q29"/>
  <c r="Q30"/>
  <c r="Q31"/>
  <c r="Q32"/>
  <c r="Q33"/>
  <c r="Q34"/>
  <c r="Q35"/>
  <c r="Q36"/>
  <c r="Q37"/>
  <c r="Q38"/>
  <c r="Q39"/>
  <c r="Q40"/>
  <c r="Q41"/>
  <c r="Q42"/>
  <c r="Q43"/>
  <c r="Q44"/>
  <c r="Q45"/>
  <c r="Q46"/>
  <c r="Q47"/>
  <c r="Q48"/>
  <c r="Q49"/>
  <c r="Q50"/>
  <c r="Q51"/>
  <c r="Q52"/>
  <c r="Q53"/>
  <c r="Q54"/>
  <c r="Q55"/>
  <c r="Q56"/>
  <c r="Q57"/>
  <c r="Q58"/>
  <c r="Q59"/>
  <c r="Q60"/>
  <c r="Q61"/>
  <c r="Q62"/>
  <c r="Q63"/>
  <c r="Q64"/>
  <c r="Q65"/>
  <c r="Q66"/>
  <c r="Q67"/>
  <c r="Q68"/>
  <c r="Q69"/>
  <c r="Q70"/>
  <c r="Q71"/>
  <c r="Q72"/>
  <c r="Q73"/>
  <c r="Q74"/>
  <c r="Q75"/>
  <c r="Q76"/>
  <c r="Q77"/>
  <c r="Q78"/>
  <c r="Q79"/>
  <c r="Q80"/>
  <c r="Q81"/>
  <c r="Q82"/>
  <c r="Q83"/>
  <c r="Q84"/>
  <c r="Q85"/>
  <c r="Q86"/>
  <c r="Q87"/>
  <c r="Q88"/>
  <c r="Q89"/>
  <c r="Q90"/>
  <c r="Q91"/>
  <c r="Q92"/>
  <c r="Q93"/>
  <c r="Q94"/>
  <c r="Q95"/>
  <c r="Q96"/>
  <c r="Q97"/>
  <c r="Q98"/>
  <c r="Q99"/>
  <c r="Q100"/>
  <c r="Q101"/>
  <c r="Q102"/>
  <c r="Q103"/>
  <c r="Q104"/>
  <c r="Q105"/>
  <c r="Q106"/>
  <c r="Q107"/>
  <c r="Q108"/>
  <c r="Q109"/>
  <c r="Q110"/>
  <c r="Q111"/>
  <c r="Q112"/>
  <c r="Q113"/>
  <c r="Q114"/>
  <c r="Q115"/>
  <c r="Q116"/>
  <c r="Q117"/>
  <c r="Q118"/>
  <c r="Q119"/>
  <c r="Q120"/>
  <c r="Q121"/>
  <c r="Q122"/>
  <c r="Q123"/>
  <c r="Q124"/>
  <c r="Q125"/>
  <c r="Q126"/>
  <c r="Q127"/>
  <c r="Q128"/>
  <c r="Q129"/>
  <c r="Q130"/>
  <c r="Q131"/>
  <c r="Q132"/>
  <c r="Q133"/>
  <c r="Q134"/>
  <c r="Q135"/>
  <c r="Q136"/>
  <c r="Q137"/>
  <c r="Q138"/>
  <c r="Q139"/>
  <c r="Q140"/>
  <c r="Q141"/>
  <c r="Q142"/>
  <c r="Q143"/>
  <c r="Q144"/>
  <c r="Q145"/>
  <c r="Q146"/>
  <c r="Q147"/>
  <c r="Q148"/>
  <c r="Q149"/>
  <c r="Q150"/>
  <c r="Q151"/>
  <c r="Q152"/>
  <c r="Q153"/>
  <c r="Q154"/>
  <c r="Q155"/>
  <c r="Q156"/>
  <c r="Q157"/>
  <c r="Q158"/>
  <c r="Q159"/>
  <c r="Q160"/>
  <c r="Q161"/>
  <c r="Q162"/>
  <c r="Q163"/>
  <c r="Q164"/>
  <c r="Q165"/>
  <c r="Q166"/>
  <c r="Q167"/>
  <c r="Q168"/>
  <c r="Q169"/>
  <c r="Q170"/>
  <c r="Q171"/>
  <c r="Q172"/>
  <c r="Q173"/>
  <c r="Q174"/>
  <c r="Q175"/>
  <c r="Q176"/>
  <c r="Q177"/>
  <c r="Q178"/>
  <c r="Q179"/>
  <c r="Q180"/>
  <c r="Q181"/>
  <c r="Q182"/>
  <c r="Q183"/>
  <c r="Q184"/>
  <c r="Q185"/>
  <c r="Q186"/>
  <c r="Q187"/>
  <c r="Q188"/>
  <c r="Q189"/>
  <c r="Q190"/>
  <c r="Q191"/>
  <c r="Q192"/>
  <c r="Q193"/>
  <c r="Q194"/>
  <c r="Q195"/>
  <c r="Q196"/>
  <c r="Q197"/>
  <c r="Q198"/>
  <c r="Q199"/>
  <c r="Q200"/>
  <c r="Q201"/>
  <c r="Q202"/>
  <c r="Q203"/>
  <c r="Q204"/>
  <c r="Q205"/>
  <c r="Q206"/>
  <c r="Q207"/>
  <c r="Q208"/>
  <c r="Q209"/>
  <c r="Q210"/>
  <c r="Q211"/>
  <c r="Q212"/>
  <c r="Q213"/>
  <c r="Q214"/>
  <c r="Q215"/>
  <c r="Q216"/>
  <c r="Q217"/>
  <c r="Q218"/>
  <c r="Q219"/>
  <c r="Q220"/>
  <c r="Q221"/>
  <c r="Q222"/>
  <c r="Q223"/>
  <c r="Q224"/>
  <c r="Q225"/>
  <c r="Q226"/>
  <c r="Q227"/>
  <c r="Q228"/>
  <c r="Q229"/>
  <c r="Q230"/>
  <c r="Q231"/>
  <c r="Q232"/>
  <c r="Q233"/>
  <c r="Q234"/>
  <c r="Q235"/>
  <c r="Q236"/>
  <c r="Q237"/>
  <c r="Q238"/>
  <c r="Q239"/>
  <c r="Q240"/>
  <c r="Q241"/>
  <c r="Q242"/>
  <c r="Q243"/>
  <c r="Q244"/>
  <c r="Q245"/>
  <c r="Q246"/>
  <c r="Q247"/>
  <c r="Q248"/>
  <c r="Q249"/>
  <c r="Q250"/>
  <c r="Q251"/>
  <c r="Q252"/>
  <c r="Q253"/>
  <c r="Q254"/>
  <c r="Q255"/>
  <c r="Q256"/>
  <c r="Q257"/>
  <c r="Q258"/>
  <c r="Q259"/>
  <c r="Q260"/>
  <c r="Q261"/>
  <c r="Q262"/>
  <c r="Q263"/>
  <c r="Q264"/>
  <c r="Q265"/>
  <c r="Q266"/>
  <c r="Q267"/>
  <c r="Q268"/>
  <c r="Q269"/>
  <c r="Q270"/>
  <c r="Q271"/>
  <c r="Q272"/>
  <c r="Q273"/>
  <c r="Q274"/>
  <c r="Q275"/>
  <c r="Q276"/>
  <c r="Q277"/>
  <c r="Q278"/>
  <c r="Q279"/>
  <c r="Q280"/>
  <c r="Q281"/>
  <c r="Q282"/>
  <c r="Q283"/>
  <c r="Q284"/>
  <c r="Q285"/>
  <c r="Q286"/>
  <c r="Q287"/>
  <c r="Q288"/>
  <c r="Q289"/>
  <c r="Q290"/>
  <c r="Q291"/>
  <c r="Q292"/>
  <c r="Q293"/>
  <c r="Q294"/>
  <c r="Q295"/>
  <c r="Q296"/>
  <c r="Q297"/>
  <c r="Q298"/>
  <c r="Q299"/>
  <c r="Q300"/>
  <c r="Q301"/>
  <c r="Q302"/>
  <c r="Q303"/>
  <c r="Q304"/>
  <c r="Q305"/>
  <c r="Q306"/>
  <c r="Q307"/>
  <c r="Q308"/>
  <c r="Q309"/>
  <c r="Q310"/>
  <c r="Q311"/>
  <c r="Q312"/>
  <c r="Q313"/>
  <c r="Q314"/>
  <c r="Q315"/>
  <c r="Q316"/>
  <c r="Q317"/>
  <c r="Q318"/>
  <c r="Q319"/>
  <c r="Q320"/>
  <c r="Q321"/>
  <c r="Q322"/>
  <c r="Q323"/>
  <c r="Q324"/>
  <c r="Q325"/>
  <c r="Q326"/>
  <c r="Q327"/>
  <c r="T2"/>
  <c r="T3"/>
  <c r="T4"/>
  <c r="T5"/>
  <c r="T6"/>
  <c r="T7"/>
  <c r="T8"/>
  <c r="T9"/>
  <c r="T10"/>
  <c r="T11"/>
  <c r="T12"/>
  <c r="T13"/>
  <c r="T14"/>
  <c r="T15"/>
  <c r="T16"/>
  <c r="T17"/>
  <c r="T18"/>
  <c r="T19"/>
  <c r="T20"/>
  <c r="T21"/>
  <c r="T22"/>
  <c r="T23"/>
  <c r="T24"/>
  <c r="T25"/>
  <c r="T26"/>
  <c r="T27"/>
  <c r="T28"/>
  <c r="T29"/>
  <c r="T30"/>
  <c r="T31"/>
  <c r="T32"/>
  <c r="T33"/>
  <c r="T34"/>
  <c r="T35"/>
  <c r="T36"/>
  <c r="T37"/>
  <c r="T38"/>
  <c r="T39"/>
  <c r="T40"/>
  <c r="T41"/>
  <c r="T42"/>
  <c r="T43"/>
  <c r="T44"/>
  <c r="T45"/>
  <c r="T46"/>
  <c r="T47"/>
  <c r="T48"/>
  <c r="T49"/>
  <c r="T50"/>
  <c r="T51"/>
  <c r="T52"/>
  <c r="T53"/>
  <c r="T54"/>
  <c r="T55"/>
  <c r="T56"/>
  <c r="T57"/>
  <c r="T58"/>
  <c r="T59"/>
  <c r="T60"/>
  <c r="T61"/>
  <c r="T62"/>
  <c r="T63"/>
  <c r="T64"/>
  <c r="T65"/>
  <c r="T66"/>
  <c r="T67"/>
  <c r="T68"/>
  <c r="T69"/>
  <c r="T70"/>
  <c r="T71"/>
  <c r="T72"/>
  <c r="T73"/>
  <c r="T74"/>
  <c r="T75"/>
  <c r="T76"/>
  <c r="T77"/>
  <c r="T78"/>
  <c r="T79"/>
  <c r="T80"/>
  <c r="T81"/>
  <c r="T82"/>
  <c r="T83"/>
  <c r="T84"/>
  <c r="T85"/>
  <c r="T86"/>
  <c r="T87"/>
  <c r="T88"/>
  <c r="T89"/>
  <c r="T90"/>
  <c r="T91"/>
  <c r="T92"/>
  <c r="T93"/>
  <c r="T94"/>
  <c r="T95"/>
  <c r="T96"/>
  <c r="T97"/>
  <c r="T98"/>
  <c r="T99"/>
  <c r="T100"/>
  <c r="T101"/>
  <c r="T102"/>
  <c r="T103"/>
  <c r="T104"/>
  <c r="T105"/>
  <c r="T106"/>
  <c r="T107"/>
  <c r="T108"/>
  <c r="T109"/>
  <c r="T110"/>
  <c r="T111"/>
  <c r="T112"/>
  <c r="T113"/>
  <c r="T114"/>
  <c r="T115"/>
  <c r="T116"/>
  <c r="T117"/>
  <c r="T118"/>
  <c r="T119"/>
  <c r="T120"/>
  <c r="T121"/>
  <c r="T122"/>
  <c r="T123"/>
  <c r="T124"/>
  <c r="T125"/>
  <c r="T126"/>
  <c r="T127"/>
  <c r="T128"/>
  <c r="T129"/>
  <c r="T130"/>
  <c r="T131"/>
  <c r="T132"/>
  <c r="T133"/>
  <c r="T134"/>
  <c r="T135"/>
  <c r="T136"/>
  <c r="T137"/>
  <c r="T138"/>
  <c r="T139"/>
  <c r="T140"/>
  <c r="T141"/>
  <c r="T142"/>
  <c r="T143"/>
  <c r="T144"/>
  <c r="T145"/>
  <c r="T146"/>
  <c r="T147"/>
  <c r="T148"/>
  <c r="T149"/>
  <c r="T150"/>
  <c r="T151"/>
  <c r="T152"/>
  <c r="T153"/>
  <c r="T154"/>
  <c r="T155"/>
  <c r="T156"/>
  <c r="T157"/>
  <c r="T158"/>
  <c r="T159"/>
  <c r="T160"/>
  <c r="T161"/>
  <c r="T162"/>
  <c r="T163"/>
  <c r="T164"/>
  <c r="T165"/>
  <c r="T166"/>
  <c r="T167"/>
  <c r="T168"/>
  <c r="T169"/>
  <c r="T170"/>
  <c r="T171"/>
  <c r="T172"/>
  <c r="T173"/>
  <c r="T174"/>
  <c r="T175"/>
  <c r="T176"/>
  <c r="T177"/>
  <c r="T178"/>
  <c r="T179"/>
  <c r="T180"/>
  <c r="T181"/>
  <c r="T182"/>
  <c r="T183"/>
  <c r="T184"/>
  <c r="T185"/>
  <c r="T186"/>
  <c r="T187"/>
  <c r="T188"/>
  <c r="T189"/>
  <c r="T190"/>
  <c r="T191"/>
  <c r="T192"/>
  <c r="T193"/>
  <c r="T194"/>
  <c r="T195"/>
  <c r="T196"/>
  <c r="T197"/>
  <c r="T198"/>
  <c r="T199"/>
  <c r="T200"/>
  <c r="T201"/>
  <c r="T202"/>
  <c r="T203"/>
  <c r="T204"/>
  <c r="T205"/>
  <c r="T206"/>
  <c r="T207"/>
  <c r="T208"/>
  <c r="T209"/>
  <c r="T210"/>
  <c r="T211"/>
  <c r="T212"/>
  <c r="T213"/>
  <c r="T214"/>
  <c r="T215"/>
  <c r="T216"/>
  <c r="T217"/>
  <c r="T218"/>
  <c r="T219"/>
  <c r="T220"/>
  <c r="T221"/>
  <c r="T222"/>
  <c r="T223"/>
  <c r="T224"/>
  <c r="T225"/>
  <c r="T226"/>
  <c r="T227"/>
  <c r="T228"/>
  <c r="T229"/>
  <c r="T230"/>
  <c r="T231"/>
  <c r="T232"/>
  <c r="T233"/>
  <c r="T234"/>
  <c r="T235"/>
  <c r="T236"/>
  <c r="T237"/>
  <c r="T238"/>
  <c r="T239"/>
  <c r="T240"/>
  <c r="T241"/>
  <c r="T242"/>
  <c r="T243"/>
  <c r="T244"/>
  <c r="T245"/>
  <c r="T246"/>
  <c r="T247"/>
  <c r="T248"/>
  <c r="T249"/>
  <c r="T250"/>
  <c r="T251"/>
  <c r="T252"/>
  <c r="T253"/>
  <c r="T254"/>
  <c r="T255"/>
  <c r="T256"/>
  <c r="T257"/>
  <c r="T258"/>
  <c r="T259"/>
  <c r="T260"/>
  <c r="T261"/>
  <c r="T262"/>
  <c r="T263"/>
  <c r="T264"/>
  <c r="T265"/>
  <c r="T266"/>
  <c r="T267"/>
  <c r="T268"/>
  <c r="T269"/>
  <c r="T270"/>
  <c r="T271"/>
  <c r="T272"/>
  <c r="T273"/>
  <c r="T274"/>
  <c r="T275"/>
  <c r="T276"/>
  <c r="T277"/>
  <c r="T278"/>
  <c r="T279"/>
  <c r="T280"/>
  <c r="T281"/>
  <c r="T282"/>
  <c r="T283"/>
  <c r="T284"/>
  <c r="T285"/>
  <c r="T286"/>
  <c r="T287"/>
  <c r="T288"/>
  <c r="T289"/>
  <c r="T290"/>
  <c r="T291"/>
  <c r="T292"/>
  <c r="T293"/>
  <c r="T294"/>
  <c r="T295"/>
  <c r="T296"/>
  <c r="T297"/>
  <c r="T298"/>
  <c r="T299"/>
  <c r="T300"/>
  <c r="T301"/>
  <c r="T302"/>
  <c r="T303"/>
  <c r="T304"/>
  <c r="T305"/>
  <c r="T306"/>
  <c r="T307"/>
  <c r="T308"/>
  <c r="T309"/>
  <c r="T310"/>
  <c r="T311"/>
  <c r="T312"/>
  <c r="T313"/>
  <c r="T314"/>
  <c r="T315"/>
  <c r="T316"/>
  <c r="T317"/>
  <c r="T318"/>
  <c r="T319"/>
  <c r="T320"/>
  <c r="T321"/>
  <c r="T322"/>
  <c r="T323"/>
  <c r="T324"/>
  <c r="T325"/>
  <c r="T326"/>
  <c r="T327"/>
  <c r="AT101" i="6" l="1"/>
  <c r="AR1174"/>
  <c r="AR1182"/>
  <c r="AR1166"/>
  <c r="AQ1146"/>
  <c r="AQ1114"/>
  <c r="AQ1082"/>
  <c r="AR1190"/>
  <c r="AQ1130"/>
  <c r="AR1178"/>
  <c r="AR1162"/>
  <c r="AQ1138"/>
  <c r="AQ1106"/>
  <c r="AQ1074"/>
  <c r="AR1158"/>
  <c r="AQ1098"/>
  <c r="AQ3"/>
  <c r="AR1186"/>
  <c r="AR1170"/>
  <c r="AQ1154"/>
  <c r="AQ1122"/>
  <c r="AQ1090"/>
  <c r="AT167"/>
  <c r="AR1188"/>
  <c r="AR1184"/>
  <c r="AR1180"/>
  <c r="AR1176"/>
  <c r="AR1172"/>
  <c r="AR1168"/>
  <c r="AR1164"/>
  <c r="AR1160"/>
  <c r="AR1156"/>
  <c r="AQ1150"/>
  <c r="AQ1142"/>
  <c r="AQ1134"/>
  <c r="AQ1126"/>
  <c r="AQ1118"/>
  <c r="AQ1110"/>
  <c r="AQ1102"/>
  <c r="AQ1094"/>
  <c r="AQ1086"/>
  <c r="AQ1078"/>
  <c r="AQ1070"/>
  <c r="AQ1188"/>
  <c r="AQ1184"/>
  <c r="AQ1180"/>
  <c r="AQ1176"/>
  <c r="AQ1172"/>
  <c r="AQ1168"/>
  <c r="AQ1164"/>
  <c r="AQ1160"/>
  <c r="AQ1156"/>
  <c r="AQ1148"/>
  <c r="AQ1140"/>
  <c r="AQ1132"/>
  <c r="AQ1124"/>
  <c r="AQ1116"/>
  <c r="AQ1108"/>
  <c r="AQ1100"/>
  <c r="AQ1092"/>
  <c r="AQ1084"/>
  <c r="AQ1076"/>
  <c r="AR3"/>
  <c r="AQ1190"/>
  <c r="AQ1186"/>
  <c r="AQ1182"/>
  <c r="AQ1178"/>
  <c r="AQ1174"/>
  <c r="AQ1170"/>
  <c r="AQ1166"/>
  <c r="AQ1162"/>
  <c r="AQ1158"/>
  <c r="AQ1152"/>
  <c r="AQ1144"/>
  <c r="AQ1136"/>
  <c r="AQ1128"/>
  <c r="AQ1120"/>
  <c r="AQ1112"/>
  <c r="AQ1104"/>
  <c r="AQ1096"/>
  <c r="AQ1088"/>
  <c r="AQ1080"/>
  <c r="AT231"/>
  <c r="AT227"/>
  <c r="AT223"/>
  <c r="AT219"/>
  <c r="AT215"/>
  <c r="AT211"/>
  <c r="AT207"/>
  <c r="AT203"/>
  <c r="AU232"/>
  <c r="AU228"/>
  <c r="AU224"/>
  <c r="AU220"/>
  <c r="AU216"/>
  <c r="AU212"/>
  <c r="AU208"/>
  <c r="AU204"/>
  <c r="AU3"/>
  <c r="AU135"/>
  <c r="AU236"/>
  <c r="AU240"/>
  <c r="AU244"/>
  <c r="AU248"/>
  <c r="AU252"/>
  <c r="AU256"/>
  <c r="AU260"/>
  <c r="AU264"/>
  <c r="AU268"/>
  <c r="AU272"/>
  <c r="AU276"/>
  <c r="AU280"/>
  <c r="AU284"/>
  <c r="AU288"/>
  <c r="AU292"/>
  <c r="AU296"/>
  <c r="AU300"/>
  <c r="AU304"/>
  <c r="AU308"/>
  <c r="AU312"/>
  <c r="AU316"/>
  <c r="AU320"/>
  <c r="AU324"/>
  <c r="AU328"/>
  <c r="AU332"/>
  <c r="AU336"/>
  <c r="AU340"/>
  <c r="AU344"/>
  <c r="AU348"/>
  <c r="AU352"/>
  <c r="AU356"/>
  <c r="AU360"/>
  <c r="AU364"/>
  <c r="AU368"/>
  <c r="AU372"/>
  <c r="AU376"/>
  <c r="AU380"/>
  <c r="AU384"/>
  <c r="AU388"/>
  <c r="AU392"/>
  <c r="AU396"/>
  <c r="AU400"/>
  <c r="AU404"/>
  <c r="AU408"/>
  <c r="AU412"/>
  <c r="AT230"/>
  <c r="AT226"/>
  <c r="AT222"/>
  <c r="AT218"/>
  <c r="AT214"/>
  <c r="AT210"/>
  <c r="AT206"/>
  <c r="AT202"/>
  <c r="AT233"/>
  <c r="AT229"/>
  <c r="AT225"/>
  <c r="AT221"/>
  <c r="AT217"/>
  <c r="AT213"/>
  <c r="AT209"/>
  <c r="AT205"/>
  <c r="AT201"/>
  <c r="AU230"/>
  <c r="AU226"/>
  <c r="AU222"/>
  <c r="AU218"/>
  <c r="AU214"/>
  <c r="AU210"/>
  <c r="AU206"/>
  <c r="AU202"/>
  <c r="AU69"/>
  <c r="AU234"/>
  <c r="AU238"/>
  <c r="AU242"/>
  <c r="AU246"/>
  <c r="AU250"/>
  <c r="AU254"/>
  <c r="AU258"/>
  <c r="AU262"/>
  <c r="AU266"/>
  <c r="AU270"/>
  <c r="AU274"/>
  <c r="AU278"/>
  <c r="AU282"/>
  <c r="AU286"/>
  <c r="AU290"/>
  <c r="AU294"/>
  <c r="AU298"/>
  <c r="AU302"/>
  <c r="AU306"/>
  <c r="AU310"/>
  <c r="AU314"/>
  <c r="AU318"/>
  <c r="AU322"/>
  <c r="AU326"/>
  <c r="AU330"/>
  <c r="AU334"/>
  <c r="AU338"/>
  <c r="AU342"/>
  <c r="AU346"/>
  <c r="AU350"/>
  <c r="AU354"/>
  <c r="AU358"/>
  <c r="AU362"/>
  <c r="AU366"/>
  <c r="AU370"/>
  <c r="AU374"/>
  <c r="AU378"/>
  <c r="AU382"/>
  <c r="AU386"/>
  <c r="AU390"/>
  <c r="AU394"/>
  <c r="AU398"/>
  <c r="AU402"/>
  <c r="AU406"/>
  <c r="AU410"/>
  <c r="AT232"/>
  <c r="AT228"/>
  <c r="AT224"/>
  <c r="AT220"/>
  <c r="AT216"/>
  <c r="AT212"/>
  <c r="AT208"/>
  <c r="AT204"/>
  <c r="AU233"/>
  <c r="AU229"/>
  <c r="AU225"/>
  <c r="AU221"/>
  <c r="AU217"/>
  <c r="AU213"/>
  <c r="AU209"/>
  <c r="AU205"/>
  <c r="AU201"/>
  <c r="AU231"/>
  <c r="AU215"/>
  <c r="AU36"/>
  <c r="AU237"/>
  <c r="AU245"/>
  <c r="AU253"/>
  <c r="AU261"/>
  <c r="AU269"/>
  <c r="AU277"/>
  <c r="AU285"/>
  <c r="AU293"/>
  <c r="AU301"/>
  <c r="AU309"/>
  <c r="AU317"/>
  <c r="AU325"/>
  <c r="AU333"/>
  <c r="AU341"/>
  <c r="AU349"/>
  <c r="AU357"/>
  <c r="AU365"/>
  <c r="AU373"/>
  <c r="AU381"/>
  <c r="AU389"/>
  <c r="AU397"/>
  <c r="AU405"/>
  <c r="AU413"/>
  <c r="AU417"/>
  <c r="AU421"/>
  <c r="AU425"/>
  <c r="AU429"/>
  <c r="AU433"/>
  <c r="AU437"/>
  <c r="AU441"/>
  <c r="AU445"/>
  <c r="AU449"/>
  <c r="AU453"/>
  <c r="AU457"/>
  <c r="AU461"/>
  <c r="AU465"/>
  <c r="AU469"/>
  <c r="AU473"/>
  <c r="AU477"/>
  <c r="AU481"/>
  <c r="AU485"/>
  <c r="AU489"/>
  <c r="AU493"/>
  <c r="AU497"/>
  <c r="AU501"/>
  <c r="AU505"/>
  <c r="AU509"/>
  <c r="AU513"/>
  <c r="AU517"/>
  <c r="AU521"/>
  <c r="AU525"/>
  <c r="AU529"/>
  <c r="AU533"/>
  <c r="AU537"/>
  <c r="AU541"/>
  <c r="AU545"/>
  <c r="AU549"/>
  <c r="AU553"/>
  <c r="AU557"/>
  <c r="AU561"/>
  <c r="AU565"/>
  <c r="AU569"/>
  <c r="AU573"/>
  <c r="AU577"/>
  <c r="AU581"/>
  <c r="AU585"/>
  <c r="AU589"/>
  <c r="AU593"/>
  <c r="AU597"/>
  <c r="AU601"/>
  <c r="AU605"/>
  <c r="AU609"/>
  <c r="AU613"/>
  <c r="AU617"/>
  <c r="AU621"/>
  <c r="AU625"/>
  <c r="AU629"/>
  <c r="AU633"/>
  <c r="AU637"/>
  <c r="AU641"/>
  <c r="AU645"/>
  <c r="AU227"/>
  <c r="AU211"/>
  <c r="AU102"/>
  <c r="AU239"/>
  <c r="AU247"/>
  <c r="AU255"/>
  <c r="AU263"/>
  <c r="AU271"/>
  <c r="AU279"/>
  <c r="AU287"/>
  <c r="AU295"/>
  <c r="AU303"/>
  <c r="AU311"/>
  <c r="AU319"/>
  <c r="AU327"/>
  <c r="AU335"/>
  <c r="AU343"/>
  <c r="AU351"/>
  <c r="AU359"/>
  <c r="AU367"/>
  <c r="AU375"/>
  <c r="AU383"/>
  <c r="AU391"/>
  <c r="AU399"/>
  <c r="AU407"/>
  <c r="AU414"/>
  <c r="AU418"/>
  <c r="AU422"/>
  <c r="AU426"/>
  <c r="AU430"/>
  <c r="AU434"/>
  <c r="AU438"/>
  <c r="AU442"/>
  <c r="AU446"/>
  <c r="AU450"/>
  <c r="AU454"/>
  <c r="AU458"/>
  <c r="AU462"/>
  <c r="AU466"/>
  <c r="AU470"/>
  <c r="AU474"/>
  <c r="AU478"/>
  <c r="AU482"/>
  <c r="AU486"/>
  <c r="AU490"/>
  <c r="AU494"/>
  <c r="AU498"/>
  <c r="AU502"/>
  <c r="AU506"/>
  <c r="AU510"/>
  <c r="AU514"/>
  <c r="AU518"/>
  <c r="AU522"/>
  <c r="AU526"/>
  <c r="AU530"/>
  <c r="AU534"/>
  <c r="AU538"/>
  <c r="AU542"/>
  <c r="AU546"/>
  <c r="AU550"/>
  <c r="AU554"/>
  <c r="AU558"/>
  <c r="AU562"/>
  <c r="AU566"/>
  <c r="AU570"/>
  <c r="AU574"/>
  <c r="AU578"/>
  <c r="AU582"/>
  <c r="AU586"/>
  <c r="AU590"/>
  <c r="AU594"/>
  <c r="AU223"/>
  <c r="AU207"/>
  <c r="AU168"/>
  <c r="AU241"/>
  <c r="AU249"/>
  <c r="AU257"/>
  <c r="AU265"/>
  <c r="AU273"/>
  <c r="AU281"/>
  <c r="AU289"/>
  <c r="AU297"/>
  <c r="AU305"/>
  <c r="AU313"/>
  <c r="AU321"/>
  <c r="AU329"/>
  <c r="AU337"/>
  <c r="AU345"/>
  <c r="AU353"/>
  <c r="AU361"/>
  <c r="AU369"/>
  <c r="AU377"/>
  <c r="AU385"/>
  <c r="AU393"/>
  <c r="AU401"/>
  <c r="AU409"/>
  <c r="AU415"/>
  <c r="AU419"/>
  <c r="AU423"/>
  <c r="AU427"/>
  <c r="AU431"/>
  <c r="AU435"/>
  <c r="AU439"/>
  <c r="AU443"/>
  <c r="AU447"/>
  <c r="AU451"/>
  <c r="AU455"/>
  <c r="AU459"/>
  <c r="AU463"/>
  <c r="AU467"/>
  <c r="AU471"/>
  <c r="AU475"/>
  <c r="AU479"/>
  <c r="AU483"/>
  <c r="AU487"/>
  <c r="AU491"/>
  <c r="AU495"/>
  <c r="AU499"/>
  <c r="AU503"/>
  <c r="AU507"/>
  <c r="AU511"/>
  <c r="AU515"/>
  <c r="AU519"/>
  <c r="AU523"/>
  <c r="AU527"/>
  <c r="AU531"/>
  <c r="AU535"/>
  <c r="AU539"/>
  <c r="AU543"/>
  <c r="AU547"/>
  <c r="AU551"/>
  <c r="AU555"/>
  <c r="AU559"/>
  <c r="AU563"/>
  <c r="AU567"/>
  <c r="AU571"/>
  <c r="AU575"/>
  <c r="AU579"/>
  <c r="AU583"/>
  <c r="AU587"/>
  <c r="AU591"/>
  <c r="AU595"/>
  <c r="AU599"/>
  <c r="AU603"/>
  <c r="AU607"/>
  <c r="AU611"/>
  <c r="AU615"/>
  <c r="AU619"/>
  <c r="AU623"/>
  <c r="AU627"/>
  <c r="AU631"/>
  <c r="AU635"/>
  <c r="AU639"/>
  <c r="AU219"/>
  <c r="AU203"/>
  <c r="AU235"/>
  <c r="AU243"/>
  <c r="AU251"/>
  <c r="AU259"/>
  <c r="AU267"/>
  <c r="AU275"/>
  <c r="AU283"/>
  <c r="AU291"/>
  <c r="AU299"/>
  <c r="AU307"/>
  <c r="AU315"/>
  <c r="AU323"/>
  <c r="AU331"/>
  <c r="AU339"/>
  <c r="AU347"/>
  <c r="AU355"/>
  <c r="AU363"/>
  <c r="AU371"/>
  <c r="AU379"/>
  <c r="AU387"/>
  <c r="AU395"/>
  <c r="AU403"/>
  <c r="AU411"/>
  <c r="AU416"/>
  <c r="AU420"/>
  <c r="AU424"/>
  <c r="AU428"/>
  <c r="AU432"/>
  <c r="AU436"/>
  <c r="AU440"/>
  <c r="AU444"/>
  <c r="AU448"/>
  <c r="AU452"/>
  <c r="AU456"/>
  <c r="AU460"/>
  <c r="AU464"/>
  <c r="AU468"/>
  <c r="AU472"/>
  <c r="AU476"/>
  <c r="AU480"/>
  <c r="AU484"/>
  <c r="AU488"/>
  <c r="AU492"/>
  <c r="AU496"/>
  <c r="AU500"/>
  <c r="AU504"/>
  <c r="AU508"/>
  <c r="AU512"/>
  <c r="AU516"/>
  <c r="AU520"/>
  <c r="AU524"/>
  <c r="AU528"/>
  <c r="AU532"/>
  <c r="AU536"/>
  <c r="AU540"/>
  <c r="AU544"/>
  <c r="AU548"/>
  <c r="AU552"/>
  <c r="AU556"/>
  <c r="AU560"/>
  <c r="AU564"/>
  <c r="AU568"/>
  <c r="AU572"/>
  <c r="AU576"/>
  <c r="AU580"/>
  <c r="AU584"/>
  <c r="AU588"/>
  <c r="AU592"/>
  <c r="AU596"/>
  <c r="AU600"/>
  <c r="AU604"/>
  <c r="AU608"/>
  <c r="AU612"/>
  <c r="AU616"/>
  <c r="AU620"/>
  <c r="AU624"/>
  <c r="AU628"/>
  <c r="AU632"/>
  <c r="AU636"/>
  <c r="AU640"/>
  <c r="AU644"/>
  <c r="AU648"/>
  <c r="AU652"/>
  <c r="AU598"/>
  <c r="AU614"/>
  <c r="AU630"/>
  <c r="AU643"/>
  <c r="AU650"/>
  <c r="AU655"/>
  <c r="AU659"/>
  <c r="AU663"/>
  <c r="AU667"/>
  <c r="AU671"/>
  <c r="AU675"/>
  <c r="AU679"/>
  <c r="AU683"/>
  <c r="AU687"/>
  <c r="AU691"/>
  <c r="AU695"/>
  <c r="AU699"/>
  <c r="AU703"/>
  <c r="AU707"/>
  <c r="AU711"/>
  <c r="AU715"/>
  <c r="AU719"/>
  <c r="AU723"/>
  <c r="AU727"/>
  <c r="AU731"/>
  <c r="AU735"/>
  <c r="AU739"/>
  <c r="AU743"/>
  <c r="AU747"/>
  <c r="AU751"/>
  <c r="AU755"/>
  <c r="AU759"/>
  <c r="AU763"/>
  <c r="AU767"/>
  <c r="AU771"/>
  <c r="AU775"/>
  <c r="AU779"/>
  <c r="AU783"/>
  <c r="AU787"/>
  <c r="AU791"/>
  <c r="AU795"/>
  <c r="AU799"/>
  <c r="AU803"/>
  <c r="AU807"/>
  <c r="AU811"/>
  <c r="AU815"/>
  <c r="AU819"/>
  <c r="AU823"/>
  <c r="AU827"/>
  <c r="AU831"/>
  <c r="AU835"/>
  <c r="AU839"/>
  <c r="AU843"/>
  <c r="AU847"/>
  <c r="AU851"/>
  <c r="AU855"/>
  <c r="AU859"/>
  <c r="AU863"/>
  <c r="AU867"/>
  <c r="AU871"/>
  <c r="AU875"/>
  <c r="AU879"/>
  <c r="AU883"/>
  <c r="AU887"/>
  <c r="AU891"/>
  <c r="AU895"/>
  <c r="AU899"/>
  <c r="AU903"/>
  <c r="AU907"/>
  <c r="AU911"/>
  <c r="AU915"/>
  <c r="AU919"/>
  <c r="AU923"/>
  <c r="AU927"/>
  <c r="AU931"/>
  <c r="AU935"/>
  <c r="AU939"/>
  <c r="AU943"/>
  <c r="AU947"/>
  <c r="AU951"/>
  <c r="AU955"/>
  <c r="AU959"/>
  <c r="AU963"/>
  <c r="AU967"/>
  <c r="AU971"/>
  <c r="AU975"/>
  <c r="AU979"/>
  <c r="AU983"/>
  <c r="AU987"/>
  <c r="AU991"/>
  <c r="AU995"/>
  <c r="AU999"/>
  <c r="AU1003"/>
  <c r="AU1007"/>
  <c r="AU1011"/>
  <c r="AU1015"/>
  <c r="AU1019"/>
  <c r="AU1023"/>
  <c r="AU1027"/>
  <c r="AU1031"/>
  <c r="AU602"/>
  <c r="AU618"/>
  <c r="AU634"/>
  <c r="AU646"/>
  <c r="AU651"/>
  <c r="AU656"/>
  <c r="AU660"/>
  <c r="AU664"/>
  <c r="AU668"/>
  <c r="AU672"/>
  <c r="AU676"/>
  <c r="AU680"/>
  <c r="AU684"/>
  <c r="AU688"/>
  <c r="AU692"/>
  <c r="AU696"/>
  <c r="AU700"/>
  <c r="AU704"/>
  <c r="AU708"/>
  <c r="AU712"/>
  <c r="AU716"/>
  <c r="AU720"/>
  <c r="AU724"/>
  <c r="AU728"/>
  <c r="AU732"/>
  <c r="AU736"/>
  <c r="AU740"/>
  <c r="AU744"/>
  <c r="AU748"/>
  <c r="AU752"/>
  <c r="AU756"/>
  <c r="AU760"/>
  <c r="AU764"/>
  <c r="AU768"/>
  <c r="AU772"/>
  <c r="AU776"/>
  <c r="AU780"/>
  <c r="AU784"/>
  <c r="AU788"/>
  <c r="AU792"/>
  <c r="AU796"/>
  <c r="AU800"/>
  <c r="AU804"/>
  <c r="AU808"/>
  <c r="AU812"/>
  <c r="AU816"/>
  <c r="AU820"/>
  <c r="AU824"/>
  <c r="AU828"/>
  <c r="AU832"/>
  <c r="AU836"/>
  <c r="AU840"/>
  <c r="AU844"/>
  <c r="AU848"/>
  <c r="AU852"/>
  <c r="AU856"/>
  <c r="AU860"/>
  <c r="AU864"/>
  <c r="AU868"/>
  <c r="AU872"/>
  <c r="AU876"/>
  <c r="AU880"/>
  <c r="AU884"/>
  <c r="AU888"/>
  <c r="AU892"/>
  <c r="AU896"/>
  <c r="AU900"/>
  <c r="AU904"/>
  <c r="AU908"/>
  <c r="AU912"/>
  <c r="AU916"/>
  <c r="AU920"/>
  <c r="AU924"/>
  <c r="AU928"/>
  <c r="AU932"/>
  <c r="AU936"/>
  <c r="AU606"/>
  <c r="AU622"/>
  <c r="AU638"/>
  <c r="AU647"/>
  <c r="AU653"/>
  <c r="AU657"/>
  <c r="AU661"/>
  <c r="AU665"/>
  <c r="AU669"/>
  <c r="AU673"/>
  <c r="AU677"/>
  <c r="AU681"/>
  <c r="AU685"/>
  <c r="AU689"/>
  <c r="AU693"/>
  <c r="AU697"/>
  <c r="AU701"/>
  <c r="AU705"/>
  <c r="AU709"/>
  <c r="AU713"/>
  <c r="AU717"/>
  <c r="AU721"/>
  <c r="AU725"/>
  <c r="AU729"/>
  <c r="AU733"/>
  <c r="AU737"/>
  <c r="AU741"/>
  <c r="AU745"/>
  <c r="AU749"/>
  <c r="AU753"/>
  <c r="AU757"/>
  <c r="AU761"/>
  <c r="AU765"/>
  <c r="AU769"/>
  <c r="AU773"/>
  <c r="AU777"/>
  <c r="AU781"/>
  <c r="AU785"/>
  <c r="AU789"/>
  <c r="AU793"/>
  <c r="AU797"/>
  <c r="AU801"/>
  <c r="AU805"/>
  <c r="AU809"/>
  <c r="AU813"/>
  <c r="AU817"/>
  <c r="AU821"/>
  <c r="AU825"/>
  <c r="AU829"/>
  <c r="AU833"/>
  <c r="AU837"/>
  <c r="AU841"/>
  <c r="AU845"/>
  <c r="AU849"/>
  <c r="AU853"/>
  <c r="AU857"/>
  <c r="AU861"/>
  <c r="AU865"/>
  <c r="AU869"/>
  <c r="AU873"/>
  <c r="AU877"/>
  <c r="AU881"/>
  <c r="AU885"/>
  <c r="AU889"/>
  <c r="AU893"/>
  <c r="AU897"/>
  <c r="AU901"/>
  <c r="AU905"/>
  <c r="AU909"/>
  <c r="AU913"/>
  <c r="AU917"/>
  <c r="AU921"/>
  <c r="AU925"/>
  <c r="AU929"/>
  <c r="AU933"/>
  <c r="AU937"/>
  <c r="AU941"/>
  <c r="AU945"/>
  <c r="AU949"/>
  <c r="AU953"/>
  <c r="AU957"/>
  <c r="AU961"/>
  <c r="AU965"/>
  <c r="AU969"/>
  <c r="AU973"/>
  <c r="AU610"/>
  <c r="AU626"/>
  <c r="AU642"/>
  <c r="AU649"/>
  <c r="AU654"/>
  <c r="AU658"/>
  <c r="AU662"/>
  <c r="AU666"/>
  <c r="AU670"/>
  <c r="AU674"/>
  <c r="AU678"/>
  <c r="AU682"/>
  <c r="AU686"/>
  <c r="AU690"/>
  <c r="AU694"/>
  <c r="AU698"/>
  <c r="AU702"/>
  <c r="AU706"/>
  <c r="AU710"/>
  <c r="AU714"/>
  <c r="AU718"/>
  <c r="AU722"/>
  <c r="AU726"/>
  <c r="AU730"/>
  <c r="AU734"/>
  <c r="AU738"/>
  <c r="AU742"/>
  <c r="AU746"/>
  <c r="AU750"/>
  <c r="AU754"/>
  <c r="AU758"/>
  <c r="AU762"/>
  <c r="AU766"/>
  <c r="AU770"/>
  <c r="AU774"/>
  <c r="AU778"/>
  <c r="AU782"/>
  <c r="AU786"/>
  <c r="AU790"/>
  <c r="AU794"/>
  <c r="AU798"/>
  <c r="AU802"/>
  <c r="AU806"/>
  <c r="AU810"/>
  <c r="AU814"/>
  <c r="AU818"/>
  <c r="AU822"/>
  <c r="AU826"/>
  <c r="AU830"/>
  <c r="AU834"/>
  <c r="AU838"/>
  <c r="AU842"/>
  <c r="AU846"/>
  <c r="AU850"/>
  <c r="AU854"/>
  <c r="AU858"/>
  <c r="AU862"/>
  <c r="AU866"/>
  <c r="AU870"/>
  <c r="AU874"/>
  <c r="AU878"/>
  <c r="AU882"/>
  <c r="AU886"/>
  <c r="AU890"/>
  <c r="AU894"/>
  <c r="AU898"/>
  <c r="AU902"/>
  <c r="AU906"/>
  <c r="AU910"/>
  <c r="AU914"/>
  <c r="AU918"/>
  <c r="AU922"/>
  <c r="AU926"/>
  <c r="AU930"/>
  <c r="AU934"/>
  <c r="AU938"/>
  <c r="AU942"/>
  <c r="AU946"/>
  <c r="AU950"/>
  <c r="AU954"/>
  <c r="AU958"/>
  <c r="AU962"/>
  <c r="AU966"/>
  <c r="AU970"/>
  <c r="AU974"/>
  <c r="AU978"/>
  <c r="AU982"/>
  <c r="AU986"/>
  <c r="AU990"/>
  <c r="AU994"/>
  <c r="AU998"/>
  <c r="AU1002"/>
  <c r="AU1006"/>
  <c r="AU1010"/>
  <c r="AU1014"/>
  <c r="AU1018"/>
  <c r="AU1022"/>
  <c r="AU1026"/>
  <c r="AU1030"/>
  <c r="AU1034"/>
  <c r="AU1038"/>
  <c r="AU1042"/>
  <c r="AU1046"/>
  <c r="AU940"/>
  <c r="AU956"/>
  <c r="AU972"/>
  <c r="AU981"/>
  <c r="AU989"/>
  <c r="AU997"/>
  <c r="AU1005"/>
  <c r="AU1013"/>
  <c r="AU1021"/>
  <c r="AU1029"/>
  <c r="AU1036"/>
  <c r="AU1041"/>
  <c r="AU1047"/>
  <c r="AU1051"/>
  <c r="AU1055"/>
  <c r="AU1059"/>
  <c r="AU1063"/>
  <c r="AU1067"/>
  <c r="AU1071"/>
  <c r="AU1075"/>
  <c r="AU1079"/>
  <c r="AU1083"/>
  <c r="AU1087"/>
  <c r="AU1091"/>
  <c r="AU1095"/>
  <c r="AU1099"/>
  <c r="AU1103"/>
  <c r="AU1107"/>
  <c r="AU1111"/>
  <c r="AU1115"/>
  <c r="AU1119"/>
  <c r="AU1123"/>
  <c r="AU1127"/>
  <c r="AU1131"/>
  <c r="AU1135"/>
  <c r="AU1139"/>
  <c r="AU1143"/>
  <c r="AU1147"/>
  <c r="AU1151"/>
  <c r="AU1155"/>
  <c r="AU1159"/>
  <c r="AU1163"/>
  <c r="AU1167"/>
  <c r="AU1171"/>
  <c r="AU1175"/>
  <c r="AU1179"/>
  <c r="AU1183"/>
  <c r="AU1187"/>
  <c r="AT36"/>
  <c r="AT168"/>
  <c r="AT237"/>
  <c r="AT241"/>
  <c r="AT245"/>
  <c r="AT249"/>
  <c r="AT253"/>
  <c r="AT257"/>
  <c r="AT261"/>
  <c r="AT265"/>
  <c r="AT269"/>
  <c r="AT273"/>
  <c r="AT277"/>
  <c r="AT281"/>
  <c r="AT285"/>
  <c r="AT289"/>
  <c r="AT293"/>
  <c r="AT297"/>
  <c r="AT301"/>
  <c r="AT305"/>
  <c r="AT309"/>
  <c r="AT313"/>
  <c r="AT317"/>
  <c r="AT321"/>
  <c r="AT325"/>
  <c r="AT329"/>
  <c r="AT333"/>
  <c r="AT337"/>
  <c r="AT341"/>
  <c r="AT345"/>
  <c r="AT349"/>
  <c r="AT353"/>
  <c r="AT357"/>
  <c r="AT361"/>
  <c r="AT365"/>
  <c r="AT369"/>
  <c r="AT373"/>
  <c r="AT377"/>
  <c r="AT381"/>
  <c r="AT385"/>
  <c r="AT389"/>
  <c r="AT393"/>
  <c r="AT397"/>
  <c r="AT401"/>
  <c r="AT405"/>
  <c r="AT409"/>
  <c r="AT413"/>
  <c r="AT417"/>
  <c r="AT421"/>
  <c r="AT425"/>
  <c r="AT429"/>
  <c r="AT433"/>
  <c r="AT437"/>
  <c r="AT441"/>
  <c r="AT445"/>
  <c r="AT449"/>
  <c r="AT453"/>
  <c r="AT457"/>
  <c r="AT461"/>
  <c r="AT465"/>
  <c r="AT469"/>
  <c r="AT473"/>
  <c r="AU944"/>
  <c r="AU960"/>
  <c r="AU976"/>
  <c r="AU984"/>
  <c r="AU992"/>
  <c r="AU1000"/>
  <c r="AU1008"/>
  <c r="AU1016"/>
  <c r="AU1024"/>
  <c r="AU1032"/>
  <c r="AU1037"/>
  <c r="AU1043"/>
  <c r="AU1048"/>
  <c r="AU1052"/>
  <c r="AU1056"/>
  <c r="AU1060"/>
  <c r="AU1064"/>
  <c r="AU1068"/>
  <c r="AU1072"/>
  <c r="AU1076"/>
  <c r="AU1080"/>
  <c r="AU1084"/>
  <c r="AU1088"/>
  <c r="AU1092"/>
  <c r="AU1096"/>
  <c r="AU1100"/>
  <c r="AU1104"/>
  <c r="AU1108"/>
  <c r="AU1112"/>
  <c r="AU1116"/>
  <c r="AU1120"/>
  <c r="AU1124"/>
  <c r="AU1128"/>
  <c r="AU1132"/>
  <c r="AU1136"/>
  <c r="AU1140"/>
  <c r="AU1144"/>
  <c r="AU1148"/>
  <c r="AU1152"/>
  <c r="AU1156"/>
  <c r="AU1160"/>
  <c r="AU1164"/>
  <c r="AU1168"/>
  <c r="AU1172"/>
  <c r="AU1176"/>
  <c r="AU1180"/>
  <c r="AU1184"/>
  <c r="AU1188"/>
  <c r="AT69"/>
  <c r="AT234"/>
  <c r="AT238"/>
  <c r="AT242"/>
  <c r="AT246"/>
  <c r="AT250"/>
  <c r="AT254"/>
  <c r="AT258"/>
  <c r="AT262"/>
  <c r="AT266"/>
  <c r="AT270"/>
  <c r="AT274"/>
  <c r="AT278"/>
  <c r="AT282"/>
  <c r="AT286"/>
  <c r="AT290"/>
  <c r="AT294"/>
  <c r="AT298"/>
  <c r="AT302"/>
  <c r="AT306"/>
  <c r="AT310"/>
  <c r="AT314"/>
  <c r="AT318"/>
  <c r="AT322"/>
  <c r="AT326"/>
  <c r="AT330"/>
  <c r="AT334"/>
  <c r="AT338"/>
  <c r="AT342"/>
  <c r="AT346"/>
  <c r="AT350"/>
  <c r="AT354"/>
  <c r="AT358"/>
  <c r="AT362"/>
  <c r="AT366"/>
  <c r="AT370"/>
  <c r="AT374"/>
  <c r="AU948"/>
  <c r="AU964"/>
  <c r="AU977"/>
  <c r="AU985"/>
  <c r="AU993"/>
  <c r="AU1001"/>
  <c r="AU1009"/>
  <c r="AU1017"/>
  <c r="AU1025"/>
  <c r="AU1033"/>
  <c r="AU1039"/>
  <c r="AU1044"/>
  <c r="AU1049"/>
  <c r="AU1053"/>
  <c r="AU1057"/>
  <c r="AU1061"/>
  <c r="AU1065"/>
  <c r="AU1069"/>
  <c r="AU1073"/>
  <c r="AU1077"/>
  <c r="AU1081"/>
  <c r="AU1085"/>
  <c r="AU1089"/>
  <c r="AU1093"/>
  <c r="AU1097"/>
  <c r="AU1101"/>
  <c r="AU1105"/>
  <c r="AU1109"/>
  <c r="AU1113"/>
  <c r="AU1117"/>
  <c r="AU1121"/>
  <c r="AU1125"/>
  <c r="AU1129"/>
  <c r="AU1133"/>
  <c r="AU1137"/>
  <c r="AU1141"/>
  <c r="AU1145"/>
  <c r="AU1149"/>
  <c r="AU1153"/>
  <c r="AU1157"/>
  <c r="AU1161"/>
  <c r="AU1165"/>
  <c r="AU1169"/>
  <c r="AU1173"/>
  <c r="AU1177"/>
  <c r="AU1181"/>
  <c r="AU1185"/>
  <c r="AU1189"/>
  <c r="AT102"/>
  <c r="AT235"/>
  <c r="AT239"/>
  <c r="AT243"/>
  <c r="AT247"/>
  <c r="AT251"/>
  <c r="AT255"/>
  <c r="AT259"/>
  <c r="AT263"/>
  <c r="AT267"/>
  <c r="AT271"/>
  <c r="AT275"/>
  <c r="AT279"/>
  <c r="AT283"/>
  <c r="AT287"/>
  <c r="AT291"/>
  <c r="AT295"/>
  <c r="AT299"/>
  <c r="AT303"/>
  <c r="AT307"/>
  <c r="AT311"/>
  <c r="AT315"/>
  <c r="AT319"/>
  <c r="AT323"/>
  <c r="AT327"/>
  <c r="AT331"/>
  <c r="AT335"/>
  <c r="AT339"/>
  <c r="AT343"/>
  <c r="AT347"/>
  <c r="AT351"/>
  <c r="AT355"/>
  <c r="AT359"/>
  <c r="AT363"/>
  <c r="AT367"/>
  <c r="AT371"/>
  <c r="AT375"/>
  <c r="AT379"/>
  <c r="AT383"/>
  <c r="AT387"/>
  <c r="AT391"/>
  <c r="AT395"/>
  <c r="AT399"/>
  <c r="AT403"/>
  <c r="AT407"/>
  <c r="AT411"/>
  <c r="AT415"/>
  <c r="AT419"/>
  <c r="AT423"/>
  <c r="AT427"/>
  <c r="AT431"/>
  <c r="AT435"/>
  <c r="AT439"/>
  <c r="AU952"/>
  <c r="AU968"/>
  <c r="AU980"/>
  <c r="AU988"/>
  <c r="AU996"/>
  <c r="AU1004"/>
  <c r="AU1012"/>
  <c r="AU1020"/>
  <c r="AU1028"/>
  <c r="AU1035"/>
  <c r="AU1040"/>
  <c r="AU1045"/>
  <c r="AU1050"/>
  <c r="AU1054"/>
  <c r="AU1058"/>
  <c r="AU1062"/>
  <c r="AU1066"/>
  <c r="AU1070"/>
  <c r="AU1074"/>
  <c r="AU1078"/>
  <c r="AU1082"/>
  <c r="AU1086"/>
  <c r="AU1090"/>
  <c r="AU1094"/>
  <c r="AU1098"/>
  <c r="AU1102"/>
  <c r="AU1106"/>
  <c r="AU1110"/>
  <c r="AU1114"/>
  <c r="AU1118"/>
  <c r="AU1122"/>
  <c r="AU1126"/>
  <c r="AU1130"/>
  <c r="AU1134"/>
  <c r="AU1138"/>
  <c r="AU1142"/>
  <c r="AU1146"/>
  <c r="AU1150"/>
  <c r="AU1154"/>
  <c r="AU1158"/>
  <c r="AU1162"/>
  <c r="AU1166"/>
  <c r="AU1170"/>
  <c r="AU1174"/>
  <c r="AU1178"/>
  <c r="AU1182"/>
  <c r="AU1186"/>
  <c r="AU1190"/>
  <c r="AT135"/>
  <c r="AT236"/>
  <c r="AT240"/>
  <c r="AT244"/>
  <c r="AT248"/>
  <c r="AT252"/>
  <c r="AT256"/>
  <c r="AT260"/>
  <c r="AT264"/>
  <c r="AT268"/>
  <c r="AT272"/>
  <c r="AT276"/>
  <c r="AT280"/>
  <c r="AT284"/>
  <c r="AT288"/>
  <c r="AT292"/>
  <c r="AT296"/>
  <c r="AT300"/>
  <c r="AT304"/>
  <c r="AT308"/>
  <c r="AT312"/>
  <c r="AT316"/>
  <c r="AT320"/>
  <c r="AT324"/>
  <c r="AT328"/>
  <c r="AT332"/>
  <c r="AT336"/>
  <c r="AT340"/>
  <c r="AT344"/>
  <c r="AT348"/>
  <c r="AT352"/>
  <c r="AT356"/>
  <c r="AT360"/>
  <c r="AT364"/>
  <c r="AT368"/>
  <c r="AT372"/>
  <c r="AT376"/>
  <c r="AT380"/>
  <c r="AT384"/>
  <c r="AT388"/>
  <c r="AT392"/>
  <c r="AT396"/>
  <c r="AT400"/>
  <c r="AT404"/>
  <c r="AT408"/>
  <c r="AT412"/>
  <c r="AT416"/>
  <c r="AT420"/>
  <c r="AT424"/>
  <c r="AT428"/>
  <c r="AT432"/>
  <c r="AT436"/>
  <c r="AT440"/>
  <c r="AT444"/>
  <c r="AT448"/>
  <c r="AT452"/>
  <c r="AT456"/>
  <c r="AT460"/>
  <c r="AT464"/>
  <c r="AT468"/>
  <c r="AT472"/>
  <c r="AT476"/>
  <c r="AT480"/>
  <c r="AT484"/>
  <c r="AT488"/>
  <c r="AT492"/>
  <c r="AT496"/>
  <c r="AT500"/>
  <c r="AT504"/>
  <c r="AT508"/>
  <c r="AT378"/>
  <c r="AT394"/>
  <c r="AT410"/>
  <c r="AT426"/>
  <c r="AT442"/>
  <c r="AT450"/>
  <c r="AT458"/>
  <c r="AT466"/>
  <c r="AT474"/>
  <c r="AT479"/>
  <c r="AT485"/>
  <c r="AT490"/>
  <c r="AT495"/>
  <c r="AT501"/>
  <c r="AT506"/>
  <c r="AT511"/>
  <c r="AT515"/>
  <c r="AT519"/>
  <c r="AT523"/>
  <c r="AT527"/>
  <c r="AT531"/>
  <c r="AT535"/>
  <c r="AT539"/>
  <c r="AT543"/>
  <c r="AT547"/>
  <c r="AT551"/>
  <c r="AT555"/>
  <c r="AT559"/>
  <c r="AT563"/>
  <c r="AT567"/>
  <c r="AT571"/>
  <c r="AT575"/>
  <c r="AT579"/>
  <c r="AT583"/>
  <c r="AT587"/>
  <c r="AT591"/>
  <c r="AT595"/>
  <c r="AT599"/>
  <c r="AT603"/>
  <c r="AT607"/>
  <c r="AT611"/>
  <c r="AT615"/>
  <c r="AT619"/>
  <c r="AT623"/>
  <c r="AT627"/>
  <c r="AT631"/>
  <c r="AT635"/>
  <c r="AT639"/>
  <c r="AT643"/>
  <c r="AT647"/>
  <c r="AT651"/>
  <c r="AT655"/>
  <c r="AT659"/>
  <c r="AT663"/>
  <c r="AT667"/>
  <c r="AT671"/>
  <c r="AT675"/>
  <c r="AT679"/>
  <c r="AT683"/>
  <c r="AT687"/>
  <c r="AT691"/>
  <c r="AT695"/>
  <c r="AT699"/>
  <c r="AT703"/>
  <c r="AT707"/>
  <c r="AT711"/>
  <c r="AT715"/>
  <c r="AT719"/>
  <c r="AT723"/>
  <c r="AT727"/>
  <c r="AT731"/>
  <c r="AT735"/>
  <c r="AT739"/>
  <c r="AT743"/>
  <c r="AT747"/>
  <c r="AT751"/>
  <c r="AT755"/>
  <c r="AT759"/>
  <c r="AT763"/>
  <c r="AT767"/>
  <c r="AT771"/>
  <c r="AT775"/>
  <c r="AT779"/>
  <c r="AT783"/>
  <c r="AT787"/>
  <c r="AT791"/>
  <c r="AT795"/>
  <c r="AT799"/>
  <c r="AT803"/>
  <c r="AT807"/>
  <c r="AT811"/>
  <c r="AT815"/>
  <c r="AT819"/>
  <c r="AT823"/>
  <c r="AT827"/>
  <c r="AT831"/>
  <c r="AT835"/>
  <c r="AT839"/>
  <c r="AT843"/>
  <c r="AT847"/>
  <c r="AT851"/>
  <c r="AT855"/>
  <c r="AT859"/>
  <c r="AT863"/>
  <c r="AT867"/>
  <c r="AT871"/>
  <c r="AT875"/>
  <c r="AT879"/>
  <c r="AT883"/>
  <c r="AT887"/>
  <c r="AT891"/>
  <c r="AT895"/>
  <c r="AT899"/>
  <c r="AT903"/>
  <c r="AT907"/>
  <c r="AT911"/>
  <c r="AT915"/>
  <c r="AT919"/>
  <c r="AT923"/>
  <c r="AT927"/>
  <c r="AT931"/>
  <c r="AT935"/>
  <c r="AT939"/>
  <c r="AT943"/>
  <c r="AT947"/>
  <c r="AT951"/>
  <c r="AT955"/>
  <c r="AT959"/>
  <c r="AT963"/>
  <c r="AT967"/>
  <c r="AT971"/>
  <c r="AT975"/>
  <c r="AT979"/>
  <c r="AT983"/>
  <c r="AT987"/>
  <c r="AT991"/>
  <c r="AT995"/>
  <c r="AT999"/>
  <c r="AT1003"/>
  <c r="AT1007"/>
  <c r="AT382"/>
  <c r="AT398"/>
  <c r="AT414"/>
  <c r="AT430"/>
  <c r="AT443"/>
  <c r="AT451"/>
  <c r="AT459"/>
  <c r="AT467"/>
  <c r="AT475"/>
  <c r="AT481"/>
  <c r="AT486"/>
  <c r="AT491"/>
  <c r="AT497"/>
  <c r="AT502"/>
  <c r="AT507"/>
  <c r="AT512"/>
  <c r="AT516"/>
  <c r="AT520"/>
  <c r="AT524"/>
  <c r="AT528"/>
  <c r="AT532"/>
  <c r="AT536"/>
  <c r="AT540"/>
  <c r="AT544"/>
  <c r="AT548"/>
  <c r="AT552"/>
  <c r="AT556"/>
  <c r="AT560"/>
  <c r="AT564"/>
  <c r="AT568"/>
  <c r="AT572"/>
  <c r="AT576"/>
  <c r="AT580"/>
  <c r="AT584"/>
  <c r="AT588"/>
  <c r="AT592"/>
  <c r="AT596"/>
  <c r="AT600"/>
  <c r="AT604"/>
  <c r="AT608"/>
  <c r="AT612"/>
  <c r="AT616"/>
  <c r="AT620"/>
  <c r="AT624"/>
  <c r="AT628"/>
  <c r="AT632"/>
  <c r="AT636"/>
  <c r="AT640"/>
  <c r="AT644"/>
  <c r="AT648"/>
  <c r="AT652"/>
  <c r="AT656"/>
  <c r="AT660"/>
  <c r="AT664"/>
  <c r="AT668"/>
  <c r="AT672"/>
  <c r="AT676"/>
  <c r="AT680"/>
  <c r="AT684"/>
  <c r="AT688"/>
  <c r="AT692"/>
  <c r="AT696"/>
  <c r="AT700"/>
  <c r="AT704"/>
  <c r="AT708"/>
  <c r="AT712"/>
  <c r="AT716"/>
  <c r="AT720"/>
  <c r="AT724"/>
  <c r="AT728"/>
  <c r="AT732"/>
  <c r="AT736"/>
  <c r="AT740"/>
  <c r="AT744"/>
  <c r="AT748"/>
  <c r="AT752"/>
  <c r="AT756"/>
  <c r="AT760"/>
  <c r="AT764"/>
  <c r="AT768"/>
  <c r="AT772"/>
  <c r="AT776"/>
  <c r="AT780"/>
  <c r="AT784"/>
  <c r="AT788"/>
  <c r="AT792"/>
  <c r="AT796"/>
  <c r="AT800"/>
  <c r="AT804"/>
  <c r="AT808"/>
  <c r="AT812"/>
  <c r="AT816"/>
  <c r="AT820"/>
  <c r="AT824"/>
  <c r="AT828"/>
  <c r="AT832"/>
  <c r="AT836"/>
  <c r="AT840"/>
  <c r="AT844"/>
  <c r="AT848"/>
  <c r="AT852"/>
  <c r="AT856"/>
  <c r="AT860"/>
  <c r="AT864"/>
  <c r="AT868"/>
  <c r="AT872"/>
  <c r="AT876"/>
  <c r="AT386"/>
  <c r="AT402"/>
  <c r="AT418"/>
  <c r="AT434"/>
  <c r="AT446"/>
  <c r="AT454"/>
  <c r="AT462"/>
  <c r="AT470"/>
  <c r="AT477"/>
  <c r="AT482"/>
  <c r="AT487"/>
  <c r="AT493"/>
  <c r="AT498"/>
  <c r="AT503"/>
  <c r="AT509"/>
  <c r="AT513"/>
  <c r="AT517"/>
  <c r="AT521"/>
  <c r="AT525"/>
  <c r="AT529"/>
  <c r="AT533"/>
  <c r="AT537"/>
  <c r="AT541"/>
  <c r="AT545"/>
  <c r="AT549"/>
  <c r="AT553"/>
  <c r="AT557"/>
  <c r="AT561"/>
  <c r="AT565"/>
  <c r="AT569"/>
  <c r="AT573"/>
  <c r="AT577"/>
  <c r="AT581"/>
  <c r="AT585"/>
  <c r="AT589"/>
  <c r="AT593"/>
  <c r="AT597"/>
  <c r="AT601"/>
  <c r="AT605"/>
  <c r="AT609"/>
  <c r="AT613"/>
  <c r="AT617"/>
  <c r="AT621"/>
  <c r="AT625"/>
  <c r="AT629"/>
  <c r="AT633"/>
  <c r="AT637"/>
  <c r="AT641"/>
  <c r="AT645"/>
  <c r="AT649"/>
  <c r="AT653"/>
  <c r="AT657"/>
  <c r="AT661"/>
  <c r="AT665"/>
  <c r="AT669"/>
  <c r="AT673"/>
  <c r="AT677"/>
  <c r="AT681"/>
  <c r="AT685"/>
  <c r="AT689"/>
  <c r="AT693"/>
  <c r="AT697"/>
  <c r="AT701"/>
  <c r="AT705"/>
  <c r="AT709"/>
  <c r="AT713"/>
  <c r="AT717"/>
  <c r="AT721"/>
  <c r="AT725"/>
  <c r="AT729"/>
  <c r="AT733"/>
  <c r="AT737"/>
  <c r="AT741"/>
  <c r="AT745"/>
  <c r="AT749"/>
  <c r="AT753"/>
  <c r="AT757"/>
  <c r="AT761"/>
  <c r="AT765"/>
  <c r="AT769"/>
  <c r="AT773"/>
  <c r="AT777"/>
  <c r="AT781"/>
  <c r="AT785"/>
  <c r="AT789"/>
  <c r="AT793"/>
  <c r="AT797"/>
  <c r="AT801"/>
  <c r="AT805"/>
  <c r="AT809"/>
  <c r="AT813"/>
  <c r="AT817"/>
  <c r="AT821"/>
  <c r="AT825"/>
  <c r="AT829"/>
  <c r="AT833"/>
  <c r="AT837"/>
  <c r="AT841"/>
  <c r="AT845"/>
  <c r="AT849"/>
  <c r="AT853"/>
  <c r="AT857"/>
  <c r="AT861"/>
  <c r="AT865"/>
  <c r="AT869"/>
  <c r="AT873"/>
  <c r="AT877"/>
  <c r="AT881"/>
  <c r="AT885"/>
  <c r="AT889"/>
  <c r="AT893"/>
  <c r="AT897"/>
  <c r="AT901"/>
  <c r="AT905"/>
  <c r="AT909"/>
  <c r="AT913"/>
  <c r="AT917"/>
  <c r="AT921"/>
  <c r="AT925"/>
  <c r="AT929"/>
  <c r="AT933"/>
  <c r="AT937"/>
  <c r="AT941"/>
  <c r="AT945"/>
  <c r="AT949"/>
  <c r="AT953"/>
  <c r="AT957"/>
  <c r="AT961"/>
  <c r="AT965"/>
  <c r="AT969"/>
  <c r="AT973"/>
  <c r="AT977"/>
  <c r="AT981"/>
  <c r="AT390"/>
  <c r="AT406"/>
  <c r="AT422"/>
  <c r="AT438"/>
  <c r="AT447"/>
  <c r="AT455"/>
  <c r="AT463"/>
  <c r="AT471"/>
  <c r="AT478"/>
  <c r="AT483"/>
  <c r="AT489"/>
  <c r="AT494"/>
  <c r="AT499"/>
  <c r="AT505"/>
  <c r="AT510"/>
  <c r="AT514"/>
  <c r="AT518"/>
  <c r="AT522"/>
  <c r="AT526"/>
  <c r="AT530"/>
  <c r="AT534"/>
  <c r="AT538"/>
  <c r="AT542"/>
  <c r="AT546"/>
  <c r="AT550"/>
  <c r="AT554"/>
  <c r="AT558"/>
  <c r="AT562"/>
  <c r="AT566"/>
  <c r="AT570"/>
  <c r="AT574"/>
  <c r="AT578"/>
  <c r="AT582"/>
  <c r="AT586"/>
  <c r="AT590"/>
  <c r="AT594"/>
  <c r="AT598"/>
  <c r="AT602"/>
  <c r="AT606"/>
  <c r="AT610"/>
  <c r="AT614"/>
  <c r="AT618"/>
  <c r="AT622"/>
  <c r="AT626"/>
  <c r="AT630"/>
  <c r="AT634"/>
  <c r="AT638"/>
  <c r="AT642"/>
  <c r="AT646"/>
  <c r="AT650"/>
  <c r="AT654"/>
  <c r="AT658"/>
  <c r="AT662"/>
  <c r="AT666"/>
  <c r="AT670"/>
  <c r="AT674"/>
  <c r="AT678"/>
  <c r="AT682"/>
  <c r="AT686"/>
  <c r="AT690"/>
  <c r="AT694"/>
  <c r="AT698"/>
  <c r="AT702"/>
  <c r="AT706"/>
  <c r="AT710"/>
  <c r="AT714"/>
  <c r="AT718"/>
  <c r="AT722"/>
  <c r="AT726"/>
  <c r="AT730"/>
  <c r="AT734"/>
  <c r="AT738"/>
  <c r="AT742"/>
  <c r="AT746"/>
  <c r="AT750"/>
  <c r="AT754"/>
  <c r="AT758"/>
  <c r="AT762"/>
  <c r="AT766"/>
  <c r="AT770"/>
  <c r="AT774"/>
  <c r="AT778"/>
  <c r="AT782"/>
  <c r="AT786"/>
  <c r="AT790"/>
  <c r="AT794"/>
  <c r="AT798"/>
  <c r="AT802"/>
  <c r="AT806"/>
  <c r="AT810"/>
  <c r="AT814"/>
  <c r="AT818"/>
  <c r="AT822"/>
  <c r="AT826"/>
  <c r="AT830"/>
  <c r="AT834"/>
  <c r="AT838"/>
  <c r="AT842"/>
  <c r="AT846"/>
  <c r="AT850"/>
  <c r="AT854"/>
  <c r="AT858"/>
  <c r="AT862"/>
  <c r="AT866"/>
  <c r="AT870"/>
  <c r="AT874"/>
  <c r="AT878"/>
  <c r="AT882"/>
  <c r="AT886"/>
  <c r="AT890"/>
  <c r="AT894"/>
  <c r="AT898"/>
  <c r="AT902"/>
  <c r="AT906"/>
  <c r="AT910"/>
  <c r="AT914"/>
  <c r="AT918"/>
  <c r="AT922"/>
  <c r="AT926"/>
  <c r="AT930"/>
  <c r="AT934"/>
  <c r="AT938"/>
  <c r="AT942"/>
  <c r="AT946"/>
  <c r="AT950"/>
  <c r="AT954"/>
  <c r="AT958"/>
  <c r="AT962"/>
  <c r="AT966"/>
  <c r="AT970"/>
  <c r="AT974"/>
  <c r="AT978"/>
  <c r="AT982"/>
  <c r="AT986"/>
  <c r="AT990"/>
  <c r="AT994"/>
  <c r="AT998"/>
  <c r="AT1002"/>
  <c r="AT1006"/>
  <c r="AT1010"/>
  <c r="AT1014"/>
  <c r="AT1018"/>
  <c r="AT1022"/>
  <c r="AT1026"/>
  <c r="AT1030"/>
  <c r="AT1034"/>
  <c r="AT1038"/>
  <c r="AT1042"/>
  <c r="AT1046"/>
  <c r="AT1050"/>
  <c r="AT1054"/>
  <c r="AT1058"/>
  <c r="AT1062"/>
  <c r="AT1066"/>
  <c r="AT1070"/>
  <c r="AT1074"/>
  <c r="AT1078"/>
  <c r="AT1082"/>
  <c r="AT1086"/>
  <c r="AT1090"/>
  <c r="AT1094"/>
  <c r="AT1098"/>
  <c r="AT1102"/>
  <c r="AT1106"/>
  <c r="AT1110"/>
  <c r="AT1114"/>
  <c r="AT1118"/>
  <c r="AT1122"/>
  <c r="AT1126"/>
  <c r="AT1130"/>
  <c r="AT880"/>
  <c r="AT896"/>
  <c r="AT912"/>
  <c r="AT928"/>
  <c r="AT944"/>
  <c r="AT960"/>
  <c r="AT976"/>
  <c r="AT988"/>
  <c r="AT996"/>
  <c r="AT1004"/>
  <c r="AT1011"/>
  <c r="AT1016"/>
  <c r="AT1021"/>
  <c r="AT1027"/>
  <c r="AT1032"/>
  <c r="AT1037"/>
  <c r="AT1043"/>
  <c r="AT1048"/>
  <c r="AT1053"/>
  <c r="AT1059"/>
  <c r="AT1064"/>
  <c r="AT1069"/>
  <c r="AT1075"/>
  <c r="AT1080"/>
  <c r="AT1085"/>
  <c r="AT1091"/>
  <c r="AT1096"/>
  <c r="AT1101"/>
  <c r="AT1107"/>
  <c r="AT1112"/>
  <c r="AT1117"/>
  <c r="AT1123"/>
  <c r="AT1128"/>
  <c r="AT1133"/>
  <c r="AT1137"/>
  <c r="AT1141"/>
  <c r="AT1145"/>
  <c r="AT1149"/>
  <c r="AT1153"/>
  <c r="AT1157"/>
  <c r="AT1161"/>
  <c r="AT1165"/>
  <c r="AT1169"/>
  <c r="AT1173"/>
  <c r="AT1177"/>
  <c r="AT1181"/>
  <c r="AT1185"/>
  <c r="AT1189"/>
  <c r="AS69"/>
  <c r="AS201"/>
  <c r="AS205"/>
  <c r="AS209"/>
  <c r="AS213"/>
  <c r="AS217"/>
  <c r="AS221"/>
  <c r="AS225"/>
  <c r="AS229"/>
  <c r="AS233"/>
  <c r="AS237"/>
  <c r="AS241"/>
  <c r="AS245"/>
  <c r="AS249"/>
  <c r="AS253"/>
  <c r="AS257"/>
  <c r="AS261"/>
  <c r="AS265"/>
  <c r="AS269"/>
  <c r="AS273"/>
  <c r="AS277"/>
  <c r="AS281"/>
  <c r="AS285"/>
  <c r="AS289"/>
  <c r="AS293"/>
  <c r="AS297"/>
  <c r="AS301"/>
  <c r="AS305"/>
  <c r="AS309"/>
  <c r="AS313"/>
  <c r="AS317"/>
  <c r="AS321"/>
  <c r="AS325"/>
  <c r="AS329"/>
  <c r="AS333"/>
  <c r="AS337"/>
  <c r="AS341"/>
  <c r="AS345"/>
  <c r="AS349"/>
  <c r="AS353"/>
  <c r="AS357"/>
  <c r="AS361"/>
  <c r="AS365"/>
  <c r="AS369"/>
  <c r="AS373"/>
  <c r="AS377"/>
  <c r="AS381"/>
  <c r="AS385"/>
  <c r="AS389"/>
  <c r="AS393"/>
  <c r="AS397"/>
  <c r="AS401"/>
  <c r="AS405"/>
  <c r="AS409"/>
  <c r="AS413"/>
  <c r="AS417"/>
  <c r="AS421"/>
  <c r="AS425"/>
  <c r="AS429"/>
  <c r="AS433"/>
  <c r="AS437"/>
  <c r="AS441"/>
  <c r="AS445"/>
  <c r="AS449"/>
  <c r="AS453"/>
  <c r="AS457"/>
  <c r="AS461"/>
  <c r="AS465"/>
  <c r="AS469"/>
  <c r="AS473"/>
  <c r="AS477"/>
  <c r="AS481"/>
  <c r="AS485"/>
  <c r="AS489"/>
  <c r="AS493"/>
  <c r="AS497"/>
  <c r="AS501"/>
  <c r="AS505"/>
  <c r="AS509"/>
  <c r="AS513"/>
  <c r="AS517"/>
  <c r="AS521"/>
  <c r="AS525"/>
  <c r="AS529"/>
  <c r="AS533"/>
  <c r="AS537"/>
  <c r="AS541"/>
  <c r="AS545"/>
  <c r="AS549"/>
  <c r="AS553"/>
  <c r="AS557"/>
  <c r="AS561"/>
  <c r="AS565"/>
  <c r="AS569"/>
  <c r="AS573"/>
  <c r="AS577"/>
  <c r="AS581"/>
  <c r="AS585"/>
  <c r="AS589"/>
  <c r="AS593"/>
  <c r="AS597"/>
  <c r="AS601"/>
  <c r="AS605"/>
  <c r="AS609"/>
  <c r="AS613"/>
  <c r="AS617"/>
  <c r="AS621"/>
  <c r="AS625"/>
  <c r="AS629"/>
  <c r="AS633"/>
  <c r="AS637"/>
  <c r="AS641"/>
  <c r="AS645"/>
  <c r="AS649"/>
  <c r="AS653"/>
  <c r="AS657"/>
  <c r="AS661"/>
  <c r="AS665"/>
  <c r="AS669"/>
  <c r="AS673"/>
  <c r="AS677"/>
  <c r="AS681"/>
  <c r="AT884"/>
  <c r="AT900"/>
  <c r="AT916"/>
  <c r="AT932"/>
  <c r="AT948"/>
  <c r="AT964"/>
  <c r="AT980"/>
  <c r="AT989"/>
  <c r="AT997"/>
  <c r="AT1005"/>
  <c r="AT1012"/>
  <c r="AT1017"/>
  <c r="AT1023"/>
  <c r="AT1028"/>
  <c r="AT1033"/>
  <c r="AT1039"/>
  <c r="AT1044"/>
  <c r="AT1049"/>
  <c r="AT1055"/>
  <c r="AT1060"/>
  <c r="AT1065"/>
  <c r="AT1071"/>
  <c r="AT1076"/>
  <c r="AT1081"/>
  <c r="AT1087"/>
  <c r="AT1092"/>
  <c r="AT1097"/>
  <c r="AT1103"/>
  <c r="AT1108"/>
  <c r="AT1113"/>
  <c r="AT1119"/>
  <c r="AT1124"/>
  <c r="AT1129"/>
  <c r="AT1134"/>
  <c r="AT1138"/>
  <c r="AT1142"/>
  <c r="AT1146"/>
  <c r="AT1150"/>
  <c r="AT1154"/>
  <c r="AT1158"/>
  <c r="AT1162"/>
  <c r="AT1166"/>
  <c r="AT1170"/>
  <c r="AT1174"/>
  <c r="AT1178"/>
  <c r="AT1182"/>
  <c r="AT1186"/>
  <c r="AT1190"/>
  <c r="AS102"/>
  <c r="AS202"/>
  <c r="AS206"/>
  <c r="AS210"/>
  <c r="AS214"/>
  <c r="AS218"/>
  <c r="AS222"/>
  <c r="AS226"/>
  <c r="AS230"/>
  <c r="AS234"/>
  <c r="AS238"/>
  <c r="AS242"/>
  <c r="AS246"/>
  <c r="AS250"/>
  <c r="AS254"/>
  <c r="AS258"/>
  <c r="AS262"/>
  <c r="AS266"/>
  <c r="AS270"/>
  <c r="AS274"/>
  <c r="AS278"/>
  <c r="AS282"/>
  <c r="AS286"/>
  <c r="AS290"/>
  <c r="AS294"/>
  <c r="AS298"/>
  <c r="AS302"/>
  <c r="AS306"/>
  <c r="AS310"/>
  <c r="AS314"/>
  <c r="AS318"/>
  <c r="AS322"/>
  <c r="AS326"/>
  <c r="AS330"/>
  <c r="AS334"/>
  <c r="AS338"/>
  <c r="AS342"/>
  <c r="AS346"/>
  <c r="AS350"/>
  <c r="AS354"/>
  <c r="AS358"/>
  <c r="AS362"/>
  <c r="AS366"/>
  <c r="AS370"/>
  <c r="AS374"/>
  <c r="AS378"/>
  <c r="AS382"/>
  <c r="AS386"/>
  <c r="AS390"/>
  <c r="AS394"/>
  <c r="AS398"/>
  <c r="AS402"/>
  <c r="AS406"/>
  <c r="AS410"/>
  <c r="AS414"/>
  <c r="AS418"/>
  <c r="AS422"/>
  <c r="AS426"/>
  <c r="AS430"/>
  <c r="AS434"/>
  <c r="AS438"/>
  <c r="AS442"/>
  <c r="AS446"/>
  <c r="AS450"/>
  <c r="AS454"/>
  <c r="AS458"/>
  <c r="AS462"/>
  <c r="AS466"/>
  <c r="AS470"/>
  <c r="AS474"/>
  <c r="AS478"/>
  <c r="AS482"/>
  <c r="AS486"/>
  <c r="AS490"/>
  <c r="AS494"/>
  <c r="AS498"/>
  <c r="AS502"/>
  <c r="AS506"/>
  <c r="AS510"/>
  <c r="AS514"/>
  <c r="AS518"/>
  <c r="AS522"/>
  <c r="AS526"/>
  <c r="AS530"/>
  <c r="AS534"/>
  <c r="AT888"/>
  <c r="AT904"/>
  <c r="AT920"/>
  <c r="AT936"/>
  <c r="AT952"/>
  <c r="AT968"/>
  <c r="AT984"/>
  <c r="AT992"/>
  <c r="AT1000"/>
  <c r="AT1008"/>
  <c r="AT1013"/>
  <c r="AT1019"/>
  <c r="AT1024"/>
  <c r="AT1029"/>
  <c r="AT1035"/>
  <c r="AT1040"/>
  <c r="AT1045"/>
  <c r="AT1051"/>
  <c r="AT1056"/>
  <c r="AT1061"/>
  <c r="AT1067"/>
  <c r="AT1072"/>
  <c r="AT1077"/>
  <c r="AT1083"/>
  <c r="AT1088"/>
  <c r="AT1093"/>
  <c r="AT1099"/>
  <c r="AT1104"/>
  <c r="AT1109"/>
  <c r="AT1115"/>
  <c r="AT1120"/>
  <c r="AT1125"/>
  <c r="AT1131"/>
  <c r="AT1135"/>
  <c r="AT1139"/>
  <c r="AT1143"/>
  <c r="AT1147"/>
  <c r="AT1151"/>
  <c r="AT1155"/>
  <c r="AT1159"/>
  <c r="AT1163"/>
  <c r="AT1167"/>
  <c r="AT1171"/>
  <c r="AT1175"/>
  <c r="AT1179"/>
  <c r="AT1183"/>
  <c r="AT1187"/>
  <c r="AS3"/>
  <c r="AS135"/>
  <c r="AS203"/>
  <c r="AS207"/>
  <c r="AS211"/>
  <c r="AS215"/>
  <c r="AS219"/>
  <c r="AS223"/>
  <c r="AS227"/>
  <c r="AS231"/>
  <c r="AS235"/>
  <c r="AS239"/>
  <c r="AS243"/>
  <c r="AS247"/>
  <c r="AS251"/>
  <c r="AS255"/>
  <c r="AS259"/>
  <c r="AS263"/>
  <c r="AS267"/>
  <c r="AS271"/>
  <c r="AS275"/>
  <c r="AS279"/>
  <c r="AS283"/>
  <c r="AS287"/>
  <c r="AS291"/>
  <c r="AS295"/>
  <c r="AS299"/>
  <c r="AS303"/>
  <c r="AS307"/>
  <c r="AS311"/>
  <c r="AS315"/>
  <c r="AS319"/>
  <c r="AS323"/>
  <c r="AS327"/>
  <c r="AS331"/>
  <c r="AS335"/>
  <c r="AS339"/>
  <c r="AS343"/>
  <c r="AS347"/>
  <c r="AS351"/>
  <c r="AS355"/>
  <c r="AS359"/>
  <c r="AS363"/>
  <c r="AS367"/>
  <c r="AS371"/>
  <c r="AS375"/>
  <c r="AS379"/>
  <c r="AS383"/>
  <c r="AS387"/>
  <c r="AS391"/>
  <c r="AS395"/>
  <c r="AS399"/>
  <c r="AS403"/>
  <c r="AS407"/>
  <c r="AS411"/>
  <c r="AS415"/>
  <c r="AS419"/>
  <c r="AS423"/>
  <c r="AS427"/>
  <c r="AS431"/>
  <c r="AS435"/>
  <c r="AS439"/>
  <c r="AS443"/>
  <c r="AS447"/>
  <c r="AS451"/>
  <c r="AS455"/>
  <c r="AS459"/>
  <c r="AS463"/>
  <c r="AS467"/>
  <c r="AS471"/>
  <c r="AS475"/>
  <c r="AS479"/>
  <c r="AS483"/>
  <c r="AS487"/>
  <c r="AS491"/>
  <c r="AS495"/>
  <c r="AS499"/>
  <c r="AS503"/>
  <c r="AS507"/>
  <c r="AS511"/>
  <c r="AS515"/>
  <c r="AS519"/>
  <c r="AS523"/>
  <c r="AS527"/>
  <c r="AS531"/>
  <c r="AS535"/>
  <c r="AS539"/>
  <c r="AS543"/>
  <c r="AS547"/>
  <c r="AS551"/>
  <c r="AS555"/>
  <c r="AS559"/>
  <c r="AS563"/>
  <c r="AS567"/>
  <c r="AS571"/>
  <c r="AS575"/>
  <c r="AS579"/>
  <c r="AS583"/>
  <c r="AS587"/>
  <c r="AS591"/>
  <c r="AS595"/>
  <c r="AS599"/>
  <c r="AS603"/>
  <c r="AS607"/>
  <c r="AS611"/>
  <c r="AS615"/>
  <c r="AS619"/>
  <c r="AS623"/>
  <c r="AS627"/>
  <c r="AS631"/>
  <c r="AS635"/>
  <c r="AS639"/>
  <c r="AS643"/>
  <c r="AS647"/>
  <c r="AS651"/>
  <c r="AS655"/>
  <c r="AS659"/>
  <c r="AS663"/>
  <c r="AS667"/>
  <c r="AS671"/>
  <c r="AS675"/>
  <c r="AT892"/>
  <c r="AT908"/>
  <c r="AT924"/>
  <c r="AT940"/>
  <c r="AT956"/>
  <c r="AT972"/>
  <c r="AT985"/>
  <c r="AT993"/>
  <c r="AT1001"/>
  <c r="AT1009"/>
  <c r="AT1015"/>
  <c r="AT1020"/>
  <c r="AT1025"/>
  <c r="AT1031"/>
  <c r="AT1036"/>
  <c r="AT1041"/>
  <c r="AT1047"/>
  <c r="AT1052"/>
  <c r="AT1057"/>
  <c r="AT1063"/>
  <c r="AT1068"/>
  <c r="AT1073"/>
  <c r="AT1079"/>
  <c r="AT1084"/>
  <c r="AT1089"/>
  <c r="AT1095"/>
  <c r="AT1100"/>
  <c r="AT1105"/>
  <c r="AT1111"/>
  <c r="AT1116"/>
  <c r="AT1121"/>
  <c r="AT1127"/>
  <c r="AT1132"/>
  <c r="AT1136"/>
  <c r="AT1140"/>
  <c r="AT1144"/>
  <c r="AT1148"/>
  <c r="AT1152"/>
  <c r="AT1156"/>
  <c r="AT1160"/>
  <c r="AT1164"/>
  <c r="AT1168"/>
  <c r="AT1172"/>
  <c r="AT1176"/>
  <c r="AT1180"/>
  <c r="AT1184"/>
  <c r="AT1188"/>
  <c r="AS36"/>
  <c r="AS168"/>
  <c r="AS204"/>
  <c r="AS208"/>
  <c r="AS212"/>
  <c r="AS216"/>
  <c r="AS220"/>
  <c r="AS224"/>
  <c r="AS228"/>
  <c r="AS232"/>
  <c r="AS236"/>
  <c r="AS240"/>
  <c r="AS244"/>
  <c r="AS248"/>
  <c r="AS252"/>
  <c r="AS256"/>
  <c r="AS260"/>
  <c r="AS264"/>
  <c r="AS268"/>
  <c r="AS272"/>
  <c r="AS276"/>
  <c r="AS280"/>
  <c r="AS284"/>
  <c r="AS288"/>
  <c r="AS292"/>
  <c r="AS296"/>
  <c r="AS300"/>
  <c r="AS304"/>
  <c r="AS308"/>
  <c r="AS312"/>
  <c r="AS316"/>
  <c r="AS320"/>
  <c r="AS324"/>
  <c r="AS328"/>
  <c r="AS332"/>
  <c r="AS336"/>
  <c r="AS340"/>
  <c r="AS344"/>
  <c r="AS348"/>
  <c r="AS352"/>
  <c r="AS356"/>
  <c r="AS360"/>
  <c r="AS364"/>
  <c r="AS368"/>
  <c r="AS372"/>
  <c r="AS376"/>
  <c r="AS380"/>
  <c r="AS384"/>
  <c r="AS388"/>
  <c r="AS392"/>
  <c r="AS396"/>
  <c r="AS400"/>
  <c r="AS404"/>
  <c r="AS408"/>
  <c r="AS412"/>
  <c r="AS416"/>
  <c r="AS420"/>
  <c r="AS424"/>
  <c r="AS428"/>
  <c r="AS432"/>
  <c r="AS436"/>
  <c r="AS440"/>
  <c r="AS444"/>
  <c r="AS448"/>
  <c r="AS452"/>
  <c r="AS456"/>
  <c r="AS460"/>
  <c r="AS464"/>
  <c r="AS468"/>
  <c r="AS472"/>
  <c r="AS476"/>
  <c r="AS480"/>
  <c r="AS484"/>
  <c r="AS488"/>
  <c r="AS492"/>
  <c r="AS496"/>
  <c r="AS500"/>
  <c r="AS504"/>
  <c r="AS508"/>
  <c r="AS512"/>
  <c r="AS516"/>
  <c r="AS520"/>
  <c r="AS524"/>
  <c r="AS528"/>
  <c r="AS532"/>
  <c r="AS536"/>
  <c r="AS540"/>
  <c r="AS544"/>
  <c r="AS548"/>
  <c r="AS552"/>
  <c r="AS556"/>
  <c r="AS560"/>
  <c r="AS564"/>
  <c r="AS568"/>
  <c r="AS572"/>
  <c r="AS576"/>
  <c r="AS580"/>
  <c r="AS584"/>
  <c r="AS588"/>
  <c r="AS592"/>
  <c r="AS596"/>
  <c r="AS600"/>
  <c r="AS604"/>
  <c r="AS608"/>
  <c r="AS612"/>
  <c r="AS616"/>
  <c r="AS620"/>
  <c r="AS624"/>
  <c r="AS628"/>
  <c r="AS632"/>
  <c r="AS636"/>
  <c r="AS640"/>
  <c r="AS644"/>
  <c r="AS648"/>
  <c r="AS652"/>
  <c r="AS656"/>
  <c r="AS660"/>
  <c r="AS664"/>
  <c r="AS668"/>
  <c r="AS672"/>
  <c r="AS676"/>
  <c r="AS680"/>
  <c r="AS684"/>
  <c r="AS688"/>
  <c r="AS692"/>
  <c r="AS696"/>
  <c r="AS700"/>
  <c r="AS704"/>
  <c r="AS708"/>
  <c r="AS712"/>
  <c r="AS716"/>
  <c r="AS720"/>
  <c r="AS724"/>
  <c r="AS728"/>
  <c r="AS732"/>
  <c r="AS736"/>
  <c r="AS740"/>
  <c r="AS744"/>
  <c r="AS748"/>
  <c r="AS752"/>
  <c r="AS756"/>
  <c r="AS760"/>
  <c r="AS764"/>
  <c r="AS768"/>
  <c r="AS772"/>
  <c r="AS776"/>
  <c r="AS780"/>
  <c r="AS784"/>
  <c r="AS788"/>
  <c r="AS792"/>
  <c r="AS796"/>
  <c r="AS800"/>
  <c r="AS804"/>
  <c r="AS808"/>
  <c r="AS812"/>
  <c r="AS816"/>
  <c r="AS820"/>
  <c r="AS824"/>
  <c r="AS828"/>
  <c r="AS832"/>
  <c r="AS836"/>
  <c r="AS840"/>
  <c r="AS844"/>
  <c r="AS848"/>
  <c r="AS852"/>
  <c r="AS856"/>
  <c r="AS538"/>
  <c r="AS554"/>
  <c r="AS570"/>
  <c r="AS586"/>
  <c r="AS602"/>
  <c r="AS618"/>
  <c r="AS634"/>
  <c r="AS650"/>
  <c r="AS666"/>
  <c r="AS679"/>
  <c r="AS686"/>
  <c r="AS691"/>
  <c r="AS697"/>
  <c r="AS702"/>
  <c r="AS707"/>
  <c r="AS713"/>
  <c r="AS718"/>
  <c r="AS723"/>
  <c r="AS729"/>
  <c r="AS734"/>
  <c r="AS739"/>
  <c r="AS745"/>
  <c r="AS750"/>
  <c r="AS755"/>
  <c r="AS761"/>
  <c r="AS766"/>
  <c r="AS771"/>
  <c r="AS777"/>
  <c r="AS782"/>
  <c r="AS787"/>
  <c r="AS793"/>
  <c r="AS798"/>
  <c r="AS803"/>
  <c r="AS809"/>
  <c r="AS814"/>
  <c r="AS819"/>
  <c r="AS825"/>
  <c r="AS830"/>
  <c r="AS835"/>
  <c r="AS841"/>
  <c r="AS846"/>
  <c r="AS851"/>
  <c r="AS857"/>
  <c r="AS861"/>
  <c r="AS865"/>
  <c r="AS869"/>
  <c r="AS873"/>
  <c r="AS877"/>
  <c r="AS881"/>
  <c r="AS885"/>
  <c r="AS889"/>
  <c r="AS893"/>
  <c r="AS897"/>
  <c r="AS901"/>
  <c r="AS905"/>
  <c r="AS909"/>
  <c r="AS913"/>
  <c r="AS917"/>
  <c r="AS921"/>
  <c r="AS925"/>
  <c r="AS929"/>
  <c r="AS933"/>
  <c r="AS937"/>
  <c r="AS941"/>
  <c r="AS945"/>
  <c r="AS949"/>
  <c r="AS953"/>
  <c r="AS957"/>
  <c r="AS961"/>
  <c r="AS965"/>
  <c r="AS969"/>
  <c r="AS973"/>
  <c r="AS977"/>
  <c r="AS981"/>
  <c r="AS985"/>
  <c r="AS989"/>
  <c r="AS993"/>
  <c r="AS997"/>
  <c r="AS1001"/>
  <c r="AS1005"/>
  <c r="AS1009"/>
  <c r="AS1013"/>
  <c r="AS1017"/>
  <c r="AS1021"/>
  <c r="AS1025"/>
  <c r="AS1029"/>
  <c r="AS1033"/>
  <c r="AS1037"/>
  <c r="AS1041"/>
  <c r="AS1045"/>
  <c r="AS1049"/>
  <c r="AS1053"/>
  <c r="AS1057"/>
  <c r="AS1061"/>
  <c r="AS1065"/>
  <c r="AS1069"/>
  <c r="AS1073"/>
  <c r="AS1077"/>
  <c r="AS1081"/>
  <c r="AS1085"/>
  <c r="AS1089"/>
  <c r="AS1093"/>
  <c r="AS1097"/>
  <c r="AS1101"/>
  <c r="AS1105"/>
  <c r="AS1109"/>
  <c r="AS1113"/>
  <c r="AS1117"/>
  <c r="AS1121"/>
  <c r="AS1125"/>
  <c r="AS1129"/>
  <c r="AS1133"/>
  <c r="AS1137"/>
  <c r="AS1141"/>
  <c r="AS1145"/>
  <c r="AS1149"/>
  <c r="AS1153"/>
  <c r="AS1157"/>
  <c r="AS1161"/>
  <c r="AS1165"/>
  <c r="AS1169"/>
  <c r="AS1173"/>
  <c r="AS1177"/>
  <c r="AS1181"/>
  <c r="AS1185"/>
  <c r="AS1189"/>
  <c r="AR36"/>
  <c r="AR102"/>
  <c r="AQ201"/>
  <c r="AQ203"/>
  <c r="AQ205"/>
  <c r="AQ207"/>
  <c r="AQ209"/>
  <c r="AQ211"/>
  <c r="AQ213"/>
  <c r="AQ215"/>
  <c r="AQ217"/>
  <c r="AQ219"/>
  <c r="AQ221"/>
  <c r="AQ223"/>
  <c r="AQ225"/>
  <c r="AQ227"/>
  <c r="AQ229"/>
  <c r="AQ231"/>
  <c r="AQ233"/>
  <c r="AQ235"/>
  <c r="AQ237"/>
  <c r="AQ239"/>
  <c r="AQ241"/>
  <c r="AQ243"/>
  <c r="AQ245"/>
  <c r="AQ247"/>
  <c r="AQ249"/>
  <c r="AQ251"/>
  <c r="AQ253"/>
  <c r="AQ255"/>
  <c r="AQ257"/>
  <c r="AQ259"/>
  <c r="AQ261"/>
  <c r="AQ263"/>
  <c r="AQ265"/>
  <c r="AQ267"/>
  <c r="AQ269"/>
  <c r="AQ271"/>
  <c r="AQ273"/>
  <c r="AQ275"/>
  <c r="AQ277"/>
  <c r="AQ279"/>
  <c r="AQ281"/>
  <c r="AQ283"/>
  <c r="AQ285"/>
  <c r="AQ287"/>
  <c r="AQ289"/>
  <c r="AQ291"/>
  <c r="AQ293"/>
  <c r="AQ295"/>
  <c r="AQ297"/>
  <c r="AQ299"/>
  <c r="AQ301"/>
  <c r="AQ303"/>
  <c r="AQ305"/>
  <c r="AQ307"/>
  <c r="AQ309"/>
  <c r="AQ311"/>
  <c r="AQ313"/>
  <c r="AQ315"/>
  <c r="AQ317"/>
  <c r="AQ319"/>
  <c r="AQ321"/>
  <c r="AQ323"/>
  <c r="AQ325"/>
  <c r="AQ327"/>
  <c r="AQ329"/>
  <c r="AQ331"/>
  <c r="AQ333"/>
  <c r="AQ335"/>
  <c r="AQ337"/>
  <c r="AQ339"/>
  <c r="AQ341"/>
  <c r="AQ343"/>
  <c r="AQ345"/>
  <c r="AQ347"/>
  <c r="AQ349"/>
  <c r="AQ351"/>
  <c r="AQ353"/>
  <c r="AQ355"/>
  <c r="AQ357"/>
  <c r="AQ359"/>
  <c r="AQ361"/>
  <c r="AQ363"/>
  <c r="AQ365"/>
  <c r="AQ367"/>
  <c r="AQ369"/>
  <c r="AQ371"/>
  <c r="AQ373"/>
  <c r="AQ375"/>
  <c r="AQ377"/>
  <c r="AQ379"/>
  <c r="AQ381"/>
  <c r="AQ383"/>
  <c r="AQ385"/>
  <c r="AQ387"/>
  <c r="AQ389"/>
  <c r="AQ391"/>
  <c r="AS542"/>
  <c r="AS558"/>
  <c r="AS574"/>
  <c r="AS590"/>
  <c r="AS606"/>
  <c r="AS622"/>
  <c r="AS638"/>
  <c r="AS654"/>
  <c r="AS670"/>
  <c r="AS682"/>
  <c r="AS687"/>
  <c r="AS693"/>
  <c r="AS698"/>
  <c r="AS703"/>
  <c r="AS709"/>
  <c r="AS714"/>
  <c r="AS719"/>
  <c r="AS725"/>
  <c r="AS730"/>
  <c r="AS735"/>
  <c r="AS741"/>
  <c r="AS746"/>
  <c r="AS751"/>
  <c r="AS757"/>
  <c r="AS762"/>
  <c r="AS767"/>
  <c r="AS773"/>
  <c r="AS778"/>
  <c r="AS783"/>
  <c r="AS789"/>
  <c r="AS794"/>
  <c r="AS799"/>
  <c r="AS805"/>
  <c r="AS810"/>
  <c r="AS815"/>
  <c r="AS821"/>
  <c r="AS826"/>
  <c r="AS831"/>
  <c r="AS837"/>
  <c r="AS842"/>
  <c r="AS847"/>
  <c r="AS853"/>
  <c r="AS858"/>
  <c r="AS862"/>
  <c r="AS866"/>
  <c r="AS870"/>
  <c r="AS874"/>
  <c r="AS878"/>
  <c r="AS882"/>
  <c r="AS886"/>
  <c r="AS890"/>
  <c r="AS894"/>
  <c r="AS898"/>
  <c r="AS902"/>
  <c r="AS906"/>
  <c r="AS910"/>
  <c r="AS914"/>
  <c r="AS918"/>
  <c r="AS922"/>
  <c r="AS926"/>
  <c r="AS930"/>
  <c r="AS934"/>
  <c r="AS938"/>
  <c r="AS942"/>
  <c r="AS946"/>
  <c r="AS950"/>
  <c r="AS954"/>
  <c r="AS958"/>
  <c r="AS962"/>
  <c r="AS966"/>
  <c r="AS970"/>
  <c r="AS974"/>
  <c r="AS978"/>
  <c r="AS982"/>
  <c r="AS986"/>
  <c r="AS990"/>
  <c r="AS994"/>
  <c r="AS998"/>
  <c r="AS1002"/>
  <c r="AS1006"/>
  <c r="AS1010"/>
  <c r="AS1014"/>
  <c r="AS1018"/>
  <c r="AS1022"/>
  <c r="AS1026"/>
  <c r="AS1030"/>
  <c r="AS1034"/>
  <c r="AS1038"/>
  <c r="AS1042"/>
  <c r="AS1046"/>
  <c r="AS1050"/>
  <c r="AS1054"/>
  <c r="AS1058"/>
  <c r="AS1062"/>
  <c r="AS1066"/>
  <c r="AS1070"/>
  <c r="AS1074"/>
  <c r="AS1078"/>
  <c r="AS1082"/>
  <c r="AS1086"/>
  <c r="AS1090"/>
  <c r="AS1094"/>
  <c r="AS1098"/>
  <c r="AS1102"/>
  <c r="AS1106"/>
  <c r="AS1110"/>
  <c r="AS1114"/>
  <c r="AS1118"/>
  <c r="AS1122"/>
  <c r="AS1126"/>
  <c r="AS1130"/>
  <c r="AS1134"/>
  <c r="AS1138"/>
  <c r="AS1142"/>
  <c r="AS1146"/>
  <c r="AS1150"/>
  <c r="AS1154"/>
  <c r="AS1158"/>
  <c r="AS1162"/>
  <c r="AS1166"/>
  <c r="AS1170"/>
  <c r="AS1174"/>
  <c r="AS1178"/>
  <c r="AS1182"/>
  <c r="AS1186"/>
  <c r="AS1190"/>
  <c r="AQ69"/>
  <c r="AR135"/>
  <c r="AR201"/>
  <c r="AR203"/>
  <c r="AR205"/>
  <c r="AR207"/>
  <c r="AR209"/>
  <c r="AR211"/>
  <c r="AR213"/>
  <c r="AR215"/>
  <c r="AR217"/>
  <c r="AR219"/>
  <c r="AR221"/>
  <c r="AR223"/>
  <c r="AR225"/>
  <c r="AR227"/>
  <c r="AR229"/>
  <c r="AR231"/>
  <c r="AR233"/>
  <c r="AR235"/>
  <c r="AR237"/>
  <c r="AR239"/>
  <c r="AR241"/>
  <c r="AR243"/>
  <c r="AR245"/>
  <c r="AR247"/>
  <c r="AR249"/>
  <c r="AR251"/>
  <c r="AR253"/>
  <c r="AR255"/>
  <c r="AR257"/>
  <c r="AR259"/>
  <c r="AR261"/>
  <c r="AR263"/>
  <c r="AS546"/>
  <c r="AS562"/>
  <c r="AS578"/>
  <c r="AS594"/>
  <c r="AS610"/>
  <c r="AS626"/>
  <c r="AS642"/>
  <c r="AS658"/>
  <c r="AS674"/>
  <c r="AS683"/>
  <c r="AS689"/>
  <c r="AS694"/>
  <c r="AS699"/>
  <c r="AS705"/>
  <c r="AS710"/>
  <c r="AS715"/>
  <c r="AS721"/>
  <c r="AS726"/>
  <c r="AS731"/>
  <c r="AS737"/>
  <c r="AS742"/>
  <c r="AS747"/>
  <c r="AS753"/>
  <c r="AS758"/>
  <c r="AS763"/>
  <c r="AS769"/>
  <c r="AS774"/>
  <c r="AS779"/>
  <c r="AS785"/>
  <c r="AS790"/>
  <c r="AS795"/>
  <c r="AS801"/>
  <c r="AS806"/>
  <c r="AS811"/>
  <c r="AS817"/>
  <c r="AS822"/>
  <c r="AS827"/>
  <c r="AS833"/>
  <c r="AS838"/>
  <c r="AS843"/>
  <c r="AS849"/>
  <c r="AS854"/>
  <c r="AS859"/>
  <c r="AS863"/>
  <c r="AS867"/>
  <c r="AS871"/>
  <c r="AS875"/>
  <c r="AS879"/>
  <c r="AS883"/>
  <c r="AS887"/>
  <c r="AS891"/>
  <c r="AS895"/>
  <c r="AS899"/>
  <c r="AS903"/>
  <c r="AS907"/>
  <c r="AS911"/>
  <c r="AS915"/>
  <c r="AS919"/>
  <c r="AS923"/>
  <c r="AS927"/>
  <c r="AS931"/>
  <c r="AS935"/>
  <c r="AS939"/>
  <c r="AS943"/>
  <c r="AS947"/>
  <c r="AS951"/>
  <c r="AS955"/>
  <c r="AS959"/>
  <c r="AS963"/>
  <c r="AS967"/>
  <c r="AS971"/>
  <c r="AS975"/>
  <c r="AS979"/>
  <c r="AS983"/>
  <c r="AS987"/>
  <c r="AS991"/>
  <c r="AS995"/>
  <c r="AS999"/>
  <c r="AS1003"/>
  <c r="AS1007"/>
  <c r="AS1011"/>
  <c r="AS1015"/>
  <c r="AS1019"/>
  <c r="AS1023"/>
  <c r="AS1027"/>
  <c r="AS1031"/>
  <c r="AS1035"/>
  <c r="AS1039"/>
  <c r="AS1043"/>
  <c r="AS1047"/>
  <c r="AS1051"/>
  <c r="AS1055"/>
  <c r="AS1059"/>
  <c r="AS1063"/>
  <c r="AS1067"/>
  <c r="AS1071"/>
  <c r="AS1075"/>
  <c r="AS1079"/>
  <c r="AS1083"/>
  <c r="AS1087"/>
  <c r="AS1091"/>
  <c r="AS1095"/>
  <c r="AS1099"/>
  <c r="AS1103"/>
  <c r="AS1107"/>
  <c r="AS1111"/>
  <c r="AS1115"/>
  <c r="AS1119"/>
  <c r="AS1123"/>
  <c r="AS1127"/>
  <c r="AS1131"/>
  <c r="AS1135"/>
  <c r="AS1139"/>
  <c r="AS1143"/>
  <c r="AS1147"/>
  <c r="AS1151"/>
  <c r="AS1155"/>
  <c r="AS1159"/>
  <c r="AS1163"/>
  <c r="AS1167"/>
  <c r="AS1171"/>
  <c r="AS1175"/>
  <c r="AS1179"/>
  <c r="AS1183"/>
  <c r="AS1187"/>
  <c r="AQ135"/>
  <c r="AR69"/>
  <c r="AQ168"/>
  <c r="AQ202"/>
  <c r="AQ204"/>
  <c r="AQ206"/>
  <c r="AQ208"/>
  <c r="AQ210"/>
  <c r="AQ212"/>
  <c r="AQ214"/>
  <c r="AQ216"/>
  <c r="AQ218"/>
  <c r="AQ220"/>
  <c r="AQ222"/>
  <c r="AQ224"/>
  <c r="AQ226"/>
  <c r="AQ228"/>
  <c r="AQ230"/>
  <c r="AQ232"/>
  <c r="AQ234"/>
  <c r="AQ236"/>
  <c r="AQ238"/>
  <c r="AQ240"/>
  <c r="AQ242"/>
  <c r="AQ244"/>
  <c r="AQ246"/>
  <c r="AQ248"/>
  <c r="AQ250"/>
  <c r="AQ252"/>
  <c r="AQ254"/>
  <c r="AQ256"/>
  <c r="AQ258"/>
  <c r="AQ260"/>
  <c r="AQ262"/>
  <c r="AQ264"/>
  <c r="AQ266"/>
  <c r="AQ268"/>
  <c r="AQ270"/>
  <c r="AQ272"/>
  <c r="AQ274"/>
  <c r="AQ276"/>
  <c r="AQ278"/>
  <c r="AQ280"/>
  <c r="AQ282"/>
  <c r="AQ284"/>
  <c r="AS550"/>
  <c r="AS566"/>
  <c r="AS582"/>
  <c r="AS598"/>
  <c r="AS614"/>
  <c r="AS630"/>
  <c r="AS646"/>
  <c r="AS662"/>
  <c r="AS678"/>
  <c r="AS685"/>
  <c r="AS690"/>
  <c r="AS695"/>
  <c r="AS701"/>
  <c r="AS706"/>
  <c r="AS711"/>
  <c r="AS717"/>
  <c r="AS722"/>
  <c r="AS727"/>
  <c r="AS733"/>
  <c r="AS738"/>
  <c r="AS743"/>
  <c r="AS749"/>
  <c r="AS754"/>
  <c r="AS759"/>
  <c r="AS765"/>
  <c r="AS770"/>
  <c r="AS775"/>
  <c r="AS781"/>
  <c r="AS786"/>
  <c r="AS791"/>
  <c r="AS797"/>
  <c r="AS802"/>
  <c r="AS807"/>
  <c r="AS813"/>
  <c r="AS818"/>
  <c r="AS823"/>
  <c r="AS829"/>
  <c r="AS834"/>
  <c r="AS839"/>
  <c r="AS845"/>
  <c r="AS850"/>
  <c r="AS855"/>
  <c r="AS860"/>
  <c r="AS864"/>
  <c r="AS868"/>
  <c r="AS872"/>
  <c r="AS876"/>
  <c r="AS880"/>
  <c r="AS884"/>
  <c r="AS888"/>
  <c r="AS892"/>
  <c r="AS896"/>
  <c r="AS900"/>
  <c r="AS904"/>
  <c r="AS908"/>
  <c r="AS912"/>
  <c r="AS916"/>
  <c r="AS920"/>
  <c r="AS924"/>
  <c r="AS928"/>
  <c r="AS932"/>
  <c r="AS936"/>
  <c r="AS940"/>
  <c r="AS944"/>
  <c r="AS948"/>
  <c r="AS952"/>
  <c r="AS956"/>
  <c r="AS960"/>
  <c r="AS964"/>
  <c r="AS968"/>
  <c r="AS972"/>
  <c r="AS976"/>
  <c r="AS980"/>
  <c r="AS984"/>
  <c r="AS988"/>
  <c r="AS992"/>
  <c r="AS996"/>
  <c r="AS1000"/>
  <c r="AS1004"/>
  <c r="AS1008"/>
  <c r="AS1012"/>
  <c r="AS1016"/>
  <c r="AS1020"/>
  <c r="AS1024"/>
  <c r="AS1028"/>
  <c r="AS1032"/>
  <c r="AS1036"/>
  <c r="AS1040"/>
  <c r="AS1044"/>
  <c r="AS1048"/>
  <c r="AS1052"/>
  <c r="AS1056"/>
  <c r="AS1060"/>
  <c r="AS1064"/>
  <c r="AS1068"/>
  <c r="AS1072"/>
  <c r="AS1076"/>
  <c r="AS1080"/>
  <c r="AS1084"/>
  <c r="AS1088"/>
  <c r="AS1092"/>
  <c r="AS1096"/>
  <c r="AS1100"/>
  <c r="AS1104"/>
  <c r="AS1108"/>
  <c r="AS1112"/>
  <c r="AS1116"/>
  <c r="AS1120"/>
  <c r="AS1124"/>
  <c r="AS1128"/>
  <c r="AS1132"/>
  <c r="AS1136"/>
  <c r="AS1140"/>
  <c r="AS1144"/>
  <c r="AS1148"/>
  <c r="AS1152"/>
  <c r="AS1156"/>
  <c r="AS1160"/>
  <c r="AS1164"/>
  <c r="AS1168"/>
  <c r="AS1172"/>
  <c r="AS1176"/>
  <c r="AS1180"/>
  <c r="AS1184"/>
  <c r="AS1188"/>
  <c r="AQ36"/>
  <c r="AQ102"/>
  <c r="AR168"/>
  <c r="AR202"/>
  <c r="AR204"/>
  <c r="AR206"/>
  <c r="AR208"/>
  <c r="AR210"/>
  <c r="AR212"/>
  <c r="AR214"/>
  <c r="AR216"/>
  <c r="AR218"/>
  <c r="AR220"/>
  <c r="AR222"/>
  <c r="AR224"/>
  <c r="AR226"/>
  <c r="AR228"/>
  <c r="AR230"/>
  <c r="AR232"/>
  <c r="AR234"/>
  <c r="AR236"/>
  <c r="AR238"/>
  <c r="AR240"/>
  <c r="AR242"/>
  <c r="AR244"/>
  <c r="AR246"/>
  <c r="AR248"/>
  <c r="AR250"/>
  <c r="AR252"/>
  <c r="AR254"/>
  <c r="AR256"/>
  <c r="AR258"/>
  <c r="AR260"/>
  <c r="AR262"/>
  <c r="AR264"/>
  <c r="AR266"/>
  <c r="AR268"/>
  <c r="AR270"/>
  <c r="AR272"/>
  <c r="AR274"/>
  <c r="AR276"/>
  <c r="AR278"/>
  <c r="AR280"/>
  <c r="AR282"/>
  <c r="AR284"/>
  <c r="AR286"/>
  <c r="AR288"/>
  <c r="AR290"/>
  <c r="AR292"/>
  <c r="AR294"/>
  <c r="AR296"/>
  <c r="AR298"/>
  <c r="AR300"/>
  <c r="AR302"/>
  <c r="AR304"/>
  <c r="AR306"/>
  <c r="AR308"/>
  <c r="AR310"/>
  <c r="AR312"/>
  <c r="AR314"/>
  <c r="AR316"/>
  <c r="AR318"/>
  <c r="AR320"/>
  <c r="AR322"/>
  <c r="AR324"/>
  <c r="AR326"/>
  <c r="AR328"/>
  <c r="AR330"/>
  <c r="AR332"/>
  <c r="AR334"/>
  <c r="AR336"/>
  <c r="AR338"/>
  <c r="AR340"/>
  <c r="AR342"/>
  <c r="AR344"/>
  <c r="AR346"/>
  <c r="AR348"/>
  <c r="AR350"/>
  <c r="AR352"/>
  <c r="AR354"/>
  <c r="AR356"/>
  <c r="AR358"/>
  <c r="AR360"/>
  <c r="AR362"/>
  <c r="AR364"/>
  <c r="AR366"/>
  <c r="AR368"/>
  <c r="AR370"/>
  <c r="AR372"/>
  <c r="AR374"/>
  <c r="AR376"/>
  <c r="AR378"/>
  <c r="AR380"/>
  <c r="AR382"/>
  <c r="AR384"/>
  <c r="AR386"/>
  <c r="AR388"/>
  <c r="AR390"/>
  <c r="AR392"/>
  <c r="AR394"/>
  <c r="AR396"/>
  <c r="AR398"/>
  <c r="AR400"/>
  <c r="AR402"/>
  <c r="AR404"/>
  <c r="AR406"/>
  <c r="AR408"/>
  <c r="AR410"/>
  <c r="AR412"/>
  <c r="AR414"/>
  <c r="AR416"/>
  <c r="AR418"/>
  <c r="AR420"/>
  <c r="AR422"/>
  <c r="AR424"/>
  <c r="AR426"/>
  <c r="AR428"/>
  <c r="AR430"/>
  <c r="AR432"/>
  <c r="AR434"/>
  <c r="AR436"/>
  <c r="AR438"/>
  <c r="AR440"/>
  <c r="AR442"/>
  <c r="AR444"/>
  <c r="AR446"/>
  <c r="AR448"/>
  <c r="AR450"/>
  <c r="AR452"/>
  <c r="AR454"/>
  <c r="AR456"/>
  <c r="AR458"/>
  <c r="AR460"/>
  <c r="AR462"/>
  <c r="AR464"/>
  <c r="AR466"/>
  <c r="AR468"/>
  <c r="AR470"/>
  <c r="AR472"/>
  <c r="AR474"/>
  <c r="AR476"/>
  <c r="AR478"/>
  <c r="AR265"/>
  <c r="AR273"/>
  <c r="AR281"/>
  <c r="AR287"/>
  <c r="AR291"/>
  <c r="AR295"/>
  <c r="AR299"/>
  <c r="AR303"/>
  <c r="AR307"/>
  <c r="AR311"/>
  <c r="AR315"/>
  <c r="AR319"/>
  <c r="AR323"/>
  <c r="AR327"/>
  <c r="AR331"/>
  <c r="AR335"/>
  <c r="AR339"/>
  <c r="AR343"/>
  <c r="AR347"/>
  <c r="AR351"/>
  <c r="AR355"/>
  <c r="AR359"/>
  <c r="AR363"/>
  <c r="AR367"/>
  <c r="AR371"/>
  <c r="AR375"/>
  <c r="AR379"/>
  <c r="AR383"/>
  <c r="AR387"/>
  <c r="AR391"/>
  <c r="AQ394"/>
  <c r="AQ397"/>
  <c r="AR399"/>
  <c r="AQ402"/>
  <c r="AQ405"/>
  <c r="AR407"/>
  <c r="AQ410"/>
  <c r="AQ413"/>
  <c r="AR415"/>
  <c r="AQ418"/>
  <c r="AQ421"/>
  <c r="AR423"/>
  <c r="AQ426"/>
  <c r="AQ429"/>
  <c r="AR431"/>
  <c r="AQ434"/>
  <c r="AQ437"/>
  <c r="AR439"/>
  <c r="AQ442"/>
  <c r="AQ445"/>
  <c r="AR447"/>
  <c r="AQ450"/>
  <c r="AQ453"/>
  <c r="AR455"/>
  <c r="AQ458"/>
  <c r="AQ461"/>
  <c r="AR463"/>
  <c r="AQ466"/>
  <c r="AQ469"/>
  <c r="AR471"/>
  <c r="AQ474"/>
  <c r="AQ477"/>
  <c r="AR479"/>
  <c r="AR481"/>
  <c r="AR483"/>
  <c r="AR485"/>
  <c r="AR487"/>
  <c r="AR489"/>
  <c r="AR491"/>
  <c r="AR493"/>
  <c r="AR495"/>
  <c r="AR497"/>
  <c r="AR499"/>
  <c r="AR501"/>
  <c r="AR503"/>
  <c r="AR505"/>
  <c r="AR507"/>
  <c r="AR509"/>
  <c r="AR511"/>
  <c r="AR513"/>
  <c r="AR515"/>
  <c r="AR517"/>
  <c r="AR519"/>
  <c r="AR521"/>
  <c r="AR523"/>
  <c r="AR525"/>
  <c r="AR527"/>
  <c r="AR529"/>
  <c r="AR531"/>
  <c r="AR533"/>
  <c r="AR535"/>
  <c r="AR537"/>
  <c r="AR539"/>
  <c r="AR541"/>
  <c r="AR543"/>
  <c r="AR545"/>
  <c r="AR547"/>
  <c r="AR549"/>
  <c r="AR551"/>
  <c r="AR553"/>
  <c r="AR555"/>
  <c r="AR557"/>
  <c r="AR559"/>
  <c r="AR561"/>
  <c r="AR563"/>
  <c r="AR565"/>
  <c r="AR567"/>
  <c r="AR569"/>
  <c r="AR571"/>
  <c r="AR573"/>
  <c r="AR575"/>
  <c r="AR577"/>
  <c r="AR579"/>
  <c r="AR581"/>
  <c r="AR583"/>
  <c r="AR585"/>
  <c r="AR587"/>
  <c r="AR589"/>
  <c r="AR591"/>
  <c r="AR593"/>
  <c r="AR595"/>
  <c r="AR597"/>
  <c r="AR599"/>
  <c r="AR601"/>
  <c r="AR603"/>
  <c r="AR605"/>
  <c r="AR607"/>
  <c r="AR609"/>
  <c r="AR611"/>
  <c r="AR613"/>
  <c r="AR615"/>
  <c r="AR617"/>
  <c r="AR619"/>
  <c r="AR621"/>
  <c r="AR623"/>
  <c r="AR625"/>
  <c r="AR627"/>
  <c r="AR629"/>
  <c r="AR631"/>
  <c r="AR633"/>
  <c r="AR635"/>
  <c r="AR637"/>
  <c r="AR639"/>
  <c r="AR641"/>
  <c r="AR643"/>
  <c r="AR645"/>
  <c r="AR647"/>
  <c r="AR649"/>
  <c r="AR651"/>
  <c r="AR653"/>
  <c r="AR655"/>
  <c r="AR657"/>
  <c r="AR659"/>
  <c r="AR661"/>
  <c r="AR663"/>
  <c r="AR665"/>
  <c r="AR667"/>
  <c r="AR669"/>
  <c r="AR671"/>
  <c r="AR673"/>
  <c r="AR675"/>
  <c r="AR677"/>
  <c r="AR679"/>
  <c r="AR681"/>
  <c r="AR683"/>
  <c r="AR685"/>
  <c r="AR687"/>
  <c r="AR689"/>
  <c r="AR691"/>
  <c r="AR693"/>
  <c r="AR695"/>
  <c r="AR697"/>
  <c r="AR699"/>
  <c r="AR701"/>
  <c r="AR703"/>
  <c r="AR705"/>
  <c r="AR707"/>
  <c r="AR709"/>
  <c r="AR711"/>
  <c r="AR713"/>
  <c r="AR715"/>
  <c r="AR717"/>
  <c r="AR719"/>
  <c r="AR721"/>
  <c r="AR723"/>
  <c r="AR725"/>
  <c r="AR727"/>
  <c r="AR729"/>
  <c r="AR731"/>
  <c r="AR733"/>
  <c r="AR735"/>
  <c r="AR737"/>
  <c r="AR739"/>
  <c r="AR741"/>
  <c r="AR743"/>
  <c r="AR745"/>
  <c r="AR747"/>
  <c r="AR749"/>
  <c r="AR751"/>
  <c r="AR753"/>
  <c r="AR755"/>
  <c r="AR757"/>
  <c r="AR759"/>
  <c r="AR761"/>
  <c r="AR763"/>
  <c r="AR765"/>
  <c r="AR767"/>
  <c r="AR769"/>
  <c r="AR771"/>
  <c r="AR773"/>
  <c r="AR775"/>
  <c r="AR777"/>
  <c r="AR779"/>
  <c r="AR781"/>
  <c r="AR783"/>
  <c r="AR785"/>
  <c r="AR787"/>
  <c r="AR789"/>
  <c r="AR791"/>
  <c r="AR793"/>
  <c r="AR795"/>
  <c r="AR797"/>
  <c r="AR799"/>
  <c r="AR801"/>
  <c r="AR803"/>
  <c r="AR805"/>
  <c r="AR807"/>
  <c r="AR809"/>
  <c r="AR811"/>
  <c r="AR813"/>
  <c r="AR815"/>
  <c r="AR817"/>
  <c r="AR819"/>
  <c r="AR821"/>
  <c r="AR823"/>
  <c r="AR825"/>
  <c r="AR827"/>
  <c r="AR829"/>
  <c r="AR831"/>
  <c r="AR833"/>
  <c r="AR835"/>
  <c r="AR837"/>
  <c r="AR839"/>
  <c r="AR841"/>
  <c r="AR843"/>
  <c r="AR845"/>
  <c r="AR847"/>
  <c r="AR849"/>
  <c r="AR851"/>
  <c r="AR267"/>
  <c r="AR275"/>
  <c r="AR283"/>
  <c r="AQ288"/>
  <c r="AQ292"/>
  <c r="AQ296"/>
  <c r="AQ300"/>
  <c r="AQ304"/>
  <c r="AQ308"/>
  <c r="AQ312"/>
  <c r="AQ316"/>
  <c r="AQ320"/>
  <c r="AQ324"/>
  <c r="AQ328"/>
  <c r="AQ332"/>
  <c r="AQ336"/>
  <c r="AQ340"/>
  <c r="AQ344"/>
  <c r="AQ348"/>
  <c r="AQ352"/>
  <c r="AQ356"/>
  <c r="AQ360"/>
  <c r="AQ364"/>
  <c r="AQ368"/>
  <c r="AQ372"/>
  <c r="AQ376"/>
  <c r="AQ380"/>
  <c r="AQ384"/>
  <c r="AQ388"/>
  <c r="AQ392"/>
  <c r="AQ395"/>
  <c r="AR397"/>
  <c r="AQ400"/>
  <c r="AQ403"/>
  <c r="AR405"/>
  <c r="AQ408"/>
  <c r="AQ411"/>
  <c r="AR413"/>
  <c r="AQ416"/>
  <c r="AQ419"/>
  <c r="AR421"/>
  <c r="AQ424"/>
  <c r="AQ427"/>
  <c r="AR429"/>
  <c r="AQ432"/>
  <c r="AQ435"/>
  <c r="AR437"/>
  <c r="AQ440"/>
  <c r="AQ443"/>
  <c r="AR445"/>
  <c r="AQ448"/>
  <c r="AQ451"/>
  <c r="AR453"/>
  <c r="AQ456"/>
  <c r="AQ459"/>
  <c r="AR461"/>
  <c r="AQ464"/>
  <c r="AQ467"/>
  <c r="AR469"/>
  <c r="AQ472"/>
  <c r="AQ475"/>
  <c r="AR477"/>
  <c r="AQ480"/>
  <c r="AQ482"/>
  <c r="AQ484"/>
  <c r="AQ486"/>
  <c r="AQ488"/>
  <c r="AQ490"/>
  <c r="AQ492"/>
  <c r="AQ494"/>
  <c r="AQ496"/>
  <c r="AQ498"/>
  <c r="AQ500"/>
  <c r="AQ502"/>
  <c r="AQ504"/>
  <c r="AQ506"/>
  <c r="AQ508"/>
  <c r="AQ510"/>
  <c r="AQ512"/>
  <c r="AQ514"/>
  <c r="AQ516"/>
  <c r="AQ518"/>
  <c r="AQ520"/>
  <c r="AQ522"/>
  <c r="AQ524"/>
  <c r="AQ526"/>
  <c r="AQ528"/>
  <c r="AQ530"/>
  <c r="AQ532"/>
  <c r="AQ534"/>
  <c r="AQ536"/>
  <c r="AQ538"/>
  <c r="AQ540"/>
  <c r="AQ542"/>
  <c r="AQ544"/>
  <c r="AQ546"/>
  <c r="AQ548"/>
  <c r="AQ550"/>
  <c r="AQ552"/>
  <c r="AQ554"/>
  <c r="AQ556"/>
  <c r="AQ558"/>
  <c r="AQ560"/>
  <c r="AQ562"/>
  <c r="AQ564"/>
  <c r="AQ566"/>
  <c r="AQ568"/>
  <c r="AQ570"/>
  <c r="AQ572"/>
  <c r="AQ574"/>
  <c r="AQ576"/>
  <c r="AQ578"/>
  <c r="AQ580"/>
  <c r="AQ582"/>
  <c r="AQ584"/>
  <c r="AQ586"/>
  <c r="AQ588"/>
  <c r="AQ590"/>
  <c r="AQ592"/>
  <c r="AQ594"/>
  <c r="AQ596"/>
  <c r="AQ598"/>
  <c r="AQ600"/>
  <c r="AQ602"/>
  <c r="AQ604"/>
  <c r="AQ606"/>
  <c r="AQ608"/>
  <c r="AQ610"/>
  <c r="AQ612"/>
  <c r="AQ614"/>
  <c r="AQ616"/>
  <c r="AQ618"/>
  <c r="AQ620"/>
  <c r="AQ622"/>
  <c r="AQ624"/>
  <c r="AQ626"/>
  <c r="AQ628"/>
  <c r="AQ630"/>
  <c r="AQ632"/>
  <c r="AQ634"/>
  <c r="AQ636"/>
  <c r="AQ638"/>
  <c r="AQ640"/>
  <c r="AQ642"/>
  <c r="AQ644"/>
  <c r="AQ646"/>
  <c r="AQ648"/>
  <c r="AQ650"/>
  <c r="AQ652"/>
  <c r="AQ654"/>
  <c r="AQ656"/>
  <c r="AQ658"/>
  <c r="AQ660"/>
  <c r="AQ662"/>
  <c r="AQ664"/>
  <c r="AQ666"/>
  <c r="AQ668"/>
  <c r="AQ670"/>
  <c r="AQ672"/>
  <c r="AQ674"/>
  <c r="AQ676"/>
  <c r="AQ678"/>
  <c r="AQ680"/>
  <c r="AQ682"/>
  <c r="AQ684"/>
  <c r="AQ686"/>
  <c r="AQ688"/>
  <c r="AQ690"/>
  <c r="AQ692"/>
  <c r="AQ694"/>
  <c r="AR269"/>
  <c r="AR277"/>
  <c r="AR285"/>
  <c r="AR289"/>
  <c r="AR293"/>
  <c r="AR297"/>
  <c r="AR301"/>
  <c r="AR305"/>
  <c r="AR309"/>
  <c r="AR313"/>
  <c r="AR317"/>
  <c r="AR321"/>
  <c r="AR325"/>
  <c r="AR329"/>
  <c r="AR333"/>
  <c r="AR337"/>
  <c r="AR341"/>
  <c r="AR345"/>
  <c r="AR349"/>
  <c r="AR353"/>
  <c r="AR357"/>
  <c r="AR361"/>
  <c r="AR365"/>
  <c r="AR369"/>
  <c r="AR373"/>
  <c r="AR377"/>
  <c r="AR381"/>
  <c r="AR385"/>
  <c r="AR389"/>
  <c r="AQ393"/>
  <c r="AR395"/>
  <c r="AQ398"/>
  <c r="AQ401"/>
  <c r="AR403"/>
  <c r="AQ406"/>
  <c r="AQ409"/>
  <c r="AR411"/>
  <c r="AQ414"/>
  <c r="AQ417"/>
  <c r="AR419"/>
  <c r="AQ422"/>
  <c r="AQ425"/>
  <c r="AR427"/>
  <c r="AQ430"/>
  <c r="AQ433"/>
  <c r="AR435"/>
  <c r="AQ438"/>
  <c r="AQ441"/>
  <c r="AR443"/>
  <c r="AQ446"/>
  <c r="AQ449"/>
  <c r="AR451"/>
  <c r="AQ454"/>
  <c r="AQ457"/>
  <c r="AR459"/>
  <c r="AQ462"/>
  <c r="AQ465"/>
  <c r="AR467"/>
  <c r="AQ470"/>
  <c r="AQ473"/>
  <c r="AR475"/>
  <c r="AQ478"/>
  <c r="AR480"/>
  <c r="AR482"/>
  <c r="AR484"/>
  <c r="AR486"/>
  <c r="AR488"/>
  <c r="AR490"/>
  <c r="AR492"/>
  <c r="AR494"/>
  <c r="AR496"/>
  <c r="AR498"/>
  <c r="AR500"/>
  <c r="AR502"/>
  <c r="AR504"/>
  <c r="AR506"/>
  <c r="AR508"/>
  <c r="AR510"/>
  <c r="AR512"/>
  <c r="AR514"/>
  <c r="AR516"/>
  <c r="AR518"/>
  <c r="AR520"/>
  <c r="AR522"/>
  <c r="AR524"/>
  <c r="AR526"/>
  <c r="AR528"/>
  <c r="AR530"/>
  <c r="AR532"/>
  <c r="AR534"/>
  <c r="AR536"/>
  <c r="AR538"/>
  <c r="AR540"/>
  <c r="AR542"/>
  <c r="AR544"/>
  <c r="AR546"/>
  <c r="AR548"/>
  <c r="AR550"/>
  <c r="AR552"/>
  <c r="AR554"/>
  <c r="AR556"/>
  <c r="AR558"/>
  <c r="AR560"/>
  <c r="AR562"/>
  <c r="AR564"/>
  <c r="AR566"/>
  <c r="AR568"/>
  <c r="AR570"/>
  <c r="AR572"/>
  <c r="AR574"/>
  <c r="AR576"/>
  <c r="AR578"/>
  <c r="AR580"/>
  <c r="AR582"/>
  <c r="AR584"/>
  <c r="AR586"/>
  <c r="AR588"/>
  <c r="AR590"/>
  <c r="AR592"/>
  <c r="AR594"/>
  <c r="AR596"/>
  <c r="AR598"/>
  <c r="AR600"/>
  <c r="AR602"/>
  <c r="AR604"/>
  <c r="AR606"/>
  <c r="AR608"/>
  <c r="AR610"/>
  <c r="AR612"/>
  <c r="AR614"/>
  <c r="AR616"/>
  <c r="AR618"/>
  <c r="AR620"/>
  <c r="AR622"/>
  <c r="AR624"/>
  <c r="AR626"/>
  <c r="AR628"/>
  <c r="AR630"/>
  <c r="AR632"/>
  <c r="AR634"/>
  <c r="AR636"/>
  <c r="AR638"/>
  <c r="AR640"/>
  <c r="AR642"/>
  <c r="AR644"/>
  <c r="AR646"/>
  <c r="AR648"/>
  <c r="AR650"/>
  <c r="AR652"/>
  <c r="AR654"/>
  <c r="AR656"/>
  <c r="AR658"/>
  <c r="AR660"/>
  <c r="AR662"/>
  <c r="AR664"/>
  <c r="AR666"/>
  <c r="AR668"/>
  <c r="AR670"/>
  <c r="AR672"/>
  <c r="AR674"/>
  <c r="AR676"/>
  <c r="AR678"/>
  <c r="AR680"/>
  <c r="AR682"/>
  <c r="AR684"/>
  <c r="AR686"/>
  <c r="AR688"/>
  <c r="AR690"/>
  <c r="AR692"/>
  <c r="AR694"/>
  <c r="AR696"/>
  <c r="AR698"/>
  <c r="AR700"/>
  <c r="AR702"/>
  <c r="AR704"/>
  <c r="AR706"/>
  <c r="AR708"/>
  <c r="AR710"/>
  <c r="AR712"/>
  <c r="AR714"/>
  <c r="AR716"/>
  <c r="AR718"/>
  <c r="AR720"/>
  <c r="AR722"/>
  <c r="AR724"/>
  <c r="AR726"/>
  <c r="AR728"/>
  <c r="AR730"/>
  <c r="AR732"/>
  <c r="AR734"/>
  <c r="AR736"/>
  <c r="AR738"/>
  <c r="AR740"/>
  <c r="AR742"/>
  <c r="AR744"/>
  <c r="AR746"/>
  <c r="AR748"/>
  <c r="AR750"/>
  <c r="AR752"/>
  <c r="AR754"/>
  <c r="AR756"/>
  <c r="AR758"/>
  <c r="AR760"/>
  <c r="AR762"/>
  <c r="AR764"/>
  <c r="AR766"/>
  <c r="AR768"/>
  <c r="AR770"/>
  <c r="AR772"/>
  <c r="AR774"/>
  <c r="AR776"/>
  <c r="AR778"/>
  <c r="AR780"/>
  <c r="AR782"/>
  <c r="AR784"/>
  <c r="AR786"/>
  <c r="AR788"/>
  <c r="AR790"/>
  <c r="AR792"/>
  <c r="AR794"/>
  <c r="AR796"/>
  <c r="AR798"/>
  <c r="AR271"/>
  <c r="AR279"/>
  <c r="AQ286"/>
  <c r="AQ290"/>
  <c r="AQ294"/>
  <c r="AQ298"/>
  <c r="AQ302"/>
  <c r="AQ306"/>
  <c r="AQ310"/>
  <c r="AQ314"/>
  <c r="AQ318"/>
  <c r="AQ322"/>
  <c r="AQ326"/>
  <c r="AQ330"/>
  <c r="AQ334"/>
  <c r="AQ338"/>
  <c r="AQ342"/>
  <c r="AQ346"/>
  <c r="AQ350"/>
  <c r="AQ354"/>
  <c r="AQ358"/>
  <c r="AQ362"/>
  <c r="AQ366"/>
  <c r="AQ370"/>
  <c r="AQ374"/>
  <c r="AQ378"/>
  <c r="AQ382"/>
  <c r="AQ386"/>
  <c r="AQ390"/>
  <c r="AR393"/>
  <c r="AQ396"/>
  <c r="AQ399"/>
  <c r="AR401"/>
  <c r="AQ404"/>
  <c r="AQ407"/>
  <c r="AR409"/>
  <c r="AQ412"/>
  <c r="AQ415"/>
  <c r="AR417"/>
  <c r="AQ420"/>
  <c r="AQ423"/>
  <c r="AR425"/>
  <c r="AQ428"/>
  <c r="AQ431"/>
  <c r="AR433"/>
  <c r="AQ436"/>
  <c r="AQ439"/>
  <c r="AR441"/>
  <c r="AQ444"/>
  <c r="AQ447"/>
  <c r="AR449"/>
  <c r="AQ452"/>
  <c r="AQ455"/>
  <c r="AR457"/>
  <c r="AQ460"/>
  <c r="AQ463"/>
  <c r="AR465"/>
  <c r="AQ468"/>
  <c r="AQ471"/>
  <c r="AR473"/>
  <c r="AQ476"/>
  <c r="AQ479"/>
  <c r="AQ481"/>
  <c r="AQ483"/>
  <c r="AQ485"/>
  <c r="AQ487"/>
  <c r="AQ489"/>
  <c r="AQ491"/>
  <c r="AQ493"/>
  <c r="AQ495"/>
  <c r="AQ497"/>
  <c r="AQ499"/>
  <c r="AQ501"/>
  <c r="AQ503"/>
  <c r="AQ505"/>
  <c r="AQ507"/>
  <c r="AQ509"/>
  <c r="AQ511"/>
  <c r="AQ513"/>
  <c r="AQ515"/>
  <c r="AQ517"/>
  <c r="AQ519"/>
  <c r="AQ521"/>
  <c r="AQ523"/>
  <c r="AQ525"/>
  <c r="AQ527"/>
  <c r="AQ529"/>
  <c r="AQ531"/>
  <c r="AQ533"/>
  <c r="AQ535"/>
  <c r="AQ537"/>
  <c r="AQ539"/>
  <c r="AQ541"/>
  <c r="AQ543"/>
  <c r="AQ545"/>
  <c r="AQ547"/>
  <c r="AQ549"/>
  <c r="AQ551"/>
  <c r="AQ553"/>
  <c r="AQ555"/>
  <c r="AQ557"/>
  <c r="AQ559"/>
  <c r="AQ561"/>
  <c r="AQ563"/>
  <c r="AQ565"/>
  <c r="AQ567"/>
  <c r="AQ569"/>
  <c r="AQ571"/>
  <c r="AQ573"/>
  <c r="AQ575"/>
  <c r="AQ577"/>
  <c r="AQ579"/>
  <c r="AQ581"/>
  <c r="AQ583"/>
  <c r="AQ585"/>
  <c r="AQ587"/>
  <c r="AQ589"/>
  <c r="AQ591"/>
  <c r="AQ593"/>
  <c r="AQ595"/>
  <c r="AQ597"/>
  <c r="AQ599"/>
  <c r="AQ601"/>
  <c r="AQ603"/>
  <c r="AQ605"/>
  <c r="AQ607"/>
  <c r="AQ609"/>
  <c r="AQ611"/>
  <c r="AQ613"/>
  <c r="AQ615"/>
  <c r="AQ617"/>
  <c r="AQ619"/>
  <c r="AQ621"/>
  <c r="AQ623"/>
  <c r="AQ625"/>
  <c r="AQ627"/>
  <c r="AQ629"/>
  <c r="AQ631"/>
  <c r="AQ633"/>
  <c r="AQ635"/>
  <c r="AQ637"/>
  <c r="AQ639"/>
  <c r="AQ641"/>
  <c r="AQ643"/>
  <c r="AQ645"/>
  <c r="AQ647"/>
  <c r="AQ649"/>
  <c r="AQ651"/>
  <c r="AQ653"/>
  <c r="AQ655"/>
  <c r="AQ657"/>
  <c r="AQ659"/>
  <c r="AQ661"/>
  <c r="AQ663"/>
  <c r="AQ665"/>
  <c r="AQ667"/>
  <c r="AQ669"/>
  <c r="AQ671"/>
  <c r="AQ673"/>
  <c r="AQ675"/>
  <c r="AQ677"/>
  <c r="AQ679"/>
  <c r="AQ681"/>
  <c r="AQ683"/>
  <c r="AQ685"/>
  <c r="AQ687"/>
  <c r="AQ689"/>
  <c r="AQ691"/>
  <c r="AQ693"/>
  <c r="AQ695"/>
  <c r="AQ697"/>
  <c r="AQ699"/>
  <c r="AQ701"/>
  <c r="AQ703"/>
  <c r="AQ705"/>
  <c r="AQ707"/>
  <c r="AQ709"/>
  <c r="AQ711"/>
  <c r="AQ713"/>
  <c r="AQ715"/>
  <c r="AQ717"/>
  <c r="AQ719"/>
  <c r="AQ721"/>
  <c r="AQ723"/>
  <c r="AQ725"/>
  <c r="AQ727"/>
  <c r="AQ729"/>
  <c r="AQ731"/>
  <c r="AQ733"/>
  <c r="AQ735"/>
  <c r="AQ737"/>
  <c r="AQ739"/>
  <c r="AQ741"/>
  <c r="AQ743"/>
  <c r="AQ745"/>
  <c r="AQ747"/>
  <c r="AQ749"/>
  <c r="AQ751"/>
  <c r="AQ753"/>
  <c r="AQ755"/>
  <c r="AQ757"/>
  <c r="AQ759"/>
  <c r="AQ761"/>
  <c r="AQ763"/>
  <c r="AQ765"/>
  <c r="AQ767"/>
  <c r="AQ769"/>
  <c r="AQ771"/>
  <c r="AQ773"/>
  <c r="AQ775"/>
  <c r="AQ777"/>
  <c r="AQ779"/>
  <c r="AQ781"/>
  <c r="AQ783"/>
  <c r="AQ785"/>
  <c r="AQ787"/>
  <c r="AQ789"/>
  <c r="AQ791"/>
  <c r="AQ793"/>
  <c r="AQ795"/>
  <c r="AQ797"/>
  <c r="AQ799"/>
  <c r="AQ801"/>
  <c r="AQ803"/>
  <c r="AQ805"/>
  <c r="AQ807"/>
  <c r="AQ809"/>
  <c r="AQ811"/>
  <c r="AQ813"/>
  <c r="AQ815"/>
  <c r="AQ817"/>
  <c r="AQ819"/>
  <c r="AQ821"/>
  <c r="AQ823"/>
  <c r="AQ825"/>
  <c r="AQ827"/>
  <c r="AQ829"/>
  <c r="AQ831"/>
  <c r="AQ833"/>
  <c r="AQ835"/>
  <c r="AQ837"/>
  <c r="AQ839"/>
  <c r="AQ841"/>
  <c r="AQ843"/>
  <c r="AQ845"/>
  <c r="AQ847"/>
  <c r="AQ849"/>
  <c r="AQ851"/>
  <c r="AQ853"/>
  <c r="AQ855"/>
  <c r="AQ857"/>
  <c r="AQ859"/>
  <c r="AQ861"/>
  <c r="AQ863"/>
  <c r="AQ865"/>
  <c r="AQ867"/>
  <c r="AQ869"/>
  <c r="AQ871"/>
  <c r="AQ873"/>
  <c r="AQ875"/>
  <c r="AQ877"/>
  <c r="AQ879"/>
  <c r="AQ881"/>
  <c r="AQ883"/>
  <c r="AQ885"/>
  <c r="AQ887"/>
  <c r="AQ889"/>
  <c r="AQ891"/>
  <c r="AQ893"/>
  <c r="AQ895"/>
  <c r="AQ897"/>
  <c r="AQ899"/>
  <c r="AQ901"/>
  <c r="AQ903"/>
  <c r="AQ905"/>
  <c r="AQ907"/>
  <c r="AQ909"/>
  <c r="AQ911"/>
  <c r="AQ913"/>
  <c r="AQ915"/>
  <c r="AQ917"/>
  <c r="AQ919"/>
  <c r="AQ921"/>
  <c r="AQ923"/>
  <c r="AQ925"/>
  <c r="AQ927"/>
  <c r="AQ929"/>
  <c r="AQ931"/>
  <c r="AQ933"/>
  <c r="AQ935"/>
  <c r="AQ937"/>
  <c r="AQ939"/>
  <c r="AQ941"/>
  <c r="AQ943"/>
  <c r="AQ945"/>
  <c r="AQ947"/>
  <c r="AQ949"/>
  <c r="AQ951"/>
  <c r="AQ953"/>
  <c r="AQ955"/>
  <c r="AQ957"/>
  <c r="AQ959"/>
  <c r="AQ961"/>
  <c r="AQ963"/>
  <c r="AQ965"/>
  <c r="AQ967"/>
  <c r="AQ969"/>
  <c r="AQ971"/>
  <c r="AQ973"/>
  <c r="AQ975"/>
  <c r="AQ977"/>
  <c r="AQ979"/>
  <c r="AQ981"/>
  <c r="AQ983"/>
  <c r="AQ985"/>
  <c r="AU68"/>
  <c r="AT200"/>
  <c r="AQ1189"/>
  <c r="AQ1187"/>
  <c r="AQ1185"/>
  <c r="AQ1183"/>
  <c r="AQ1181"/>
  <c r="AQ1179"/>
  <c r="AQ1177"/>
  <c r="AQ1175"/>
  <c r="AQ1173"/>
  <c r="AQ1171"/>
  <c r="AQ1169"/>
  <c r="AQ1167"/>
  <c r="AQ1165"/>
  <c r="AQ1163"/>
  <c r="AQ1161"/>
  <c r="AQ1159"/>
  <c r="AQ1157"/>
  <c r="AQ1155"/>
  <c r="AQ1153"/>
  <c r="AQ1151"/>
  <c r="AQ1149"/>
  <c r="AQ1147"/>
  <c r="AQ1145"/>
  <c r="AQ1143"/>
  <c r="AQ1141"/>
  <c r="AQ1139"/>
  <c r="AQ1137"/>
  <c r="AQ1135"/>
  <c r="AQ1133"/>
  <c r="AQ1131"/>
  <c r="AQ1129"/>
  <c r="AQ1127"/>
  <c r="AQ1125"/>
  <c r="AQ1123"/>
  <c r="AQ1121"/>
  <c r="AQ1119"/>
  <c r="AQ1117"/>
  <c r="AQ1115"/>
  <c r="AQ1113"/>
  <c r="AQ1111"/>
  <c r="AQ1109"/>
  <c r="AQ1107"/>
  <c r="AQ1105"/>
  <c r="AQ1103"/>
  <c r="AQ1101"/>
  <c r="AQ1099"/>
  <c r="AQ1097"/>
  <c r="AQ1095"/>
  <c r="AQ1093"/>
  <c r="AQ1091"/>
  <c r="AQ1089"/>
  <c r="AQ1087"/>
  <c r="AQ1085"/>
  <c r="AQ1083"/>
  <c r="AQ1081"/>
  <c r="AQ1079"/>
  <c r="AQ1077"/>
  <c r="AQ1075"/>
  <c r="AQ1073"/>
  <c r="AQ1071"/>
  <c r="AQ1069"/>
  <c r="AQ1067"/>
  <c r="AQ1065"/>
  <c r="AQ1063"/>
  <c r="AQ1061"/>
  <c r="AQ1059"/>
  <c r="AQ1057"/>
  <c r="AQ1055"/>
  <c r="AQ1053"/>
  <c r="AQ1051"/>
  <c r="AQ1049"/>
  <c r="AQ1047"/>
  <c r="AQ1045"/>
  <c r="AQ1043"/>
  <c r="AQ1041"/>
  <c r="AQ1039"/>
  <c r="AQ1037"/>
  <c r="AQ1035"/>
  <c r="AQ1033"/>
  <c r="AQ1031"/>
  <c r="AQ1029"/>
  <c r="AQ1027"/>
  <c r="AQ1025"/>
  <c r="AQ1023"/>
  <c r="AQ1021"/>
  <c r="AQ1019"/>
  <c r="AQ1017"/>
  <c r="AQ1015"/>
  <c r="AQ1013"/>
  <c r="AQ1011"/>
  <c r="AQ1009"/>
  <c r="AQ1007"/>
  <c r="AQ1005"/>
  <c r="AQ1003"/>
  <c r="AQ1001"/>
  <c r="AQ999"/>
  <c r="AQ997"/>
  <c r="AQ995"/>
  <c r="AQ993"/>
  <c r="AQ991"/>
  <c r="AQ989"/>
  <c r="AQ987"/>
  <c r="AR984"/>
  <c r="AQ982"/>
  <c r="AR979"/>
  <c r="AR976"/>
  <c r="AQ974"/>
  <c r="AR971"/>
  <c r="AR968"/>
  <c r="AQ966"/>
  <c r="AR963"/>
  <c r="AR960"/>
  <c r="AQ958"/>
  <c r="AR955"/>
  <c r="AR952"/>
  <c r="AQ950"/>
  <c r="AR947"/>
  <c r="AR944"/>
  <c r="AQ942"/>
  <c r="AR939"/>
  <c r="AR936"/>
  <c r="AQ934"/>
  <c r="AR931"/>
  <c r="AR928"/>
  <c r="AQ926"/>
  <c r="AR923"/>
  <c r="AR920"/>
  <c r="AQ918"/>
  <c r="AR915"/>
  <c r="AR912"/>
  <c r="AQ910"/>
  <c r="AR907"/>
  <c r="AR904"/>
  <c r="AQ902"/>
  <c r="AR899"/>
  <c r="AR896"/>
  <c r="AQ894"/>
  <c r="AR891"/>
  <c r="AR888"/>
  <c r="AQ886"/>
  <c r="AR883"/>
  <c r="AR880"/>
  <c r="AQ878"/>
  <c r="AR875"/>
  <c r="AR872"/>
  <c r="AQ870"/>
  <c r="AR867"/>
  <c r="AR864"/>
  <c r="AQ862"/>
  <c r="AR859"/>
  <c r="AR856"/>
  <c r="AQ854"/>
  <c r="AR850"/>
  <c r="AR846"/>
  <c r="AR842"/>
  <c r="AR838"/>
  <c r="AR834"/>
  <c r="AR830"/>
  <c r="AR826"/>
  <c r="AR822"/>
  <c r="AR818"/>
  <c r="AR814"/>
  <c r="AR810"/>
  <c r="AR806"/>
  <c r="AR802"/>
  <c r="AQ798"/>
  <c r="AQ790"/>
  <c r="AQ782"/>
  <c r="AQ774"/>
  <c r="AQ766"/>
  <c r="AQ758"/>
  <c r="AQ750"/>
  <c r="AQ742"/>
  <c r="AQ734"/>
  <c r="AQ726"/>
  <c r="AQ718"/>
  <c r="AQ710"/>
  <c r="AQ702"/>
  <c r="AR1154"/>
  <c r="AR1152"/>
  <c r="AR1150"/>
  <c r="AR1148"/>
  <c r="AR1146"/>
  <c r="AR1144"/>
  <c r="AR1142"/>
  <c r="AR1140"/>
  <c r="AR1138"/>
  <c r="AR1136"/>
  <c r="AR1134"/>
  <c r="AR1132"/>
  <c r="AR1130"/>
  <c r="AR1128"/>
  <c r="AR1126"/>
  <c r="AR1124"/>
  <c r="AR1122"/>
  <c r="AR1120"/>
  <c r="AR1118"/>
  <c r="AR1116"/>
  <c r="AR1114"/>
  <c r="AR1112"/>
  <c r="AR1110"/>
  <c r="AR1108"/>
  <c r="AR1106"/>
  <c r="AR1104"/>
  <c r="AR1102"/>
  <c r="AR1100"/>
  <c r="AR1098"/>
  <c r="AR1096"/>
  <c r="AR1094"/>
  <c r="AR1092"/>
  <c r="AR1090"/>
  <c r="AR1088"/>
  <c r="AR1086"/>
  <c r="AR1084"/>
  <c r="AR1082"/>
  <c r="AR1080"/>
  <c r="AR1078"/>
  <c r="AR1076"/>
  <c r="AR1074"/>
  <c r="AR1072"/>
  <c r="AR1070"/>
  <c r="AR1068"/>
  <c r="AR1066"/>
  <c r="AR1064"/>
  <c r="AR1062"/>
  <c r="AR1060"/>
  <c r="AR1058"/>
  <c r="AR1056"/>
  <c r="AR1054"/>
  <c r="AR1052"/>
  <c r="AR1050"/>
  <c r="AR1048"/>
  <c r="AR1046"/>
  <c r="AR1044"/>
  <c r="AR1042"/>
  <c r="AR1040"/>
  <c r="AR1038"/>
  <c r="AR1036"/>
  <c r="AR1034"/>
  <c r="AR1032"/>
  <c r="AR1030"/>
  <c r="AR1028"/>
  <c r="AR1026"/>
  <c r="AR1024"/>
  <c r="AR1022"/>
  <c r="AR1020"/>
  <c r="AR1018"/>
  <c r="AR1016"/>
  <c r="AR1014"/>
  <c r="AR1012"/>
  <c r="AR1010"/>
  <c r="AR1008"/>
  <c r="AR1006"/>
  <c r="AR1004"/>
  <c r="AR1002"/>
  <c r="AR1000"/>
  <c r="AR998"/>
  <c r="AR996"/>
  <c r="AR994"/>
  <c r="AR992"/>
  <c r="AR990"/>
  <c r="AR988"/>
  <c r="AR986"/>
  <c r="AQ984"/>
  <c r="AR981"/>
  <c r="AR978"/>
  <c r="AQ976"/>
  <c r="AR973"/>
  <c r="AR970"/>
  <c r="AQ968"/>
  <c r="AR965"/>
  <c r="AR962"/>
  <c r="AQ960"/>
  <c r="AR957"/>
  <c r="AR954"/>
  <c r="AQ952"/>
  <c r="AR949"/>
  <c r="AR946"/>
  <c r="AQ944"/>
  <c r="AR941"/>
  <c r="AR938"/>
  <c r="AQ936"/>
  <c r="AR933"/>
  <c r="AR930"/>
  <c r="AQ928"/>
  <c r="AR925"/>
  <c r="AR922"/>
  <c r="AQ920"/>
  <c r="AR917"/>
  <c r="AR914"/>
  <c r="AQ912"/>
  <c r="AR909"/>
  <c r="AR906"/>
  <c r="AQ904"/>
  <c r="AR901"/>
  <c r="AR898"/>
  <c r="AQ896"/>
  <c r="AR893"/>
  <c r="AR890"/>
  <c r="AQ888"/>
  <c r="AR885"/>
  <c r="AR882"/>
  <c r="AQ880"/>
  <c r="AR877"/>
  <c r="AR874"/>
  <c r="AQ872"/>
  <c r="AR869"/>
  <c r="AR866"/>
  <c r="AQ864"/>
  <c r="AR861"/>
  <c r="AR858"/>
  <c r="AQ856"/>
  <c r="AR853"/>
  <c r="AQ850"/>
  <c r="AQ846"/>
  <c r="AQ842"/>
  <c r="AQ838"/>
  <c r="AQ834"/>
  <c r="AQ830"/>
  <c r="AQ826"/>
  <c r="AQ822"/>
  <c r="AQ818"/>
  <c r="AQ814"/>
  <c r="AQ810"/>
  <c r="AQ806"/>
  <c r="AQ802"/>
  <c r="AQ796"/>
  <c r="AQ788"/>
  <c r="AQ780"/>
  <c r="AQ772"/>
  <c r="AQ764"/>
  <c r="AQ756"/>
  <c r="AQ748"/>
  <c r="AQ740"/>
  <c r="AQ732"/>
  <c r="AQ724"/>
  <c r="AQ716"/>
  <c r="AQ708"/>
  <c r="AQ700"/>
  <c r="AQ1068"/>
  <c r="AQ1066"/>
  <c r="AQ1064"/>
  <c r="AQ1062"/>
  <c r="AQ1060"/>
  <c r="AQ1058"/>
  <c r="AQ1056"/>
  <c r="AQ1054"/>
  <c r="AQ1052"/>
  <c r="AQ1050"/>
  <c r="AQ1048"/>
  <c r="AQ1046"/>
  <c r="AQ1044"/>
  <c r="AQ1042"/>
  <c r="AQ1040"/>
  <c r="AQ1038"/>
  <c r="AQ1036"/>
  <c r="AQ1034"/>
  <c r="AQ1032"/>
  <c r="AQ1030"/>
  <c r="AQ1028"/>
  <c r="AQ1026"/>
  <c r="AQ1024"/>
  <c r="AQ1022"/>
  <c r="AQ1020"/>
  <c r="AQ1018"/>
  <c r="AQ1016"/>
  <c r="AQ1014"/>
  <c r="AQ1012"/>
  <c r="AQ1010"/>
  <c r="AQ1008"/>
  <c r="AQ1006"/>
  <c r="AQ1004"/>
  <c r="AQ1002"/>
  <c r="AQ1000"/>
  <c r="AQ998"/>
  <c r="AQ996"/>
  <c r="AQ994"/>
  <c r="AQ992"/>
  <c r="AQ990"/>
  <c r="AQ988"/>
  <c r="AQ986"/>
  <c r="AR983"/>
  <c r="AR980"/>
  <c r="AQ978"/>
  <c r="AR975"/>
  <c r="AR972"/>
  <c r="AQ970"/>
  <c r="AR967"/>
  <c r="AR964"/>
  <c r="AQ962"/>
  <c r="AR959"/>
  <c r="AR956"/>
  <c r="AQ954"/>
  <c r="AR951"/>
  <c r="AR948"/>
  <c r="AQ946"/>
  <c r="AR943"/>
  <c r="AR940"/>
  <c r="AQ938"/>
  <c r="AR935"/>
  <c r="AR932"/>
  <c r="AQ930"/>
  <c r="AR927"/>
  <c r="AR924"/>
  <c r="AQ922"/>
  <c r="AR919"/>
  <c r="AR916"/>
  <c r="AQ914"/>
  <c r="AR911"/>
  <c r="AR908"/>
  <c r="AQ906"/>
  <c r="AR903"/>
  <c r="AR900"/>
  <c r="AQ898"/>
  <c r="AR895"/>
  <c r="AR892"/>
  <c r="AQ890"/>
  <c r="AR887"/>
  <c r="AR884"/>
  <c r="AQ882"/>
  <c r="AR879"/>
  <c r="AR876"/>
  <c r="AQ874"/>
  <c r="AR871"/>
  <c r="AR868"/>
  <c r="AQ866"/>
  <c r="AR863"/>
  <c r="AR860"/>
  <c r="AQ858"/>
  <c r="AR855"/>
  <c r="AR852"/>
  <c r="AR848"/>
  <c r="AR844"/>
  <c r="AR840"/>
  <c r="AR836"/>
  <c r="AR832"/>
  <c r="AR828"/>
  <c r="AR824"/>
  <c r="AR820"/>
  <c r="AR816"/>
  <c r="AR812"/>
  <c r="AR808"/>
  <c r="AR804"/>
  <c r="AR800"/>
  <c r="AQ794"/>
  <c r="AQ786"/>
  <c r="AQ778"/>
  <c r="AQ770"/>
  <c r="AQ762"/>
  <c r="AQ754"/>
  <c r="AQ746"/>
  <c r="AQ738"/>
  <c r="AQ730"/>
  <c r="AQ722"/>
  <c r="AQ714"/>
  <c r="AQ706"/>
  <c r="AQ698"/>
  <c r="AR1189"/>
  <c r="AR1187"/>
  <c r="AR1185"/>
  <c r="AR1183"/>
  <c r="AR1181"/>
  <c r="AR1179"/>
  <c r="AR1177"/>
  <c r="AR1175"/>
  <c r="AR1173"/>
  <c r="AR1171"/>
  <c r="AR1169"/>
  <c r="AR1167"/>
  <c r="AR1165"/>
  <c r="AR1163"/>
  <c r="AR1161"/>
  <c r="AR1159"/>
  <c r="AR1157"/>
  <c r="AR1155"/>
  <c r="AR1153"/>
  <c r="AR1151"/>
  <c r="AR1149"/>
  <c r="AR1147"/>
  <c r="AR1145"/>
  <c r="AR1143"/>
  <c r="AR1141"/>
  <c r="AR1139"/>
  <c r="AR1137"/>
  <c r="AR1135"/>
  <c r="AR1133"/>
  <c r="AR1131"/>
  <c r="AR1129"/>
  <c r="AR1127"/>
  <c r="AR1125"/>
  <c r="AR1123"/>
  <c r="AR1121"/>
  <c r="AR1119"/>
  <c r="AR1117"/>
  <c r="AR1115"/>
  <c r="AR1113"/>
  <c r="AR1111"/>
  <c r="AR1109"/>
  <c r="AR1107"/>
  <c r="AR1105"/>
  <c r="AR1103"/>
  <c r="AR1101"/>
  <c r="AR1099"/>
  <c r="AR1097"/>
  <c r="AR1095"/>
  <c r="AR1093"/>
  <c r="AR1091"/>
  <c r="AR1089"/>
  <c r="AR1087"/>
  <c r="AR1085"/>
  <c r="AR1083"/>
  <c r="AR1081"/>
  <c r="AR1079"/>
  <c r="AR1077"/>
  <c r="AR1075"/>
  <c r="AR1073"/>
  <c r="AR1071"/>
  <c r="AR1069"/>
  <c r="AR1067"/>
  <c r="AR1065"/>
  <c r="AR1063"/>
  <c r="AR1061"/>
  <c r="AR1059"/>
  <c r="AR1057"/>
  <c r="AR1055"/>
  <c r="AR1053"/>
  <c r="AR1051"/>
  <c r="AR1049"/>
  <c r="AR1047"/>
  <c r="AR1045"/>
  <c r="AR1043"/>
  <c r="AR1041"/>
  <c r="AR1039"/>
  <c r="AR1037"/>
  <c r="AR1035"/>
  <c r="AR1033"/>
  <c r="AR1031"/>
  <c r="AR1029"/>
  <c r="AR1027"/>
  <c r="AR1025"/>
  <c r="AR1023"/>
  <c r="AR1021"/>
  <c r="AR1019"/>
  <c r="AR1017"/>
  <c r="AR1015"/>
  <c r="AR1013"/>
  <c r="AR1011"/>
  <c r="AR1009"/>
  <c r="AR1007"/>
  <c r="AR1005"/>
  <c r="AR1003"/>
  <c r="AR1001"/>
  <c r="AR999"/>
  <c r="AR997"/>
  <c r="AR995"/>
  <c r="AR993"/>
  <c r="AR991"/>
  <c r="AR989"/>
  <c r="AR987"/>
  <c r="AR985"/>
  <c r="AR982"/>
  <c r="AQ980"/>
  <c r="AR977"/>
  <c r="AR974"/>
  <c r="AQ972"/>
  <c r="AR969"/>
  <c r="AR966"/>
  <c r="AQ964"/>
  <c r="AR961"/>
  <c r="AR958"/>
  <c r="AQ956"/>
  <c r="AR953"/>
  <c r="AR950"/>
  <c r="AQ948"/>
  <c r="AR945"/>
  <c r="AR942"/>
  <c r="AQ940"/>
  <c r="AR937"/>
  <c r="AR934"/>
  <c r="AQ932"/>
  <c r="AR929"/>
  <c r="AR926"/>
  <c r="AQ924"/>
  <c r="AR921"/>
  <c r="AR918"/>
  <c r="AQ916"/>
  <c r="AR913"/>
  <c r="AR910"/>
  <c r="AQ908"/>
  <c r="AR905"/>
  <c r="AR902"/>
  <c r="AQ900"/>
  <c r="AR897"/>
  <c r="AR894"/>
  <c r="AQ892"/>
  <c r="AR889"/>
  <c r="AR886"/>
  <c r="AQ884"/>
  <c r="AR881"/>
  <c r="AR878"/>
  <c r="AQ876"/>
  <c r="AR873"/>
  <c r="AR870"/>
  <c r="AQ868"/>
  <c r="AR865"/>
  <c r="AR862"/>
  <c r="AQ860"/>
  <c r="AR857"/>
  <c r="AR854"/>
  <c r="AQ852"/>
  <c r="AQ848"/>
  <c r="AQ844"/>
  <c r="AQ840"/>
  <c r="AQ836"/>
  <c r="AQ832"/>
  <c r="AQ828"/>
  <c r="AQ824"/>
  <c r="AQ820"/>
  <c r="AQ816"/>
  <c r="AQ812"/>
  <c r="AQ808"/>
  <c r="AQ804"/>
  <c r="AQ800"/>
  <c r="AQ792"/>
  <c r="AQ784"/>
  <c r="AQ776"/>
  <c r="AQ768"/>
  <c r="AQ760"/>
  <c r="AQ752"/>
  <c r="AQ744"/>
  <c r="AQ736"/>
  <c r="AQ728"/>
  <c r="AQ720"/>
  <c r="AQ712"/>
  <c r="AQ704"/>
  <c r="AQ696"/>
  <c r="G5" i="14"/>
  <c r="G22" s="1"/>
  <c r="K3" s="1"/>
  <c r="AU197" i="6"/>
  <c r="AU193"/>
  <c r="AU189"/>
  <c r="AU185"/>
  <c r="AU181"/>
  <c r="AU177"/>
  <c r="AU173"/>
  <c r="AU169"/>
  <c r="AU165"/>
  <c r="AU161"/>
  <c r="AU157"/>
  <c r="AU153"/>
  <c r="AU149"/>
  <c r="AU145"/>
  <c r="AU141"/>
  <c r="AU137"/>
  <c r="AU133"/>
  <c r="AU129"/>
  <c r="AU125"/>
  <c r="AU121"/>
  <c r="AU117"/>
  <c r="AU113"/>
  <c r="AU109"/>
  <c r="AU105"/>
  <c r="AU101"/>
  <c r="AU97"/>
  <c r="AU93"/>
  <c r="AU89"/>
  <c r="AU85"/>
  <c r="AU81"/>
  <c r="AU77"/>
  <c r="AU73"/>
  <c r="AU5"/>
  <c r="AU38"/>
  <c r="AU42"/>
  <c r="AU46"/>
  <c r="AU50"/>
  <c r="AU54"/>
  <c r="AU58"/>
  <c r="AU62"/>
  <c r="AU66"/>
  <c r="AT37"/>
  <c r="AT41"/>
  <c r="AT45"/>
  <c r="AT49"/>
  <c r="AT53"/>
  <c r="AT57"/>
  <c r="AT61"/>
  <c r="AT65"/>
  <c r="AU198"/>
  <c r="AU194"/>
  <c r="AU190"/>
  <c r="AU186"/>
  <c r="AU182"/>
  <c r="AU178"/>
  <c r="AU174"/>
  <c r="AU170"/>
  <c r="AU166"/>
  <c r="AU162"/>
  <c r="AU158"/>
  <c r="AU154"/>
  <c r="AU150"/>
  <c r="AU146"/>
  <c r="AU142"/>
  <c r="AU138"/>
  <c r="AU134"/>
  <c r="AU130"/>
  <c r="AU126"/>
  <c r="AU122"/>
  <c r="AU118"/>
  <c r="AU114"/>
  <c r="AU110"/>
  <c r="AU106"/>
  <c r="AU98"/>
  <c r="AU94"/>
  <c r="AU90"/>
  <c r="AU86"/>
  <c r="AU82"/>
  <c r="AU78"/>
  <c r="AU74"/>
  <c r="AU70"/>
  <c r="AU6"/>
  <c r="AU37"/>
  <c r="AU41"/>
  <c r="AU45"/>
  <c r="AU49"/>
  <c r="AU53"/>
  <c r="AU57"/>
  <c r="AU61"/>
  <c r="AU65"/>
  <c r="AT40"/>
  <c r="AT44"/>
  <c r="AT48"/>
  <c r="AT52"/>
  <c r="AT56"/>
  <c r="AT60"/>
  <c r="AT64"/>
  <c r="AT68"/>
  <c r="AU199"/>
  <c r="AU195"/>
  <c r="AU191"/>
  <c r="AU187"/>
  <c r="AU183"/>
  <c r="AU179"/>
  <c r="AU175"/>
  <c r="AU171"/>
  <c r="AU167"/>
  <c r="AU163"/>
  <c r="AU159"/>
  <c r="AU155"/>
  <c r="AU151"/>
  <c r="AU147"/>
  <c r="AU143"/>
  <c r="AU139"/>
  <c r="AU131"/>
  <c r="AU127"/>
  <c r="AU123"/>
  <c r="AU119"/>
  <c r="AU115"/>
  <c r="AU111"/>
  <c r="AU107"/>
  <c r="AU103"/>
  <c r="AU99"/>
  <c r="AU95"/>
  <c r="AU91"/>
  <c r="AU87"/>
  <c r="AU83"/>
  <c r="AU79"/>
  <c r="AU75"/>
  <c r="AU71"/>
  <c r="AU7"/>
  <c r="AU40"/>
  <c r="AU44"/>
  <c r="AU48"/>
  <c r="AU52"/>
  <c r="AU56"/>
  <c r="AU60"/>
  <c r="AU64"/>
  <c r="AT39"/>
  <c r="AT43"/>
  <c r="AT47"/>
  <c r="AT51"/>
  <c r="AT55"/>
  <c r="AT59"/>
  <c r="AT63"/>
  <c r="AT67"/>
  <c r="AU200"/>
  <c r="AU196"/>
  <c r="AU192"/>
  <c r="AU188"/>
  <c r="AU184"/>
  <c r="AU180"/>
  <c r="AU176"/>
  <c r="AU172"/>
  <c r="AU164"/>
  <c r="AU160"/>
  <c r="AU156"/>
  <c r="AU152"/>
  <c r="AU148"/>
  <c r="AU144"/>
  <c r="AU140"/>
  <c r="AU136"/>
  <c r="AU132"/>
  <c r="AU128"/>
  <c r="AU124"/>
  <c r="AU120"/>
  <c r="AU116"/>
  <c r="AU112"/>
  <c r="AU108"/>
  <c r="AU104"/>
  <c r="AU100"/>
  <c r="AU96"/>
  <c r="AU92"/>
  <c r="AU88"/>
  <c r="AU84"/>
  <c r="AU80"/>
  <c r="AU76"/>
  <c r="AU72"/>
  <c r="AU4"/>
  <c r="AU39"/>
  <c r="AU43"/>
  <c r="AU47"/>
  <c r="AU51"/>
  <c r="AU55"/>
  <c r="AU59"/>
  <c r="AU63"/>
  <c r="AU67"/>
  <c r="AT38"/>
  <c r="AT42"/>
  <c r="AT46"/>
  <c r="AT50"/>
  <c r="AT54"/>
  <c r="AT58"/>
  <c r="AT62"/>
  <c r="AT66"/>
  <c r="AS199"/>
  <c r="AS195"/>
  <c r="AS191"/>
  <c r="AS187"/>
  <c r="AS183"/>
  <c r="AS179"/>
  <c r="AS175"/>
  <c r="AS171"/>
  <c r="AS167"/>
  <c r="AS163"/>
  <c r="AS159"/>
  <c r="AS155"/>
  <c r="AS151"/>
  <c r="AS147"/>
  <c r="AS143"/>
  <c r="AS139"/>
  <c r="AS131"/>
  <c r="AS127"/>
  <c r="AS123"/>
  <c r="AS119"/>
  <c r="AS115"/>
  <c r="AS111"/>
  <c r="AS107"/>
  <c r="AS103"/>
  <c r="AS99"/>
  <c r="AS95"/>
  <c r="AS91"/>
  <c r="AS87"/>
  <c r="AS83"/>
  <c r="AS79"/>
  <c r="AS75"/>
  <c r="AS71"/>
  <c r="AS67"/>
  <c r="AS63"/>
  <c r="AS59"/>
  <c r="AS55"/>
  <c r="AS51"/>
  <c r="AS47"/>
  <c r="AS43"/>
  <c r="AS39"/>
  <c r="AS7"/>
  <c r="AT199"/>
  <c r="AT195"/>
  <c r="AT191"/>
  <c r="AT187"/>
  <c r="AT183"/>
  <c r="AT179"/>
  <c r="AT175"/>
  <c r="AT171"/>
  <c r="AT163"/>
  <c r="AT159"/>
  <c r="AT155"/>
  <c r="AT151"/>
  <c r="AT147"/>
  <c r="AT143"/>
  <c r="AT139"/>
  <c r="AT131"/>
  <c r="AT127"/>
  <c r="AT123"/>
  <c r="AT119"/>
  <c r="AT115"/>
  <c r="AT111"/>
  <c r="AT107"/>
  <c r="AT103"/>
  <c r="AT99"/>
  <c r="AT95"/>
  <c r="AT91"/>
  <c r="AT87"/>
  <c r="AT83"/>
  <c r="AT79"/>
  <c r="AT75"/>
  <c r="AT71"/>
  <c r="AT7"/>
  <c r="AS200"/>
  <c r="AS196"/>
  <c r="AS192"/>
  <c r="AS188"/>
  <c r="AS184"/>
  <c r="AS180"/>
  <c r="AS176"/>
  <c r="AS172"/>
  <c r="AS164"/>
  <c r="AS160"/>
  <c r="AS156"/>
  <c r="AS152"/>
  <c r="AS148"/>
  <c r="AS144"/>
  <c r="AS140"/>
  <c r="AS136"/>
  <c r="AS132"/>
  <c r="AS128"/>
  <c r="AS124"/>
  <c r="AS120"/>
  <c r="AS116"/>
  <c r="AS112"/>
  <c r="AS108"/>
  <c r="AS104"/>
  <c r="AS100"/>
  <c r="AS96"/>
  <c r="AS92"/>
  <c r="AS88"/>
  <c r="AS84"/>
  <c r="AS80"/>
  <c r="AS76"/>
  <c r="AS72"/>
  <c r="AS68"/>
  <c r="AS64"/>
  <c r="AS60"/>
  <c r="AS56"/>
  <c r="AS52"/>
  <c r="AS48"/>
  <c r="AS44"/>
  <c r="AS40"/>
  <c r="AS4"/>
  <c r="AT196"/>
  <c r="AT192"/>
  <c r="AT188"/>
  <c r="AT184"/>
  <c r="AT180"/>
  <c r="AT176"/>
  <c r="AT172"/>
  <c r="AT164"/>
  <c r="AT160"/>
  <c r="AT156"/>
  <c r="AT152"/>
  <c r="AT148"/>
  <c r="AT144"/>
  <c r="AT140"/>
  <c r="AT136"/>
  <c r="AT132"/>
  <c r="AT128"/>
  <c r="AT124"/>
  <c r="AT120"/>
  <c r="AT116"/>
  <c r="AT112"/>
  <c r="AT108"/>
  <c r="AT104"/>
  <c r="AT100"/>
  <c r="AT96"/>
  <c r="AT92"/>
  <c r="AT88"/>
  <c r="AT84"/>
  <c r="AT80"/>
  <c r="AT76"/>
  <c r="AT72"/>
  <c r="AT4"/>
  <c r="AS197"/>
  <c r="AS193"/>
  <c r="AS189"/>
  <c r="AS185"/>
  <c r="AS181"/>
  <c r="AS177"/>
  <c r="AS173"/>
  <c r="AS169"/>
  <c r="AS165"/>
  <c r="AS161"/>
  <c r="AS157"/>
  <c r="AS153"/>
  <c r="AS149"/>
  <c r="AS145"/>
  <c r="AS141"/>
  <c r="AS137"/>
  <c r="AS133"/>
  <c r="AS129"/>
  <c r="AS125"/>
  <c r="AS121"/>
  <c r="AS117"/>
  <c r="AS113"/>
  <c r="AS109"/>
  <c r="AS105"/>
  <c r="AS101"/>
  <c r="AS97"/>
  <c r="AS93"/>
  <c r="AS89"/>
  <c r="AS85"/>
  <c r="AS81"/>
  <c r="AS77"/>
  <c r="AS73"/>
  <c r="AS65"/>
  <c r="AS61"/>
  <c r="AS57"/>
  <c r="AS53"/>
  <c r="AS49"/>
  <c r="AS45"/>
  <c r="AS41"/>
  <c r="AS37"/>
  <c r="AS5"/>
  <c r="AT197"/>
  <c r="AT193"/>
  <c r="AT189"/>
  <c r="AT185"/>
  <c r="AT181"/>
  <c r="AT177"/>
  <c r="AT173"/>
  <c r="AT169"/>
  <c r="AT165"/>
  <c r="AT161"/>
  <c r="AT157"/>
  <c r="AT153"/>
  <c r="AT149"/>
  <c r="AT145"/>
  <c r="AT141"/>
  <c r="AT137"/>
  <c r="AT133"/>
  <c r="AT129"/>
  <c r="AT125"/>
  <c r="AT121"/>
  <c r="AT117"/>
  <c r="AT113"/>
  <c r="AT109"/>
  <c r="AT105"/>
  <c r="AT97"/>
  <c r="AT93"/>
  <c r="AT89"/>
  <c r="AT85"/>
  <c r="AT81"/>
  <c r="AT77"/>
  <c r="AT73"/>
  <c r="AT5"/>
  <c r="AS198"/>
  <c r="AS194"/>
  <c r="AS190"/>
  <c r="AS186"/>
  <c r="AS182"/>
  <c r="AS178"/>
  <c r="AS174"/>
  <c r="AS170"/>
  <c r="AS166"/>
  <c r="AS162"/>
  <c r="AS158"/>
  <c r="AS154"/>
  <c r="AS150"/>
  <c r="AS146"/>
  <c r="AS142"/>
  <c r="AS138"/>
  <c r="AS134"/>
  <c r="AS130"/>
  <c r="AS126"/>
  <c r="AS122"/>
  <c r="AS118"/>
  <c r="AS114"/>
  <c r="AS110"/>
  <c r="AS106"/>
  <c r="AS98"/>
  <c r="AS94"/>
  <c r="AS90"/>
  <c r="AS86"/>
  <c r="AS82"/>
  <c r="AS78"/>
  <c r="AS74"/>
  <c r="AS70"/>
  <c r="AS66"/>
  <c r="AS62"/>
  <c r="AS58"/>
  <c r="AS54"/>
  <c r="AS50"/>
  <c r="AS46"/>
  <c r="AS42"/>
  <c r="AS38"/>
  <c r="AS6"/>
  <c r="AT198"/>
  <c r="AT194"/>
  <c r="AT190"/>
  <c r="AT186"/>
  <c r="AT182"/>
  <c r="AT178"/>
  <c r="AT174"/>
  <c r="AT170"/>
  <c r="AT166"/>
  <c r="AT162"/>
  <c r="AT158"/>
  <c r="AT154"/>
  <c r="AT150"/>
  <c r="AT146"/>
  <c r="AT142"/>
  <c r="AT138"/>
  <c r="AT134"/>
  <c r="AT130"/>
  <c r="AT126"/>
  <c r="AT122"/>
  <c r="AT118"/>
  <c r="AT114"/>
  <c r="AT110"/>
  <c r="AT106"/>
  <c r="AT98"/>
  <c r="AT94"/>
  <c r="AT90"/>
  <c r="AT86"/>
  <c r="AT82"/>
  <c r="AT78"/>
  <c r="AT74"/>
  <c r="AT70"/>
  <c r="AT6"/>
  <c r="AQ200"/>
  <c r="AQ199"/>
  <c r="AQ198"/>
  <c r="AQ197"/>
  <c r="AQ196"/>
  <c r="AQ195"/>
  <c r="AQ194"/>
  <c r="AQ193"/>
  <c r="AQ192"/>
  <c r="AQ191"/>
  <c r="AQ190"/>
  <c r="AQ189"/>
  <c r="AQ188"/>
  <c r="AQ187"/>
  <c r="AQ186"/>
  <c r="AQ185"/>
  <c r="AQ184"/>
  <c r="AQ183"/>
  <c r="AQ182"/>
  <c r="AQ181"/>
  <c r="AQ180"/>
  <c r="AQ179"/>
  <c r="AQ178"/>
  <c r="AQ177"/>
  <c r="AQ176"/>
  <c r="AQ175"/>
  <c r="AQ174"/>
  <c r="AQ173"/>
  <c r="AQ172"/>
  <c r="AQ171"/>
  <c r="AQ170"/>
  <c r="AQ169"/>
  <c r="AQ167"/>
  <c r="AQ166"/>
  <c r="AQ165"/>
  <c r="AQ164"/>
  <c r="AQ163"/>
  <c r="AQ162"/>
  <c r="AQ161"/>
  <c r="AQ160"/>
  <c r="AQ159"/>
  <c r="AQ158"/>
  <c r="AQ157"/>
  <c r="AQ156"/>
  <c r="AQ155"/>
  <c r="AQ154"/>
  <c r="AQ153"/>
  <c r="AQ152"/>
  <c r="AQ151"/>
  <c r="AQ150"/>
  <c r="AQ149"/>
  <c r="AQ148"/>
  <c r="AQ147"/>
  <c r="AQ146"/>
  <c r="AQ145"/>
  <c r="AQ144"/>
  <c r="AQ143"/>
  <c r="AQ142"/>
  <c r="AQ141"/>
  <c r="AQ140"/>
  <c r="AQ139"/>
  <c r="AQ138"/>
  <c r="AQ137"/>
  <c r="AQ136"/>
  <c r="AQ134"/>
  <c r="AQ133"/>
  <c r="AQ132"/>
  <c r="AQ131"/>
  <c r="AQ130"/>
  <c r="AQ129"/>
  <c r="AQ128"/>
  <c r="AQ127"/>
  <c r="AQ126"/>
  <c r="AQ125"/>
  <c r="AQ124"/>
  <c r="AQ123"/>
  <c r="AQ122"/>
  <c r="AQ121"/>
  <c r="AQ120"/>
  <c r="AQ119"/>
  <c r="AQ118"/>
  <c r="AQ117"/>
  <c r="AQ116"/>
  <c r="AQ115"/>
  <c r="AQ114"/>
  <c r="AQ113"/>
  <c r="AQ112"/>
  <c r="AQ111"/>
  <c r="AQ110"/>
  <c r="AQ109"/>
  <c r="AQ108"/>
  <c r="AQ107"/>
  <c r="AQ106"/>
  <c r="AQ105"/>
  <c r="AQ104"/>
  <c r="AQ103"/>
  <c r="AQ101"/>
  <c r="AQ100"/>
  <c r="AQ99"/>
  <c r="AQ98"/>
  <c r="AQ97"/>
  <c r="AQ96"/>
  <c r="AQ95"/>
  <c r="AQ94"/>
  <c r="AQ93"/>
  <c r="AQ92"/>
  <c r="AQ91"/>
  <c r="AQ90"/>
  <c r="AQ89"/>
  <c r="AQ88"/>
  <c r="AQ87"/>
  <c r="AQ86"/>
  <c r="AQ85"/>
  <c r="AQ84"/>
  <c r="AQ83"/>
  <c r="AQ82"/>
  <c r="AQ81"/>
  <c r="AQ80"/>
  <c r="AQ79"/>
  <c r="AQ78"/>
  <c r="AQ77"/>
  <c r="AQ76"/>
  <c r="AQ75"/>
  <c r="AQ74"/>
  <c r="AQ73"/>
  <c r="AQ72"/>
  <c r="AQ71"/>
  <c r="AQ70"/>
  <c r="AQ68"/>
  <c r="AQ67"/>
  <c r="AQ66"/>
  <c r="AQ65"/>
  <c r="AQ64"/>
  <c r="AQ63"/>
  <c r="AQ62"/>
  <c r="AQ61"/>
  <c r="AQ60"/>
  <c r="AQ59"/>
  <c r="AQ58"/>
  <c r="AQ57"/>
  <c r="AQ56"/>
  <c r="AQ55"/>
  <c r="AQ54"/>
  <c r="AQ53"/>
  <c r="AQ52"/>
  <c r="AQ51"/>
  <c r="AQ50"/>
  <c r="AQ49"/>
  <c r="AQ48"/>
  <c r="AQ47"/>
  <c r="AQ46"/>
  <c r="AQ45"/>
  <c r="AQ44"/>
  <c r="AQ43"/>
  <c r="AQ42"/>
  <c r="AQ41"/>
  <c r="AQ40"/>
  <c r="AQ39"/>
  <c r="AQ38"/>
  <c r="AQ37"/>
  <c r="AM199"/>
  <c r="AM195"/>
  <c r="AM191"/>
  <c r="AM187"/>
  <c r="AM183"/>
  <c r="AM179"/>
  <c r="AM175"/>
  <c r="AM171"/>
  <c r="AM167"/>
  <c r="AM163"/>
  <c r="AM159"/>
  <c r="AM155"/>
  <c r="AM151"/>
  <c r="AM147"/>
  <c r="AM143"/>
  <c r="AM139"/>
  <c r="AM131"/>
  <c r="AM127"/>
  <c r="AM123"/>
  <c r="AM119"/>
  <c r="AM115"/>
  <c r="AM111"/>
  <c r="AM107"/>
  <c r="AM103"/>
  <c r="AM99"/>
  <c r="AM95"/>
  <c r="AM91"/>
  <c r="AM87"/>
  <c r="AM83"/>
  <c r="AM79"/>
  <c r="AM75"/>
  <c r="AM71"/>
  <c r="AM67"/>
  <c r="AM63"/>
  <c r="AM59"/>
  <c r="AM55"/>
  <c r="AM51"/>
  <c r="AM47"/>
  <c r="AM43"/>
  <c r="AM39"/>
  <c r="AR200"/>
  <c r="AR199"/>
  <c r="AR198"/>
  <c r="AR197"/>
  <c r="AR196"/>
  <c r="AR195"/>
  <c r="AR194"/>
  <c r="AR193"/>
  <c r="AR192"/>
  <c r="AR191"/>
  <c r="AR190"/>
  <c r="AR189"/>
  <c r="AR188"/>
  <c r="AR187"/>
  <c r="AR186"/>
  <c r="AR185"/>
  <c r="AR184"/>
  <c r="AR183"/>
  <c r="AR182"/>
  <c r="AR181"/>
  <c r="AR180"/>
  <c r="AR179"/>
  <c r="AR178"/>
  <c r="AR177"/>
  <c r="AR176"/>
  <c r="AR175"/>
  <c r="AR174"/>
  <c r="AR173"/>
  <c r="AR172"/>
  <c r="AR171"/>
  <c r="AR170"/>
  <c r="AR169"/>
  <c r="AR167"/>
  <c r="AR166"/>
  <c r="AR165"/>
  <c r="AR164"/>
  <c r="AR163"/>
  <c r="AR162"/>
  <c r="AR161"/>
  <c r="AR160"/>
  <c r="AR159"/>
  <c r="AR158"/>
  <c r="AR157"/>
  <c r="AR156"/>
  <c r="AR155"/>
  <c r="AR154"/>
  <c r="AR153"/>
  <c r="AR152"/>
  <c r="AR151"/>
  <c r="AR150"/>
  <c r="AR149"/>
  <c r="AR148"/>
  <c r="AR147"/>
  <c r="AR146"/>
  <c r="AR145"/>
  <c r="AR144"/>
  <c r="AR143"/>
  <c r="AR142"/>
  <c r="AR141"/>
  <c r="AR140"/>
  <c r="AR139"/>
  <c r="AR138"/>
  <c r="AR137"/>
  <c r="AR136"/>
  <c r="AR134"/>
  <c r="AR133"/>
  <c r="AR132"/>
  <c r="AR131"/>
  <c r="AR130"/>
  <c r="AR129"/>
  <c r="AR128"/>
  <c r="AR127"/>
  <c r="AR126"/>
  <c r="AR125"/>
  <c r="AR124"/>
  <c r="AR123"/>
  <c r="AR122"/>
  <c r="AR121"/>
  <c r="AR120"/>
  <c r="AR119"/>
  <c r="AR118"/>
  <c r="AR117"/>
  <c r="AR116"/>
  <c r="AR115"/>
  <c r="AR114"/>
  <c r="AR113"/>
  <c r="AR112"/>
  <c r="AR111"/>
  <c r="AR110"/>
  <c r="AR109"/>
  <c r="AR108"/>
  <c r="AR107"/>
  <c r="AR106"/>
  <c r="AR105"/>
  <c r="AR104"/>
  <c r="AR103"/>
  <c r="AR101"/>
  <c r="AR100"/>
  <c r="AR99"/>
  <c r="AR98"/>
  <c r="AR97"/>
  <c r="AR96"/>
  <c r="AR95"/>
  <c r="AR94"/>
  <c r="AR93"/>
  <c r="AR92"/>
  <c r="AR91"/>
  <c r="AR90"/>
  <c r="AR89"/>
  <c r="AR88"/>
  <c r="AR87"/>
  <c r="AR86"/>
  <c r="AR85"/>
  <c r="AR84"/>
  <c r="AR83"/>
  <c r="AR82"/>
  <c r="AR81"/>
  <c r="AR80"/>
  <c r="AR79"/>
  <c r="AR78"/>
  <c r="AR77"/>
  <c r="AR76"/>
  <c r="AR75"/>
  <c r="AR74"/>
  <c r="AR73"/>
  <c r="AR72"/>
  <c r="AR71"/>
  <c r="AR70"/>
  <c r="AR68"/>
  <c r="AR67"/>
  <c r="AR66"/>
  <c r="AR65"/>
  <c r="AR64"/>
  <c r="AR63"/>
  <c r="AR62"/>
  <c r="AR61"/>
  <c r="AR60"/>
  <c r="AR59"/>
  <c r="AR58"/>
  <c r="AR57"/>
  <c r="AR56"/>
  <c r="AR55"/>
  <c r="AR54"/>
  <c r="AR53"/>
  <c r="AR52"/>
  <c r="AR51"/>
  <c r="AR50"/>
  <c r="AR49"/>
  <c r="AR48"/>
  <c r="AR47"/>
  <c r="AR46"/>
  <c r="AR45"/>
  <c r="AR44"/>
  <c r="AR43"/>
  <c r="AR42"/>
  <c r="AR41"/>
  <c r="AR40"/>
  <c r="AR39"/>
  <c r="AR38"/>
  <c r="AR37"/>
  <c r="AM200"/>
  <c r="AM196"/>
  <c r="AM192"/>
  <c r="AM188"/>
  <c r="AM184"/>
  <c r="AM180"/>
  <c r="AM176"/>
  <c r="AM172"/>
  <c r="AM164"/>
  <c r="AM160"/>
  <c r="AM156"/>
  <c r="AM152"/>
  <c r="AM148"/>
  <c r="AM144"/>
  <c r="AM140"/>
  <c r="AM136"/>
  <c r="AM132"/>
  <c r="AM128"/>
  <c r="AM124"/>
  <c r="AM120"/>
  <c r="AM116"/>
  <c r="AM112"/>
  <c r="AM108"/>
  <c r="AM104"/>
  <c r="AM100"/>
  <c r="AM96"/>
  <c r="AM92"/>
  <c r="AM88"/>
  <c r="AM84"/>
  <c r="AM80"/>
  <c r="AM76"/>
  <c r="AM72"/>
  <c r="AM68"/>
  <c r="AM64"/>
  <c r="AM60"/>
  <c r="AM56"/>
  <c r="AM52"/>
  <c r="AM48"/>
  <c r="AM44"/>
  <c r="AM40"/>
  <c r="AM4"/>
  <c r="AM197"/>
  <c r="AM193"/>
  <c r="AM189"/>
  <c r="AM185"/>
  <c r="AM181"/>
  <c r="AM177"/>
  <c r="AM173"/>
  <c r="AM169"/>
  <c r="AM165"/>
  <c r="AM161"/>
  <c r="AM157"/>
  <c r="AM153"/>
  <c r="AM149"/>
  <c r="AM145"/>
  <c r="AM141"/>
  <c r="AM137"/>
  <c r="AM133"/>
  <c r="AM129"/>
  <c r="AM125"/>
  <c r="AM121"/>
  <c r="AM117"/>
  <c r="AM113"/>
  <c r="AM109"/>
  <c r="AM105"/>
  <c r="AM101"/>
  <c r="AM97"/>
  <c r="AM93"/>
  <c r="AM89"/>
  <c r="AM85"/>
  <c r="AM81"/>
  <c r="AM77"/>
  <c r="AM73"/>
  <c r="AM65"/>
  <c r="AM61"/>
  <c r="AM57"/>
  <c r="AM53"/>
  <c r="AM49"/>
  <c r="AM45"/>
  <c r="AM41"/>
  <c r="AM37"/>
  <c r="AM5"/>
  <c r="AM198"/>
  <c r="AM194"/>
  <c r="AM190"/>
  <c r="AM186"/>
  <c r="AM182"/>
  <c r="AM178"/>
  <c r="AM174"/>
  <c r="AM170"/>
  <c r="AM166"/>
  <c r="AM162"/>
  <c r="AM158"/>
  <c r="AM154"/>
  <c r="AM150"/>
  <c r="AM146"/>
  <c r="AM142"/>
  <c r="AM138"/>
  <c r="AM130"/>
  <c r="AM126"/>
  <c r="AM122"/>
  <c r="AM118"/>
  <c r="AM114"/>
  <c r="AM110"/>
  <c r="AM106"/>
  <c r="AM98"/>
  <c r="AM94"/>
  <c r="AM90"/>
  <c r="AM86"/>
  <c r="AM82"/>
  <c r="AM78"/>
  <c r="AM74"/>
  <c r="AM70"/>
  <c r="AM66"/>
  <c r="AM62"/>
  <c r="AM58"/>
  <c r="AM54"/>
  <c r="AM50"/>
  <c r="AM46"/>
  <c r="AM42"/>
  <c r="AM38"/>
  <c r="AM6"/>
  <c r="AO8"/>
  <c r="AU8" s="1"/>
  <c r="AQ4"/>
  <c r="AR4"/>
  <c r="Q3" i="1"/>
  <c r="K2" i="14" l="1"/>
  <c r="L3" s="1"/>
  <c r="AT8" i="6"/>
  <c r="AS8"/>
  <c r="AO9"/>
  <c r="AU9" s="1"/>
  <c r="AM8"/>
  <c r="AR5"/>
  <c r="AQ5"/>
  <c r="R55"/>
  <c r="I55"/>
  <c r="G55" s="1"/>
  <c r="H55"/>
  <c r="R46"/>
  <c r="I46"/>
  <c r="G46" s="1"/>
  <c r="H46"/>
  <c r="AT9" l="1"/>
  <c r="AS9"/>
  <c r="AO10"/>
  <c r="AU10" s="1"/>
  <c r="AM9"/>
  <c r="AR6"/>
  <c r="AQ6"/>
  <c r="L21" i="11"/>
  <c r="L20"/>
  <c r="L19"/>
  <c r="L15"/>
  <c r="L14"/>
  <c r="L10"/>
  <c r="L9"/>
  <c r="L6"/>
  <c r="L5"/>
  <c r="L4"/>
  <c r="K15"/>
  <c r="K14"/>
  <c r="K10"/>
  <c r="K9"/>
  <c r="K6"/>
  <c r="K5"/>
  <c r="K4"/>
  <c r="J16"/>
  <c r="J15"/>
  <c r="J14"/>
  <c r="J11"/>
  <c r="J10"/>
  <c r="J9"/>
  <c r="J6"/>
  <c r="J5"/>
  <c r="J4"/>
  <c r="I11"/>
  <c r="H11"/>
  <c r="G11"/>
  <c r="F11"/>
  <c r="C11"/>
  <c r="I16"/>
  <c r="H16"/>
  <c r="G16"/>
  <c r="F16"/>
  <c r="E16"/>
  <c r="D16"/>
  <c r="C16"/>
  <c r="I21"/>
  <c r="H21"/>
  <c r="G21"/>
  <c r="F21"/>
  <c r="E21"/>
  <c r="D21"/>
  <c r="C21"/>
  <c r="H20"/>
  <c r="H19"/>
  <c r="H15"/>
  <c r="H14"/>
  <c r="H10"/>
  <c r="H9"/>
  <c r="H6"/>
  <c r="H5"/>
  <c r="H4"/>
  <c r="I20"/>
  <c r="I19"/>
  <c r="I15"/>
  <c r="I14"/>
  <c r="I10"/>
  <c r="I9"/>
  <c r="I6"/>
  <c r="I5"/>
  <c r="I4"/>
  <c r="G20"/>
  <c r="G19"/>
  <c r="G15"/>
  <c r="G14"/>
  <c r="G10"/>
  <c r="G9"/>
  <c r="G6"/>
  <c r="G5"/>
  <c r="G4"/>
  <c r="E15"/>
  <c r="D15"/>
  <c r="C15"/>
  <c r="E14"/>
  <c r="D14"/>
  <c r="C14"/>
  <c r="E20"/>
  <c r="E19"/>
  <c r="D20"/>
  <c r="D19"/>
  <c r="C20"/>
  <c r="C19"/>
  <c r="F20"/>
  <c r="F19"/>
  <c r="F15"/>
  <c r="F14"/>
  <c r="E10"/>
  <c r="D10"/>
  <c r="C10"/>
  <c r="E9"/>
  <c r="D9"/>
  <c r="C9"/>
  <c r="F10"/>
  <c r="F9"/>
  <c r="E6"/>
  <c r="C6"/>
  <c r="E5"/>
  <c r="D5"/>
  <c r="C5"/>
  <c r="E4"/>
  <c r="D4"/>
  <c r="C4"/>
  <c r="F6"/>
  <c r="F5"/>
  <c r="F4"/>
  <c r="AT10" i="6" l="1"/>
  <c r="AS10"/>
  <c r="AO11"/>
  <c r="AU11" s="1"/>
  <c r="AM10"/>
  <c r="AQ7"/>
  <c r="AR7"/>
  <c r="AT11" l="1"/>
  <c r="AS11"/>
  <c r="AO12"/>
  <c r="AU12" s="1"/>
  <c r="AM11"/>
  <c r="AQ8"/>
  <c r="AR8"/>
  <c r="M29" i="1"/>
  <c r="O28"/>
  <c r="AT12" i="6" l="1"/>
  <c r="AS12"/>
  <c r="AO13"/>
  <c r="AU13" s="1"/>
  <c r="AM12"/>
  <c r="AR9"/>
  <c r="AQ9"/>
  <c r="R35" i="2"/>
  <c r="G38"/>
  <c r="G36"/>
  <c r="F37"/>
  <c r="K14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R32" i="4"/>
  <c r="J32"/>
  <c r="E32"/>
  <c r="L32" s="1"/>
  <c r="AT13" i="6" l="1"/>
  <c r="AS13"/>
  <c r="AO14"/>
  <c r="AU14" s="1"/>
  <c r="AM13"/>
  <c r="AR10"/>
  <c r="AQ10"/>
  <c r="K32" i="4"/>
  <c r="K16" i="2"/>
  <c r="K8"/>
  <c r="K12"/>
  <c r="K24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O32" i="4"/>
  <c r="S32" s="1"/>
  <c r="AT14" i="6" l="1"/>
  <c r="AS14"/>
  <c r="AO15"/>
  <c r="AU15" s="1"/>
  <c r="AM14"/>
  <c r="AR11"/>
  <c r="AQ11"/>
  <c r="I37" i="2"/>
  <c r="J36"/>
  <c r="K36"/>
  <c r="J5" i="6"/>
  <c r="H5"/>
  <c r="F5" s="1"/>
  <c r="P2"/>
  <c r="Q6" i="5"/>
  <c r="R13" i="4"/>
  <c r="L13"/>
  <c r="K13"/>
  <c r="J13"/>
  <c r="T6" i="5"/>
  <c r="W6"/>
  <c r="V6"/>
  <c r="U6"/>
  <c r="R6"/>
  <c r="S6"/>
  <c r="AT15" i="6" l="1"/>
  <c r="AS15"/>
  <c r="AO16"/>
  <c r="AU16" s="1"/>
  <c r="AM15"/>
  <c r="AQ12"/>
  <c r="AR12"/>
  <c r="I38" i="2"/>
  <c r="J37"/>
  <c r="K37"/>
  <c r="O13" i="4"/>
  <c r="S13" s="1"/>
  <c r="R22"/>
  <c r="L22"/>
  <c r="K22"/>
  <c r="J22"/>
  <c r="K17"/>
  <c r="K16"/>
  <c r="K20"/>
  <c r="K15"/>
  <c r="K21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27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4" i="4" s="1"/>
  <c r="L179" i="3"/>
  <c r="L180"/>
  <c r="L181"/>
  <c r="L182"/>
  <c r="L183"/>
  <c r="L184"/>
  <c r="L185"/>
  <c r="L186"/>
  <c r="L187"/>
  <c r="L188"/>
  <c r="L189"/>
  <c r="M4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9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7"/>
  <c r="L858"/>
  <c r="L859"/>
  <c r="L860"/>
  <c r="L861"/>
  <c r="L862"/>
  <c r="L863"/>
  <c r="L864"/>
  <c r="L865"/>
  <c r="L866"/>
  <c r="L867"/>
  <c r="L868"/>
  <c r="L869"/>
  <c r="L870"/>
  <c r="L871"/>
  <c r="L872"/>
  <c r="L881"/>
  <c r="L882"/>
  <c r="L883"/>
  <c r="L884"/>
  <c r="L885"/>
  <c r="L886"/>
  <c r="L887"/>
  <c r="L888"/>
  <c r="L889"/>
  <c r="L890"/>
  <c r="L892"/>
  <c r="L893"/>
  <c r="L894"/>
  <c r="L895"/>
  <c r="L896"/>
  <c r="L897"/>
  <c r="L898"/>
  <c r="L899"/>
  <c r="L900"/>
  <c r="L901"/>
  <c r="L902"/>
  <c r="L903"/>
  <c r="L904"/>
  <c r="L905"/>
  <c r="L906"/>
  <c r="L908"/>
  <c r="L909"/>
  <c r="L910"/>
  <c r="L912"/>
  <c r="L913"/>
  <c r="L914"/>
  <c r="L916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7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4"/>
  <c r="L1225"/>
  <c r="L1226"/>
  <c r="L1227"/>
  <c r="L1228"/>
  <c r="L1229"/>
  <c r="L1230"/>
  <c r="L1232"/>
  <c r="L1233"/>
  <c r="L1234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9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7"/>
  <c r="K858"/>
  <c r="K859"/>
  <c r="K860"/>
  <c r="K861"/>
  <c r="K862"/>
  <c r="K863"/>
  <c r="K864"/>
  <c r="K865"/>
  <c r="K866"/>
  <c r="K867"/>
  <c r="K868"/>
  <c r="K869"/>
  <c r="K870"/>
  <c r="K871"/>
  <c r="K872"/>
  <c r="K881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7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4"/>
  <c r="K1225"/>
  <c r="K1226"/>
  <c r="K1227"/>
  <c r="K1228"/>
  <c r="K1229"/>
  <c r="K1230"/>
  <c r="K1231"/>
  <c r="K1232"/>
  <c r="K1233"/>
  <c r="K1234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2"/>
  <c r="R8"/>
  <c r="K295" s="1"/>
  <c r="T8"/>
  <c r="L295" s="1"/>
  <c r="T5"/>
  <c r="L891" s="1"/>
  <c r="L1370" l="1"/>
  <c r="L1346"/>
  <c r="M7" i="4" s="1"/>
  <c r="K1370" i="3"/>
  <c r="K1346"/>
  <c r="I8" i="4"/>
  <c r="N8" s="1"/>
  <c r="L1327" i="3"/>
  <c r="M8" i="4" s="1"/>
  <c r="K1327" i="3"/>
  <c r="L1231"/>
  <c r="M6" i="4"/>
  <c r="I6"/>
  <c r="N6" s="1"/>
  <c r="K1235" i="3"/>
  <c r="K1223"/>
  <c r="L1235"/>
  <c r="L1223"/>
  <c r="I7" i="4"/>
  <c r="N7" s="1"/>
  <c r="L1114" i="3"/>
  <c r="I14" i="4"/>
  <c r="N14" s="1"/>
  <c r="AT16" i="6"/>
  <c r="AS16"/>
  <c r="AO17"/>
  <c r="AU17" s="1"/>
  <c r="AM16"/>
  <c r="AR13"/>
  <c r="AQ13"/>
  <c r="I32" i="4"/>
  <c r="N32" s="1"/>
  <c r="M32"/>
  <c r="K38" i="2"/>
  <c r="J38"/>
  <c r="M23" i="4"/>
  <c r="K1016" i="3"/>
  <c r="L1016"/>
  <c r="M30" i="4"/>
  <c r="M31"/>
  <c r="M12"/>
  <c r="M15"/>
  <c r="M19"/>
  <c r="M10"/>
  <c r="M9"/>
  <c r="M3"/>
  <c r="M17"/>
  <c r="M11"/>
  <c r="M13"/>
  <c r="M18"/>
  <c r="M29"/>
  <c r="M20"/>
  <c r="M5"/>
  <c r="M28"/>
  <c r="M16"/>
  <c r="M26"/>
  <c r="I13"/>
  <c r="N13" s="1"/>
  <c r="I22"/>
  <c r="N22" s="1"/>
  <c r="O22"/>
  <c r="S22" s="1"/>
  <c r="K878" i="3"/>
  <c r="K874"/>
  <c r="K538"/>
  <c r="L880"/>
  <c r="L876"/>
  <c r="L856"/>
  <c r="M21" i="4" s="1"/>
  <c r="K879" i="3"/>
  <c r="K875"/>
  <c r="L877"/>
  <c r="L873"/>
  <c r="K880"/>
  <c r="K876"/>
  <c r="K856"/>
  <c r="L878"/>
  <c r="L874"/>
  <c r="L538"/>
  <c r="K877"/>
  <c r="K873"/>
  <c r="L879"/>
  <c r="L875"/>
  <c r="L915"/>
  <c r="L911"/>
  <c r="L907"/>
  <c r="R23" i="4"/>
  <c r="J23"/>
  <c r="L23"/>
  <c r="Q32" l="1"/>
  <c r="P32"/>
  <c r="R20" i="14"/>
  <c r="O12"/>
  <c r="O10" s="1"/>
  <c r="Q6" i="4"/>
  <c r="P6"/>
  <c r="Q13"/>
  <c r="P13"/>
  <c r="P23"/>
  <c r="Q8"/>
  <c r="P8"/>
  <c r="Q7"/>
  <c r="P7"/>
  <c r="P12" i="14"/>
  <c r="P10" s="1"/>
  <c r="Q12"/>
  <c r="Q10" s="1"/>
  <c r="M14" i="4"/>
  <c r="AT17" i="6"/>
  <c r="AS17"/>
  <c r="AO18"/>
  <c r="AU18" s="1"/>
  <c r="AM17"/>
  <c r="AR14"/>
  <c r="AQ14"/>
  <c r="M22" i="4"/>
  <c r="M25"/>
  <c r="K23"/>
  <c r="O23"/>
  <c r="S23" s="1"/>
  <c r="Q23"/>
  <c r="R25"/>
  <c r="L25"/>
  <c r="K25"/>
  <c r="J25"/>
  <c r="R15"/>
  <c r="L15"/>
  <c r="J15"/>
  <c r="P15" s="1"/>
  <c r="R21"/>
  <c r="L21"/>
  <c r="J21"/>
  <c r="P21" s="1"/>
  <c r="R20"/>
  <c r="L20"/>
  <c r="J20"/>
  <c r="P20" s="1"/>
  <c r="R17"/>
  <c r="L17"/>
  <c r="J17"/>
  <c r="P17" s="1"/>
  <c r="T4" i="5"/>
  <c r="W5"/>
  <c r="S4"/>
  <c r="T5"/>
  <c r="U5"/>
  <c r="S5"/>
  <c r="U4"/>
  <c r="R5"/>
  <c r="V4"/>
  <c r="V5"/>
  <c r="W4"/>
  <c r="P25" i="4" l="1"/>
  <c r="Q14"/>
  <c r="P14"/>
  <c r="R21" i="14" s="1"/>
  <c r="Q22" i="4"/>
  <c r="P22"/>
  <c r="AT18" i="6"/>
  <c r="AS18"/>
  <c r="AO19"/>
  <c r="AU19" s="1"/>
  <c r="AM18"/>
  <c r="AR15"/>
  <c r="AQ15"/>
  <c r="Q25" i="4"/>
  <c r="O25"/>
  <c r="S25" s="1"/>
  <c r="O15"/>
  <c r="S15" s="1"/>
  <c r="O20"/>
  <c r="O17"/>
  <c r="S17" s="1"/>
  <c r="O21"/>
  <c r="S21" s="1"/>
  <c r="S20"/>
  <c r="Q5" i="5"/>
  <c r="Q4"/>
  <c r="R4"/>
  <c r="F66" i="9" l="1"/>
  <c r="G65"/>
  <c r="G60"/>
  <c r="K66"/>
  <c r="O65"/>
  <c r="O60"/>
  <c r="J60"/>
  <c r="N66"/>
  <c r="N65"/>
  <c r="I62"/>
  <c r="I61"/>
  <c r="M67"/>
  <c r="Q62"/>
  <c r="Q61"/>
  <c r="S66"/>
  <c r="H60"/>
  <c r="H66"/>
  <c r="L65"/>
  <c r="P60"/>
  <c r="P66"/>
  <c r="T65"/>
  <c r="F60"/>
  <c r="F62"/>
  <c r="G61"/>
  <c r="K67"/>
  <c r="K62"/>
  <c r="O61"/>
  <c r="J61"/>
  <c r="J67"/>
  <c r="N62"/>
  <c r="I60"/>
  <c r="M66"/>
  <c r="M65"/>
  <c r="Q60"/>
  <c r="S67"/>
  <c r="S62"/>
  <c r="H67"/>
  <c r="L62"/>
  <c r="L61"/>
  <c r="P67"/>
  <c r="T62"/>
  <c r="T61"/>
  <c r="F65"/>
  <c r="F67"/>
  <c r="G66"/>
  <c r="K65"/>
  <c r="K60"/>
  <c r="O66"/>
  <c r="J66"/>
  <c r="J65"/>
  <c r="N60"/>
  <c r="I67"/>
  <c r="M62"/>
  <c r="M61"/>
  <c r="Q67"/>
  <c r="S65"/>
  <c r="S60"/>
  <c r="H65"/>
  <c r="L60"/>
  <c r="L66"/>
  <c r="P65"/>
  <c r="T60"/>
  <c r="T66"/>
  <c r="F61"/>
  <c r="G67"/>
  <c r="G62"/>
  <c r="K61"/>
  <c r="O67"/>
  <c r="O62"/>
  <c r="J62"/>
  <c r="N61"/>
  <c r="N67"/>
  <c r="I66"/>
  <c r="I65"/>
  <c r="M60"/>
  <c r="Q66"/>
  <c r="Q65"/>
  <c r="S61"/>
  <c r="H62"/>
  <c r="H61"/>
  <c r="L67"/>
  <c r="P62"/>
  <c r="P61"/>
  <c r="T67"/>
  <c r="H94"/>
  <c r="H97"/>
  <c r="H98"/>
  <c r="H92"/>
  <c r="H99"/>
  <c r="H93"/>
  <c r="G98"/>
  <c r="F93"/>
  <c r="F94"/>
  <c r="T92"/>
  <c r="S99"/>
  <c r="S94"/>
  <c r="G94"/>
  <c r="F97"/>
  <c r="F92"/>
  <c r="T97"/>
  <c r="S93"/>
  <c r="S97"/>
  <c r="G99"/>
  <c r="G93"/>
  <c r="F99"/>
  <c r="T98"/>
  <c r="T94"/>
  <c r="S98"/>
  <c r="G97"/>
  <c r="G92"/>
  <c r="F98"/>
  <c r="T99"/>
  <c r="T93"/>
  <c r="S92"/>
  <c r="AT19" i="6"/>
  <c r="AS19"/>
  <c r="AO20"/>
  <c r="AU20" s="1"/>
  <c r="AM19"/>
  <c r="AQ16"/>
  <c r="AR16"/>
  <c r="I23" i="4"/>
  <c r="N23" s="1"/>
  <c r="R19"/>
  <c r="L19"/>
  <c r="K19"/>
  <c r="J19"/>
  <c r="P19" s="1"/>
  <c r="J2"/>
  <c r="AT20" i="6" l="1"/>
  <c r="AS20"/>
  <c r="AO21"/>
  <c r="AU21" s="1"/>
  <c r="AM20"/>
  <c r="AR17"/>
  <c r="AQ17"/>
  <c r="I25" i="4"/>
  <c r="N25" s="1"/>
  <c r="Q21"/>
  <c r="I21"/>
  <c r="N21" s="1"/>
  <c r="O20" i="14" s="1"/>
  <c r="I15" i="4"/>
  <c r="N15" s="1"/>
  <c r="Q15"/>
  <c r="O19"/>
  <c r="S19" s="1"/>
  <c r="AT21" i="6" l="1"/>
  <c r="AS21"/>
  <c r="AO22"/>
  <c r="AU22" s="1"/>
  <c r="AM21"/>
  <c r="AR18"/>
  <c r="AQ18"/>
  <c r="K2" i="4"/>
  <c r="R2"/>
  <c r="L2"/>
  <c r="AT22" i="6" l="1"/>
  <c r="AS22"/>
  <c r="AO23"/>
  <c r="AU23" s="1"/>
  <c r="AM22"/>
  <c r="AR19"/>
  <c r="AQ19"/>
  <c r="O2" i="4"/>
  <c r="S2" s="1"/>
  <c r="T24" i="9"/>
  <c r="T26" s="1"/>
  <c r="S24"/>
  <c r="S26" s="1"/>
  <c r="R24"/>
  <c r="Q24"/>
  <c r="P24"/>
  <c r="O24"/>
  <c r="N24"/>
  <c r="M24"/>
  <c r="L24"/>
  <c r="K24"/>
  <c r="J24"/>
  <c r="I24"/>
  <c r="H24"/>
  <c r="H26" s="1"/>
  <c r="G24"/>
  <c r="G26" s="1"/>
  <c r="F24"/>
  <c r="F26" s="1"/>
  <c r="R90" l="1"/>
  <c r="R58"/>
  <c r="R26"/>
  <c r="R29" s="1"/>
  <c r="L26"/>
  <c r="L30" s="1"/>
  <c r="L90"/>
  <c r="P26"/>
  <c r="P29" s="1"/>
  <c r="P90"/>
  <c r="I26"/>
  <c r="I29" s="1"/>
  <c r="I90"/>
  <c r="M26"/>
  <c r="M34" s="1"/>
  <c r="M90"/>
  <c r="Q26"/>
  <c r="Q29" s="1"/>
  <c r="Q90"/>
  <c r="J26"/>
  <c r="J30" s="1"/>
  <c r="J90"/>
  <c r="N26"/>
  <c r="N28" s="1"/>
  <c r="N90"/>
  <c r="K26"/>
  <c r="K35" s="1"/>
  <c r="K90"/>
  <c r="O26"/>
  <c r="O28" s="1"/>
  <c r="O90"/>
  <c r="AT23" i="6"/>
  <c r="AS23"/>
  <c r="AO24"/>
  <c r="AU24" s="1"/>
  <c r="AM23"/>
  <c r="AQ20"/>
  <c r="AR20"/>
  <c r="M33" i="9"/>
  <c r="L34"/>
  <c r="T35"/>
  <c r="T28"/>
  <c r="T33"/>
  <c r="T29"/>
  <c r="T34"/>
  <c r="T30"/>
  <c r="J28"/>
  <c r="N34"/>
  <c r="N29"/>
  <c r="N35"/>
  <c r="N30"/>
  <c r="R35"/>
  <c r="R28"/>
  <c r="R34"/>
  <c r="R30"/>
  <c r="P34"/>
  <c r="P35"/>
  <c r="P30"/>
  <c r="P33"/>
  <c r="K29"/>
  <c r="O34"/>
  <c r="S33"/>
  <c r="S29"/>
  <c r="S30"/>
  <c r="S34"/>
  <c r="S35"/>
  <c r="S28"/>
  <c r="H35"/>
  <c r="H33"/>
  <c r="H30"/>
  <c r="H28"/>
  <c r="H34"/>
  <c r="H29"/>
  <c r="G34"/>
  <c r="G28"/>
  <c r="G30"/>
  <c r="G35"/>
  <c r="G33"/>
  <c r="G29"/>
  <c r="F33"/>
  <c r="F29"/>
  <c r="F35"/>
  <c r="F28"/>
  <c r="F34"/>
  <c r="F30"/>
  <c r="R29" i="4"/>
  <c r="L29"/>
  <c r="K29"/>
  <c r="J29"/>
  <c r="P29" s="1"/>
  <c r="K33" i="9" l="1"/>
  <c r="J34"/>
  <c r="M28"/>
  <c r="R60"/>
  <c r="R61"/>
  <c r="R67"/>
  <c r="U67" s="1"/>
  <c r="R66"/>
  <c r="U66" s="1"/>
  <c r="R65"/>
  <c r="U65" s="1"/>
  <c r="R62"/>
  <c r="N33"/>
  <c r="J33"/>
  <c r="M29"/>
  <c r="R33"/>
  <c r="K34"/>
  <c r="K28"/>
  <c r="K30"/>
  <c r="J35"/>
  <c r="J29"/>
  <c r="I33"/>
  <c r="I28"/>
  <c r="I30"/>
  <c r="I35"/>
  <c r="I34"/>
  <c r="M35"/>
  <c r="M30"/>
  <c r="L28"/>
  <c r="L35"/>
  <c r="L33"/>
  <c r="L29"/>
  <c r="Q35"/>
  <c r="Q30"/>
  <c r="Q33"/>
  <c r="Q34"/>
  <c r="Q28"/>
  <c r="P28"/>
  <c r="O33"/>
  <c r="O35"/>
  <c r="O30"/>
  <c r="O29"/>
  <c r="R98"/>
  <c r="R99"/>
  <c r="R92"/>
  <c r="R97"/>
  <c r="R93"/>
  <c r="R94"/>
  <c r="K97"/>
  <c r="K92"/>
  <c r="K98"/>
  <c r="K93"/>
  <c r="K99"/>
  <c r="K94"/>
  <c r="J99"/>
  <c r="J97"/>
  <c r="J92"/>
  <c r="J94"/>
  <c r="J98"/>
  <c r="J93"/>
  <c r="M98"/>
  <c r="M99"/>
  <c r="M94"/>
  <c r="M92"/>
  <c r="M93"/>
  <c r="M97"/>
  <c r="P97"/>
  <c r="P98"/>
  <c r="P93"/>
  <c r="P99"/>
  <c r="P94"/>
  <c r="P92"/>
  <c r="O97"/>
  <c r="O98"/>
  <c r="O93"/>
  <c r="O94"/>
  <c r="O92"/>
  <c r="O99"/>
  <c r="N99"/>
  <c r="N94"/>
  <c r="N97"/>
  <c r="N92"/>
  <c r="N93"/>
  <c r="N98"/>
  <c r="Q98"/>
  <c r="Q99"/>
  <c r="Q94"/>
  <c r="Q92"/>
  <c r="Q93"/>
  <c r="Q97"/>
  <c r="I98"/>
  <c r="I99"/>
  <c r="I94"/>
  <c r="I97"/>
  <c r="I92"/>
  <c r="I93"/>
  <c r="L97"/>
  <c r="L98"/>
  <c r="L93"/>
  <c r="L99"/>
  <c r="L94"/>
  <c r="L92"/>
  <c r="AT24" i="6"/>
  <c r="AS24"/>
  <c r="AO25"/>
  <c r="AU25" s="1"/>
  <c r="AM24"/>
  <c r="AR21"/>
  <c r="AQ21"/>
  <c r="O29" i="4"/>
  <c r="S29" s="1"/>
  <c r="R28"/>
  <c r="R10"/>
  <c r="R9"/>
  <c r="R3"/>
  <c r="R24"/>
  <c r="R11"/>
  <c r="R26"/>
  <c r="R30"/>
  <c r="R27"/>
  <c r="R5"/>
  <c r="R4"/>
  <c r="R12"/>
  <c r="R16"/>
  <c r="R31"/>
  <c r="R18"/>
  <c r="O29" i="1"/>
  <c r="M17"/>
  <c r="M18" s="1"/>
  <c r="J9" i="4"/>
  <c r="J28"/>
  <c r="P28" s="1"/>
  <c r="J10"/>
  <c r="J5"/>
  <c r="P5" s="1"/>
  <c r="J11"/>
  <c r="P11" s="1"/>
  <c r="J24"/>
  <c r="P24" s="1"/>
  <c r="J26"/>
  <c r="P26" s="1"/>
  <c r="J30"/>
  <c r="P30" s="1"/>
  <c r="J4"/>
  <c r="P4" s="1"/>
  <c r="J3"/>
  <c r="P3" s="1"/>
  <c r="J12"/>
  <c r="P12" s="1"/>
  <c r="J16"/>
  <c r="P16" s="1"/>
  <c r="J31"/>
  <c r="P31" s="1"/>
  <c r="J27"/>
  <c r="P27" s="1"/>
  <c r="J18"/>
  <c r="P18" s="1"/>
  <c r="L9"/>
  <c r="L28"/>
  <c r="L10"/>
  <c r="L5"/>
  <c r="L11"/>
  <c r="L24"/>
  <c r="L26"/>
  <c r="L30"/>
  <c r="L4"/>
  <c r="L3"/>
  <c r="L12"/>
  <c r="L16"/>
  <c r="L31"/>
  <c r="L27"/>
  <c r="L18"/>
  <c r="P9" l="1"/>
  <c r="N18" i="14"/>
  <c r="P10" i="4"/>
  <c r="U34" i="9"/>
  <c r="U35"/>
  <c r="U33"/>
  <c r="U97"/>
  <c r="S15" i="1" s="1"/>
  <c r="Q11" i="14" s="1"/>
  <c r="Q9" s="1"/>
  <c r="U99" i="9"/>
  <c r="U98"/>
  <c r="AT25" i="6"/>
  <c r="AS25"/>
  <c r="AO26"/>
  <c r="AU26" s="1"/>
  <c r="AM25"/>
  <c r="AQ22"/>
  <c r="AR22"/>
  <c r="Q35" i="2"/>
  <c r="Q37"/>
  <c r="O37"/>
  <c r="O35"/>
  <c r="O9" i="4"/>
  <c r="S9" s="1"/>
  <c r="O4"/>
  <c r="S4" s="1"/>
  <c r="O11"/>
  <c r="S11" s="1"/>
  <c r="O18"/>
  <c r="S18" s="1"/>
  <c r="O24"/>
  <c r="S24" s="1"/>
  <c r="O28"/>
  <c r="S28" s="1"/>
  <c r="O3"/>
  <c r="S3" s="1"/>
  <c r="O31"/>
  <c r="S31" s="1"/>
  <c r="O12"/>
  <c r="S12" s="1"/>
  <c r="O26"/>
  <c r="S26" s="1"/>
  <c r="O10"/>
  <c r="S10" s="1"/>
  <c r="O27"/>
  <c r="S27" s="1"/>
  <c r="O16"/>
  <c r="S16" s="1"/>
  <c r="O30"/>
  <c r="S30" s="1"/>
  <c r="O5"/>
  <c r="S5" s="1"/>
  <c r="K10"/>
  <c r="N21" i="14" l="1"/>
  <c r="P18"/>
  <c r="Q18" s="1"/>
  <c r="Q21" s="1"/>
  <c r="N19"/>
  <c r="P19" s="1"/>
  <c r="P22" s="1"/>
  <c r="AT26" i="6"/>
  <c r="AS26"/>
  <c r="AO27"/>
  <c r="AU27" s="1"/>
  <c r="AM26"/>
  <c r="AR23"/>
  <c r="AQ23"/>
  <c r="B35" i="2"/>
  <c r="K18" i="4"/>
  <c r="Q20" i="14" l="1"/>
  <c r="Q19"/>
  <c r="AT27" i="6"/>
  <c r="AS27"/>
  <c r="AO28"/>
  <c r="AU28" s="1"/>
  <c r="AM27"/>
  <c r="AQ24"/>
  <c r="AR24"/>
  <c r="O35" i="1"/>
  <c r="AT28" i="6" l="1"/>
  <c r="AS28"/>
  <c r="AO29"/>
  <c r="AU29" s="1"/>
  <c r="AM28"/>
  <c r="AQ25"/>
  <c r="AR25"/>
  <c r="M36" i="1"/>
  <c r="K12" i="4"/>
  <c r="AT29" i="6" l="1"/>
  <c r="AS29"/>
  <c r="AO30"/>
  <c r="AU30" s="1"/>
  <c r="AM29"/>
  <c r="AR26"/>
  <c r="AQ26"/>
  <c r="I24" i="4"/>
  <c r="N24" s="1"/>
  <c r="I4"/>
  <c r="N4" s="1"/>
  <c r="Q27"/>
  <c r="Q24"/>
  <c r="Q4"/>
  <c r="Q20"/>
  <c r="AT30" i="6" l="1"/>
  <c r="AS30"/>
  <c r="AO31"/>
  <c r="AU31" s="1"/>
  <c r="AM30"/>
  <c r="AR27"/>
  <c r="AQ27"/>
  <c r="Q17" i="4"/>
  <c r="M2"/>
  <c r="I5"/>
  <c r="N5" s="1"/>
  <c r="Q19"/>
  <c r="Q10"/>
  <c r="P21" i="14" s="1"/>
  <c r="Q30" i="4"/>
  <c r="Q31"/>
  <c r="Q5"/>
  <c r="Q26"/>
  <c r="Q18"/>
  <c r="Q28"/>
  <c r="Q16"/>
  <c r="Q12"/>
  <c r="Q9"/>
  <c r="Q29"/>
  <c r="Q3"/>
  <c r="Q11"/>
  <c r="I27"/>
  <c r="N27" s="1"/>
  <c r="I17"/>
  <c r="N17" s="1"/>
  <c r="M16" i="1"/>
  <c r="M19" s="1"/>
  <c r="Q2" i="4" l="1"/>
  <c r="P2"/>
  <c r="AT31" i="6"/>
  <c r="AS31"/>
  <c r="AO32"/>
  <c r="AU32" s="1"/>
  <c r="AM31"/>
  <c r="AQ28"/>
  <c r="AR28"/>
  <c r="I20" i="4"/>
  <c r="N20" s="1"/>
  <c r="I2"/>
  <c r="N2" s="1"/>
  <c r="I19"/>
  <c r="N19" s="1"/>
  <c r="I16"/>
  <c r="N16" s="1"/>
  <c r="I12"/>
  <c r="N12" s="1"/>
  <c r="I29"/>
  <c r="N29" s="1"/>
  <c r="I31"/>
  <c r="N31" s="1"/>
  <c r="I30"/>
  <c r="N30" s="1"/>
  <c r="I18"/>
  <c r="N18" s="1"/>
  <c r="I10"/>
  <c r="I26"/>
  <c r="N26" s="1"/>
  <c r="I9"/>
  <c r="N9" s="1"/>
  <c r="I28"/>
  <c r="N28" s="1"/>
  <c r="I11"/>
  <c r="N11" s="1"/>
  <c r="I3"/>
  <c r="N3" s="1"/>
  <c r="O16" i="1"/>
  <c r="M20"/>
  <c r="O18"/>
  <c r="AT32" i="6" l="1"/>
  <c r="AS32"/>
  <c r="AO33"/>
  <c r="AU33" s="1"/>
  <c r="AM32"/>
  <c r="AR29"/>
  <c r="AQ29"/>
  <c r="N10" i="4"/>
  <c r="P35" i="2"/>
  <c r="C35" s="1"/>
  <c r="P37"/>
  <c r="M21" i="1"/>
  <c r="O20"/>
  <c r="W4"/>
  <c r="X4" s="1"/>
  <c r="W5"/>
  <c r="X5" s="1"/>
  <c r="W6"/>
  <c r="X6" s="1"/>
  <c r="W7"/>
  <c r="X7" s="1"/>
  <c r="K30" i="4"/>
  <c r="K31"/>
  <c r="K26"/>
  <c r="K11"/>
  <c r="K27"/>
  <c r="K28"/>
  <c r="K24"/>
  <c r="K3"/>
  <c r="K4"/>
  <c r="K5"/>
  <c r="K9"/>
  <c r="N20" i="14" l="1"/>
  <c r="P20" s="1"/>
  <c r="W8" i="1"/>
  <c r="X8" s="1"/>
  <c r="AT33" i="6"/>
  <c r="AS33"/>
  <c r="AO34"/>
  <c r="AU34" s="1"/>
  <c r="AM33"/>
  <c r="AR30"/>
  <c r="AQ30"/>
  <c r="AA7" i="1"/>
  <c r="AA6"/>
  <c r="AA5"/>
  <c r="AA4"/>
  <c r="Z4"/>
  <c r="Z7"/>
  <c r="Z6"/>
  <c r="Z5"/>
  <c r="Z8" l="1"/>
  <c r="AA8"/>
  <c r="AT34" i="6"/>
  <c r="AS34"/>
  <c r="AO35"/>
  <c r="AU35" s="1"/>
  <c r="AM34"/>
  <c r="AR31"/>
  <c r="AQ31"/>
  <c r="O22" i="1"/>
  <c r="O24" s="1"/>
  <c r="R38" i="2"/>
  <c r="R36"/>
  <c r="R30"/>
  <c r="R34"/>
  <c r="P34"/>
  <c r="R33"/>
  <c r="P33"/>
  <c r="R32"/>
  <c r="R31"/>
  <c r="R29"/>
  <c r="R28"/>
  <c r="AM35" i="6" l="1"/>
  <c r="AT35"/>
  <c r="AS35"/>
  <c r="AQ32"/>
  <c r="AR32"/>
  <c r="M5" i="1"/>
  <c r="Q5" s="1"/>
  <c r="M4"/>
  <c r="S2" i="6"/>
  <c r="U2" s="1"/>
  <c r="J6"/>
  <c r="J7" s="1"/>
  <c r="J8" s="1"/>
  <c r="J9" s="1"/>
  <c r="Q5"/>
  <c r="W3" i="1"/>
  <c r="X3" s="1"/>
  <c r="W2"/>
  <c r="Q4" l="1"/>
  <c r="O5"/>
  <c r="M6" s="1"/>
  <c r="Q6" s="1"/>
  <c r="Q7" i="6"/>
  <c r="R7" s="1"/>
  <c r="R5"/>
  <c r="AQ33"/>
  <c r="AR33"/>
  <c r="F55"/>
  <c r="O55" s="1"/>
  <c r="P55" s="1"/>
  <c r="S55" s="1"/>
  <c r="F46"/>
  <c r="N3"/>
  <c r="J10"/>
  <c r="N4"/>
  <c r="P4" i="1"/>
  <c r="AA2"/>
  <c r="X2"/>
  <c r="O33" i="2"/>
  <c r="O34"/>
  <c r="Z2" i="1"/>
  <c r="Q8" i="6"/>
  <c r="Q6"/>
  <c r="R6" s="1"/>
  <c r="I5"/>
  <c r="G5" s="1"/>
  <c r="H6"/>
  <c r="F6" s="1"/>
  <c r="N5"/>
  <c r="AA3" i="1"/>
  <c r="Z3"/>
  <c r="R27" i="2"/>
  <c r="R26"/>
  <c r="R25"/>
  <c r="R24"/>
  <c r="R23"/>
  <c r="R22"/>
  <c r="R21"/>
  <c r="R20"/>
  <c r="R19"/>
  <c r="R18"/>
  <c r="R17"/>
  <c r="R16"/>
  <c r="R15"/>
  <c r="O7" i="1" l="1"/>
  <c r="M7"/>
  <c r="O6"/>
  <c r="N31" s="1"/>
  <c r="Q9" i="6"/>
  <c r="R8"/>
  <c r="AR34"/>
  <c r="AQ34"/>
  <c r="N55"/>
  <c r="U55"/>
  <c r="O46"/>
  <c r="N46"/>
  <c r="H7"/>
  <c r="N6"/>
  <c r="O3"/>
  <c r="P3" s="1"/>
  <c r="S3" s="1"/>
  <c r="U3" s="1"/>
  <c r="J11"/>
  <c r="Q24" i="2"/>
  <c r="P6" i="1"/>
  <c r="Q19" i="2"/>
  <c r="Q31"/>
  <c r="Q32"/>
  <c r="I6" i="6"/>
  <c r="G6" s="1"/>
  <c r="O5"/>
  <c r="P5" s="1"/>
  <c r="S5" s="1"/>
  <c r="U5" s="1"/>
  <c r="O4"/>
  <c r="P4" s="1"/>
  <c r="S4" s="1"/>
  <c r="U4" s="1"/>
  <c r="Q21" i="2"/>
  <c r="Q15"/>
  <c r="Q18"/>
  <c r="Q20"/>
  <c r="Q16"/>
  <c r="Q17"/>
  <c r="Q23"/>
  <c r="Q22"/>
  <c r="Q7" i="1" l="1"/>
  <c r="N32"/>
  <c r="M32" s="1"/>
  <c r="M31"/>
  <c r="O8"/>
  <c r="M9"/>
  <c r="Q9" s="1"/>
  <c r="M8"/>
  <c r="O9" s="1"/>
  <c r="P46" i="6"/>
  <c r="S46" s="1"/>
  <c r="U46" s="1"/>
  <c r="F7"/>
  <c r="N7" s="1"/>
  <c r="Q10"/>
  <c r="R9"/>
  <c r="AQ35"/>
  <c r="AR35"/>
  <c r="H8"/>
  <c r="I7"/>
  <c r="G7" s="1"/>
  <c r="J12"/>
  <c r="M11" i="1"/>
  <c r="Q11" s="1"/>
  <c r="O6" i="6"/>
  <c r="O24" i="2"/>
  <c r="O22"/>
  <c r="O23"/>
  <c r="P23"/>
  <c r="P24"/>
  <c r="P22"/>
  <c r="O7" i="6" l="1"/>
  <c r="P7" s="1"/>
  <c r="S7" s="1"/>
  <c r="U7" s="1"/>
  <c r="O31" i="1"/>
  <c r="N33"/>
  <c r="O33" s="1"/>
  <c r="Q8"/>
  <c r="Q12" s="1"/>
  <c r="P8"/>
  <c r="F8" i="6"/>
  <c r="N8" s="1"/>
  <c r="Q11"/>
  <c r="R10"/>
  <c r="H9"/>
  <c r="F9" s="1"/>
  <c r="I8"/>
  <c r="G8" s="1"/>
  <c r="J13"/>
  <c r="P6"/>
  <c r="S6" s="1"/>
  <c r="U6" s="1"/>
  <c r="P10" i="1"/>
  <c r="O32" i="2"/>
  <c r="O31"/>
  <c r="P32"/>
  <c r="P31"/>
  <c r="O21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O8" i="6" l="1"/>
  <c r="O37" i="1"/>
  <c r="P12"/>
  <c r="N34"/>
  <c r="Q12" i="6"/>
  <c r="R11"/>
  <c r="H10"/>
  <c r="F10" s="1"/>
  <c r="I9"/>
  <c r="G9" s="1"/>
  <c r="P8"/>
  <c r="S8" s="1"/>
  <c r="U8" s="1"/>
  <c r="J14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Q13" i="6" l="1"/>
  <c r="R12"/>
  <c r="H11"/>
  <c r="F11" s="1"/>
  <c r="I10"/>
  <c r="G10" s="1"/>
  <c r="J15"/>
  <c r="N9"/>
  <c r="Q34" i="2"/>
  <c r="Q33"/>
  <c r="B24"/>
  <c r="C24"/>
  <c r="B23"/>
  <c r="C23"/>
  <c r="O14"/>
  <c r="A3"/>
  <c r="B3" s="1"/>
  <c r="Q14" i="6" l="1"/>
  <c r="R13"/>
  <c r="N11"/>
  <c r="H12"/>
  <c r="F12" s="1"/>
  <c r="I11"/>
  <c r="G11" s="1"/>
  <c r="B37" i="2"/>
  <c r="C37"/>
  <c r="J16" i="6"/>
  <c r="P38" i="2"/>
  <c r="P36"/>
  <c r="C33"/>
  <c r="B30"/>
  <c r="P30"/>
  <c r="P29"/>
  <c r="P28"/>
  <c r="O9" i="6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Q15" i="6" l="1"/>
  <c r="R14"/>
  <c r="N12"/>
  <c r="H13"/>
  <c r="F13" s="1"/>
  <c r="I12"/>
  <c r="G12" s="1"/>
  <c r="J17"/>
  <c r="P9"/>
  <c r="O10"/>
  <c r="P10" s="1"/>
  <c r="N10"/>
  <c r="C3" i="2"/>
  <c r="D3" s="1"/>
  <c r="C30"/>
  <c r="B33"/>
  <c r="B31"/>
  <c r="C31"/>
  <c r="B28"/>
  <c r="C28"/>
  <c r="C29"/>
  <c r="B29"/>
  <c r="B32"/>
  <c r="C32"/>
  <c r="O11" i="6"/>
  <c r="B26" i="2"/>
  <c r="C26"/>
  <c r="B27"/>
  <c r="C27"/>
  <c r="E42"/>
  <c r="F42" s="1"/>
  <c r="Q16" i="6" l="1"/>
  <c r="R15"/>
  <c r="O12"/>
  <c r="N13"/>
  <c r="H14"/>
  <c r="F14" s="1"/>
  <c r="I13"/>
  <c r="G13" s="1"/>
  <c r="J18"/>
  <c r="S10"/>
  <c r="U10" s="1"/>
  <c r="S9"/>
  <c r="U9" s="1"/>
  <c r="C34" i="2"/>
  <c r="B34"/>
  <c r="P11" i="6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Q17" i="6" l="1"/>
  <c r="R16"/>
  <c r="H15"/>
  <c r="F15" s="1"/>
  <c r="O13"/>
  <c r="I14"/>
  <c r="G14" s="1"/>
  <c r="J19"/>
  <c r="S11"/>
  <c r="U11" s="1"/>
  <c r="Q18" l="1"/>
  <c r="R17"/>
  <c r="H16"/>
  <c r="F16" s="1"/>
  <c r="N14"/>
  <c r="O14"/>
  <c r="I15"/>
  <c r="G15" s="1"/>
  <c r="J20"/>
  <c r="B36" i="2"/>
  <c r="C36"/>
  <c r="B38"/>
  <c r="C38"/>
  <c r="Q19" i="6" l="1"/>
  <c r="R18"/>
  <c r="N15"/>
  <c r="O15"/>
  <c r="H17"/>
  <c r="F17" s="1"/>
  <c r="I16"/>
  <c r="G16" s="1"/>
  <c r="J21"/>
  <c r="P12"/>
  <c r="Q20" l="1"/>
  <c r="R19"/>
  <c r="N16"/>
  <c r="O16"/>
  <c r="H18"/>
  <c r="F18" s="1"/>
  <c r="I17"/>
  <c r="G17" s="1"/>
  <c r="J22"/>
  <c r="S12"/>
  <c r="U12" s="1"/>
  <c r="P13"/>
  <c r="Q21" l="1"/>
  <c r="R20"/>
  <c r="N17"/>
  <c r="O17"/>
  <c r="H19"/>
  <c r="F19" s="1"/>
  <c r="I18"/>
  <c r="G18" s="1"/>
  <c r="J23"/>
  <c r="S13"/>
  <c r="U13" s="1"/>
  <c r="P14"/>
  <c r="Q22" l="1"/>
  <c r="R21"/>
  <c r="H20"/>
  <c r="F20" s="1"/>
  <c r="N18"/>
  <c r="O18"/>
  <c r="P18" s="1"/>
  <c r="S18" s="1"/>
  <c r="U18" s="1"/>
  <c r="I19"/>
  <c r="G19" s="1"/>
  <c r="J24"/>
  <c r="S14"/>
  <c r="U14" s="1"/>
  <c r="P15"/>
  <c r="Q23" l="1"/>
  <c r="R22"/>
  <c r="H21"/>
  <c r="F21" s="1"/>
  <c r="N19"/>
  <c r="O19"/>
  <c r="P19" s="1"/>
  <c r="S19" s="1"/>
  <c r="U19" s="1"/>
  <c r="I20"/>
  <c r="G20" s="1"/>
  <c r="J25"/>
  <c r="S15"/>
  <c r="U15" s="1"/>
  <c r="P16"/>
  <c r="Q24" l="1"/>
  <c r="R23"/>
  <c r="H22"/>
  <c r="F22" s="1"/>
  <c r="N20"/>
  <c r="O20"/>
  <c r="P20" s="1"/>
  <c r="S20" s="1"/>
  <c r="U20" s="1"/>
  <c r="I21"/>
  <c r="G21" s="1"/>
  <c r="J26"/>
  <c r="S16"/>
  <c r="U16" s="1"/>
  <c r="P17"/>
  <c r="Q25" l="1"/>
  <c r="R24"/>
  <c r="O21"/>
  <c r="N21"/>
  <c r="H23"/>
  <c r="F23" s="1"/>
  <c r="I22"/>
  <c r="G22" s="1"/>
  <c r="J27"/>
  <c r="S17"/>
  <c r="U17" s="1"/>
  <c r="J20" i="11"/>
  <c r="J19"/>
  <c r="J21"/>
  <c r="K20"/>
  <c r="K21"/>
  <c r="K19"/>
  <c r="Q26" i="6" l="1"/>
  <c r="R25"/>
  <c r="H24"/>
  <c r="F24" s="1"/>
  <c r="N22"/>
  <c r="O22"/>
  <c r="P22" s="1"/>
  <c r="S22" s="1"/>
  <c r="U22" s="1"/>
  <c r="P21"/>
  <c r="S21" s="1"/>
  <c r="U21" s="1"/>
  <c r="I23"/>
  <c r="G23" s="1"/>
  <c r="J28"/>
  <c r="Q27" l="1"/>
  <c r="R26"/>
  <c r="N23"/>
  <c r="O23"/>
  <c r="H25"/>
  <c r="F25" s="1"/>
  <c r="I24"/>
  <c r="G24" s="1"/>
  <c r="Q28" l="1"/>
  <c r="R28" s="1"/>
  <c r="R27"/>
  <c r="H26"/>
  <c r="F26" s="1"/>
  <c r="N24"/>
  <c r="O24"/>
  <c r="P24" s="1"/>
  <c r="S24" s="1"/>
  <c r="U24" s="1"/>
  <c r="P23"/>
  <c r="S23" s="1"/>
  <c r="U23" s="1"/>
  <c r="I25"/>
  <c r="G25" s="1"/>
  <c r="N25" l="1"/>
  <c r="O25"/>
  <c r="H27"/>
  <c r="F27" s="1"/>
  <c r="I26"/>
  <c r="G26" s="1"/>
  <c r="O26" l="1"/>
  <c r="P26" s="1"/>
  <c r="S26" s="1"/>
  <c r="U26" s="1"/>
  <c r="N26"/>
  <c r="H28"/>
  <c r="F28" s="1"/>
  <c r="P25"/>
  <c r="S25" s="1"/>
  <c r="U25" s="1"/>
  <c r="I27"/>
  <c r="G27" s="1"/>
  <c r="N27" l="1"/>
  <c r="O27"/>
  <c r="P27" s="1"/>
  <c r="S27" s="1"/>
  <c r="U27" s="1"/>
  <c r="O28"/>
  <c r="N28"/>
  <c r="I28"/>
  <c r="G28" l="1"/>
  <c r="P28" s="1"/>
  <c r="S28" s="1"/>
  <c r="U28" s="1"/>
</calcChain>
</file>

<file path=xl/sharedStrings.xml><?xml version="1.0" encoding="utf-8"?>
<sst xmlns="http://schemas.openxmlformats.org/spreadsheetml/2006/main" count="7660" uniqueCount="917">
  <si>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</si>
  <si>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</si>
  <si>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</si>
  <si>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</si>
  <si>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</si>
  <si>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</si>
  <si>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</si>
  <si>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</si>
  <si>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</si>
  <si>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</si>
  <si>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</si>
  <si>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</si>
  <si>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</si>
  <si>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</si>
  <si>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</si>
  <si>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</si>
  <si>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</si>
  <si>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</si>
  <si>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</si>
  <si>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</si>
  <si>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</si>
  <si>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</si>
  <si>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</si>
  <si>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</si>
  <si>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</si>
  <si>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</si>
  <si>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</si>
  <si>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</si>
  <si>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</si>
  <si>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</si>
  <si>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</si>
  <si>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</si>
  <si>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</si>
  <si>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</si>
  <si>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</si>
  <si>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</si>
  <si>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</si>
  <si>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</si>
  <si>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</si>
  <si>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</si>
  <si>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</si>
  <si>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</si>
  <si>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</si>
  <si>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</si>
  <si>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</si>
  <si>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</si>
  <si>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</si>
  <si>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</si>
  <si>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</si>
  <si>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</si>
  <si>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</si>
  <si>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</si>
  <si>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</si>
  <si>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</si>
  <si>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</si>
  <si>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</si>
  <si>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</si>
  <si>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</si>
  <si>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</si>
  <si>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</si>
  <si>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</si>
  <si>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</si>
  <si>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</si>
  <si>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</si>
  <si>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</si>
  <si>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</si>
  <si>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</si>
  <si>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</si>
  <si>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</si>
  <si>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</si>
  <si>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</si>
  <si>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</si>
  <si>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</si>
  <si>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</si>
  <si>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</si>
  <si>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</si>
  <si>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</si>
  <si>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</si>
  <si>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</si>
  <si>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</si>
  <si>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</si>
  <si>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</si>
  <si>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</si>
  <si>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</si>
  <si>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</si>
  <si>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</si>
  <si>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</si>
  <si>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</si>
  <si>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</si>
  <si>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</si>
  <si>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</si>
  <si>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</si>
  <si>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</si>
  <si>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</si>
  <si>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</si>
  <si>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</si>
  <si>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</si>
  <si>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</si>
  <si>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</si>
  <si>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</si>
  <si>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</si>
  <si>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</si>
  <si>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</si>
  <si>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</si>
  <si>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</si>
  <si>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</si>
  <si>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</si>
  <si>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</si>
  <si>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</si>
  <si>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</si>
  <si>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</si>
  <si>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</si>
  <si>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</si>
  <si>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</si>
  <si>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</si>
  <si>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</si>
  <si>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</si>
  <si>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</si>
  <si>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</si>
  <si>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</si>
  <si>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</si>
  <si>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</si>
  <si>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</si>
  <si>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</si>
  <si>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</si>
  <si>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</si>
  <si>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</si>
  <si>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</si>
  <si>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</si>
  <si>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</si>
  <si>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</si>
  <si>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</si>
  <si>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</si>
  <si>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</si>
  <si>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</si>
  <si>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</si>
  <si>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</si>
  <si>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</si>
  <si>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</si>
  <si>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</si>
  <si>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</si>
  <si>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</si>
  <si>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</si>
  <si>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</si>
  <si>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</si>
  <si>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</si>
  <si>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</si>
  <si>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</si>
  <si>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</si>
  <si>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</si>
  <si>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</si>
  <si>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</si>
  <si>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</si>
  <si>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</si>
  <si>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</si>
  <si>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</si>
  <si>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</si>
  <si>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</si>
  <si>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</si>
  <si>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</si>
  <si>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</si>
  <si>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</si>
  <si>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</si>
  <si>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</si>
  <si>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</si>
  <si>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</si>
  <si>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</si>
  <si>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</si>
  <si>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</si>
  <si>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</si>
  <si>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</si>
  <si>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</si>
  <si>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</si>
  <si>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</si>
  <si>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</si>
  <si>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</si>
  <si>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</si>
  <si>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</si>
  <si>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</si>
  <si>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</si>
  <si>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</si>
  <si>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</si>
  <si>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</si>
  <si>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</si>
  <si>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</si>
  <si>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</si>
  <si>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</si>
  <si>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</si>
  <si>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</si>
  <si>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</si>
  <si>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</si>
  <si>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</si>
  <si>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</si>
  <si>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</si>
  <si>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</si>
  <si>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</si>
  <si>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</si>
  <si>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</si>
  <si>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</si>
  <si>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</si>
  <si>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</si>
  <si>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</si>
  <si>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</si>
  <si>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</si>
  <si>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</si>
  <si>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</si>
  <si>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</si>
  <si>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</si>
  <si>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</si>
  <si>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</si>
  <si>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</si>
  <si>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</si>
  <si>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</si>
  <si>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</si>
  <si>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</si>
  <si>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</si>
  <si>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</si>
  <si>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</si>
  <si>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</si>
  <si>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</si>
  <si>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</si>
  <si>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</si>
  <si>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</si>
  <si>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</si>
  <si>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</si>
  <si>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</si>
  <si>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</si>
  <si>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</si>
  <si>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</si>
  <si>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</si>
  <si>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</si>
  <si>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</si>
  <si>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</si>
  <si>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</si>
  <si>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</si>
  <si>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</si>
  <si>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</si>
  <si>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</si>
  <si>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</si>
  <si>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</si>
  <si>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</si>
  <si>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</si>
  <si>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</si>
  <si>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</si>
  <si>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</si>
  <si>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</si>
  <si>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</si>
  <si>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</si>
  <si>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</si>
  <si>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</si>
  <si>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</si>
  <si>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</si>
  <si>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</si>
  <si>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</si>
  <si>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</si>
  <si>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</si>
  <si>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</si>
  <si>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</si>
  <si>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</si>
  <si>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</si>
  <si>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</si>
  <si>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</si>
  <si>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</si>
  <si>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</si>
  <si>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</si>
  <si>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</si>
  <si>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</si>
  <si>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</si>
  <si>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</si>
  <si>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</si>
  <si>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</si>
  <si>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</si>
  <si>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</si>
  <si>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</si>
  <si>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</si>
  <si>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</si>
  <si>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</si>
  <si>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</si>
  <si>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</si>
  <si>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</si>
  <si>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</si>
  <si>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</si>
  <si>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</si>
  <si>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</si>
  <si>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</si>
  <si>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</si>
  <si>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</si>
  <si>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</si>
  <si>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</si>
  <si>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</si>
  <si>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</si>
  <si>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</si>
  <si>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</si>
  <si>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</si>
  <si>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</si>
  <si>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</si>
  <si>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</si>
  <si>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</si>
  <si>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</si>
  <si>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</si>
  <si>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</si>
  <si>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</si>
  <si>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</si>
  <si>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</si>
  <si>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</si>
  <si>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</si>
  <si>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</si>
  <si>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</si>
  <si>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</si>
  <si>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</si>
  <si>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</si>
  <si>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</si>
  <si>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</si>
  <si>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</si>
  <si>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</si>
  <si>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</si>
  <si>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</si>
  <si>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</si>
  <si>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</si>
  <si>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</si>
  <si>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</si>
  <si>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</si>
  <si>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</si>
  <si>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</si>
  <si>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</si>
  <si>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</si>
  <si>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</si>
  <si>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</si>
  <si>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</si>
  <si>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</si>
  <si>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</si>
  <si>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</si>
  <si>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</si>
  <si>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</si>
  <si>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</si>
  <si>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</si>
  <si>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</si>
  <si>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</si>
  <si>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</si>
  <si>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</si>
  <si>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</si>
  <si>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</si>
  <si>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</si>
  <si>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</si>
  <si>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</si>
  <si>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</si>
  <si>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</si>
  <si>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</si>
  <si>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</si>
  <si>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</si>
  <si>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</si>
  <si>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</si>
  <si>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</si>
  <si>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</si>
  <si>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</si>
  <si>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</si>
  <si>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</si>
  <si>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</si>
  <si>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</si>
  <si>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</si>
  <si>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</si>
  <si>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</si>
  <si>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</si>
  <si>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</si>
  <si>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</si>
  <si>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</si>
  <si>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</si>
  <si>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</si>
  <si>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</si>
  <si>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</si>
  <si>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</si>
  <si>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</si>
  <si>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</si>
  <si>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</si>
  <si>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</si>
  <si>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</si>
  <si>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</si>
  <si>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</si>
  <si>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</si>
  <si>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</si>
  <si>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</si>
  <si>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</si>
  <si>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</si>
  <si>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</si>
  <si>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</si>
  <si>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</si>
  <si>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</si>
  <si>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</si>
  <si>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</si>
  <si>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</si>
  <si>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</si>
  <si>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</si>
  <si>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</si>
  <si>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</si>
  <si>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</si>
  <si>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</si>
  <si>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</si>
  <si>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</si>
  <si>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</si>
  <si>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</si>
  <si>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</si>
  <si>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</si>
  <si>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</si>
  <si>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</si>
  <si>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</si>
  <si>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</si>
  <si>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</si>
  <si>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</si>
  <si>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</si>
  <si>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</si>
  <si>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</si>
  <si>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</si>
  <si>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</si>
  <si>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</si>
  <si>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</si>
  <si>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</si>
  <si>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</si>
  <si>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</si>
  <si>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</si>
  <si>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</si>
  <si>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</si>
  <si>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</si>
  <si>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</si>
  <si>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</si>
  <si>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</si>
  <si>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</si>
  <si>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</si>
  <si>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</si>
  <si>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</si>
  <si>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</si>
  <si>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</si>
  <si>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</si>
  <si>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</si>
  <si>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</si>
  <si>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</si>
  <si>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</si>
  <si>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</si>
  <si>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</si>
  <si>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</si>
  <si>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</si>
  <si>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</si>
  <si>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</si>
  <si>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</si>
  <si>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</si>
  <si>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</si>
  <si>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</si>
  <si>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</si>
  <si>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</si>
  <si>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</si>
  <si>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</si>
  <si>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</si>
  <si>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</si>
  <si>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</si>
  <si>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</si>
  <si>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</si>
  <si>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</si>
  <si>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</si>
  <si>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</si>
  <si>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</si>
  <si>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</si>
  <si>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</si>
  <si>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</si>
  <si>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</si>
  <si>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</si>
  <si>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</si>
  <si>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</si>
  <si>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</si>
  <si>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</si>
  <si>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</si>
  <si>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</si>
  <si>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</si>
  <si>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</si>
  <si>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</si>
  <si>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</si>
  <si>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</si>
  <si>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</si>
  <si>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</si>
  <si>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</si>
  <si>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</si>
  <si>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</si>
  <si>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</si>
  <si>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</si>
  <si>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</si>
  <si>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</si>
  <si>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</si>
  <si>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</si>
  <si>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</si>
  <si>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</si>
  <si>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</si>
  <si>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</si>
  <si>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</si>
  <si>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</si>
  <si>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</si>
  <si>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</si>
  <si>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</si>
  <si>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</si>
  <si>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</si>
  <si>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</si>
  <si>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</si>
  <si>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</si>
  <si>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</si>
  <si>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</si>
  <si>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</si>
  <si>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</si>
  <si>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</si>
  <si>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</si>
  <si>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</si>
  <si>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</si>
  <si>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</si>
  <si>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</si>
  <si>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</si>
  <si>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</si>
  <si>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</si>
  <si>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</si>
  <si>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</si>
  <si>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</si>
  <si>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</si>
  <si>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</si>
  <si>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</si>
  <si>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</si>
  <si>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</si>
  <si>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</si>
  <si>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</si>
  <si>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</si>
  <si>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</si>
  <si>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</si>
  <si>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</si>
  <si>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</si>
  <si>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</si>
  <si>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</si>
  <si>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</si>
  <si>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</si>
  <si>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</si>
  <si>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</si>
  <si>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</si>
  <si>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</si>
  <si>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</si>
  <si>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</si>
  <si>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</si>
  <si>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</si>
  <si>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</si>
  <si>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</si>
  <si>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</si>
  <si>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</si>
  <si>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</si>
  <si>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</si>
  <si>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</si>
  <si>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</si>
  <si>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</si>
  <si>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</si>
  <si>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</si>
  <si>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</si>
  <si>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</si>
  <si>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</si>
  <si>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</si>
  <si>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</si>
  <si>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</si>
  <si>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</si>
  <si>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</si>
  <si>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</si>
  <si>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</si>
  <si>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</si>
  <si>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</si>
  <si>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</si>
  <si>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</si>
  <si>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</si>
  <si>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</si>
  <si>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</si>
  <si>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</si>
  <si>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</si>
  <si>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</si>
  <si>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</si>
  <si>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</si>
  <si>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</si>
  <si>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</si>
  <si>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</si>
  <si>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</si>
  <si>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</si>
  <si>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</si>
  <si>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</si>
  <si>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</si>
  <si>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</si>
  <si>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</si>
  <si>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</si>
  <si>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</si>
  <si>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</si>
  <si>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</si>
  <si>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</si>
  <si>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</si>
  <si>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</si>
  <si>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</si>
  <si>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</si>
  <si>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</si>
  <si>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</si>
  <si>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</si>
  <si>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</si>
  <si>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</si>
  <si>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</si>
  <si>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</si>
  <si>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</si>
  <si>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</si>
  <si>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</si>
  <si>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</si>
  <si>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</si>
  <si>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</si>
  <si>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</si>
  <si>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</si>
  <si>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</si>
  <si>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</si>
  <si>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</si>
  <si>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</si>
  <si>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</si>
  <si>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</si>
  <si>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</si>
  <si>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</si>
  <si>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</si>
  <si>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</si>
  <si>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</si>
  <si>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</si>
  <si>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</si>
  <si>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</si>
  <si>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</si>
  <si>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</si>
  <si>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</si>
  <si>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</si>
  <si>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</si>
  <si>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</si>
  <si>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</si>
  <si>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</si>
  <si>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</si>
  <si>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</si>
  <si>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</si>
  <si>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</si>
  <si>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</si>
  <si>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</si>
  <si>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</si>
  <si>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</si>
  <si>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</si>
  <si>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</si>
  <si>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</si>
  <si>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</si>
  <si>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</si>
  <si>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</si>
  <si>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</si>
  <si>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</si>
  <si>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</si>
  <si>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</si>
  <si>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</si>
  <si>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</si>
  <si>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</si>
  <si>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</si>
  <si>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</si>
  <si>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</si>
  <si>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</si>
  <si>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</si>
  <si>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</si>
  <si>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</si>
  <si>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</si>
  <si>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</si>
  <si>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</si>
  <si>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</si>
  <si>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</si>
  <si>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</si>
  <si>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</si>
  <si>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</si>
  <si>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</si>
  <si>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</si>
  <si>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</si>
  <si>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</si>
  <si>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</si>
  <si>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</si>
  <si>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</si>
  <si>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</si>
  <si>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</si>
  <si>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</si>
  <si>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</si>
  <si>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</si>
  <si>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</si>
  <si>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</si>
  <si>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</si>
  <si>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</si>
  <si>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</si>
  <si>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</si>
  <si>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</si>
  <si>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</si>
  <si>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</si>
  <si>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</si>
  <si>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</si>
  <si>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</si>
  <si>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</si>
  <si>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</si>
  <si>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</si>
  <si>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</si>
  <si>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</si>
  <si>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</si>
  <si>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</si>
  <si>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</si>
  <si>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</si>
  <si>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</si>
  <si>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</si>
  <si>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</si>
  <si>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</si>
  <si>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</si>
  <si>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</si>
  <si>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</si>
  <si>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</si>
  <si>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</si>
  <si>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</si>
  <si>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</si>
  <si>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</si>
  <si>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</si>
  <si>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</si>
  <si>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</si>
  <si>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</si>
  <si>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</si>
  <si>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</si>
  <si>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</si>
  <si>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</si>
  <si>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</si>
  <si>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</si>
  <si>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</si>
  <si>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</si>
  <si>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</si>
  <si>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</si>
  <si>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</si>
  <si>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</si>
  <si>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</si>
  <si>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</si>
  <si>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</si>
  <si>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</si>
  <si>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</si>
  <si>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</si>
  <si>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</si>
  <si>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</si>
  <si>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</si>
  <si>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</si>
  <si>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</si>
  <si>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</si>
  <si>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</si>
  <si>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</si>
  <si>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</si>
  <si>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</si>
  <si>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</si>
  <si>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</si>
  <si>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</si>
  <si>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</si>
  <si>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</si>
  <si>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</si>
  <si>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</si>
  <si>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</si>
  <si>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</si>
  <si>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</si>
  <si>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</si>
  <si>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</si>
  <si>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</si>
  <si>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</si>
  <si>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</si>
  <si>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</si>
  <si>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</si>
  <si>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</si>
  <si>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</si>
  <si>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</si>
  <si>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</si>
  <si>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</si>
  <si>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</si>
  <si>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</si>
  <si>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</si>
  <si>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</si>
  <si>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</si>
  <si>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</si>
  <si>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</si>
  <si>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</si>
  <si>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</si>
  <si>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</si>
  <si>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</si>
  <si>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</si>
  <si>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</si>
  <si>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</si>
  <si>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</si>
  <si>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</si>
  <si>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</si>
  <si>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</si>
  <si>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</si>
  <si>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</si>
  <si>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</si>
  <si>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</si>
  <si>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</si>
  <si>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</si>
  <si>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</si>
  <si>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</si>
  <si>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</si>
  <si>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</si>
  <si>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</si>
  <si>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</si>
  <si>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</si>
  <si>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</si>
  <si>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</si>
  <si>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</si>
  <si>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</si>
  <si>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</si>
  <si>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</si>
  <si>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</si>
  <si>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</si>
  <si>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</si>
  <si>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</si>
  <si>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</si>
  <si>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</si>
  <si>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</si>
  <si>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</si>
  <si>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</si>
  <si>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</si>
  <si>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</si>
  <si>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</si>
  <si>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</si>
  <si>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</si>
  <si>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</si>
  <si>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</si>
  <si>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</si>
  <si>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</si>
  <si>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</si>
  <si>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</si>
  <si>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</si>
  <si>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</si>
  <si>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</si>
  <si>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</si>
  <si>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</si>
  <si>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</si>
  <si>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</si>
  <si>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</si>
  <si>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</si>
  <si>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</si>
  <si>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</si>
  <si>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</si>
  <si>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</si>
  <si>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</si>
  <si>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</si>
  <si>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</si>
  <si>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</si>
  <si>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</si>
  <si>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</si>
  <si>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</si>
  <si>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</si>
  <si>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</si>
  <si>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</si>
  <si>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</si>
  <si>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</si>
  <si>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</si>
  <si>
    <t>Crystal</t>
  </si>
  <si>
    <t>Mana</t>
  </si>
  <si>
    <t>Energy cryst worth</t>
  </si>
  <si>
    <t>Price</t>
  </si>
  <si>
    <t>Days</t>
  </si>
  <si>
    <t>Cryst gain/zl</t>
  </si>
  <si>
    <t>Try to Get</t>
  </si>
  <si>
    <t>1r</t>
  </si>
  <si>
    <t>2r</t>
  </si>
  <si>
    <t>3r</t>
  </si>
  <si>
    <t>Spd +</t>
  </si>
  <si>
    <t>Fatal/Att</t>
  </si>
  <si>
    <t>Fatal/Spd</t>
  </si>
  <si>
    <t>Spd/Att</t>
  </si>
  <si>
    <t>Spd/Spd</t>
  </si>
  <si>
    <t>Skill</t>
  </si>
  <si>
    <t>Att % rune</t>
  </si>
  <si>
    <t>nuke % dmg 1st skill</t>
  </si>
  <si>
    <t>DPS % 1ST skill</t>
  </si>
  <si>
    <t>Speed buff</t>
  </si>
  <si>
    <t>Rune Set</t>
  </si>
  <si>
    <t>Att % basic</t>
  </si>
  <si>
    <t xml:space="preserve">SPD </t>
  </si>
  <si>
    <t>Basic spd</t>
  </si>
  <si>
    <t>Nuke 2 turns</t>
  </si>
  <si>
    <t>DPS 2 turns</t>
  </si>
  <si>
    <t>Speed staat +</t>
  </si>
  <si>
    <t>1Devilmon Cryst cost</t>
  </si>
  <si>
    <t>Devilmon cryst worth</t>
  </si>
  <si>
    <t>Mana gain from Cryst burn</t>
  </si>
  <si>
    <t>Mana gain/zl</t>
  </si>
  <si>
    <t>Faimon Farm</t>
  </si>
  <si>
    <t>1188 XP</t>
  </si>
  <si>
    <t>Halls Cost</t>
  </si>
  <si>
    <t>950 Energy</t>
  </si>
  <si>
    <t>Mana gain</t>
  </si>
  <si>
    <t>Cryst on refills</t>
  </si>
  <si>
    <t>Fod XP worth</t>
  </si>
  <si>
    <t>Total Cost</t>
  </si>
  <si>
    <t>Giant Farm</t>
  </si>
  <si>
    <t>Devil Pack</t>
  </si>
  <si>
    <t>3 devilmon with 15d packs</t>
  </si>
  <si>
    <t>Cryst all gain</t>
  </si>
  <si>
    <t>World boss</t>
  </si>
  <si>
    <t>C</t>
  </si>
  <si>
    <t>ToA NM Manu</t>
  </si>
  <si>
    <t>Baretta+Vero+Ahman+Bella+Koma</t>
  </si>
  <si>
    <t>Shield</t>
  </si>
  <si>
    <t>Resist</t>
  </si>
  <si>
    <t>Tot HP</t>
  </si>
  <si>
    <t>Total Def</t>
  </si>
  <si>
    <t>% mitigation</t>
  </si>
  <si>
    <t>% mitigation with Def brake</t>
  </si>
  <si>
    <t>Def Brake Inc % DMG</t>
  </si>
  <si>
    <t>effective 2xHP</t>
  </si>
  <si>
    <t>effective 2xHP DEF brake</t>
  </si>
  <si>
    <t>effective HP+DEF</t>
  </si>
  <si>
    <t>effective HP+DEF DEF brake</t>
  </si>
  <si>
    <t>effective 3xHP</t>
  </si>
  <si>
    <t>effective  2xHP+DEF</t>
  </si>
  <si>
    <t>effective  HP+2xDEF</t>
  </si>
  <si>
    <t>effective 3xHP DEF brake</t>
  </si>
  <si>
    <t>effective 2xHP+DEF DEF brake</t>
  </si>
  <si>
    <t>effective HP+2xDEF DEF brake</t>
  </si>
  <si>
    <t>No stones</t>
  </si>
  <si>
    <t>Base HP</t>
  </si>
  <si>
    <t>Total HP</t>
  </si>
  <si>
    <t>Base Def</t>
  </si>
  <si>
    <t xml:space="preserve">Total % </t>
  </si>
  <si>
    <t>Proc of how much DEF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</si>
</sst>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0" fontId="5" fillId="0" borderId="0"/>
  </cellStyleXfs>
  <cellXfs count="231">
    <xf numFmtId="0" fontId="0" fillId="0" borderId="0" xfId="0"/>
    <xf numFmtId="4" fontId="0" fillId="0" borderId="0" xfId="0" applyNumberFormat="1"/>
    <xf numFmtId="0" fontId="0" fillId="2" borderId="0" xfId="0" applyFill="1"/>
    <xf numFmtId="0" fontId="6" fillId="3" borderId="1" xfId="0" applyFont="1" applyFill="1" applyBorder="1"/>
    <xf numFmtId="0" fontId="6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7" fillId="0" borderId="10" xfId="0" applyNumberFormat="1" applyFont="1" applyFill="1" applyBorder="1" applyAlignment="1">
      <alignment horizontal="left" wrapText="1"/>
    </xf>
    <xf numFmtId="0" fontId="7" fillId="0" borderId="10" xfId="0" applyFont="1" applyFill="1" applyBorder="1" applyAlignment="1">
      <alignment horizontal="left" wrapText="1"/>
    </xf>
    <xf numFmtId="3" fontId="7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8" fillId="0" borderId="5" xfId="0" applyNumberFormat="1" applyFont="1" applyBorder="1"/>
    <xf numFmtId="0" fontId="8" fillId="0" borderId="4" xfId="0" applyFont="1" applyBorder="1"/>
    <xf numFmtId="0" fontId="8" fillId="0" borderId="3" xfId="0" applyFont="1" applyBorder="1"/>
    <xf numFmtId="165" fontId="8" fillId="0" borderId="14" xfId="0" applyNumberFormat="1" applyFont="1" applyBorder="1"/>
    <xf numFmtId="0" fontId="9" fillId="4" borderId="0" xfId="0" applyFont="1" applyFill="1" applyBorder="1" applyAlignment="1">
      <alignment horizontal="left" vertical="center" wrapText="1"/>
    </xf>
    <xf numFmtId="0" fontId="8" fillId="0" borderId="0" xfId="0" applyFont="1"/>
    <xf numFmtId="4" fontId="7" fillId="0" borderId="10" xfId="0" applyNumberFormat="1" applyFont="1" applyFill="1" applyBorder="1" applyAlignment="1">
      <alignment horizontal="left" wrapText="1"/>
    </xf>
    <xf numFmtId="4" fontId="8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10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8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8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8" fillId="0" borderId="16" xfId="0" applyFont="1" applyFill="1" applyBorder="1"/>
    <xf numFmtId="0" fontId="0" fillId="0" borderId="0" xfId="0" applyAlignment="1">
      <alignment wrapText="1"/>
    </xf>
    <xf numFmtId="0" fontId="8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8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8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8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8" fillId="9" borderId="8" xfId="0" applyFont="1" applyFill="1" applyBorder="1"/>
    <xf numFmtId="0" fontId="0" fillId="9" borderId="5" xfId="0" applyFill="1" applyBorder="1"/>
    <xf numFmtId="0" fontId="8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8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8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7" fillId="4" borderId="0" xfId="0" applyFont="1" applyFill="1" applyBorder="1" applyAlignment="1">
      <alignment horizontal="left" vertical="center" wrapText="1"/>
    </xf>
    <xf numFmtId="0" fontId="7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9" fillId="0" borderId="20" xfId="0" applyFont="1" applyFill="1" applyBorder="1" applyAlignment="1">
      <alignment horizontal="left" vertical="center" wrapText="1"/>
    </xf>
    <xf numFmtId="0" fontId="9" fillId="0" borderId="1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9" fillId="0" borderId="15" xfId="0" applyFont="1" applyFill="1" applyBorder="1" applyAlignment="1">
      <alignment horizontal="left" vertical="center" wrapText="1"/>
    </xf>
    <xf numFmtId="0" fontId="8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12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12" fillId="0" borderId="20" xfId="0" applyFont="1" applyFill="1" applyBorder="1" applyAlignment="1">
      <alignment horizontal="left" wrapText="1"/>
    </xf>
    <xf numFmtId="0" fontId="12" fillId="0" borderId="10" xfId="0" applyFont="1" applyFill="1" applyBorder="1" applyAlignment="1">
      <alignment horizontal="left" wrapText="1"/>
    </xf>
    <xf numFmtId="9" fontId="12" fillId="0" borderId="10" xfId="0" applyNumberFormat="1" applyFont="1" applyFill="1" applyBorder="1" applyAlignment="1">
      <alignment horizontal="left" wrapText="1"/>
    </xf>
    <xf numFmtId="3" fontId="12" fillId="0" borderId="10" xfId="0" applyNumberFormat="1" applyFont="1" applyFill="1" applyBorder="1" applyAlignment="1">
      <alignment horizontal="left" wrapText="1"/>
    </xf>
    <xf numFmtId="4" fontId="12" fillId="0" borderId="10" xfId="0" applyNumberFormat="1" applyFont="1" applyFill="1" applyBorder="1" applyAlignment="1">
      <alignment horizontal="left" wrapText="1"/>
    </xf>
    <xf numFmtId="0" fontId="12" fillId="0" borderId="21" xfId="0" applyFont="1" applyFill="1" applyBorder="1" applyAlignment="1">
      <alignment horizontal="left" wrapText="1"/>
    </xf>
    <xf numFmtId="0" fontId="12" fillId="0" borderId="22" xfId="0" applyFont="1" applyFill="1" applyBorder="1" applyAlignment="1">
      <alignment horizontal="left" wrapText="1"/>
    </xf>
    <xf numFmtId="9" fontId="12" fillId="0" borderId="22" xfId="0" applyNumberFormat="1" applyFont="1" applyFill="1" applyBorder="1" applyAlignment="1">
      <alignment horizontal="left" wrapText="1"/>
    </xf>
    <xf numFmtId="3" fontId="12" fillId="0" borderId="22" xfId="0" applyNumberFormat="1" applyFont="1" applyFill="1" applyBorder="1" applyAlignment="1">
      <alignment horizontal="left" wrapText="1"/>
    </xf>
    <xf numFmtId="4" fontId="12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5" fillId="0" borderId="0" xfId="2"/>
    <xf numFmtId="0" fontId="5" fillId="0" borderId="0" xfId="2" applyAlignment="1">
      <alignment vertical="center" wrapText="1"/>
    </xf>
    <xf numFmtId="0" fontId="14" fillId="0" borderId="0" xfId="2" applyFont="1" applyAlignment="1">
      <alignment vertical="center" wrapText="1"/>
    </xf>
    <xf numFmtId="0" fontId="15" fillId="0" borderId="0" xfId="2" applyFont="1" applyAlignment="1">
      <alignment vertical="center" wrapText="1"/>
    </xf>
    <xf numFmtId="0" fontId="5" fillId="13" borderId="0" xfId="2" applyFill="1" applyAlignment="1">
      <alignment vertical="center" wrapText="1"/>
    </xf>
    <xf numFmtId="0" fontId="16" fillId="0" borderId="0" xfId="2" applyFont="1" applyAlignment="1">
      <alignment vertical="center" wrapText="1"/>
    </xf>
    <xf numFmtId="0" fontId="13" fillId="0" borderId="0" xfId="2" applyFont="1" applyAlignment="1">
      <alignment vertical="center" wrapText="1"/>
    </xf>
    <xf numFmtId="0" fontId="13" fillId="13" borderId="0" xfId="2" applyFont="1" applyFill="1" applyAlignment="1">
      <alignment vertical="center" wrapText="1"/>
    </xf>
    <xf numFmtId="0" fontId="5" fillId="5" borderId="0" xfId="2" applyFill="1" applyAlignment="1">
      <alignment vertical="center" wrapText="1"/>
    </xf>
    <xf numFmtId="0" fontId="15" fillId="4" borderId="0" xfId="2" applyFont="1" applyFill="1" applyAlignment="1">
      <alignment vertical="center" wrapText="1"/>
    </xf>
    <xf numFmtId="0" fontId="16" fillId="13" borderId="0" xfId="2" applyFont="1" applyFill="1" applyAlignment="1">
      <alignment vertical="center" wrapText="1"/>
    </xf>
    <xf numFmtId="0" fontId="5" fillId="0" borderId="0" xfId="2" applyNumberFormat="1" applyAlignment="1">
      <alignment vertical="center" wrapText="1"/>
    </xf>
    <xf numFmtId="0" fontId="5" fillId="13" borderId="0" xfId="2" applyNumberFormat="1" applyFill="1" applyAlignment="1">
      <alignment vertical="center" wrapText="1"/>
    </xf>
    <xf numFmtId="0" fontId="5" fillId="5" borderId="0" xfId="2" applyNumberFormat="1" applyFill="1" applyAlignment="1">
      <alignment vertical="center" wrapText="1"/>
    </xf>
    <xf numFmtId="0" fontId="5" fillId="0" borderId="0" xfId="2" applyFill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6" fillId="0" borderId="0" xfId="2" applyNumberFormat="1" applyFont="1" applyAlignment="1">
      <alignment vertical="center" wrapText="1"/>
    </xf>
    <xf numFmtId="0" fontId="15" fillId="0" borderId="0" xfId="2" applyNumberFormat="1" applyFont="1" applyAlignment="1">
      <alignment vertical="center" wrapText="1"/>
    </xf>
    <xf numFmtId="0" fontId="14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8" fillId="0" borderId="7" xfId="0" applyFont="1" applyFill="1" applyBorder="1"/>
    <xf numFmtId="0" fontId="4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3" fillId="0" borderId="0" xfId="2" applyFont="1" applyAlignment="1">
      <alignment vertical="center" wrapText="1"/>
    </xf>
    <xf numFmtId="2" fontId="0" fillId="2" borderId="0" xfId="0" applyNumberFormat="1" applyFill="1"/>
    <xf numFmtId="164" fontId="0" fillId="2" borderId="0" xfId="0" applyNumberFormat="1" applyFill="1"/>
    <xf numFmtId="0" fontId="0" fillId="0" borderId="26" xfId="0" applyBorder="1"/>
    <xf numFmtId="0" fontId="8" fillId="0" borderId="27" xfId="0" applyFont="1" applyBorder="1"/>
    <xf numFmtId="3" fontId="8" fillId="0" borderId="27" xfId="0" applyNumberFormat="1" applyFont="1" applyBorder="1"/>
    <xf numFmtId="4" fontId="0" fillId="0" borderId="26" xfId="0" applyNumberFormat="1" applyBorder="1"/>
    <xf numFmtId="4" fontId="0" fillId="0" borderId="28" xfId="0" applyNumberFormat="1" applyBorder="1"/>
    <xf numFmtId="0" fontId="0" fillId="0" borderId="29" xfId="0" applyBorder="1"/>
    <xf numFmtId="3" fontId="8" fillId="0" borderId="30" xfId="0" applyNumberFormat="1" applyFont="1" applyBorder="1"/>
    <xf numFmtId="0" fontId="2" fillId="0" borderId="0" xfId="2" applyFont="1" applyAlignment="1">
      <alignment vertical="center" wrapText="1"/>
    </xf>
    <xf numFmtId="0" fontId="1" fillId="0" borderId="0" xfId="2" applyFont="1" applyAlignment="1">
      <alignment vertical="center" wrapText="1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2">
    <dxf>
      <numFmt numFmtId="0" formatCode="General"/>
      <alignment horizontal="general" vertical="center" textRotation="0" wrapText="1" indent="0" relativeIndent="255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3" formatCode="#,##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l-PL"/>
  <c:pivotSource>
    <c:name>[Summoners_wars.xlsx]Arkusz1!Tabela przestawna1</c:name>
    <c:fmtId val="1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478E-2"/>
          <c:w val="0.72971464242649353"/>
          <c:h val="0.89097169207608684"/>
        </c:manualLayout>
      </c:layout>
      <c:lineChart>
        <c:grouping val="standard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</c:ser>
        <c:marker val="1"/>
        <c:axId val="109599744"/>
        <c:axId val="51430144"/>
      </c:lineChart>
      <c:catAx>
        <c:axId val="109599744"/>
        <c:scaling>
          <c:orientation val="minMax"/>
        </c:scaling>
        <c:axPos val="b"/>
        <c:tickLblPos val="nextTo"/>
        <c:crossAx val="51430144"/>
        <c:crosses val="autoZero"/>
        <c:auto val="1"/>
        <c:lblAlgn val="ctr"/>
        <c:lblOffset val="100"/>
      </c:catAx>
      <c:valAx>
        <c:axId val="51430144"/>
        <c:scaling>
          <c:orientation val="minMax"/>
        </c:scaling>
        <c:axPos val="l"/>
        <c:majorGridlines/>
        <c:numFmt formatCode="General" sourceLinked="1"/>
        <c:tickLblPos val="nextTo"/>
        <c:crossAx val="109599744"/>
        <c:crosses val="autoZero"/>
        <c:crossBetween val="between"/>
      </c:valAx>
    </c:plotArea>
    <c:legend>
      <c:legendPos val="r"/>
    </c:legend>
    <c:plotVisOnly val="1"/>
    <c:dispBlanksAs val="gap"/>
  </c:chart>
  <c:printSettings>
    <c:headerFooter/>
    <c:pageMargins b="0.75000000000000167" l="0.70000000000000062" r="0.70000000000000062" t="0.75000000000000167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46.654743865744" createdVersion="3" refreshedVersion="3" minRefreshableVersion="3" recordCount="1996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s"/>
        <s v="HoMagic"/>
        <s v="Mt White"/>
        <s v="Aiden"/>
        <s v="HoLight"/>
        <s v="HoDark"/>
        <s v="HoWater"/>
        <s v="HoFire"/>
        <s v="SD"/>
        <s v="HoWind"/>
        <s v="Hydeni"/>
        <s v="Vrofagul"/>
        <s v="Dragon"/>
        <m/>
        <s v="Giant" u="1"/>
      </sharedItems>
    </cacheField>
    <cacheField name="LVL" numFmtId="0">
      <sharedItems containsBlank="1" count="4">
        <s v="Normal"/>
        <s v="Hard"/>
        <s v="Hell"/>
        <m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ntainsMixedTypes="1" containsNumber="1" containsInteger="1" minValue="0" maxValue="0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0" maxValue="1" count="12">
        <m/>
        <s v="2*"/>
        <s v="1*"/>
        <s v="low"/>
        <s v="mid"/>
        <s v="3*"/>
        <s v="high"/>
        <s v="4*"/>
        <s v="5*"/>
        <s v="6*"/>
        <n v="0"/>
        <n v="1" u="1"/>
      </sharedItems>
    </cacheField>
    <cacheField name="Sell Drop" numFmtId="0">
      <sharedItems containsString="0" containsBlank="1" containsNumber="1" containsInteger="1" minValue="0" maxValue="27103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6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n v="1"/>
    <x v="1"/>
    <n v="0"/>
    <n v="0"/>
    <n v="11500"/>
    <n v="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2"/>
    <n v="0"/>
    <n v="2000"/>
    <n v="0"/>
    <n v="800"/>
    <m/>
  </r>
  <r>
    <x v="0"/>
    <x v="0"/>
    <x v="1"/>
    <n v="1401"/>
    <n v="0"/>
    <s v="Fod"/>
    <n v="1"/>
    <x v="1"/>
    <n v="0"/>
    <n v="0"/>
    <n v="11500"/>
    <n v="0"/>
    <m/>
  </r>
  <r>
    <x v="0"/>
    <x v="0"/>
    <x v="1"/>
    <n v="1705"/>
    <n v="1"/>
    <s v="Scroll"/>
    <n v="1"/>
    <x v="2"/>
    <n v="0"/>
    <n v="2000"/>
    <n v="0"/>
    <n v="80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n v="1"/>
    <x v="1"/>
    <n v="0"/>
    <n v="0"/>
    <n v="11500"/>
    <n v="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n v="1"/>
    <x v="2"/>
    <n v="0"/>
    <n v="0"/>
    <n v="0"/>
    <n v="0"/>
    <m/>
  </r>
  <r>
    <x v="0"/>
    <x v="0"/>
    <x v="1"/>
    <n v="1881"/>
    <n v="2"/>
    <s v="Scroll"/>
    <n v="1"/>
    <x v="2"/>
    <n v="0"/>
    <n v="2000"/>
    <n v="0"/>
    <n v="80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n v="1"/>
    <x v="2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2"/>
    <n v="0"/>
    <n v="2000"/>
    <n v="0"/>
    <n v="80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2"/>
    <n v="0"/>
    <n v="2000"/>
    <n v="0"/>
    <n v="80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2"/>
    <n v="0"/>
    <n v="2000"/>
    <n v="0"/>
    <n v="80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2"/>
    <n v="0"/>
    <n v="2000"/>
    <n v="0"/>
    <n v="800"/>
    <m/>
  </r>
  <r>
    <x v="0"/>
    <x v="0"/>
    <x v="1"/>
    <n v="999"/>
    <n v="1"/>
    <s v="Scroll"/>
    <n v="1"/>
    <x v="2"/>
    <n v="0"/>
    <n v="2000"/>
    <n v="0"/>
    <n v="80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2"/>
    <n v="0"/>
    <n v="4000"/>
    <n v="0"/>
    <n v="160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2"/>
    <n v="0"/>
    <n v="2000"/>
    <n v="0"/>
    <n v="80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2"/>
    <n v="0"/>
    <n v="2000"/>
    <n v="0"/>
    <n v="80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2"/>
    <n v="0"/>
    <n v="2000"/>
    <n v="0"/>
    <n v="800"/>
    <m/>
  </r>
  <r>
    <x v="1"/>
    <x v="0"/>
    <x v="0"/>
    <n v="1618"/>
    <n v="1"/>
    <s v="Scroll"/>
    <n v="1"/>
    <x v="2"/>
    <n v="0"/>
    <n v="2000"/>
    <n v="0"/>
    <n v="80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2"/>
    <n v="0"/>
    <n v="2000"/>
    <n v="0"/>
    <n v="80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2"/>
    <n v="0"/>
    <n v="2000"/>
    <n v="0"/>
    <n v="80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n v="1"/>
    <x v="1"/>
    <n v="0"/>
    <n v="0"/>
    <n v="11500"/>
    <n v="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n v="1"/>
    <x v="1"/>
    <n v="0"/>
    <n v="0"/>
    <n v="11500"/>
    <n v="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2"/>
    <n v="0"/>
    <n v="4000"/>
    <n v="0"/>
    <n v="160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2"/>
    <n v="0"/>
    <n v="2000"/>
    <n v="0"/>
    <n v="80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2"/>
    <n v="0"/>
    <n v="4000"/>
    <n v="0"/>
    <n v="160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2"/>
    <n v="0"/>
    <n v="4000"/>
    <n v="0"/>
    <n v="160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2"/>
    <n v="0"/>
    <n v="4000"/>
    <n v="0"/>
    <n v="160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2"/>
    <n v="0"/>
    <n v="4000"/>
    <n v="0"/>
    <n v="160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2"/>
    <n v="0"/>
    <n v="4000"/>
    <n v="0"/>
    <n v="160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2"/>
    <n v="0"/>
    <n v="4000"/>
    <n v="0"/>
    <n v="160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2"/>
    <n v="0"/>
    <n v="2000"/>
    <n v="0"/>
    <n v="80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2"/>
    <n v="0"/>
    <n v="2000"/>
    <n v="0"/>
    <n v="80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2"/>
    <n v="0"/>
    <n v="2000"/>
    <n v="0"/>
    <n v="800"/>
    <m/>
  </r>
  <r>
    <x v="0"/>
    <x v="1"/>
    <x v="1"/>
    <n v="961"/>
    <n v="0"/>
    <m/>
    <m/>
    <x v="0"/>
    <n v="1159"/>
    <n v="1159"/>
    <n v="0"/>
    <n v="0"/>
    <m/>
  </r>
  <r>
    <x v="2"/>
    <x v="0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3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2"/>
    <n v="0"/>
    <n v="4000"/>
    <n v="0"/>
    <n v="1600"/>
    <m/>
  </r>
  <r>
    <x v="0"/>
    <x v="1"/>
    <x v="1"/>
    <n v="621"/>
    <n v="1"/>
    <s v="Scroll"/>
    <n v="2"/>
    <x v="2"/>
    <n v="0"/>
    <n v="4000"/>
    <n v="0"/>
    <n v="160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n v="1"/>
    <x v="1"/>
    <n v="0"/>
    <n v="0"/>
    <n v="11500"/>
    <n v="0"/>
    <m/>
  </r>
  <r>
    <x v="0"/>
    <x v="1"/>
    <x v="1"/>
    <n v="1295"/>
    <n v="0"/>
    <s v="Scroll"/>
    <n v="2"/>
    <x v="2"/>
    <n v="0"/>
    <n v="4000"/>
    <n v="0"/>
    <n v="1600"/>
    <m/>
  </r>
  <r>
    <x v="0"/>
    <x v="1"/>
    <x v="1"/>
    <n v="2244"/>
    <n v="2"/>
    <s v="Rainb"/>
    <n v="1"/>
    <x v="1"/>
    <n v="0"/>
    <n v="0"/>
    <n v="11500"/>
    <n v="35822"/>
    <m/>
  </r>
  <r>
    <x v="0"/>
    <x v="1"/>
    <x v="1"/>
    <n v="1719"/>
    <n v="1"/>
    <s v="Fod"/>
    <n v="1"/>
    <x v="2"/>
    <n v="0"/>
    <n v="0"/>
    <n v="0"/>
    <n v="0"/>
    <m/>
  </r>
  <r>
    <x v="1"/>
    <x v="0"/>
    <x v="0"/>
    <n v="677"/>
    <n v="0"/>
    <s v="Fod"/>
    <n v="1"/>
    <x v="1"/>
    <n v="0"/>
    <n v="0"/>
    <n v="11500"/>
    <n v="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2"/>
    <n v="0"/>
    <n v="2000"/>
    <n v="0"/>
    <n v="80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n v="1"/>
    <x v="1"/>
    <n v="0"/>
    <n v="0"/>
    <n v="11500"/>
    <n v="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2"/>
    <n v="0"/>
    <n v="2000"/>
    <n v="0"/>
    <n v="80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2"/>
    <n v="0"/>
    <n v="2000"/>
    <n v="0"/>
    <n v="80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2"/>
    <n v="0"/>
    <n v="2000"/>
    <n v="0"/>
    <n v="80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2"/>
    <n v="0"/>
    <n v="2000"/>
    <n v="0"/>
    <n v="80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2"/>
    <n v="0"/>
    <n v="2000"/>
    <n v="0"/>
    <n v="80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2"/>
    <n v="0"/>
    <n v="2000"/>
    <n v="0"/>
    <n v="80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2"/>
    <n v="0"/>
    <n v="2000"/>
    <n v="0"/>
    <n v="800"/>
    <m/>
  </r>
  <r>
    <x v="1"/>
    <x v="0"/>
    <x v="0"/>
    <n v="1954"/>
    <n v="1"/>
    <s v="Scroll"/>
    <n v="1"/>
    <x v="2"/>
    <n v="0"/>
    <n v="2000"/>
    <n v="0"/>
    <n v="800"/>
    <m/>
  </r>
  <r>
    <x v="1"/>
    <x v="0"/>
    <x v="0"/>
    <n v="1261"/>
    <n v="1"/>
    <s v="Scroll"/>
    <n v="1"/>
    <x v="2"/>
    <n v="0"/>
    <n v="2000"/>
    <n v="0"/>
    <n v="800"/>
    <m/>
  </r>
  <r>
    <x v="1"/>
    <x v="0"/>
    <x v="0"/>
    <n v="1559"/>
    <n v="1"/>
    <s v="Fod"/>
    <n v="1"/>
    <x v="1"/>
    <n v="0"/>
    <n v="0"/>
    <n v="11500"/>
    <n v="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2"/>
    <n v="0"/>
    <n v="2000"/>
    <n v="0"/>
    <n v="800"/>
    <m/>
  </r>
  <r>
    <x v="1"/>
    <x v="0"/>
    <x v="0"/>
    <n v="1770"/>
    <n v="2"/>
    <s v="Scroll"/>
    <n v="1"/>
    <x v="2"/>
    <n v="0"/>
    <n v="2000"/>
    <n v="0"/>
    <n v="80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2"/>
    <n v="0"/>
    <n v="2000"/>
    <n v="0"/>
    <n v="800"/>
    <m/>
  </r>
  <r>
    <x v="3"/>
    <x v="0"/>
    <x v="4"/>
    <n v="1346"/>
    <n v="1"/>
    <s v="Magic"/>
    <n v="2"/>
    <x v="3"/>
    <n v="0"/>
    <n v="0"/>
    <n v="0"/>
    <n v="0"/>
    <m/>
  </r>
  <r>
    <x v="3"/>
    <x v="0"/>
    <x v="4"/>
    <n v="1240"/>
    <n v="0"/>
    <s v="Scroll"/>
    <n v="2"/>
    <x v="2"/>
    <n v="0"/>
    <n v="4000"/>
    <n v="0"/>
    <n v="1600"/>
    <m/>
  </r>
  <r>
    <x v="3"/>
    <x v="0"/>
    <x v="4"/>
    <n v="1238"/>
    <n v="0"/>
    <s v="Scroll"/>
    <n v="3"/>
    <x v="2"/>
    <n v="0"/>
    <n v="6000"/>
    <n v="0"/>
    <n v="2400"/>
    <m/>
  </r>
  <r>
    <x v="3"/>
    <x v="0"/>
    <x v="4"/>
    <n v="1236"/>
    <n v="1"/>
    <s v="Scroll"/>
    <n v="2"/>
    <x v="2"/>
    <n v="0"/>
    <n v="4000"/>
    <n v="0"/>
    <n v="1600"/>
    <m/>
  </r>
  <r>
    <x v="3"/>
    <x v="0"/>
    <x v="4"/>
    <n v="1365"/>
    <n v="1"/>
    <s v="Magic"/>
    <n v="1"/>
    <x v="4"/>
    <n v="0"/>
    <n v="0"/>
    <n v="0"/>
    <n v="0"/>
    <m/>
  </r>
  <r>
    <x v="3"/>
    <x v="0"/>
    <x v="4"/>
    <n v="1240"/>
    <n v="1"/>
    <s v="Scroll"/>
    <n v="3"/>
    <x v="2"/>
    <n v="0"/>
    <n v="6000"/>
    <n v="0"/>
    <n v="2400"/>
    <m/>
  </r>
  <r>
    <x v="3"/>
    <x v="0"/>
    <x v="4"/>
    <n v="1209"/>
    <n v="1"/>
    <s v="Water"/>
    <n v="2"/>
    <x v="3"/>
    <n v="0"/>
    <n v="0"/>
    <n v="0"/>
    <n v="0"/>
    <m/>
  </r>
  <r>
    <x v="0"/>
    <x v="1"/>
    <x v="1"/>
    <n v="1206"/>
    <n v="0"/>
    <m/>
    <m/>
    <x v="0"/>
    <m/>
    <n v="0"/>
    <n v="0"/>
    <n v="0"/>
    <m/>
  </r>
  <r>
    <x v="4"/>
    <x v="2"/>
    <x v="5"/>
    <n v="1192"/>
    <n v="1"/>
    <s v="Rainb"/>
    <n v="1"/>
    <x v="1"/>
    <n v="0"/>
    <n v="0"/>
    <n v="11500"/>
    <n v="3582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n v="1"/>
    <x v="1"/>
    <n v="0"/>
    <n v="0"/>
    <n v="11500"/>
    <n v="0"/>
    <m/>
  </r>
  <r>
    <x v="0"/>
    <x v="1"/>
    <x v="1"/>
    <n v="2224"/>
    <n v="2"/>
    <s v="Scroll"/>
    <n v="2"/>
    <x v="2"/>
    <n v="0"/>
    <n v="4000"/>
    <n v="0"/>
    <n v="1600"/>
    <m/>
  </r>
  <r>
    <x v="0"/>
    <x v="1"/>
    <x v="1"/>
    <n v="1341"/>
    <n v="1"/>
    <s v="Fod"/>
    <n v="1"/>
    <x v="2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2"/>
    <n v="0"/>
    <n v="4000"/>
    <n v="0"/>
    <n v="1600"/>
    <m/>
  </r>
  <r>
    <x v="0"/>
    <x v="2"/>
    <x v="1"/>
    <n v="1597"/>
    <n v="1"/>
    <m/>
    <m/>
    <x v="0"/>
    <n v="2067"/>
    <n v="2067"/>
    <n v="0"/>
    <n v="0"/>
    <m/>
  </r>
  <r>
    <x v="0"/>
    <x v="2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2"/>
    <n v="0"/>
    <n v="2000"/>
    <n v="0"/>
    <n v="80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2"/>
    <n v="0"/>
    <n v="2000"/>
    <n v="0"/>
    <n v="800"/>
    <m/>
  </r>
  <r>
    <x v="5"/>
    <x v="0"/>
    <x v="0"/>
    <n v="1156"/>
    <n v="0"/>
    <s v="Scroll"/>
    <n v="1"/>
    <x v="2"/>
    <n v="0"/>
    <n v="2000"/>
    <n v="0"/>
    <n v="80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n v="1"/>
    <x v="1"/>
    <n v="0"/>
    <n v="0"/>
    <n v="11500"/>
    <n v="0"/>
    <m/>
  </r>
  <r>
    <x v="5"/>
    <x v="0"/>
    <x v="0"/>
    <n v="1291"/>
    <n v="1"/>
    <s v="Scroll"/>
    <n v="1"/>
    <x v="2"/>
    <n v="0"/>
    <n v="2000"/>
    <n v="0"/>
    <n v="800"/>
    <m/>
  </r>
  <r>
    <x v="5"/>
    <x v="0"/>
    <x v="0"/>
    <n v="1391"/>
    <n v="2"/>
    <s v="Fod"/>
    <n v="1"/>
    <x v="1"/>
    <n v="0"/>
    <n v="0"/>
    <n v="11500"/>
    <n v="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2"/>
    <n v="0"/>
    <n v="2000"/>
    <n v="0"/>
    <n v="800"/>
    <m/>
  </r>
  <r>
    <x v="5"/>
    <x v="0"/>
    <x v="0"/>
    <n v="1376"/>
    <n v="1"/>
    <s v="Fod"/>
    <n v="1"/>
    <x v="1"/>
    <n v="0"/>
    <n v="0"/>
    <n v="11500"/>
    <n v="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n v="1"/>
    <x v="1"/>
    <n v="0"/>
    <n v="0"/>
    <n v="11500"/>
    <n v="0"/>
    <m/>
  </r>
  <r>
    <x v="5"/>
    <x v="0"/>
    <x v="0"/>
    <n v="2414"/>
    <n v="0"/>
    <s v="Fod"/>
    <n v="1"/>
    <x v="1"/>
    <n v="0"/>
    <n v="0"/>
    <n v="11500"/>
    <n v="0"/>
    <m/>
  </r>
  <r>
    <x v="5"/>
    <x v="0"/>
    <x v="0"/>
    <n v="1779"/>
    <n v="1"/>
    <s v="Fod"/>
    <n v="1"/>
    <x v="1"/>
    <n v="0"/>
    <n v="0"/>
    <n v="11500"/>
    <n v="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n v="1"/>
    <x v="1"/>
    <n v="0"/>
    <n v="0"/>
    <n v="11500"/>
    <n v="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2"/>
    <n v="0"/>
    <n v="2000"/>
    <n v="0"/>
    <n v="800"/>
    <m/>
  </r>
  <r>
    <x v="5"/>
    <x v="0"/>
    <x v="0"/>
    <n v="1385"/>
    <n v="0"/>
    <s v="Scroll"/>
    <n v="1"/>
    <x v="2"/>
    <n v="0"/>
    <n v="2000"/>
    <n v="0"/>
    <n v="800"/>
    <m/>
  </r>
  <r>
    <x v="5"/>
    <x v="0"/>
    <x v="0"/>
    <n v="1562"/>
    <n v="1"/>
    <s v="Scroll"/>
    <n v="1"/>
    <x v="2"/>
    <n v="0"/>
    <n v="2000"/>
    <n v="0"/>
    <n v="80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2"/>
    <n v="0"/>
    <n v="2000"/>
    <n v="0"/>
    <n v="80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n v="1"/>
    <x v="1"/>
    <n v="0"/>
    <n v="0"/>
    <n v="11500"/>
    <n v="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2"/>
    <n v="0"/>
    <n v="2000"/>
    <n v="0"/>
    <n v="800"/>
    <m/>
  </r>
  <r>
    <x v="5"/>
    <x v="0"/>
    <x v="0"/>
    <n v="1437"/>
    <n v="0"/>
    <s v="Scroll"/>
    <n v="1"/>
    <x v="2"/>
    <n v="0"/>
    <n v="2000"/>
    <n v="0"/>
    <n v="80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2"/>
    <n v="0"/>
    <n v="2000"/>
    <n v="0"/>
    <n v="800"/>
    <m/>
  </r>
  <r>
    <x v="5"/>
    <x v="0"/>
    <x v="0"/>
    <n v="1913"/>
    <n v="1"/>
    <s v="Scroll"/>
    <n v="1"/>
    <x v="2"/>
    <n v="0"/>
    <n v="2000"/>
    <n v="0"/>
    <n v="80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2"/>
    <x v="1"/>
    <n v="1484"/>
    <n v="2"/>
    <m/>
    <m/>
    <x v="0"/>
    <n v="1159"/>
    <n v="1159"/>
    <n v="0"/>
    <n v="0"/>
    <m/>
  </r>
  <r>
    <x v="0"/>
    <x v="2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2"/>
    <n v="0"/>
    <n v="2000"/>
    <n v="0"/>
    <n v="80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2"/>
    <n v="0"/>
    <n v="2000"/>
    <n v="0"/>
    <n v="80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2"/>
    <n v="0"/>
    <n v="2000"/>
    <n v="0"/>
    <n v="80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2"/>
    <n v="0"/>
    <n v="2000"/>
    <n v="0"/>
    <n v="80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2"/>
    <n v="0"/>
    <n v="2000"/>
    <n v="0"/>
    <n v="800"/>
    <m/>
  </r>
  <r>
    <x v="5"/>
    <x v="0"/>
    <x v="0"/>
    <n v="1054"/>
    <n v="0"/>
    <s v="Fod"/>
    <n v="1"/>
    <x v="1"/>
    <n v="0"/>
    <n v="0"/>
    <n v="11500"/>
    <n v="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2"/>
    <n v="0"/>
    <n v="2000"/>
    <n v="0"/>
    <n v="800"/>
    <m/>
  </r>
  <r>
    <x v="3"/>
    <x v="0"/>
    <x v="3"/>
    <n v="1500"/>
    <n v="0"/>
    <s v="Magic"/>
    <n v="4"/>
    <x v="3"/>
    <n v="0"/>
    <n v="0"/>
    <n v="0"/>
    <n v="0"/>
    <m/>
  </r>
  <r>
    <x v="6"/>
    <x v="0"/>
    <x v="3"/>
    <n v="1500"/>
    <n v="0"/>
    <s v="Light"/>
    <n v="3"/>
    <x v="3"/>
    <n v="0"/>
    <n v="0"/>
    <n v="0"/>
    <n v="0"/>
    <m/>
  </r>
  <r>
    <x v="6"/>
    <x v="0"/>
    <x v="3"/>
    <n v="1782"/>
    <n v="0"/>
    <s v="Light"/>
    <n v="2"/>
    <x v="3"/>
    <n v="0"/>
    <n v="0"/>
    <n v="0"/>
    <n v="0"/>
    <m/>
  </r>
  <r>
    <x v="6"/>
    <x v="0"/>
    <x v="3"/>
    <n v="1666"/>
    <n v="1"/>
    <s v="Light"/>
    <n v="1"/>
    <x v="4"/>
    <n v="0"/>
    <n v="0"/>
    <n v="0"/>
    <n v="0"/>
    <m/>
  </r>
  <r>
    <x v="6"/>
    <x v="0"/>
    <x v="3"/>
    <n v="1556"/>
    <n v="0"/>
    <s v="Light"/>
    <n v="2"/>
    <x v="3"/>
    <n v="0"/>
    <n v="0"/>
    <n v="0"/>
    <n v="0"/>
    <m/>
  </r>
  <r>
    <x v="6"/>
    <x v="0"/>
    <x v="3"/>
    <n v="2860"/>
    <n v="0"/>
    <s v="Light"/>
    <n v="1"/>
    <x v="4"/>
    <n v="0"/>
    <n v="0"/>
    <n v="0"/>
    <n v="0"/>
    <m/>
  </r>
  <r>
    <x v="6"/>
    <x v="0"/>
    <x v="3"/>
    <n v="2986"/>
    <n v="0"/>
    <s v="Light"/>
    <n v="2"/>
    <x v="3"/>
    <n v="0"/>
    <n v="0"/>
    <n v="0"/>
    <n v="0"/>
    <m/>
  </r>
  <r>
    <x v="6"/>
    <x v="0"/>
    <x v="3"/>
    <n v="3172"/>
    <n v="1"/>
    <s v="SD(sala)"/>
    <n v="1"/>
    <x v="1"/>
    <n v="0"/>
    <n v="0"/>
    <n v="0"/>
    <n v="0"/>
    <m/>
  </r>
  <r>
    <x v="6"/>
    <x v="0"/>
    <x v="3"/>
    <n v="1420"/>
    <n v="0"/>
    <s v="Light"/>
    <n v="2"/>
    <x v="4"/>
    <n v="0"/>
    <n v="0"/>
    <n v="0"/>
    <n v="0"/>
    <m/>
  </r>
  <r>
    <x v="6"/>
    <x v="0"/>
    <x v="3"/>
    <n v="1352"/>
    <n v="0"/>
    <s v="Light"/>
    <n v="1"/>
    <x v="4"/>
    <n v="0"/>
    <n v="0"/>
    <n v="0"/>
    <n v="0"/>
    <m/>
  </r>
  <r>
    <x v="6"/>
    <x v="0"/>
    <x v="3"/>
    <n v="1362"/>
    <n v="0"/>
    <s v="Scroll"/>
    <n v="4"/>
    <x v="2"/>
    <n v="0"/>
    <n v="8000"/>
    <n v="0"/>
    <n v="3200"/>
    <m/>
  </r>
  <r>
    <x v="6"/>
    <x v="0"/>
    <x v="3"/>
    <n v="1428"/>
    <n v="1"/>
    <s v="SumStone"/>
    <n v="3"/>
    <x v="5"/>
    <n v="0"/>
    <n v="0"/>
    <n v="2587.5"/>
    <n v="2686.6499999999996"/>
    <m/>
  </r>
  <r>
    <x v="6"/>
    <x v="0"/>
    <x v="3"/>
    <n v="1500"/>
    <n v="4"/>
    <s v="Scroll"/>
    <n v="2"/>
    <x v="2"/>
    <n v="0"/>
    <n v="4000"/>
    <n v="0"/>
    <n v="1600"/>
    <m/>
  </r>
  <r>
    <x v="6"/>
    <x v="0"/>
    <x v="3"/>
    <n v="1559"/>
    <n v="0"/>
    <s v="Light"/>
    <n v="1"/>
    <x v="4"/>
    <n v="0"/>
    <n v="0"/>
    <n v="0"/>
    <n v="0"/>
    <m/>
  </r>
  <r>
    <x v="6"/>
    <x v="0"/>
    <x v="3"/>
    <n v="1600"/>
    <n v="0"/>
    <s v="Light"/>
    <n v="3"/>
    <x v="4"/>
    <n v="0"/>
    <n v="0"/>
    <n v="0"/>
    <n v="0"/>
    <m/>
  </r>
  <r>
    <x v="6"/>
    <x v="0"/>
    <x v="3"/>
    <n v="1480"/>
    <n v="1"/>
    <s v="Scroll"/>
    <n v="2"/>
    <x v="2"/>
    <n v="0"/>
    <n v="4000"/>
    <n v="0"/>
    <n v="1600"/>
    <m/>
  </r>
  <r>
    <x v="6"/>
    <x v="0"/>
    <x v="3"/>
    <n v="1389"/>
    <n v="0"/>
    <s v="Light"/>
    <n v="4"/>
    <x v="3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n v="1"/>
    <x v="1"/>
    <n v="0"/>
    <n v="0"/>
    <n v="11500"/>
    <n v="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2"/>
    <n v="0"/>
    <n v="4000"/>
    <n v="0"/>
    <n v="160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n v="1"/>
    <x v="5"/>
    <n v="0"/>
    <n v="0"/>
    <n v="34500"/>
    <n v="3582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n v="1"/>
    <x v="1"/>
    <n v="0"/>
    <n v="0"/>
    <n v="11500"/>
    <n v="3582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2"/>
    <n v="0"/>
    <n v="4000"/>
    <n v="0"/>
    <n v="160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2"/>
    <n v="0"/>
    <n v="4000"/>
    <n v="0"/>
    <n v="160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2"/>
    <n v="0"/>
    <n v="4000"/>
    <n v="0"/>
    <n v="160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n v="1"/>
    <x v="1"/>
    <n v="0"/>
    <n v="0"/>
    <n v="11500"/>
    <n v="0"/>
    <m/>
  </r>
  <r>
    <x v="1"/>
    <x v="1"/>
    <x v="0"/>
    <n v="2502"/>
    <n v="2"/>
    <s v="Fod"/>
    <n v="1"/>
    <x v="1"/>
    <n v="0"/>
    <n v="0"/>
    <n v="11500"/>
    <n v="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2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4"/>
    <n v="0"/>
    <n v="0"/>
    <n v="0"/>
    <n v="0"/>
    <m/>
  </r>
  <r>
    <x v="7"/>
    <x v="0"/>
    <x v="3"/>
    <n v="1000"/>
    <n v="0"/>
    <s v="Dark"/>
    <n v="5"/>
    <x v="3"/>
    <n v="0"/>
    <n v="0"/>
    <n v="0"/>
    <n v="0"/>
    <m/>
  </r>
  <r>
    <x v="0"/>
    <x v="2"/>
    <x v="1"/>
    <n v="1659"/>
    <n v="4"/>
    <m/>
    <m/>
    <x v="0"/>
    <n v="2067"/>
    <n v="2067"/>
    <n v="0"/>
    <n v="0"/>
    <m/>
  </r>
  <r>
    <x v="0"/>
    <x v="2"/>
    <x v="1"/>
    <n v="1881"/>
    <n v="1"/>
    <m/>
    <m/>
    <x v="0"/>
    <n v="1159"/>
    <n v="1159"/>
    <n v="0"/>
    <n v="0"/>
    <m/>
  </r>
  <r>
    <x v="0"/>
    <x v="2"/>
    <x v="1"/>
    <n v="2446"/>
    <n v="1"/>
    <m/>
    <m/>
    <x v="0"/>
    <n v="1159"/>
    <n v="1159"/>
    <n v="0"/>
    <n v="0"/>
    <m/>
  </r>
  <r>
    <x v="0"/>
    <x v="2"/>
    <x v="1"/>
    <n v="1899"/>
    <n v="0"/>
    <m/>
    <m/>
    <x v="0"/>
    <n v="1352"/>
    <n v="1352"/>
    <n v="0"/>
    <n v="0"/>
    <m/>
  </r>
  <r>
    <x v="0"/>
    <x v="2"/>
    <x v="1"/>
    <n v="1480"/>
    <n v="1"/>
    <m/>
    <m/>
    <x v="0"/>
    <n v="1159"/>
    <n v="1159"/>
    <n v="0"/>
    <n v="0"/>
    <m/>
  </r>
  <r>
    <x v="0"/>
    <x v="2"/>
    <x v="1"/>
    <n v="1725"/>
    <n v="2"/>
    <m/>
    <m/>
    <x v="0"/>
    <n v="1159"/>
    <n v="1159"/>
    <n v="0"/>
    <n v="0"/>
    <m/>
  </r>
  <r>
    <x v="0"/>
    <x v="2"/>
    <x v="1"/>
    <n v="1343"/>
    <n v="0"/>
    <s v="Scroll"/>
    <n v="3"/>
    <x v="2"/>
    <n v="0"/>
    <n v="6000"/>
    <n v="0"/>
    <n v="2400"/>
    <m/>
  </r>
  <r>
    <x v="0"/>
    <x v="2"/>
    <x v="1"/>
    <n v="2733"/>
    <n v="0"/>
    <m/>
    <m/>
    <x v="0"/>
    <n v="1159"/>
    <n v="1159"/>
    <n v="0"/>
    <n v="0"/>
    <m/>
  </r>
  <r>
    <x v="0"/>
    <x v="2"/>
    <x v="1"/>
    <n v="2196"/>
    <n v="0"/>
    <m/>
    <m/>
    <x v="0"/>
    <n v="1159"/>
    <n v="1159"/>
    <n v="0"/>
    <n v="0"/>
    <m/>
  </r>
  <r>
    <x v="0"/>
    <x v="2"/>
    <x v="1"/>
    <n v="1326"/>
    <n v="0"/>
    <m/>
    <m/>
    <x v="0"/>
    <n v="1159"/>
    <n v="1159"/>
    <n v="0"/>
    <n v="0"/>
    <m/>
  </r>
  <r>
    <x v="0"/>
    <x v="2"/>
    <x v="1"/>
    <n v="2012"/>
    <n v="0"/>
    <s v="SweetCookie"/>
    <m/>
    <x v="0"/>
    <n v="0"/>
    <n v="0"/>
    <n v="0"/>
    <n v="0"/>
    <m/>
  </r>
  <r>
    <x v="0"/>
    <x v="2"/>
    <x v="1"/>
    <n v="1970"/>
    <n v="1"/>
    <m/>
    <m/>
    <x v="0"/>
    <n v="1546"/>
    <n v="1546"/>
    <n v="0"/>
    <n v="0"/>
    <m/>
  </r>
  <r>
    <x v="0"/>
    <x v="2"/>
    <x v="1"/>
    <n v="779"/>
    <n v="1"/>
    <s v="Scroll"/>
    <n v="3"/>
    <x v="2"/>
    <n v="0"/>
    <n v="6000"/>
    <n v="0"/>
    <n v="2400"/>
    <m/>
  </r>
  <r>
    <x v="0"/>
    <x v="2"/>
    <x v="1"/>
    <n v="2074"/>
    <n v="1"/>
    <m/>
    <m/>
    <x v="0"/>
    <n v="1159"/>
    <n v="1159"/>
    <n v="0"/>
    <n v="0"/>
    <m/>
  </r>
  <r>
    <x v="0"/>
    <x v="2"/>
    <x v="1"/>
    <n v="1672"/>
    <n v="0"/>
    <m/>
    <m/>
    <x v="0"/>
    <n v="1159"/>
    <n v="1159"/>
    <n v="0"/>
    <n v="0"/>
    <m/>
  </r>
  <r>
    <x v="0"/>
    <x v="2"/>
    <x v="1"/>
    <n v="823"/>
    <n v="0"/>
    <m/>
    <m/>
    <x v="0"/>
    <n v="1159"/>
    <n v="1159"/>
    <n v="0"/>
    <n v="0"/>
    <m/>
  </r>
  <r>
    <x v="0"/>
    <x v="2"/>
    <x v="1"/>
    <n v="1454"/>
    <n v="3"/>
    <m/>
    <m/>
    <x v="0"/>
    <n v="1159"/>
    <n v="1159"/>
    <n v="0"/>
    <n v="0"/>
    <m/>
  </r>
  <r>
    <x v="0"/>
    <x v="2"/>
    <x v="1"/>
    <n v="1264"/>
    <n v="2"/>
    <s v="Scroll"/>
    <n v="3"/>
    <x v="2"/>
    <n v="0"/>
    <n v="6000"/>
    <n v="0"/>
    <n v="2400"/>
    <m/>
  </r>
  <r>
    <x v="0"/>
    <x v="2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2"/>
    <n v="0"/>
    <n v="4000"/>
    <n v="0"/>
    <n v="160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n v="2"/>
    <x v="2"/>
    <n v="0"/>
    <n v="4000"/>
    <n v="0"/>
    <n v="160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2"/>
    <x v="0"/>
    <x v="3"/>
    <n v="2351"/>
    <n v="2"/>
    <m/>
    <m/>
    <x v="0"/>
    <n v="3100"/>
    <n v="3100"/>
    <n v="0"/>
    <n v="0"/>
    <m/>
  </r>
  <r>
    <x v="2"/>
    <x v="0"/>
    <x v="3"/>
    <n v="2200"/>
    <n v="4"/>
    <m/>
    <m/>
    <x v="0"/>
    <n v="1300"/>
    <n v="1300"/>
    <n v="0"/>
    <n v="0"/>
    <m/>
  </r>
  <r>
    <x v="2"/>
    <x v="0"/>
    <x v="3"/>
    <n v="1737"/>
    <n v="2"/>
    <m/>
    <m/>
    <x v="0"/>
    <n v="1649"/>
    <n v="1649"/>
    <n v="0"/>
    <n v="0"/>
    <m/>
  </r>
  <r>
    <x v="2"/>
    <x v="0"/>
    <x v="3"/>
    <n v="2547"/>
    <n v="2"/>
    <s v="SweetCookie"/>
    <m/>
    <x v="0"/>
    <n v="0"/>
    <n v="0"/>
    <n v="0"/>
    <n v="0"/>
    <m/>
  </r>
  <r>
    <x v="2"/>
    <x v="0"/>
    <x v="3"/>
    <n v="2230"/>
    <n v="2"/>
    <s v="Scroll"/>
    <n v="2"/>
    <x v="2"/>
    <n v="0"/>
    <n v="4000"/>
    <n v="0"/>
    <n v="1600"/>
    <m/>
  </r>
  <r>
    <x v="2"/>
    <x v="0"/>
    <x v="3"/>
    <n v="2500"/>
    <n v="2"/>
    <s v="Scroll"/>
    <n v="3"/>
    <x v="2"/>
    <n v="0"/>
    <n v="6000"/>
    <n v="0"/>
    <n v="2400"/>
    <m/>
  </r>
  <r>
    <x v="2"/>
    <x v="0"/>
    <x v="3"/>
    <n v="2677"/>
    <n v="1"/>
    <m/>
    <m/>
    <x v="0"/>
    <n v="8882"/>
    <n v="8882"/>
    <n v="0"/>
    <n v="0"/>
    <m/>
  </r>
  <r>
    <x v="2"/>
    <x v="0"/>
    <x v="3"/>
    <n v="2500"/>
    <n v="1"/>
    <m/>
    <m/>
    <x v="0"/>
    <n v="4134"/>
    <n v="4134"/>
    <n v="0"/>
    <n v="0"/>
    <m/>
  </r>
  <r>
    <x v="2"/>
    <x v="0"/>
    <x v="3"/>
    <n v="2751"/>
    <n v="0"/>
    <m/>
    <m/>
    <x v="0"/>
    <n v="6615"/>
    <n v="6615"/>
    <n v="0"/>
    <n v="0"/>
    <m/>
  </r>
  <r>
    <x v="2"/>
    <x v="0"/>
    <x v="3"/>
    <n v="2004"/>
    <n v="2"/>
    <m/>
    <m/>
    <x v="0"/>
    <n v="13770"/>
    <n v="13770"/>
    <n v="0"/>
    <n v="0"/>
    <m/>
  </r>
  <r>
    <x v="2"/>
    <x v="0"/>
    <x v="3"/>
    <n v="1787"/>
    <n v="3"/>
    <m/>
    <m/>
    <x v="0"/>
    <n v="4134"/>
    <n v="4134"/>
    <n v="0"/>
    <n v="0"/>
    <m/>
  </r>
  <r>
    <x v="2"/>
    <x v="0"/>
    <x v="3"/>
    <n v="2747"/>
    <n v="1"/>
    <m/>
    <m/>
    <x v="0"/>
    <n v="3720"/>
    <n v="3720"/>
    <n v="0"/>
    <n v="0"/>
    <m/>
  </r>
  <r>
    <x v="2"/>
    <x v="0"/>
    <x v="3"/>
    <n v="2105"/>
    <n v="0"/>
    <s v="Scroll"/>
    <n v="3"/>
    <x v="2"/>
    <n v="0"/>
    <n v="6000"/>
    <n v="0"/>
    <n v="2400"/>
    <m/>
  </r>
  <r>
    <x v="2"/>
    <x v="0"/>
    <x v="3"/>
    <n v="2230"/>
    <n v="2"/>
    <m/>
    <m/>
    <x v="0"/>
    <n v="2067"/>
    <n v="2067"/>
    <n v="0"/>
    <n v="0"/>
    <m/>
  </r>
  <r>
    <x v="2"/>
    <x v="0"/>
    <x v="3"/>
    <n v="2236"/>
    <n v="1"/>
    <s v="Scroll"/>
    <n v="4"/>
    <x v="2"/>
    <n v="0"/>
    <n v="8000"/>
    <n v="0"/>
    <n v="3200"/>
    <m/>
  </r>
  <r>
    <x v="2"/>
    <x v="0"/>
    <x v="3"/>
    <n v="2339"/>
    <n v="3"/>
    <s v="Scroll"/>
    <n v="4"/>
    <x v="2"/>
    <n v="0"/>
    <n v="8000"/>
    <n v="0"/>
    <n v="3200"/>
    <m/>
  </r>
  <r>
    <x v="0"/>
    <x v="2"/>
    <x v="1"/>
    <n v="1396"/>
    <n v="2"/>
    <m/>
    <m/>
    <x v="0"/>
    <n v="1159"/>
    <n v="1159"/>
    <n v="0"/>
    <n v="0"/>
    <m/>
  </r>
  <r>
    <x v="0"/>
    <x v="2"/>
    <x v="1"/>
    <n v="1382"/>
    <n v="1"/>
    <s v="Scroll"/>
    <n v="3"/>
    <x v="2"/>
    <n v="0"/>
    <n v="6000"/>
    <n v="0"/>
    <n v="2400"/>
    <m/>
  </r>
  <r>
    <x v="0"/>
    <x v="2"/>
    <x v="1"/>
    <n v="823"/>
    <n v="1"/>
    <m/>
    <m/>
    <x v="0"/>
    <n v="1159"/>
    <n v="1159"/>
    <n v="0"/>
    <n v="0"/>
    <m/>
  </r>
  <r>
    <x v="0"/>
    <x v="2"/>
    <x v="1"/>
    <n v="1300"/>
    <n v="2"/>
    <m/>
    <m/>
    <x v="0"/>
    <n v="1159"/>
    <n v="1159"/>
    <n v="0"/>
    <n v="0"/>
    <m/>
  </r>
  <r>
    <x v="0"/>
    <x v="2"/>
    <x v="1"/>
    <n v="1617"/>
    <n v="0"/>
    <m/>
    <m/>
    <x v="0"/>
    <n v="1159"/>
    <n v="1159"/>
    <n v="0"/>
    <n v="0"/>
    <m/>
  </r>
  <r>
    <x v="0"/>
    <x v="2"/>
    <x v="1"/>
    <n v="1669"/>
    <n v="2"/>
    <m/>
    <m/>
    <x v="0"/>
    <n v="2067"/>
    <n v="2067"/>
    <n v="0"/>
    <n v="0"/>
    <m/>
  </r>
  <r>
    <x v="0"/>
    <x v="2"/>
    <x v="1"/>
    <n v="1400"/>
    <n v="0"/>
    <m/>
    <m/>
    <x v="0"/>
    <n v="2067"/>
    <n v="2067"/>
    <n v="0"/>
    <n v="0"/>
    <m/>
  </r>
  <r>
    <x v="0"/>
    <x v="2"/>
    <x v="1"/>
    <n v="1299"/>
    <n v="1"/>
    <m/>
    <m/>
    <x v="0"/>
    <n v="1159"/>
    <n v="1159"/>
    <n v="0"/>
    <n v="0"/>
    <m/>
  </r>
  <r>
    <x v="0"/>
    <x v="2"/>
    <x v="1"/>
    <n v="1135"/>
    <n v="1"/>
    <m/>
    <m/>
    <x v="0"/>
    <n v="1159"/>
    <n v="1159"/>
    <n v="0"/>
    <n v="0"/>
    <m/>
  </r>
  <r>
    <x v="0"/>
    <x v="2"/>
    <x v="1"/>
    <n v="1659"/>
    <n v="1"/>
    <m/>
    <m/>
    <x v="0"/>
    <n v="1546"/>
    <n v="1546"/>
    <n v="0"/>
    <n v="0"/>
    <m/>
  </r>
  <r>
    <x v="0"/>
    <x v="2"/>
    <x v="1"/>
    <n v="1820"/>
    <n v="2"/>
    <m/>
    <m/>
    <x v="0"/>
    <n v="1159"/>
    <n v="1159"/>
    <n v="0"/>
    <n v="0"/>
    <m/>
  </r>
  <r>
    <x v="0"/>
    <x v="2"/>
    <x v="1"/>
    <n v="1567"/>
    <n v="1"/>
    <m/>
    <m/>
    <x v="0"/>
    <n v="1352"/>
    <n v="1352"/>
    <n v="0"/>
    <n v="0"/>
    <m/>
  </r>
  <r>
    <x v="0"/>
    <x v="2"/>
    <x v="1"/>
    <n v="1417"/>
    <n v="1"/>
    <m/>
    <m/>
    <x v="0"/>
    <n v="2067"/>
    <n v="2067"/>
    <n v="0"/>
    <n v="0"/>
    <m/>
  </r>
  <r>
    <x v="0"/>
    <x v="2"/>
    <x v="1"/>
    <n v="1149"/>
    <n v="0"/>
    <m/>
    <m/>
    <x v="0"/>
    <n v="1546"/>
    <n v="1546"/>
    <n v="0"/>
    <n v="0"/>
    <m/>
  </r>
  <r>
    <x v="0"/>
    <x v="2"/>
    <x v="1"/>
    <n v="999"/>
    <n v="2"/>
    <m/>
    <m/>
    <x v="0"/>
    <n v="2067"/>
    <n v="2067"/>
    <n v="0"/>
    <n v="0"/>
    <m/>
  </r>
  <r>
    <x v="0"/>
    <x v="2"/>
    <x v="1"/>
    <n v="1041"/>
    <n v="1"/>
    <m/>
    <m/>
    <x v="0"/>
    <n v="1159"/>
    <n v="1159"/>
    <n v="0"/>
    <n v="0"/>
    <m/>
  </r>
  <r>
    <x v="0"/>
    <x v="2"/>
    <x v="1"/>
    <n v="1428"/>
    <n v="1"/>
    <m/>
    <m/>
    <x v="0"/>
    <n v="1352"/>
    <n v="1352"/>
    <n v="0"/>
    <n v="0"/>
    <m/>
  </r>
  <r>
    <x v="0"/>
    <x v="2"/>
    <x v="1"/>
    <n v="1853"/>
    <n v="0"/>
    <s v="Scroll"/>
    <n v="3"/>
    <x v="2"/>
    <n v="0"/>
    <n v="6000"/>
    <n v="0"/>
    <n v="2400"/>
    <m/>
  </r>
  <r>
    <x v="0"/>
    <x v="2"/>
    <x v="1"/>
    <n v="2455"/>
    <n v="2"/>
    <m/>
    <m/>
    <x v="0"/>
    <n v="1159"/>
    <n v="1159"/>
    <n v="0"/>
    <n v="0"/>
    <m/>
  </r>
  <r>
    <x v="0"/>
    <x v="2"/>
    <x v="1"/>
    <n v="1681"/>
    <n v="1"/>
    <m/>
    <m/>
    <x v="0"/>
    <n v="1546"/>
    <n v="1546"/>
    <n v="0"/>
    <n v="0"/>
    <m/>
  </r>
  <r>
    <x v="0"/>
    <x v="2"/>
    <x v="1"/>
    <n v="824"/>
    <n v="0"/>
    <s v="Scroll"/>
    <n v="3"/>
    <x v="2"/>
    <n v="0"/>
    <n v="6000"/>
    <n v="0"/>
    <n v="2400"/>
    <m/>
  </r>
  <r>
    <x v="0"/>
    <x v="2"/>
    <x v="1"/>
    <n v="1214"/>
    <n v="1"/>
    <m/>
    <m/>
    <x v="0"/>
    <n v="1159"/>
    <n v="1159"/>
    <n v="0"/>
    <n v="0"/>
    <m/>
  </r>
  <r>
    <x v="0"/>
    <x v="2"/>
    <x v="1"/>
    <n v="1917"/>
    <n v="2"/>
    <m/>
    <m/>
    <x v="0"/>
    <n v="1159"/>
    <n v="1159"/>
    <n v="0"/>
    <n v="0"/>
    <m/>
  </r>
  <r>
    <x v="0"/>
    <x v="2"/>
    <x v="1"/>
    <n v="404"/>
    <n v="0"/>
    <m/>
    <m/>
    <x v="0"/>
    <n v="2067"/>
    <n v="2067"/>
    <n v="0"/>
    <n v="0"/>
    <m/>
  </r>
  <r>
    <x v="0"/>
    <x v="2"/>
    <x v="1"/>
    <n v="991"/>
    <n v="0"/>
    <m/>
    <m/>
    <x v="0"/>
    <n v="1159"/>
    <n v="1159"/>
    <n v="0"/>
    <n v="0"/>
    <m/>
  </r>
  <r>
    <x v="0"/>
    <x v="2"/>
    <x v="1"/>
    <n v="1585"/>
    <n v="0"/>
    <m/>
    <m/>
    <x v="0"/>
    <n v="1159"/>
    <n v="1159"/>
    <n v="0"/>
    <n v="0"/>
    <m/>
  </r>
  <r>
    <x v="0"/>
    <x v="2"/>
    <x v="1"/>
    <n v="1099"/>
    <n v="1"/>
    <m/>
    <m/>
    <x v="0"/>
    <n v="1352"/>
    <n v="1352"/>
    <n v="0"/>
    <n v="0"/>
    <m/>
  </r>
  <r>
    <x v="0"/>
    <x v="2"/>
    <x v="1"/>
    <n v="1444"/>
    <n v="0"/>
    <m/>
    <m/>
    <x v="0"/>
    <n v="1739"/>
    <n v="1739"/>
    <n v="0"/>
    <n v="0"/>
    <m/>
  </r>
  <r>
    <x v="0"/>
    <x v="2"/>
    <x v="1"/>
    <n v="1206"/>
    <n v="1"/>
    <m/>
    <m/>
    <x v="0"/>
    <n v="1159"/>
    <n v="1159"/>
    <n v="0"/>
    <n v="0"/>
    <m/>
  </r>
  <r>
    <x v="0"/>
    <x v="2"/>
    <x v="1"/>
    <n v="2034"/>
    <n v="3"/>
    <m/>
    <m/>
    <x v="0"/>
    <n v="1159"/>
    <n v="1159"/>
    <n v="0"/>
    <n v="0"/>
    <m/>
  </r>
  <r>
    <x v="0"/>
    <x v="2"/>
    <x v="1"/>
    <n v="2474"/>
    <n v="0"/>
    <s v="Scroll"/>
    <n v="3"/>
    <x v="2"/>
    <n v="0"/>
    <n v="6000"/>
    <n v="0"/>
    <n v="2400"/>
    <m/>
  </r>
  <r>
    <x v="0"/>
    <x v="2"/>
    <x v="1"/>
    <n v="1210"/>
    <n v="2"/>
    <m/>
    <m/>
    <x v="0"/>
    <n v="1352"/>
    <n v="1352"/>
    <n v="0"/>
    <n v="0"/>
    <m/>
  </r>
  <r>
    <x v="0"/>
    <x v="2"/>
    <x v="1"/>
    <n v="1838"/>
    <n v="0"/>
    <m/>
    <m/>
    <x v="0"/>
    <n v="1159"/>
    <n v="1159"/>
    <n v="0"/>
    <n v="0"/>
    <m/>
  </r>
  <r>
    <x v="0"/>
    <x v="2"/>
    <x v="1"/>
    <n v="1620"/>
    <n v="1"/>
    <m/>
    <m/>
    <x v="0"/>
    <n v="1159"/>
    <n v="1159"/>
    <n v="0"/>
    <n v="0"/>
    <m/>
  </r>
  <r>
    <x v="0"/>
    <x v="2"/>
    <x v="1"/>
    <n v="1629"/>
    <n v="1"/>
    <m/>
    <m/>
    <x v="0"/>
    <n v="2750"/>
    <n v="2750"/>
    <n v="0"/>
    <n v="0"/>
    <m/>
  </r>
  <r>
    <x v="0"/>
    <x v="2"/>
    <x v="1"/>
    <n v="1374"/>
    <n v="1"/>
    <s v="Scroll"/>
    <n v="3"/>
    <x v="2"/>
    <n v="0"/>
    <n v="6000"/>
    <n v="0"/>
    <n v="2400"/>
    <m/>
  </r>
  <r>
    <x v="0"/>
    <x v="2"/>
    <x v="1"/>
    <n v="1637"/>
    <n v="0"/>
    <m/>
    <m/>
    <x v="0"/>
    <n v="1352"/>
    <n v="1352"/>
    <n v="0"/>
    <n v="0"/>
    <m/>
  </r>
  <r>
    <x v="0"/>
    <x v="2"/>
    <x v="1"/>
    <n v="1846"/>
    <n v="1"/>
    <m/>
    <m/>
    <x v="0"/>
    <n v="1159"/>
    <n v="1159"/>
    <n v="0"/>
    <n v="0"/>
    <m/>
  </r>
  <r>
    <x v="0"/>
    <x v="2"/>
    <x v="1"/>
    <n v="1617"/>
    <n v="1"/>
    <m/>
    <m/>
    <x v="0"/>
    <n v="2756"/>
    <n v="2756"/>
    <n v="0"/>
    <n v="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990"/>
    <n v="0"/>
    <m/>
    <m/>
    <x v="0"/>
    <n v="1159"/>
    <n v="1159"/>
    <n v="0"/>
    <n v="0"/>
    <m/>
  </r>
  <r>
    <x v="0"/>
    <x v="2"/>
    <x v="1"/>
    <n v="1186"/>
    <n v="1"/>
    <m/>
    <m/>
    <x v="0"/>
    <n v="2756"/>
    <n v="2756"/>
    <n v="0"/>
    <n v="0"/>
    <m/>
  </r>
  <r>
    <x v="0"/>
    <x v="2"/>
    <x v="1"/>
    <n v="1193"/>
    <n v="2"/>
    <m/>
    <m/>
    <x v="0"/>
    <n v="1159"/>
    <n v="1159"/>
    <n v="0"/>
    <n v="0"/>
    <m/>
  </r>
  <r>
    <x v="0"/>
    <x v="2"/>
    <x v="1"/>
    <n v="1223"/>
    <n v="0"/>
    <m/>
    <m/>
    <x v="0"/>
    <n v="2067"/>
    <n v="2067"/>
    <n v="0"/>
    <n v="0"/>
    <m/>
  </r>
  <r>
    <x v="0"/>
    <x v="2"/>
    <x v="1"/>
    <n v="1833"/>
    <n v="0"/>
    <m/>
    <m/>
    <x v="0"/>
    <n v="2067"/>
    <n v="2067"/>
    <n v="0"/>
    <n v="0"/>
    <m/>
  </r>
  <r>
    <x v="0"/>
    <x v="2"/>
    <x v="1"/>
    <n v="1601"/>
    <n v="1"/>
    <m/>
    <m/>
    <x v="0"/>
    <n v="2067"/>
    <n v="2067"/>
    <n v="0"/>
    <n v="0"/>
    <m/>
  </r>
  <r>
    <x v="0"/>
    <x v="2"/>
    <x v="1"/>
    <n v="1381"/>
    <n v="0"/>
    <m/>
    <m/>
    <x v="0"/>
    <n v="2067"/>
    <n v="2067"/>
    <n v="0"/>
    <n v="0"/>
    <m/>
  </r>
  <r>
    <x v="0"/>
    <x v="2"/>
    <x v="1"/>
    <n v="1472"/>
    <n v="3"/>
    <m/>
    <m/>
    <x v="0"/>
    <n v="1159"/>
    <n v="1159"/>
    <n v="0"/>
    <n v="0"/>
    <m/>
  </r>
  <r>
    <x v="0"/>
    <x v="2"/>
    <x v="1"/>
    <n v="1210"/>
    <n v="1"/>
    <m/>
    <m/>
    <x v="0"/>
    <n v="1159"/>
    <n v="1159"/>
    <n v="0"/>
    <n v="0"/>
    <m/>
  </r>
  <r>
    <x v="0"/>
    <x v="2"/>
    <x v="1"/>
    <n v="1469"/>
    <n v="1"/>
    <s v="Fod"/>
    <n v="1"/>
    <x v="1"/>
    <n v="0"/>
    <n v="0"/>
    <n v="11500"/>
    <n v="0"/>
    <m/>
  </r>
  <r>
    <x v="0"/>
    <x v="2"/>
    <x v="1"/>
    <n v="1035"/>
    <n v="1"/>
    <m/>
    <m/>
    <x v="0"/>
    <n v="2067"/>
    <n v="2067"/>
    <n v="0"/>
    <n v="0"/>
    <m/>
  </r>
  <r>
    <x v="0"/>
    <x v="2"/>
    <x v="1"/>
    <n v="1877"/>
    <n v="1"/>
    <s v="Scroll"/>
    <n v="3"/>
    <x v="2"/>
    <n v="0"/>
    <n v="6000"/>
    <n v="0"/>
    <n v="2400"/>
    <m/>
  </r>
  <r>
    <x v="0"/>
    <x v="2"/>
    <x v="1"/>
    <n v="849"/>
    <n v="1"/>
    <s v="Scroll"/>
    <n v="3"/>
    <x v="2"/>
    <n v="0"/>
    <n v="6000"/>
    <n v="0"/>
    <n v="2400"/>
    <m/>
  </r>
  <r>
    <x v="0"/>
    <x v="2"/>
    <x v="1"/>
    <n v="1261"/>
    <n v="1"/>
    <s v="Scroll"/>
    <n v="3"/>
    <x v="2"/>
    <n v="0"/>
    <n v="6000"/>
    <n v="0"/>
    <n v="2400"/>
    <m/>
  </r>
  <r>
    <x v="0"/>
    <x v="2"/>
    <x v="1"/>
    <n v="2271"/>
    <n v="1"/>
    <s v="Scroll"/>
    <n v="3"/>
    <x v="2"/>
    <n v="0"/>
    <n v="6000"/>
    <n v="0"/>
    <n v="2400"/>
    <m/>
  </r>
  <r>
    <x v="0"/>
    <x v="2"/>
    <x v="1"/>
    <n v="1066"/>
    <n v="0"/>
    <s v="Rainb"/>
    <n v="1"/>
    <x v="1"/>
    <n v="0"/>
    <n v="0"/>
    <n v="11500"/>
    <n v="35822"/>
    <m/>
  </r>
  <r>
    <x v="0"/>
    <x v="2"/>
    <x v="1"/>
    <n v="1217"/>
    <n v="0"/>
    <m/>
    <m/>
    <x v="0"/>
    <n v="1159"/>
    <n v="1159"/>
    <n v="0"/>
    <n v="0"/>
    <m/>
  </r>
  <r>
    <x v="0"/>
    <x v="2"/>
    <x v="1"/>
    <n v="1369"/>
    <n v="0"/>
    <s v="Fod"/>
    <n v="1"/>
    <x v="5"/>
    <m/>
    <n v="0"/>
    <n v="34500"/>
    <n v="35822"/>
    <m/>
  </r>
  <r>
    <x v="0"/>
    <x v="2"/>
    <x v="1"/>
    <n v="1200"/>
    <n v="1"/>
    <m/>
    <m/>
    <x v="0"/>
    <n v="1546"/>
    <n v="1546"/>
    <n v="0"/>
    <n v="0"/>
    <m/>
  </r>
  <r>
    <x v="0"/>
    <x v="2"/>
    <x v="1"/>
    <n v="2084"/>
    <n v="1"/>
    <m/>
    <m/>
    <x v="0"/>
    <n v="1159"/>
    <n v="1159"/>
    <n v="0"/>
    <n v="0"/>
    <m/>
  </r>
  <r>
    <x v="0"/>
    <x v="2"/>
    <x v="1"/>
    <n v="1041"/>
    <n v="2"/>
    <m/>
    <m/>
    <x v="0"/>
    <n v="1159"/>
    <n v="1159"/>
    <n v="0"/>
    <n v="0"/>
    <m/>
  </r>
  <r>
    <x v="0"/>
    <x v="2"/>
    <x v="1"/>
    <n v="1173"/>
    <n v="0"/>
    <s v="Scroll"/>
    <n v="3"/>
    <x v="2"/>
    <n v="0"/>
    <n v="6000"/>
    <n v="0"/>
    <n v="2400"/>
    <m/>
  </r>
  <r>
    <x v="0"/>
    <x v="2"/>
    <x v="1"/>
    <n v="1203"/>
    <n v="0"/>
    <m/>
    <m/>
    <x v="0"/>
    <n v="1159"/>
    <n v="1159"/>
    <n v="0"/>
    <n v="0"/>
    <m/>
  </r>
  <r>
    <x v="0"/>
    <x v="2"/>
    <x v="1"/>
    <n v="1265"/>
    <n v="0"/>
    <m/>
    <m/>
    <x v="0"/>
    <n v="1159"/>
    <n v="1159"/>
    <n v="0"/>
    <n v="0"/>
    <m/>
  </r>
  <r>
    <x v="0"/>
    <x v="2"/>
    <x v="1"/>
    <n v="1133"/>
    <n v="0"/>
    <m/>
    <m/>
    <x v="0"/>
    <n v="1159"/>
    <n v="1159"/>
    <n v="0"/>
    <n v="0"/>
    <m/>
  </r>
  <r>
    <x v="0"/>
    <x v="2"/>
    <x v="1"/>
    <n v="967"/>
    <n v="1"/>
    <s v="Fod"/>
    <n v="1"/>
    <x v="2"/>
    <n v="0"/>
    <n v="0"/>
    <n v="0"/>
    <n v="0"/>
    <m/>
  </r>
  <r>
    <x v="0"/>
    <x v="2"/>
    <x v="1"/>
    <n v="2246"/>
    <n v="1"/>
    <m/>
    <m/>
    <x v="0"/>
    <n v="2067"/>
    <n v="2067"/>
    <n v="0"/>
    <n v="0"/>
    <m/>
  </r>
  <r>
    <x v="0"/>
    <x v="2"/>
    <x v="1"/>
    <n v="1423"/>
    <n v="2"/>
    <m/>
    <m/>
    <x v="0"/>
    <n v="1159"/>
    <n v="1159"/>
    <n v="0"/>
    <n v="0"/>
    <m/>
  </r>
  <r>
    <x v="0"/>
    <x v="2"/>
    <x v="1"/>
    <n v="1858"/>
    <n v="0"/>
    <m/>
    <m/>
    <x v="0"/>
    <n v="2067"/>
    <n v="2067"/>
    <n v="0"/>
    <n v="0"/>
    <m/>
  </r>
  <r>
    <x v="0"/>
    <x v="2"/>
    <x v="1"/>
    <n v="1423"/>
    <n v="1"/>
    <m/>
    <m/>
    <x v="0"/>
    <n v="1546"/>
    <n v="1546"/>
    <n v="0"/>
    <n v="0"/>
    <m/>
  </r>
  <r>
    <x v="0"/>
    <x v="2"/>
    <x v="1"/>
    <n v="2042"/>
    <n v="1"/>
    <m/>
    <m/>
    <x v="0"/>
    <n v="1159"/>
    <n v="1159"/>
    <n v="0"/>
    <n v="0"/>
    <m/>
  </r>
  <r>
    <x v="0"/>
    <x v="2"/>
    <x v="1"/>
    <n v="2001"/>
    <n v="1"/>
    <s v="Fod"/>
    <n v="1"/>
    <x v="2"/>
    <n v="0"/>
    <n v="0"/>
    <n v="0"/>
    <n v="0"/>
    <m/>
  </r>
  <r>
    <x v="0"/>
    <x v="2"/>
    <x v="1"/>
    <n v="1540"/>
    <n v="0"/>
    <s v="Fod"/>
    <n v="1"/>
    <x v="2"/>
    <n v="0"/>
    <n v="0"/>
    <n v="0"/>
    <n v="0"/>
    <m/>
  </r>
  <r>
    <x v="0"/>
    <x v="2"/>
    <x v="1"/>
    <n v="1699"/>
    <n v="1"/>
    <m/>
    <m/>
    <x v="0"/>
    <n v="2067"/>
    <n v="2067"/>
    <n v="0"/>
    <n v="0"/>
    <m/>
  </r>
  <r>
    <x v="0"/>
    <x v="2"/>
    <x v="1"/>
    <n v="1916"/>
    <n v="1"/>
    <m/>
    <m/>
    <x v="0"/>
    <n v="1159"/>
    <n v="1159"/>
    <n v="0"/>
    <n v="0"/>
    <m/>
  </r>
  <r>
    <x v="0"/>
    <x v="2"/>
    <x v="1"/>
    <n v="2501"/>
    <n v="0"/>
    <m/>
    <m/>
    <x v="0"/>
    <n v="2067"/>
    <n v="2067"/>
    <n v="0"/>
    <n v="0"/>
    <m/>
  </r>
  <r>
    <x v="0"/>
    <x v="2"/>
    <x v="1"/>
    <n v="1812"/>
    <n v="1"/>
    <s v="Scroll"/>
    <n v="3"/>
    <x v="2"/>
    <n v="0"/>
    <n v="6000"/>
    <n v="0"/>
    <n v="2400"/>
    <m/>
  </r>
  <r>
    <x v="0"/>
    <x v="2"/>
    <x v="1"/>
    <n v="1215"/>
    <n v="0"/>
    <m/>
    <m/>
    <x v="0"/>
    <n v="1159"/>
    <n v="1159"/>
    <n v="0"/>
    <n v="0"/>
    <m/>
  </r>
  <r>
    <x v="0"/>
    <x v="2"/>
    <x v="1"/>
    <n v="422"/>
    <n v="1"/>
    <m/>
    <m/>
    <x v="0"/>
    <n v="2756"/>
    <n v="2756"/>
    <n v="0"/>
    <n v="0"/>
    <m/>
  </r>
  <r>
    <x v="0"/>
    <x v="2"/>
    <x v="1"/>
    <n v="1105"/>
    <n v="0"/>
    <s v="Fod"/>
    <n v="1"/>
    <x v="1"/>
    <n v="0"/>
    <n v="0"/>
    <n v="11500"/>
    <n v="0"/>
    <m/>
  </r>
  <r>
    <x v="0"/>
    <x v="2"/>
    <x v="1"/>
    <n v="821"/>
    <n v="1"/>
    <m/>
    <m/>
    <x v="0"/>
    <n v="1159"/>
    <n v="1159"/>
    <n v="0"/>
    <n v="0"/>
    <m/>
  </r>
  <r>
    <x v="0"/>
    <x v="2"/>
    <x v="1"/>
    <n v="1748"/>
    <n v="1"/>
    <s v="SweetCookie"/>
    <m/>
    <x v="0"/>
    <n v="0"/>
    <n v="0"/>
    <n v="0"/>
    <n v="0"/>
    <m/>
  </r>
  <r>
    <x v="0"/>
    <x v="2"/>
    <x v="1"/>
    <n v="1840"/>
    <n v="0"/>
    <s v="SweetCookie"/>
    <m/>
    <x v="0"/>
    <n v="0"/>
    <n v="0"/>
    <n v="0"/>
    <n v="0"/>
    <m/>
  </r>
  <r>
    <x v="0"/>
    <x v="2"/>
    <x v="1"/>
    <n v="1395"/>
    <n v="2"/>
    <m/>
    <m/>
    <x v="0"/>
    <n v="1159"/>
    <n v="1159"/>
    <n v="0"/>
    <n v="0"/>
    <m/>
  </r>
  <r>
    <x v="0"/>
    <x v="2"/>
    <x v="1"/>
    <n v="1292"/>
    <n v="2"/>
    <m/>
    <m/>
    <x v="0"/>
    <n v="1159"/>
    <n v="1159"/>
    <n v="0"/>
    <n v="0"/>
    <m/>
  </r>
  <r>
    <x v="0"/>
    <x v="2"/>
    <x v="1"/>
    <n v="1574"/>
    <n v="0"/>
    <m/>
    <m/>
    <x v="0"/>
    <n v="1159"/>
    <n v="1159"/>
    <n v="0"/>
    <n v="0"/>
    <m/>
  </r>
  <r>
    <x v="0"/>
    <x v="2"/>
    <x v="1"/>
    <n v="1388"/>
    <n v="0"/>
    <m/>
    <m/>
    <x v="0"/>
    <n v="1159"/>
    <n v="1159"/>
    <n v="0"/>
    <n v="0"/>
    <m/>
  </r>
  <r>
    <x v="0"/>
    <x v="2"/>
    <x v="1"/>
    <n v="3326"/>
    <n v="0"/>
    <s v="Scroll"/>
    <n v="3"/>
    <x v="2"/>
    <n v="0"/>
    <n v="6000"/>
    <n v="0"/>
    <n v="2400"/>
    <m/>
  </r>
  <r>
    <x v="0"/>
    <x v="2"/>
    <x v="1"/>
    <n v="999"/>
    <n v="1"/>
    <s v="SweetCookie"/>
    <m/>
    <x v="0"/>
    <n v="0"/>
    <n v="0"/>
    <n v="0"/>
    <n v="0"/>
    <m/>
  </r>
  <r>
    <x v="0"/>
    <x v="2"/>
    <x v="1"/>
    <n v="1225"/>
    <n v="0"/>
    <m/>
    <m/>
    <x v="0"/>
    <n v="2411"/>
    <n v="2411"/>
    <n v="0"/>
    <n v="0"/>
    <m/>
  </r>
  <r>
    <x v="0"/>
    <x v="2"/>
    <x v="1"/>
    <n v="1362"/>
    <n v="2"/>
    <s v="Fod"/>
    <n v="1"/>
    <x v="2"/>
    <m/>
    <n v="0"/>
    <n v="0"/>
    <n v="0"/>
    <m/>
  </r>
  <r>
    <x v="0"/>
    <x v="2"/>
    <x v="1"/>
    <n v="1149"/>
    <n v="2"/>
    <m/>
    <m/>
    <x v="0"/>
    <n v="1159"/>
    <n v="1159"/>
    <n v="0"/>
    <n v="0"/>
    <m/>
  </r>
  <r>
    <x v="0"/>
    <x v="2"/>
    <x v="1"/>
    <n v="1186"/>
    <n v="1"/>
    <m/>
    <m/>
    <x v="0"/>
    <n v="2067"/>
    <n v="2067"/>
    <n v="0"/>
    <n v="0"/>
    <m/>
  </r>
  <r>
    <x v="0"/>
    <x v="2"/>
    <x v="1"/>
    <n v="1366"/>
    <n v="1"/>
    <m/>
    <m/>
    <x v="0"/>
    <n v="2411"/>
    <n v="2411"/>
    <n v="0"/>
    <n v="0"/>
    <m/>
  </r>
  <r>
    <x v="0"/>
    <x v="2"/>
    <x v="1"/>
    <n v="2407"/>
    <n v="4"/>
    <s v="Fod"/>
    <n v="1"/>
    <x v="1"/>
    <n v="0"/>
    <n v="0"/>
    <n v="11500"/>
    <n v="0"/>
    <m/>
  </r>
  <r>
    <x v="0"/>
    <x v="2"/>
    <x v="1"/>
    <n v="2050"/>
    <n v="1"/>
    <m/>
    <m/>
    <x v="0"/>
    <n v="2067"/>
    <n v="2067"/>
    <n v="0"/>
    <n v="0"/>
    <m/>
  </r>
  <r>
    <x v="0"/>
    <x v="2"/>
    <x v="1"/>
    <n v="2063"/>
    <n v="1"/>
    <s v="Fod"/>
    <n v="1"/>
    <x v="2"/>
    <m/>
    <n v="0"/>
    <n v="0"/>
    <n v="0"/>
    <m/>
  </r>
  <r>
    <x v="0"/>
    <x v="2"/>
    <x v="1"/>
    <n v="1086"/>
    <n v="0"/>
    <m/>
    <m/>
    <x v="0"/>
    <n v="1546"/>
    <n v="1546"/>
    <n v="0"/>
    <n v="0"/>
    <m/>
  </r>
  <r>
    <x v="0"/>
    <x v="2"/>
    <x v="1"/>
    <n v="1248"/>
    <n v="2"/>
    <s v="Scroll"/>
    <n v="3"/>
    <x v="2"/>
    <n v="0"/>
    <n v="6000"/>
    <n v="0"/>
    <n v="2400"/>
    <m/>
  </r>
  <r>
    <x v="0"/>
    <x v="2"/>
    <x v="1"/>
    <n v="1342"/>
    <n v="1"/>
    <s v="SweetCookie"/>
    <m/>
    <x v="0"/>
    <n v="0"/>
    <n v="0"/>
    <n v="0"/>
    <n v="0"/>
    <m/>
  </r>
  <r>
    <x v="0"/>
    <x v="2"/>
    <x v="1"/>
    <n v="2048"/>
    <n v="0"/>
    <m/>
    <m/>
    <x v="0"/>
    <n v="1159"/>
    <n v="1159"/>
    <n v="0"/>
    <n v="0"/>
    <m/>
  </r>
  <r>
    <x v="0"/>
    <x v="2"/>
    <x v="1"/>
    <n v="2152"/>
    <n v="2"/>
    <s v="Fod"/>
    <n v="1"/>
    <x v="2"/>
    <n v="0"/>
    <n v="0"/>
    <n v="0"/>
    <n v="0"/>
    <m/>
  </r>
  <r>
    <x v="0"/>
    <x v="2"/>
    <x v="1"/>
    <n v="1171"/>
    <n v="1"/>
    <m/>
    <m/>
    <x v="0"/>
    <n v="2067"/>
    <n v="2067"/>
    <n v="0"/>
    <n v="0"/>
    <m/>
  </r>
  <r>
    <x v="0"/>
    <x v="2"/>
    <x v="1"/>
    <n v="2951"/>
    <n v="2"/>
    <m/>
    <m/>
    <x v="0"/>
    <n v="2411"/>
    <n v="2411"/>
    <n v="0"/>
    <n v="0"/>
    <m/>
  </r>
  <r>
    <x v="0"/>
    <x v="2"/>
    <x v="1"/>
    <n v="1340"/>
    <n v="0"/>
    <m/>
    <m/>
    <x v="0"/>
    <n v="1159"/>
    <n v="1159"/>
    <n v="0"/>
    <n v="0"/>
    <m/>
  </r>
  <r>
    <x v="0"/>
    <x v="2"/>
    <x v="1"/>
    <n v="1120"/>
    <n v="1"/>
    <m/>
    <m/>
    <x v="0"/>
    <n v="1546"/>
    <n v="1546"/>
    <n v="0"/>
    <n v="0"/>
    <m/>
  </r>
  <r>
    <x v="0"/>
    <x v="2"/>
    <x v="1"/>
    <n v="805"/>
    <n v="1"/>
    <m/>
    <m/>
    <x v="0"/>
    <n v="2067"/>
    <n v="2067"/>
    <n v="0"/>
    <n v="0"/>
    <m/>
  </r>
  <r>
    <x v="0"/>
    <x v="2"/>
    <x v="1"/>
    <n v="1611"/>
    <n v="3"/>
    <m/>
    <m/>
    <x v="0"/>
    <n v="1159"/>
    <n v="1159"/>
    <n v="0"/>
    <n v="0"/>
    <m/>
  </r>
  <r>
    <x v="0"/>
    <x v="2"/>
    <x v="1"/>
    <n v="1332"/>
    <n v="0"/>
    <m/>
    <m/>
    <x v="0"/>
    <n v="1159"/>
    <n v="1159"/>
    <n v="0"/>
    <n v="0"/>
    <m/>
  </r>
  <r>
    <x v="0"/>
    <x v="2"/>
    <x v="1"/>
    <n v="1613"/>
    <n v="1"/>
    <m/>
    <m/>
    <x v="0"/>
    <n v="2411"/>
    <n v="2411"/>
    <n v="0"/>
    <n v="0"/>
    <m/>
  </r>
  <r>
    <x v="0"/>
    <x v="2"/>
    <x v="1"/>
    <n v="1375"/>
    <n v="1"/>
    <m/>
    <m/>
    <x v="0"/>
    <n v="1159"/>
    <n v="1159"/>
    <n v="0"/>
    <n v="0"/>
    <m/>
  </r>
  <r>
    <x v="0"/>
    <x v="2"/>
    <x v="1"/>
    <n v="1277"/>
    <n v="1"/>
    <m/>
    <m/>
    <x v="0"/>
    <n v="1159"/>
    <n v="1159"/>
    <n v="0"/>
    <n v="0"/>
    <m/>
  </r>
  <r>
    <x v="0"/>
    <x v="2"/>
    <x v="1"/>
    <n v="1167"/>
    <n v="0"/>
    <m/>
    <m/>
    <x v="0"/>
    <n v="2067"/>
    <n v="2067"/>
    <n v="0"/>
    <n v="0"/>
    <m/>
  </r>
  <r>
    <x v="0"/>
    <x v="2"/>
    <x v="1"/>
    <n v="1156"/>
    <n v="2"/>
    <m/>
    <m/>
    <x v="0"/>
    <n v="1352"/>
    <n v="1352"/>
    <n v="0"/>
    <n v="0"/>
    <m/>
  </r>
  <r>
    <x v="0"/>
    <x v="2"/>
    <x v="1"/>
    <n v="1404"/>
    <n v="0"/>
    <s v="Fod"/>
    <n v="1"/>
    <x v="5"/>
    <n v="0"/>
    <n v="0"/>
    <n v="34500"/>
    <n v="35822"/>
    <m/>
  </r>
  <r>
    <x v="0"/>
    <x v="2"/>
    <x v="1"/>
    <n v="1462"/>
    <n v="0"/>
    <m/>
    <m/>
    <x v="0"/>
    <n v="1159"/>
    <n v="1159"/>
    <n v="0"/>
    <n v="0"/>
    <m/>
  </r>
  <r>
    <x v="0"/>
    <x v="2"/>
    <x v="1"/>
    <n v="1957"/>
    <n v="2"/>
    <s v="SweetCookie"/>
    <m/>
    <x v="0"/>
    <n v="0"/>
    <n v="0"/>
    <n v="0"/>
    <n v="0"/>
    <m/>
  </r>
  <r>
    <x v="0"/>
    <x v="2"/>
    <x v="1"/>
    <n v="1051"/>
    <n v="0"/>
    <m/>
    <m/>
    <x v="0"/>
    <n v="2411"/>
    <n v="2411"/>
    <n v="0"/>
    <n v="0"/>
    <m/>
  </r>
  <r>
    <x v="0"/>
    <x v="2"/>
    <x v="1"/>
    <n v="1187"/>
    <n v="2"/>
    <m/>
    <m/>
    <x v="0"/>
    <n v="1159"/>
    <n v="1159"/>
    <n v="0"/>
    <n v="0"/>
    <m/>
  </r>
  <r>
    <x v="0"/>
    <x v="2"/>
    <x v="1"/>
    <n v="1798"/>
    <n v="2"/>
    <s v="Scroll"/>
    <n v="3"/>
    <x v="2"/>
    <n v="0"/>
    <n v="6000"/>
    <n v="0"/>
    <n v="2400"/>
    <m/>
  </r>
  <r>
    <x v="0"/>
    <x v="2"/>
    <x v="1"/>
    <n v="1909"/>
    <n v="3"/>
    <m/>
    <m/>
    <x v="0"/>
    <n v="1159"/>
    <n v="1159"/>
    <n v="0"/>
    <n v="0"/>
    <m/>
  </r>
  <r>
    <x v="0"/>
    <x v="2"/>
    <x v="1"/>
    <n v="829"/>
    <n v="2"/>
    <m/>
    <m/>
    <x v="0"/>
    <n v="1159"/>
    <n v="1159"/>
    <n v="0"/>
    <n v="0"/>
    <m/>
  </r>
  <r>
    <x v="0"/>
    <x v="2"/>
    <x v="1"/>
    <n v="1201"/>
    <n v="2"/>
    <s v="Scroll"/>
    <n v="3"/>
    <x v="2"/>
    <n v="0"/>
    <n v="6000"/>
    <n v="0"/>
    <n v="2400"/>
    <m/>
  </r>
  <r>
    <x v="0"/>
    <x v="2"/>
    <x v="1"/>
    <n v="1770"/>
    <n v="0"/>
    <m/>
    <m/>
    <x v="0"/>
    <n v="1159"/>
    <n v="1159"/>
    <n v="0"/>
    <n v="0"/>
    <m/>
  </r>
  <r>
    <x v="0"/>
    <x v="2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2"/>
    <n v="0"/>
    <n v="2000"/>
    <n v="0"/>
    <n v="80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2"/>
    <n v="0"/>
    <n v="2000"/>
    <n v="0"/>
    <n v="80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2"/>
    <n v="0"/>
    <n v="2000"/>
    <n v="0"/>
    <n v="800"/>
    <m/>
  </r>
  <r>
    <x v="0"/>
    <x v="1"/>
    <x v="1"/>
    <n v="2474"/>
    <n v="3"/>
    <s v="Scroll"/>
    <n v="2"/>
    <x v="2"/>
    <n v="0"/>
    <n v="4000"/>
    <n v="0"/>
    <n v="1600"/>
    <m/>
  </r>
  <r>
    <x v="0"/>
    <x v="2"/>
    <x v="1"/>
    <n v="920"/>
    <n v="2"/>
    <s v="Scroll"/>
    <n v="3"/>
    <x v="2"/>
    <n v="0"/>
    <n v="6000"/>
    <n v="0"/>
    <n v="2400"/>
    <m/>
  </r>
  <r>
    <x v="0"/>
    <x v="2"/>
    <x v="1"/>
    <n v="1475"/>
    <n v="3"/>
    <m/>
    <m/>
    <x v="0"/>
    <n v="2756"/>
    <n v="2756"/>
    <n v="0"/>
    <n v="0"/>
    <m/>
  </r>
  <r>
    <x v="0"/>
    <x v="2"/>
    <x v="1"/>
    <n v="1500"/>
    <n v="3"/>
    <s v="Fod"/>
    <n v="1"/>
    <x v="5"/>
    <n v="0"/>
    <n v="0"/>
    <n v="34500"/>
    <n v="35822"/>
    <m/>
  </r>
  <r>
    <x v="0"/>
    <x v="2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182"/>
    <n v="0"/>
    <s v="Magic"/>
    <n v="4"/>
    <x v="3"/>
    <n v="0"/>
    <n v="0"/>
    <n v="0"/>
    <n v="0"/>
    <m/>
  </r>
  <r>
    <x v="2"/>
    <x v="0"/>
    <x v="2"/>
    <n v="2090"/>
    <n v="2"/>
    <m/>
    <m/>
    <x v="0"/>
    <n v="1971"/>
    <n v="1971"/>
    <n v="0"/>
    <n v="0"/>
    <m/>
  </r>
  <r>
    <x v="2"/>
    <x v="0"/>
    <x v="2"/>
    <n v="2783"/>
    <n v="2"/>
    <s v="Scroll"/>
    <n v="3"/>
    <x v="2"/>
    <n v="0"/>
    <n v="6000"/>
    <n v="0"/>
    <n v="2400"/>
    <m/>
  </r>
  <r>
    <x v="2"/>
    <x v="0"/>
    <x v="2"/>
    <n v="2090"/>
    <n v="0"/>
    <m/>
    <m/>
    <x v="0"/>
    <n v="12000"/>
    <n v="12000"/>
    <n v="0"/>
    <n v="0"/>
    <m/>
  </r>
  <r>
    <x v="2"/>
    <x v="0"/>
    <x v="2"/>
    <n v="2367"/>
    <n v="0"/>
    <s v="Rainb"/>
    <n v="1"/>
    <x v="1"/>
    <n v="0"/>
    <n v="0"/>
    <n v="11500"/>
    <n v="35822"/>
    <m/>
  </r>
  <r>
    <x v="2"/>
    <x v="0"/>
    <x v="2"/>
    <n v="3236"/>
    <n v="1"/>
    <m/>
    <m/>
    <x v="0"/>
    <n v="1236"/>
    <n v="1236"/>
    <n v="0"/>
    <n v="0"/>
    <m/>
  </r>
  <r>
    <x v="2"/>
    <x v="0"/>
    <x v="2"/>
    <n v="2638"/>
    <n v="0"/>
    <s v="SweetCookie"/>
    <m/>
    <x v="0"/>
    <n v="0"/>
    <n v="0"/>
    <n v="0"/>
    <n v="0"/>
    <m/>
  </r>
  <r>
    <x v="2"/>
    <x v="0"/>
    <x v="2"/>
    <n v="2603"/>
    <n v="0"/>
    <s v="Scroll"/>
    <n v="4"/>
    <x v="2"/>
    <n v="0"/>
    <n v="8000"/>
    <n v="0"/>
    <n v="3200"/>
    <m/>
  </r>
  <r>
    <x v="2"/>
    <x v="0"/>
    <x v="2"/>
    <n v="2600"/>
    <n v="2"/>
    <m/>
    <m/>
    <x v="0"/>
    <n v="3916"/>
    <n v="3916"/>
    <n v="0"/>
    <n v="0"/>
    <m/>
  </r>
  <r>
    <x v="2"/>
    <x v="0"/>
    <x v="2"/>
    <n v="2913"/>
    <n v="0"/>
    <m/>
    <m/>
    <x v="0"/>
    <n v="3789"/>
    <n v="3789"/>
    <n v="0"/>
    <n v="0"/>
    <m/>
  </r>
  <r>
    <x v="2"/>
    <x v="0"/>
    <x v="2"/>
    <n v="2460"/>
    <n v="1"/>
    <s v="Scroll"/>
    <n v="4"/>
    <x v="2"/>
    <n v="0"/>
    <n v="8000"/>
    <n v="0"/>
    <n v="3200"/>
    <m/>
  </r>
  <r>
    <x v="8"/>
    <x v="0"/>
    <x v="7"/>
    <n v="2498"/>
    <n v="2"/>
    <s v="Water"/>
    <n v="3"/>
    <x v="3"/>
    <n v="0"/>
    <n v="0"/>
    <n v="0"/>
    <n v="0"/>
    <m/>
  </r>
  <r>
    <x v="8"/>
    <x v="0"/>
    <x v="6"/>
    <n v="2073"/>
    <n v="0"/>
    <s v="Water"/>
    <n v="1"/>
    <x v="4"/>
    <n v="0"/>
    <n v="0"/>
    <n v="0"/>
    <n v="0"/>
    <m/>
  </r>
  <r>
    <x v="8"/>
    <x v="0"/>
    <x v="6"/>
    <n v="2143"/>
    <n v="0"/>
    <s v="Water"/>
    <n v="3"/>
    <x v="3"/>
    <n v="0"/>
    <n v="0"/>
    <n v="0"/>
    <n v="0"/>
    <m/>
  </r>
  <r>
    <x v="8"/>
    <x v="0"/>
    <x v="6"/>
    <n v="1852"/>
    <n v="1"/>
    <s v="Water"/>
    <n v="1"/>
    <x v="4"/>
    <n v="0"/>
    <n v="0"/>
    <n v="0"/>
    <n v="0"/>
    <m/>
  </r>
  <r>
    <x v="8"/>
    <x v="0"/>
    <x v="6"/>
    <n v="2417"/>
    <n v="0"/>
    <s v="SumStone"/>
    <n v="1"/>
    <x v="5"/>
    <n v="0"/>
    <n v="0"/>
    <n v="862.5"/>
    <n v="895.55"/>
    <m/>
  </r>
  <r>
    <x v="8"/>
    <x v="0"/>
    <x v="7"/>
    <n v="2146"/>
    <n v="0"/>
    <s v="Water"/>
    <n v="2"/>
    <x v="4"/>
    <n v="0"/>
    <n v="0"/>
    <n v="0"/>
    <n v="0"/>
    <m/>
  </r>
  <r>
    <x v="8"/>
    <x v="0"/>
    <x v="7"/>
    <n v="2968"/>
    <n v="0"/>
    <s v="Scroll"/>
    <n v="4"/>
    <x v="2"/>
    <n v="0"/>
    <n v="8000"/>
    <n v="0"/>
    <n v="3200"/>
    <m/>
  </r>
  <r>
    <x v="8"/>
    <x v="0"/>
    <x v="7"/>
    <n v="2237"/>
    <n v="0"/>
    <s v="Scroll"/>
    <n v="4"/>
    <x v="2"/>
    <n v="0"/>
    <n v="8000"/>
    <n v="0"/>
    <n v="3200"/>
    <m/>
  </r>
  <r>
    <x v="8"/>
    <x v="0"/>
    <x v="7"/>
    <n v="2223"/>
    <n v="1"/>
    <s v="Water"/>
    <n v="5"/>
    <x v="3"/>
    <n v="0"/>
    <n v="0"/>
    <n v="0"/>
    <n v="0"/>
    <m/>
  </r>
  <r>
    <x v="8"/>
    <x v="0"/>
    <x v="7"/>
    <n v="2246"/>
    <n v="2"/>
    <s v="Scroll"/>
    <n v="4"/>
    <x v="2"/>
    <n v="0"/>
    <n v="8000"/>
    <n v="0"/>
    <n v="3200"/>
    <m/>
  </r>
  <r>
    <x v="8"/>
    <x v="0"/>
    <x v="7"/>
    <n v="1945"/>
    <n v="0"/>
    <s v="Scroll"/>
    <n v="4"/>
    <x v="2"/>
    <n v="0"/>
    <n v="8000"/>
    <n v="0"/>
    <n v="3200"/>
    <m/>
  </r>
  <r>
    <x v="8"/>
    <x v="0"/>
    <x v="7"/>
    <n v="2404"/>
    <n v="1"/>
    <s v="Water"/>
    <n v="4"/>
    <x v="3"/>
    <n v="0"/>
    <n v="0"/>
    <n v="0"/>
    <n v="0"/>
    <m/>
  </r>
  <r>
    <x v="8"/>
    <x v="0"/>
    <x v="7"/>
    <n v="3017"/>
    <n v="1"/>
    <s v="Water"/>
    <n v="4"/>
    <x v="3"/>
    <n v="0"/>
    <n v="0"/>
    <n v="0"/>
    <n v="0"/>
    <m/>
  </r>
  <r>
    <x v="8"/>
    <x v="0"/>
    <x v="7"/>
    <n v="2175"/>
    <n v="0"/>
    <s v="SweetCookie"/>
    <n v="1"/>
    <x v="0"/>
    <n v="0"/>
    <n v="0"/>
    <n v="0"/>
    <n v="0"/>
    <m/>
  </r>
  <r>
    <x v="8"/>
    <x v="0"/>
    <x v="7"/>
    <n v="2276"/>
    <n v="0"/>
    <s v="Water"/>
    <n v="4"/>
    <x v="3"/>
    <n v="0"/>
    <n v="0"/>
    <n v="0"/>
    <n v="0"/>
    <m/>
  </r>
  <r>
    <x v="8"/>
    <x v="0"/>
    <x v="7"/>
    <n v="2576"/>
    <n v="3"/>
    <s v="Water"/>
    <n v="4"/>
    <x v="3"/>
    <n v="0"/>
    <n v="0"/>
    <n v="0"/>
    <n v="0"/>
    <m/>
  </r>
  <r>
    <x v="8"/>
    <x v="0"/>
    <x v="7"/>
    <n v="2058"/>
    <n v="1"/>
    <s v="Water"/>
    <n v="5"/>
    <x v="3"/>
    <n v="0"/>
    <n v="0"/>
    <n v="0"/>
    <n v="0"/>
    <m/>
  </r>
  <r>
    <x v="8"/>
    <x v="0"/>
    <x v="7"/>
    <n v="2086"/>
    <n v="1"/>
    <s v="Scroll"/>
    <n v="4"/>
    <x v="2"/>
    <n v="0"/>
    <n v="8000"/>
    <n v="0"/>
    <n v="3200"/>
    <m/>
  </r>
  <r>
    <x v="8"/>
    <x v="0"/>
    <x v="7"/>
    <n v="2586"/>
    <n v="3"/>
    <s v="Scroll"/>
    <n v="4"/>
    <x v="2"/>
    <n v="0"/>
    <n v="8000"/>
    <n v="0"/>
    <n v="3200"/>
    <m/>
  </r>
  <r>
    <x v="8"/>
    <x v="0"/>
    <x v="7"/>
    <n v="2500"/>
    <n v="1"/>
    <s v="Scroll"/>
    <n v="5"/>
    <x v="2"/>
    <n v="0"/>
    <n v="10000"/>
    <n v="0"/>
    <n v="4000"/>
    <m/>
  </r>
  <r>
    <x v="8"/>
    <x v="0"/>
    <x v="7"/>
    <n v="2526"/>
    <n v="0"/>
    <s v="Water"/>
    <n v="1"/>
    <x v="6"/>
    <n v="0"/>
    <n v="0"/>
    <n v="0"/>
    <n v="0"/>
    <m/>
  </r>
  <r>
    <x v="8"/>
    <x v="0"/>
    <x v="7"/>
    <n v="2483"/>
    <n v="3"/>
    <s v="Water"/>
    <n v="1"/>
    <x v="6"/>
    <n v="0"/>
    <n v="0"/>
    <n v="0"/>
    <n v="0"/>
    <m/>
  </r>
  <r>
    <x v="8"/>
    <x v="0"/>
    <x v="7"/>
    <n v="2491"/>
    <n v="0"/>
    <s v="SD"/>
    <s v="Bearman"/>
    <x v="5"/>
    <n v="0"/>
    <n v="0"/>
    <n v="0"/>
    <n v="0"/>
    <m/>
  </r>
  <r>
    <x v="8"/>
    <x v="0"/>
    <x v="7"/>
    <n v="2730"/>
    <n v="0"/>
    <s v="Scroll"/>
    <n v="4"/>
    <x v="2"/>
    <n v="0"/>
    <n v="8000"/>
    <n v="0"/>
    <n v="3200"/>
    <m/>
  </r>
  <r>
    <x v="8"/>
    <x v="0"/>
    <x v="7"/>
    <n v="2671"/>
    <n v="2"/>
    <s v="Water"/>
    <n v="4"/>
    <x v="3"/>
    <n v="0"/>
    <n v="0"/>
    <n v="0"/>
    <n v="0"/>
    <m/>
  </r>
  <r>
    <x v="8"/>
    <x v="0"/>
    <x v="7"/>
    <n v="2186"/>
    <n v="1"/>
    <s v="Angelmon"/>
    <n v="1"/>
    <x v="2"/>
    <n v="0"/>
    <n v="0"/>
    <n v="0"/>
    <n v="0"/>
    <m/>
  </r>
  <r>
    <x v="8"/>
    <x v="0"/>
    <x v="7"/>
    <n v="2316"/>
    <n v="0"/>
    <s v="Water"/>
    <n v="3"/>
    <x v="3"/>
    <n v="0"/>
    <n v="0"/>
    <n v="0"/>
    <n v="0"/>
    <m/>
  </r>
  <r>
    <x v="8"/>
    <x v="0"/>
    <x v="7"/>
    <n v="2046"/>
    <n v="1"/>
    <s v="Water"/>
    <n v="4"/>
    <x v="3"/>
    <n v="0"/>
    <n v="0"/>
    <n v="0"/>
    <n v="0"/>
    <m/>
  </r>
  <r>
    <x v="8"/>
    <x v="0"/>
    <x v="7"/>
    <n v="2303"/>
    <n v="3"/>
    <s v="Water"/>
    <n v="1"/>
    <x v="4"/>
    <n v="0"/>
    <n v="0"/>
    <n v="0"/>
    <n v="0"/>
    <m/>
  </r>
  <r>
    <x v="8"/>
    <x v="0"/>
    <x v="7"/>
    <n v="2396"/>
    <n v="1"/>
    <s v="Water"/>
    <n v="1"/>
    <x v="4"/>
    <n v="0"/>
    <n v="0"/>
    <n v="0"/>
    <n v="0"/>
    <m/>
  </r>
  <r>
    <x v="8"/>
    <x v="0"/>
    <x v="7"/>
    <n v="2325"/>
    <n v="1"/>
    <s v="Water"/>
    <n v="2"/>
    <x v="6"/>
    <n v="0"/>
    <n v="0"/>
    <n v="0"/>
    <n v="0"/>
    <m/>
  </r>
  <r>
    <x v="8"/>
    <x v="0"/>
    <x v="7"/>
    <n v="2398"/>
    <n v="1"/>
    <s v="Water"/>
    <n v="3"/>
    <x v="3"/>
    <n v="0"/>
    <n v="0"/>
    <n v="0"/>
    <n v="0"/>
    <m/>
  </r>
  <r>
    <x v="8"/>
    <x v="0"/>
    <x v="7"/>
    <n v="2668"/>
    <n v="0"/>
    <s v="Water"/>
    <n v="3"/>
    <x v="6"/>
    <n v="0"/>
    <n v="0"/>
    <n v="0"/>
    <n v="0"/>
    <m/>
  </r>
  <r>
    <x v="3"/>
    <x v="0"/>
    <x v="6"/>
    <n v="3002"/>
    <n v="2"/>
    <s v="Magic"/>
    <n v="2"/>
    <x v="4"/>
    <n v="0"/>
    <n v="0"/>
    <n v="0"/>
    <n v="0"/>
    <m/>
  </r>
  <r>
    <x v="3"/>
    <x v="0"/>
    <x v="6"/>
    <n v="2021"/>
    <n v="1"/>
    <s v="Magic"/>
    <n v="1"/>
    <x v="4"/>
    <n v="0"/>
    <n v="0"/>
    <n v="0"/>
    <n v="0"/>
    <m/>
  </r>
  <r>
    <x v="3"/>
    <x v="0"/>
    <x v="6"/>
    <n v="2168"/>
    <n v="0"/>
    <s v="Magic"/>
    <n v="4"/>
    <x v="3"/>
    <n v="0"/>
    <n v="0"/>
    <n v="0"/>
    <n v="0"/>
    <m/>
  </r>
  <r>
    <x v="3"/>
    <x v="0"/>
    <x v="6"/>
    <n v="2540"/>
    <n v="3"/>
    <s v="Magic"/>
    <n v="1"/>
    <x v="4"/>
    <n v="0"/>
    <n v="0"/>
    <n v="0"/>
    <n v="0"/>
    <m/>
  </r>
  <r>
    <x v="3"/>
    <x v="0"/>
    <x v="6"/>
    <n v="2251"/>
    <n v="1"/>
    <s v="Magic"/>
    <n v="1"/>
    <x v="4"/>
    <n v="0"/>
    <n v="0"/>
    <n v="0"/>
    <n v="0"/>
    <m/>
  </r>
  <r>
    <x v="3"/>
    <x v="0"/>
    <x v="6"/>
    <n v="2591"/>
    <n v="1"/>
    <s v="Magic"/>
    <n v="4"/>
    <x v="3"/>
    <n v="0"/>
    <n v="0"/>
    <n v="0"/>
    <n v="0"/>
    <m/>
  </r>
  <r>
    <x v="3"/>
    <x v="0"/>
    <x v="6"/>
    <n v="2238"/>
    <n v="1"/>
    <s v="Magic"/>
    <n v="3"/>
    <x v="4"/>
    <n v="0"/>
    <n v="0"/>
    <n v="0"/>
    <n v="0"/>
    <m/>
  </r>
  <r>
    <x v="3"/>
    <x v="0"/>
    <x v="6"/>
    <n v="2506"/>
    <n v="0"/>
    <s v="Magic"/>
    <n v="3"/>
    <x v="4"/>
    <n v="0"/>
    <n v="0"/>
    <n v="0"/>
    <n v="0"/>
    <m/>
  </r>
  <r>
    <x v="3"/>
    <x v="0"/>
    <x v="6"/>
    <n v="2339"/>
    <n v="0"/>
    <s v="Magic"/>
    <n v="4"/>
    <x v="3"/>
    <n v="0"/>
    <n v="0"/>
    <n v="0"/>
    <n v="0"/>
    <m/>
  </r>
  <r>
    <x v="3"/>
    <x v="0"/>
    <x v="6"/>
    <n v="2207"/>
    <n v="1"/>
    <s v="Magic"/>
    <n v="3"/>
    <x v="3"/>
    <n v="0"/>
    <n v="0"/>
    <n v="0"/>
    <n v="0"/>
    <m/>
  </r>
  <r>
    <x v="3"/>
    <x v="0"/>
    <x v="6"/>
    <n v="1988"/>
    <n v="0"/>
    <s v="Water"/>
    <n v="3"/>
    <x v="3"/>
    <n v="0"/>
    <n v="0"/>
    <n v="0"/>
    <n v="0"/>
    <m/>
  </r>
  <r>
    <x v="3"/>
    <x v="0"/>
    <x v="6"/>
    <n v="2659"/>
    <n v="0"/>
    <s v="Magic"/>
    <n v="5"/>
    <x v="3"/>
    <n v="0"/>
    <n v="0"/>
    <n v="0"/>
    <n v="0"/>
    <m/>
  </r>
  <r>
    <x v="3"/>
    <x v="0"/>
    <x v="6"/>
    <n v="2237"/>
    <n v="0"/>
    <s v="Scroll"/>
    <n v="4"/>
    <x v="2"/>
    <n v="0"/>
    <n v="8000"/>
    <n v="0"/>
    <n v="320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3"/>
    <n v="0"/>
    <n v="0"/>
    <n v="0"/>
    <n v="0"/>
    <m/>
  </r>
  <r>
    <x v="3"/>
    <x v="0"/>
    <x v="6"/>
    <n v="2248"/>
    <n v="1"/>
    <s v="Magic"/>
    <n v="2"/>
    <x v="6"/>
    <n v="0"/>
    <n v="0"/>
    <n v="0"/>
    <n v="0"/>
    <m/>
  </r>
  <r>
    <x v="2"/>
    <x v="0"/>
    <x v="2"/>
    <n v="2097"/>
    <n v="2"/>
    <s v="Blue"/>
    <n v="1"/>
    <x v="7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n v="1"/>
    <x v="1"/>
    <n v="0"/>
    <n v="0"/>
    <n v="11500"/>
    <n v="0"/>
    <m/>
  </r>
  <r>
    <x v="1"/>
    <x v="1"/>
    <x v="8"/>
    <n v="1442"/>
    <n v="1"/>
    <s v="Fod"/>
    <n v="1"/>
    <x v="1"/>
    <n v="0"/>
    <n v="0"/>
    <n v="11500"/>
    <n v="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2"/>
    <n v="0"/>
    <n v="4000"/>
    <n v="0"/>
    <n v="1600"/>
    <m/>
  </r>
  <r>
    <x v="1"/>
    <x v="1"/>
    <x v="8"/>
    <n v="1532"/>
    <n v="1"/>
    <s v="Scroll"/>
    <n v="2"/>
    <x v="2"/>
    <n v="0"/>
    <n v="4000"/>
    <n v="0"/>
    <n v="160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2"/>
    <n v="0"/>
    <n v="4000"/>
    <n v="0"/>
    <n v="160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2"/>
    <n v="0"/>
    <n v="4000"/>
    <n v="0"/>
    <n v="160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n v="1"/>
    <x v="1"/>
    <n v="0"/>
    <n v="0"/>
    <n v="11500"/>
    <n v="0"/>
    <m/>
  </r>
  <r>
    <x v="1"/>
    <x v="1"/>
    <x v="8"/>
    <n v="1287"/>
    <n v="4"/>
    <s v="Scroll"/>
    <n v="2"/>
    <x v="2"/>
    <n v="0"/>
    <n v="4000"/>
    <n v="0"/>
    <n v="1600"/>
    <m/>
  </r>
  <r>
    <x v="1"/>
    <x v="1"/>
    <x v="8"/>
    <n v="1485"/>
    <n v="1"/>
    <s v="Scroll"/>
    <n v="2"/>
    <x v="2"/>
    <n v="0"/>
    <n v="4000"/>
    <n v="0"/>
    <n v="160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2"/>
    <n v="0"/>
    <n v="4000"/>
    <n v="0"/>
    <n v="160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n v="1"/>
    <x v="1"/>
    <n v="0"/>
    <n v="0"/>
    <n v="11500"/>
    <n v="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2"/>
    <x v="1"/>
    <n v="1628"/>
    <n v="2"/>
    <m/>
    <m/>
    <x v="0"/>
    <n v="1159"/>
    <n v="1159"/>
    <n v="0"/>
    <n v="0"/>
    <m/>
  </r>
  <r>
    <x v="0"/>
    <x v="2"/>
    <x v="1"/>
    <n v="1636"/>
    <n v="2"/>
    <m/>
    <m/>
    <x v="0"/>
    <n v="1159"/>
    <n v="1159"/>
    <n v="0"/>
    <n v="0"/>
    <m/>
  </r>
  <r>
    <x v="0"/>
    <x v="2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2"/>
    <n v="0"/>
    <n v="4000"/>
    <n v="0"/>
    <n v="1600"/>
    <m/>
  </r>
  <r>
    <x v="1"/>
    <x v="1"/>
    <x v="8"/>
    <n v="1918"/>
    <n v="0"/>
    <s v="Scroll"/>
    <n v="2"/>
    <x v="2"/>
    <n v="0"/>
    <n v="4000"/>
    <n v="0"/>
    <n v="1600"/>
    <m/>
  </r>
  <r>
    <x v="1"/>
    <x v="1"/>
    <x v="8"/>
    <n v="1961"/>
    <n v="1"/>
    <s v="Scroll"/>
    <n v="2"/>
    <x v="2"/>
    <n v="0"/>
    <n v="4000"/>
    <n v="0"/>
    <n v="160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2"/>
    <n v="0"/>
    <n v="4000"/>
    <n v="0"/>
    <n v="1600"/>
    <m/>
  </r>
  <r>
    <x v="0"/>
    <x v="2"/>
    <x v="9"/>
    <n v="1836"/>
    <n v="1"/>
    <m/>
    <m/>
    <x v="0"/>
    <n v="1352"/>
    <n v="1352"/>
    <n v="0"/>
    <n v="0"/>
    <m/>
  </r>
  <r>
    <x v="0"/>
    <x v="2"/>
    <x v="9"/>
    <n v="1596"/>
    <n v="1"/>
    <s v="Scroll"/>
    <n v="3"/>
    <x v="2"/>
    <n v="0"/>
    <n v="6000"/>
    <n v="0"/>
    <n v="2400"/>
    <m/>
  </r>
  <r>
    <x v="0"/>
    <x v="2"/>
    <x v="9"/>
    <n v="1249"/>
    <n v="1"/>
    <m/>
    <m/>
    <x v="0"/>
    <n v="1352"/>
    <n v="1352"/>
    <n v="0"/>
    <n v="0"/>
    <m/>
  </r>
  <r>
    <x v="0"/>
    <x v="2"/>
    <x v="9"/>
    <n v="1211"/>
    <n v="1"/>
    <m/>
    <m/>
    <x v="0"/>
    <n v="1352"/>
    <n v="1352"/>
    <n v="0"/>
    <n v="0"/>
    <m/>
  </r>
  <r>
    <x v="0"/>
    <x v="2"/>
    <x v="9"/>
    <n v="1264"/>
    <n v="2"/>
    <m/>
    <m/>
    <x v="0"/>
    <n v="2411"/>
    <n v="2411"/>
    <n v="0"/>
    <n v="0"/>
    <m/>
  </r>
  <r>
    <x v="0"/>
    <x v="2"/>
    <x v="9"/>
    <n v="2595"/>
    <n v="0"/>
    <m/>
    <m/>
    <x v="0"/>
    <n v="2067"/>
    <n v="2067"/>
    <n v="0"/>
    <n v="0"/>
    <m/>
  </r>
  <r>
    <x v="0"/>
    <x v="2"/>
    <x v="9"/>
    <n v="1424"/>
    <n v="2"/>
    <m/>
    <m/>
    <x v="0"/>
    <n v="1159"/>
    <n v="1159"/>
    <n v="0"/>
    <n v="0"/>
    <m/>
  </r>
  <r>
    <x v="0"/>
    <x v="2"/>
    <x v="9"/>
    <n v="1971"/>
    <n v="1"/>
    <m/>
    <m/>
    <x v="0"/>
    <n v="1159"/>
    <n v="1159"/>
    <n v="0"/>
    <n v="0"/>
    <m/>
  </r>
  <r>
    <x v="0"/>
    <x v="2"/>
    <x v="9"/>
    <n v="2145"/>
    <n v="0"/>
    <m/>
    <m/>
    <x v="0"/>
    <n v="2067"/>
    <n v="2067"/>
    <n v="0"/>
    <n v="0"/>
    <m/>
  </r>
  <r>
    <x v="0"/>
    <x v="2"/>
    <x v="9"/>
    <n v="2223"/>
    <n v="0"/>
    <m/>
    <m/>
    <x v="0"/>
    <n v="1546"/>
    <n v="1546"/>
    <n v="0"/>
    <n v="0"/>
    <m/>
  </r>
  <r>
    <x v="0"/>
    <x v="2"/>
    <x v="9"/>
    <n v="2364"/>
    <n v="1"/>
    <m/>
    <m/>
    <x v="0"/>
    <n v="1159"/>
    <n v="1159"/>
    <n v="0"/>
    <n v="0"/>
    <m/>
  </r>
  <r>
    <x v="0"/>
    <x v="2"/>
    <x v="9"/>
    <n v="781"/>
    <n v="0"/>
    <m/>
    <m/>
    <x v="0"/>
    <n v="2067"/>
    <n v="2067"/>
    <n v="0"/>
    <n v="0"/>
    <m/>
  </r>
  <r>
    <x v="0"/>
    <x v="2"/>
    <x v="9"/>
    <n v="904"/>
    <n v="2"/>
    <s v="Scroll"/>
    <n v="3"/>
    <x v="2"/>
    <n v="0"/>
    <n v="6000"/>
    <n v="0"/>
    <n v="2400"/>
    <m/>
  </r>
  <r>
    <x v="0"/>
    <x v="2"/>
    <x v="9"/>
    <n v="1500"/>
    <n v="0"/>
    <m/>
    <m/>
    <x v="0"/>
    <n v="1159"/>
    <n v="1159"/>
    <n v="0"/>
    <n v="0"/>
    <m/>
  </r>
  <r>
    <x v="0"/>
    <x v="2"/>
    <x v="9"/>
    <n v="1071"/>
    <n v="0"/>
    <m/>
    <m/>
    <x v="0"/>
    <n v="1159"/>
    <n v="1159"/>
    <n v="0"/>
    <n v="0"/>
    <m/>
  </r>
  <r>
    <x v="0"/>
    <x v="2"/>
    <x v="9"/>
    <n v="1683"/>
    <n v="2"/>
    <m/>
    <m/>
    <x v="0"/>
    <n v="1159"/>
    <n v="1159"/>
    <n v="0"/>
    <n v="0"/>
    <m/>
  </r>
  <r>
    <x v="0"/>
    <x v="2"/>
    <x v="9"/>
    <n v="1102"/>
    <n v="0"/>
    <m/>
    <m/>
    <x v="0"/>
    <n v="1159"/>
    <n v="1159"/>
    <n v="0"/>
    <n v="0"/>
    <m/>
  </r>
  <r>
    <x v="0"/>
    <x v="2"/>
    <x v="9"/>
    <n v="1495"/>
    <n v="1"/>
    <s v="Scroll"/>
    <n v="3"/>
    <x v="2"/>
    <n v="0"/>
    <n v="6000"/>
    <n v="0"/>
    <n v="240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3"/>
    <n v="0"/>
    <n v="0"/>
    <n v="0"/>
    <n v="0"/>
    <m/>
  </r>
  <r>
    <x v="3"/>
    <x v="0"/>
    <x v="6"/>
    <n v="2191"/>
    <n v="1"/>
    <s v="Magic"/>
    <n v="1"/>
    <x v="6"/>
    <n v="0"/>
    <n v="0"/>
    <n v="0"/>
    <n v="0"/>
    <m/>
  </r>
  <r>
    <x v="3"/>
    <x v="0"/>
    <x v="6"/>
    <n v="2209"/>
    <n v="0"/>
    <s v="Magic"/>
    <n v="1"/>
    <x v="4"/>
    <n v="0"/>
    <n v="0"/>
    <n v="0"/>
    <n v="0"/>
    <m/>
  </r>
  <r>
    <x v="3"/>
    <x v="0"/>
    <x v="6"/>
    <n v="2202"/>
    <n v="1"/>
    <s v="Water"/>
    <n v="1"/>
    <x v="4"/>
    <n v="0"/>
    <n v="0"/>
    <n v="0"/>
    <n v="0"/>
    <m/>
  </r>
  <r>
    <x v="3"/>
    <x v="0"/>
    <x v="6"/>
    <n v="2118"/>
    <n v="0"/>
    <s v="Scroll"/>
    <n v="4"/>
    <x v="2"/>
    <n v="0"/>
    <n v="8000"/>
    <n v="0"/>
    <n v="3200"/>
    <m/>
  </r>
  <r>
    <x v="3"/>
    <x v="0"/>
    <x v="6"/>
    <n v="2413"/>
    <n v="1"/>
    <s v="Magic"/>
    <n v="1"/>
    <x v="4"/>
    <n v="0"/>
    <n v="0"/>
    <n v="0"/>
    <n v="0"/>
    <m/>
  </r>
  <r>
    <x v="3"/>
    <x v="0"/>
    <x v="6"/>
    <n v="2546"/>
    <n v="2"/>
    <s v="Scroll"/>
    <n v="4"/>
    <x v="2"/>
    <n v="0"/>
    <n v="8000"/>
    <n v="0"/>
    <n v="3200"/>
    <m/>
  </r>
  <r>
    <x v="3"/>
    <x v="0"/>
    <x v="6"/>
    <n v="1950"/>
    <n v="0"/>
    <s v="Magic"/>
    <n v="1"/>
    <x v="4"/>
    <n v="0"/>
    <n v="0"/>
    <n v="0"/>
    <n v="0"/>
    <m/>
  </r>
  <r>
    <x v="3"/>
    <x v="0"/>
    <x v="6"/>
    <n v="2444"/>
    <n v="1"/>
    <s v="Magic"/>
    <n v="5"/>
    <x v="3"/>
    <n v="0"/>
    <n v="0"/>
    <n v="0"/>
    <n v="0"/>
    <m/>
  </r>
  <r>
    <x v="3"/>
    <x v="0"/>
    <x v="6"/>
    <n v="2293"/>
    <n v="1"/>
    <s v="Magic"/>
    <n v="4"/>
    <x v="3"/>
    <n v="0"/>
    <n v="0"/>
    <n v="0"/>
    <n v="0"/>
    <m/>
  </r>
  <r>
    <x v="3"/>
    <x v="0"/>
    <x v="6"/>
    <n v="2100"/>
    <n v="0"/>
    <s v="Magic"/>
    <n v="2"/>
    <x v="4"/>
    <n v="0"/>
    <n v="0"/>
    <n v="0"/>
    <n v="0"/>
    <m/>
  </r>
  <r>
    <x v="3"/>
    <x v="0"/>
    <x v="6"/>
    <n v="2235"/>
    <n v="1"/>
    <s v="Magic"/>
    <n v="1"/>
    <x v="4"/>
    <n v="0"/>
    <n v="0"/>
    <n v="0"/>
    <n v="0"/>
    <m/>
  </r>
  <r>
    <x v="3"/>
    <x v="0"/>
    <x v="6"/>
    <n v="2213"/>
    <n v="0"/>
    <s v="Magic"/>
    <n v="3"/>
    <x v="3"/>
    <n v="0"/>
    <n v="0"/>
    <n v="0"/>
    <n v="0"/>
    <m/>
  </r>
  <r>
    <x v="3"/>
    <x v="0"/>
    <x v="6"/>
    <n v="2376"/>
    <n v="1"/>
    <s v="Wind"/>
    <n v="1"/>
    <x v="4"/>
    <n v="0"/>
    <n v="0"/>
    <n v="0"/>
    <n v="0"/>
    <m/>
  </r>
  <r>
    <x v="3"/>
    <x v="0"/>
    <x v="6"/>
    <n v="2190"/>
    <n v="0"/>
    <s v="Wind"/>
    <n v="2"/>
    <x v="4"/>
    <n v="0"/>
    <n v="0"/>
    <n v="0"/>
    <n v="0"/>
    <m/>
  </r>
  <r>
    <x v="3"/>
    <x v="0"/>
    <x v="6"/>
    <n v="2435"/>
    <n v="1"/>
    <s v="Magic"/>
    <n v="5"/>
    <x v="3"/>
    <n v="0"/>
    <n v="0"/>
    <n v="0"/>
    <n v="0"/>
    <m/>
  </r>
  <r>
    <x v="3"/>
    <x v="0"/>
    <x v="6"/>
    <n v="2777"/>
    <n v="0"/>
    <s v="Rainb"/>
    <n v="1"/>
    <x v="1"/>
    <n v="0"/>
    <n v="0"/>
    <n v="11500"/>
    <n v="35822"/>
    <m/>
  </r>
  <r>
    <x v="3"/>
    <x v="0"/>
    <x v="6"/>
    <n v="2127"/>
    <n v="0"/>
    <s v="Magic"/>
    <n v="3"/>
    <x v="3"/>
    <n v="0"/>
    <n v="0"/>
    <n v="0"/>
    <n v="0"/>
    <m/>
  </r>
  <r>
    <x v="3"/>
    <x v="0"/>
    <x v="6"/>
    <n v="2217"/>
    <n v="1"/>
    <s v="Magic"/>
    <n v="4"/>
    <x v="3"/>
    <n v="0"/>
    <n v="0"/>
    <n v="0"/>
    <n v="0"/>
    <m/>
  </r>
  <r>
    <x v="3"/>
    <x v="0"/>
    <x v="6"/>
    <n v="2126"/>
    <n v="0"/>
    <s v="Wind"/>
    <n v="3"/>
    <x v="4"/>
    <n v="0"/>
    <n v="0"/>
    <n v="0"/>
    <n v="0"/>
    <m/>
  </r>
  <r>
    <x v="3"/>
    <x v="0"/>
    <x v="6"/>
    <n v="2061"/>
    <n v="0"/>
    <s v="Magic"/>
    <n v="5"/>
    <x v="3"/>
    <n v="0"/>
    <n v="0"/>
    <n v="0"/>
    <n v="0"/>
    <m/>
  </r>
  <r>
    <x v="3"/>
    <x v="0"/>
    <x v="6"/>
    <n v="1946"/>
    <n v="0"/>
    <s v="Fire"/>
    <n v="2"/>
    <x v="6"/>
    <n v="0"/>
    <n v="0"/>
    <n v="0"/>
    <n v="0"/>
    <m/>
  </r>
  <r>
    <x v="3"/>
    <x v="0"/>
    <x v="6"/>
    <n v="2497"/>
    <n v="1"/>
    <s v="Magic"/>
    <n v="5"/>
    <x v="3"/>
    <n v="0"/>
    <n v="0"/>
    <n v="0"/>
    <n v="0"/>
    <m/>
  </r>
  <r>
    <x v="3"/>
    <x v="0"/>
    <x v="6"/>
    <n v="1941"/>
    <n v="0"/>
    <s v="Wind"/>
    <n v="1"/>
    <x v="4"/>
    <n v="0"/>
    <n v="0"/>
    <n v="0"/>
    <n v="0"/>
    <m/>
  </r>
  <r>
    <x v="2"/>
    <x v="0"/>
    <x v="7"/>
    <n v="3681"/>
    <n v="1"/>
    <s v="Blue"/>
    <n v="1"/>
    <x v="7"/>
    <n v="3300"/>
    <n v="330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2"/>
    <n v="0"/>
    <n v="8000"/>
    <n v="0"/>
    <n v="3200"/>
    <m/>
  </r>
  <r>
    <x v="3"/>
    <x v="0"/>
    <x v="6"/>
    <n v="2683"/>
    <n v="0"/>
    <s v="Magic"/>
    <n v="1"/>
    <x v="4"/>
    <n v="0"/>
    <n v="0"/>
    <n v="0"/>
    <n v="0"/>
    <m/>
  </r>
  <r>
    <x v="3"/>
    <x v="0"/>
    <x v="6"/>
    <n v="2361"/>
    <n v="3"/>
    <s v="Magic"/>
    <n v="1"/>
    <x v="6"/>
    <n v="0"/>
    <n v="0"/>
    <n v="0"/>
    <n v="0"/>
    <m/>
  </r>
  <r>
    <x v="3"/>
    <x v="0"/>
    <x v="6"/>
    <n v="2012"/>
    <n v="1"/>
    <s v="Magic"/>
    <n v="1"/>
    <x v="4"/>
    <n v="0"/>
    <n v="0"/>
    <n v="0"/>
    <n v="0"/>
    <m/>
  </r>
  <r>
    <x v="3"/>
    <x v="0"/>
    <x v="6"/>
    <n v="2525"/>
    <n v="0"/>
    <s v="Wind"/>
    <n v="1"/>
    <x v="4"/>
    <n v="0"/>
    <n v="0"/>
    <n v="0"/>
    <n v="0"/>
    <m/>
  </r>
  <r>
    <x v="3"/>
    <x v="0"/>
    <x v="6"/>
    <n v="2271"/>
    <n v="0"/>
    <s v="Magic"/>
    <n v="4"/>
    <x v="3"/>
    <n v="0"/>
    <n v="0"/>
    <n v="0"/>
    <n v="0"/>
    <m/>
  </r>
  <r>
    <x v="3"/>
    <x v="0"/>
    <x v="6"/>
    <n v="2602"/>
    <n v="1"/>
    <s v="Fire"/>
    <n v="1"/>
    <x v="6"/>
    <n v="0"/>
    <n v="0"/>
    <n v="0"/>
    <n v="0"/>
    <m/>
  </r>
  <r>
    <x v="3"/>
    <x v="0"/>
    <x v="6"/>
    <n v="2453"/>
    <n v="0"/>
    <s v="Magic"/>
    <n v="1"/>
    <x v="4"/>
    <n v="0"/>
    <n v="0"/>
    <n v="0"/>
    <n v="0"/>
    <m/>
  </r>
  <r>
    <x v="3"/>
    <x v="0"/>
    <x v="6"/>
    <n v="2244"/>
    <n v="0"/>
    <s v="Magic"/>
    <n v="5"/>
    <x v="3"/>
    <n v="0"/>
    <n v="0"/>
    <n v="0"/>
    <n v="0"/>
    <m/>
  </r>
  <r>
    <x v="3"/>
    <x v="0"/>
    <x v="6"/>
    <n v="2817"/>
    <n v="0"/>
    <s v="Magic"/>
    <n v="1"/>
    <x v="6"/>
    <n v="0"/>
    <n v="0"/>
    <n v="0"/>
    <n v="0"/>
    <m/>
  </r>
  <r>
    <x v="3"/>
    <x v="0"/>
    <x v="6"/>
    <n v="2234"/>
    <n v="1"/>
    <s v="Magic"/>
    <n v="3"/>
    <x v="3"/>
    <n v="0"/>
    <n v="0"/>
    <n v="0"/>
    <n v="0"/>
    <m/>
  </r>
  <r>
    <x v="3"/>
    <x v="0"/>
    <x v="6"/>
    <n v="2463"/>
    <n v="0"/>
    <s v="Scroll"/>
    <n v="4"/>
    <x v="2"/>
    <n v="0"/>
    <n v="8000"/>
    <n v="0"/>
    <n v="3200"/>
    <m/>
  </r>
  <r>
    <x v="3"/>
    <x v="0"/>
    <x v="6"/>
    <n v="2474"/>
    <n v="0"/>
    <s v="Magic"/>
    <n v="5"/>
    <x v="3"/>
    <n v="0"/>
    <n v="0"/>
    <n v="0"/>
    <n v="0"/>
    <m/>
  </r>
  <r>
    <x v="3"/>
    <x v="0"/>
    <x v="6"/>
    <n v="2455"/>
    <n v="0"/>
    <s v="Magic"/>
    <n v="1"/>
    <x v="4"/>
    <n v="0"/>
    <n v="0"/>
    <n v="0"/>
    <n v="0"/>
    <m/>
  </r>
  <r>
    <x v="3"/>
    <x v="0"/>
    <x v="6"/>
    <n v="2373"/>
    <n v="1"/>
    <s v="Magic"/>
    <n v="1"/>
    <x v="6"/>
    <n v="0"/>
    <n v="0"/>
    <n v="0"/>
    <n v="0"/>
    <m/>
  </r>
  <r>
    <x v="3"/>
    <x v="0"/>
    <x v="6"/>
    <n v="2131"/>
    <n v="1"/>
    <s v="Magic"/>
    <n v="1"/>
    <x v="4"/>
    <n v="0"/>
    <n v="0"/>
    <n v="0"/>
    <n v="0"/>
    <m/>
  </r>
  <r>
    <x v="3"/>
    <x v="0"/>
    <x v="6"/>
    <n v="2300"/>
    <n v="0"/>
    <s v="Scroll"/>
    <n v="4"/>
    <x v="2"/>
    <n v="0"/>
    <n v="8000"/>
    <n v="0"/>
    <n v="3200"/>
    <m/>
  </r>
  <r>
    <x v="3"/>
    <x v="0"/>
    <x v="6"/>
    <n v="2089"/>
    <n v="0"/>
    <s v="Magic"/>
    <n v="3"/>
    <x v="3"/>
    <n v="0"/>
    <n v="0"/>
    <n v="0"/>
    <n v="0"/>
    <m/>
  </r>
  <r>
    <x v="3"/>
    <x v="0"/>
    <x v="6"/>
    <n v="2291"/>
    <n v="1"/>
    <s v="Magic"/>
    <n v="4"/>
    <x v="3"/>
    <n v="0"/>
    <n v="0"/>
    <n v="0"/>
    <n v="0"/>
    <m/>
  </r>
  <r>
    <x v="7"/>
    <x v="0"/>
    <x v="6"/>
    <n v="2217"/>
    <n v="0"/>
    <s v="Dark"/>
    <n v="2"/>
    <x v="4"/>
    <n v="0"/>
    <n v="0"/>
    <n v="0"/>
    <n v="0"/>
    <m/>
  </r>
  <r>
    <x v="7"/>
    <x v="0"/>
    <x v="7"/>
    <n v="2635"/>
    <n v="0"/>
    <s v="Scroll"/>
    <n v="5"/>
    <x v="2"/>
    <n v="0"/>
    <n v="10000"/>
    <n v="0"/>
    <n v="4000"/>
    <m/>
  </r>
  <r>
    <x v="7"/>
    <x v="0"/>
    <x v="7"/>
    <n v="2286"/>
    <n v="0"/>
    <s v="Dark"/>
    <n v="2"/>
    <x v="4"/>
    <n v="0"/>
    <n v="0"/>
    <n v="0"/>
    <n v="0"/>
    <m/>
  </r>
  <r>
    <x v="7"/>
    <x v="0"/>
    <x v="7"/>
    <n v="2828"/>
    <n v="0"/>
    <s v="Dark"/>
    <n v="1"/>
    <x v="4"/>
    <n v="0"/>
    <n v="0"/>
    <n v="0"/>
    <n v="0"/>
    <m/>
  </r>
  <r>
    <x v="7"/>
    <x v="0"/>
    <x v="10"/>
    <n v="2917"/>
    <n v="2"/>
    <s v="Dark"/>
    <n v="3"/>
    <x v="4"/>
    <n v="0"/>
    <n v="0"/>
    <n v="0"/>
    <n v="0"/>
    <m/>
  </r>
  <r>
    <x v="7"/>
    <x v="0"/>
    <x v="11"/>
    <n v="2771"/>
    <n v="0"/>
    <s v="Dark"/>
    <n v="1"/>
    <x v="4"/>
    <n v="0"/>
    <n v="0"/>
    <n v="0"/>
    <n v="0"/>
    <m/>
  </r>
  <r>
    <x v="7"/>
    <x v="0"/>
    <x v="11"/>
    <n v="3158"/>
    <n v="1"/>
    <s v="Dark"/>
    <n v="3"/>
    <x v="6"/>
    <n v="0"/>
    <n v="0"/>
    <n v="0"/>
    <n v="0"/>
    <m/>
  </r>
  <r>
    <x v="7"/>
    <x v="0"/>
    <x v="11"/>
    <n v="3080"/>
    <n v="0"/>
    <s v="Dark"/>
    <n v="5"/>
    <x v="3"/>
    <n v="0"/>
    <n v="0"/>
    <n v="0"/>
    <n v="0"/>
    <m/>
  </r>
  <r>
    <x v="7"/>
    <x v="0"/>
    <x v="11"/>
    <n v="3091"/>
    <n v="2"/>
    <s v="Dark"/>
    <n v="5"/>
    <x v="3"/>
    <n v="0"/>
    <n v="0"/>
    <n v="0"/>
    <n v="0"/>
    <m/>
  </r>
  <r>
    <x v="3"/>
    <x v="0"/>
    <x v="10"/>
    <n v="2945"/>
    <n v="1"/>
    <s v="Magic"/>
    <n v="2"/>
    <x v="6"/>
    <n v="0"/>
    <n v="0"/>
    <n v="0"/>
    <n v="0"/>
    <m/>
  </r>
  <r>
    <x v="3"/>
    <x v="0"/>
    <x v="10"/>
    <n v="2556"/>
    <n v="1"/>
    <s v="Magic"/>
    <n v="1"/>
    <x v="4"/>
    <n v="0"/>
    <n v="0"/>
    <n v="0"/>
    <n v="0"/>
    <m/>
  </r>
  <r>
    <x v="3"/>
    <x v="0"/>
    <x v="10"/>
    <n v="2925"/>
    <n v="0"/>
    <s v="Magic"/>
    <n v="5"/>
    <x v="3"/>
    <n v="0"/>
    <n v="0"/>
    <n v="0"/>
    <n v="0"/>
    <m/>
  </r>
  <r>
    <x v="3"/>
    <x v="0"/>
    <x v="10"/>
    <n v="2776"/>
    <n v="1"/>
    <s v="Magic"/>
    <n v="5"/>
    <x v="3"/>
    <n v="0"/>
    <n v="0"/>
    <n v="0"/>
    <n v="0"/>
    <m/>
  </r>
  <r>
    <x v="3"/>
    <x v="0"/>
    <x v="10"/>
    <n v="2669"/>
    <n v="0"/>
    <s v="Magic"/>
    <n v="1"/>
    <x v="4"/>
    <n v="0"/>
    <n v="0"/>
    <n v="0"/>
    <n v="0"/>
    <m/>
  </r>
  <r>
    <x v="3"/>
    <x v="0"/>
    <x v="10"/>
    <n v="2813"/>
    <n v="1"/>
    <s v="Magic"/>
    <n v="5"/>
    <x v="3"/>
    <n v="0"/>
    <n v="0"/>
    <n v="0"/>
    <n v="0"/>
    <m/>
  </r>
  <r>
    <x v="3"/>
    <x v="0"/>
    <x v="10"/>
    <n v="2871"/>
    <n v="0"/>
    <s v="Magic"/>
    <n v="2"/>
    <x v="4"/>
    <n v="0"/>
    <n v="0"/>
    <n v="0"/>
    <n v="0"/>
    <m/>
  </r>
  <r>
    <x v="3"/>
    <x v="0"/>
    <x v="10"/>
    <n v="2829"/>
    <n v="0"/>
    <s v="Magic"/>
    <n v="3"/>
    <x v="3"/>
    <n v="0"/>
    <n v="0"/>
    <n v="0"/>
    <n v="0"/>
    <m/>
  </r>
  <r>
    <x v="3"/>
    <x v="0"/>
    <x v="10"/>
    <n v="2312"/>
    <n v="1"/>
    <s v="Rainb"/>
    <n v="1"/>
    <x v="1"/>
    <n v="0"/>
    <n v="0"/>
    <n v="11500"/>
    <n v="35822"/>
    <m/>
  </r>
  <r>
    <x v="2"/>
    <x v="0"/>
    <x v="7"/>
    <n v="3502"/>
    <n v="1"/>
    <s v="Blue"/>
    <n v="1"/>
    <x v="8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6"/>
    <n v="0"/>
    <n v="0"/>
    <n v="0"/>
    <n v="0"/>
    <m/>
  </r>
  <r>
    <x v="3"/>
    <x v="0"/>
    <x v="10"/>
    <n v="2958"/>
    <n v="0"/>
    <s v="Rainb"/>
    <n v="1"/>
    <x v="1"/>
    <n v="0"/>
    <n v="0"/>
    <n v="11500"/>
    <n v="35822"/>
    <m/>
  </r>
  <r>
    <x v="3"/>
    <x v="0"/>
    <x v="10"/>
    <n v="2545"/>
    <n v="2"/>
    <s v="Magic"/>
    <n v="3"/>
    <x v="4"/>
    <n v="0"/>
    <n v="0"/>
    <n v="0"/>
    <n v="0"/>
    <m/>
  </r>
  <r>
    <x v="3"/>
    <x v="0"/>
    <x v="10"/>
    <n v="2649"/>
    <n v="3"/>
    <s v="Water"/>
    <n v="2"/>
    <x v="4"/>
    <n v="0"/>
    <n v="0"/>
    <n v="0"/>
    <n v="0"/>
    <m/>
  </r>
  <r>
    <x v="3"/>
    <x v="0"/>
    <x v="10"/>
    <n v="2432"/>
    <n v="0"/>
    <s v="Water"/>
    <n v="4"/>
    <x v="3"/>
    <n v="0"/>
    <n v="0"/>
    <n v="0"/>
    <n v="0"/>
    <m/>
  </r>
  <r>
    <x v="3"/>
    <x v="0"/>
    <x v="10"/>
    <n v="2881"/>
    <n v="0"/>
    <s v="Magic"/>
    <n v="1"/>
    <x v="6"/>
    <n v="0"/>
    <n v="0"/>
    <n v="0"/>
    <n v="0"/>
    <m/>
  </r>
  <r>
    <x v="1"/>
    <x v="1"/>
    <x v="8"/>
    <n v="1977"/>
    <n v="0"/>
    <s v="Fod"/>
    <n v="1"/>
    <x v="5"/>
    <n v="0"/>
    <n v="0"/>
    <n v="34500"/>
    <n v="3582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2"/>
    <n v="0"/>
    <n v="4000"/>
    <n v="0"/>
    <n v="160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n v="1"/>
    <x v="1"/>
    <m/>
    <n v="0"/>
    <n v="11500"/>
    <n v="35822"/>
    <m/>
  </r>
  <r>
    <x v="5"/>
    <x v="1"/>
    <x v="8"/>
    <n v="1819"/>
    <n v="0"/>
    <s v="Fod"/>
    <n v="1"/>
    <x v="1"/>
    <m/>
    <n v="0"/>
    <n v="11500"/>
    <n v="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2"/>
    <x v="0"/>
    <x v="7"/>
    <n v="3665"/>
    <n v="1"/>
    <s v="Blue"/>
    <n v="1"/>
    <x v="7"/>
    <n v="3307"/>
    <n v="3307"/>
    <n v="0"/>
    <n v="0"/>
    <m/>
  </r>
  <r>
    <x v="3"/>
    <x v="0"/>
    <x v="10"/>
    <n v="2824"/>
    <n v="1"/>
    <s v="Magic"/>
    <n v="1"/>
    <x v="4"/>
    <n v="0"/>
    <n v="0"/>
    <n v="0"/>
    <n v="0"/>
    <m/>
  </r>
  <r>
    <x v="3"/>
    <x v="0"/>
    <x v="10"/>
    <n v="2951"/>
    <n v="3"/>
    <s v="Magic"/>
    <n v="2"/>
    <x v="4"/>
    <n v="0"/>
    <n v="0"/>
    <n v="0"/>
    <n v="0"/>
    <m/>
  </r>
  <r>
    <x v="3"/>
    <x v="0"/>
    <x v="10"/>
    <n v="2543"/>
    <n v="1"/>
    <s v="Magic"/>
    <n v="4"/>
    <x v="3"/>
    <n v="0"/>
    <n v="0"/>
    <n v="0"/>
    <n v="0"/>
    <m/>
  </r>
  <r>
    <x v="3"/>
    <x v="0"/>
    <x v="10"/>
    <n v="2872"/>
    <n v="1"/>
    <s v="Magic"/>
    <n v="1"/>
    <x v="6"/>
    <n v="0"/>
    <n v="0"/>
    <n v="0"/>
    <n v="0"/>
    <m/>
  </r>
  <r>
    <x v="3"/>
    <x v="0"/>
    <x v="10"/>
    <n v="2837"/>
    <n v="1"/>
    <s v="Scroll"/>
    <n v="4"/>
    <x v="2"/>
    <n v="0"/>
    <n v="8000"/>
    <n v="0"/>
    <n v="3200"/>
    <m/>
  </r>
  <r>
    <x v="9"/>
    <x v="0"/>
    <x v="10"/>
    <n v="2891"/>
    <n v="0"/>
    <s v="Scroll"/>
    <n v="4"/>
    <x v="2"/>
    <n v="0"/>
    <n v="8000"/>
    <n v="0"/>
    <n v="3200"/>
    <m/>
  </r>
  <r>
    <x v="9"/>
    <x v="0"/>
    <x v="10"/>
    <n v="2801"/>
    <n v="0"/>
    <s v="Fire"/>
    <n v="4"/>
    <x v="3"/>
    <n v="0"/>
    <n v="0"/>
    <n v="0"/>
    <n v="0"/>
    <m/>
  </r>
  <r>
    <x v="9"/>
    <x v="0"/>
    <x v="10"/>
    <n v="2407"/>
    <n v="0"/>
    <s v="Fire"/>
    <n v="1"/>
    <x v="4"/>
    <n v="0"/>
    <n v="0"/>
    <n v="0"/>
    <n v="0"/>
    <m/>
  </r>
  <r>
    <x v="9"/>
    <x v="0"/>
    <x v="10"/>
    <n v="2748"/>
    <n v="0"/>
    <m/>
    <m/>
    <x v="0"/>
    <n v="0"/>
    <n v="0"/>
    <n v="0"/>
    <n v="0"/>
    <m/>
  </r>
  <r>
    <x v="9"/>
    <x v="0"/>
    <x v="10"/>
    <n v="2679"/>
    <n v="1"/>
    <s v="Rainb"/>
    <n v="1"/>
    <x v="1"/>
    <n v="0"/>
    <n v="0"/>
    <n v="11500"/>
    <n v="35822"/>
    <m/>
  </r>
  <r>
    <x v="9"/>
    <x v="0"/>
    <x v="11"/>
    <n v="2720"/>
    <n v="0"/>
    <s v="Fire"/>
    <n v="1"/>
    <x v="4"/>
    <n v="0"/>
    <n v="0"/>
    <n v="0"/>
    <n v="0"/>
    <m/>
  </r>
  <r>
    <x v="9"/>
    <x v="0"/>
    <x v="11"/>
    <n v="0"/>
    <n v="0"/>
    <m/>
    <m/>
    <x v="0"/>
    <n v="0"/>
    <n v="0"/>
    <n v="0"/>
    <n v="0"/>
    <s v="Y"/>
  </r>
  <r>
    <x v="9"/>
    <x v="0"/>
    <x v="10"/>
    <n v="2875"/>
    <n v="0"/>
    <s v="Angelmon"/>
    <n v="1"/>
    <x v="2"/>
    <n v="0"/>
    <n v="0"/>
    <n v="0"/>
    <n v="0"/>
    <m/>
  </r>
  <r>
    <x v="9"/>
    <x v="0"/>
    <x v="10"/>
    <n v="2734"/>
    <n v="0"/>
    <s v="Fire"/>
    <n v="3"/>
    <x v="6"/>
    <n v="0"/>
    <n v="0"/>
    <n v="0"/>
    <n v="0"/>
    <m/>
  </r>
  <r>
    <x v="9"/>
    <x v="0"/>
    <x v="10"/>
    <n v="3073"/>
    <n v="0"/>
    <s v="Fire"/>
    <n v="2"/>
    <x v="4"/>
    <n v="0"/>
    <n v="0"/>
    <n v="0"/>
    <n v="0"/>
    <m/>
  </r>
  <r>
    <x v="9"/>
    <x v="0"/>
    <x v="10"/>
    <n v="2813"/>
    <n v="0"/>
    <s v="Fire"/>
    <n v="2"/>
    <x v="4"/>
    <n v="0"/>
    <n v="0"/>
    <n v="0"/>
    <n v="0"/>
    <m/>
  </r>
  <r>
    <x v="9"/>
    <x v="0"/>
    <x v="10"/>
    <n v="2758"/>
    <n v="0"/>
    <s v="Candy"/>
    <n v="3"/>
    <x v="0"/>
    <n v="0"/>
    <n v="0"/>
    <n v="0"/>
    <n v="0"/>
    <m/>
  </r>
  <r>
    <x v="9"/>
    <x v="0"/>
    <x v="10"/>
    <n v="2313"/>
    <n v="1"/>
    <s v="Fire"/>
    <n v="3"/>
    <x v="4"/>
    <n v="0"/>
    <n v="0"/>
    <n v="0"/>
    <n v="0"/>
    <m/>
  </r>
  <r>
    <x v="9"/>
    <x v="0"/>
    <x v="10"/>
    <n v="2625"/>
    <n v="1"/>
    <s v="Fire"/>
    <n v="3"/>
    <x v="4"/>
    <n v="0"/>
    <n v="0"/>
    <n v="0"/>
    <n v="0"/>
    <m/>
  </r>
  <r>
    <x v="9"/>
    <x v="0"/>
    <x v="10"/>
    <n v="2515"/>
    <n v="0"/>
    <s v="Fire"/>
    <n v="1"/>
    <x v="6"/>
    <n v="0"/>
    <n v="0"/>
    <n v="0"/>
    <n v="0"/>
    <m/>
  </r>
  <r>
    <x v="9"/>
    <x v="0"/>
    <x v="10"/>
    <n v="2516"/>
    <n v="1"/>
    <s v="Candy"/>
    <n v="1"/>
    <x v="0"/>
    <n v="0"/>
    <n v="0"/>
    <n v="0"/>
    <n v="0"/>
    <m/>
  </r>
  <r>
    <x v="9"/>
    <x v="0"/>
    <x v="10"/>
    <n v="2850"/>
    <n v="2"/>
    <s v="EoFire(low)"/>
    <n v="3"/>
    <x v="3"/>
    <n v="0"/>
    <n v="0"/>
    <n v="0"/>
    <n v="0"/>
    <m/>
  </r>
  <r>
    <x v="3"/>
    <x v="0"/>
    <x v="10"/>
    <n v="2559"/>
    <n v="3"/>
    <s v="Magic"/>
    <n v="3"/>
    <x v="4"/>
    <n v="0"/>
    <n v="0"/>
    <n v="0"/>
    <n v="0"/>
    <m/>
  </r>
  <r>
    <x v="2"/>
    <x v="0"/>
    <x v="7"/>
    <n v="3425"/>
    <n v="0"/>
    <s v="Blue"/>
    <n v="1"/>
    <x v="7"/>
    <n v="3445"/>
    <n v="3445"/>
    <n v="0"/>
    <n v="0"/>
    <m/>
  </r>
  <r>
    <x v="9"/>
    <x v="0"/>
    <x v="10"/>
    <n v="2517"/>
    <n v="0"/>
    <s v="Candy"/>
    <n v="2"/>
    <x v="0"/>
    <n v="0"/>
    <n v="0"/>
    <n v="0"/>
    <n v="0"/>
    <m/>
  </r>
  <r>
    <x v="9"/>
    <x v="0"/>
    <x v="10"/>
    <n v="2615"/>
    <n v="2"/>
    <s v="Fire"/>
    <n v="2"/>
    <x v="6"/>
    <n v="0"/>
    <n v="0"/>
    <n v="0"/>
    <n v="0"/>
    <m/>
  </r>
  <r>
    <x v="9"/>
    <x v="0"/>
    <x v="10"/>
    <n v="2798"/>
    <n v="2"/>
    <s v="Rainb"/>
    <n v="1"/>
    <x v="1"/>
    <n v="0"/>
    <n v="0"/>
    <n v="11500"/>
    <n v="35822"/>
    <m/>
  </r>
  <r>
    <x v="9"/>
    <x v="0"/>
    <x v="10"/>
    <n v="2602"/>
    <n v="0"/>
    <s v="Fire"/>
    <n v="3"/>
    <x v="4"/>
    <n v="0"/>
    <n v="0"/>
    <n v="0"/>
    <n v="0"/>
    <m/>
  </r>
  <r>
    <x v="9"/>
    <x v="0"/>
    <x v="10"/>
    <n v="2901"/>
    <n v="1"/>
    <s v="Fire"/>
    <n v="1"/>
    <x v="4"/>
    <n v="0"/>
    <n v="0"/>
    <n v="0"/>
    <n v="0"/>
    <m/>
  </r>
  <r>
    <x v="9"/>
    <x v="0"/>
    <x v="10"/>
    <n v="540"/>
    <n v="0"/>
    <m/>
    <m/>
    <x v="0"/>
    <n v="0"/>
    <n v="0"/>
    <n v="0"/>
    <n v="0"/>
    <s v="Y"/>
  </r>
  <r>
    <x v="9"/>
    <x v="0"/>
    <x v="10"/>
    <n v="3199"/>
    <n v="0"/>
    <s v="Fire"/>
    <n v="1"/>
    <x v="4"/>
    <n v="0"/>
    <n v="0"/>
    <n v="0"/>
    <n v="0"/>
    <m/>
  </r>
  <r>
    <x v="9"/>
    <x v="0"/>
    <x v="10"/>
    <n v="2926"/>
    <n v="1"/>
    <s v="Fire"/>
    <n v="1"/>
    <x v="4"/>
    <n v="0"/>
    <n v="0"/>
    <n v="0"/>
    <n v="0"/>
    <m/>
  </r>
  <r>
    <x v="9"/>
    <x v="0"/>
    <x v="10"/>
    <n v="2560"/>
    <n v="1"/>
    <s v="Fire"/>
    <n v="4"/>
    <x v="3"/>
    <n v="0"/>
    <n v="0"/>
    <n v="0"/>
    <n v="0"/>
    <m/>
  </r>
  <r>
    <x v="9"/>
    <x v="0"/>
    <x v="10"/>
    <n v="2313"/>
    <n v="1"/>
    <s v="Fire"/>
    <n v="4"/>
    <x v="3"/>
    <n v="0"/>
    <n v="0"/>
    <n v="0"/>
    <n v="0"/>
    <m/>
  </r>
  <r>
    <x v="9"/>
    <x v="0"/>
    <x v="10"/>
    <n v="3329"/>
    <n v="2"/>
    <s v="Fire"/>
    <n v="3"/>
    <x v="3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2"/>
    <n v="0"/>
    <n v="4000"/>
    <n v="0"/>
    <n v="160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2"/>
    <n v="0"/>
    <n v="4000"/>
    <n v="0"/>
    <n v="160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2"/>
    <n v="0"/>
    <n v="4000"/>
    <n v="0"/>
    <n v="160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2"/>
    <n v="0"/>
    <n v="4000"/>
    <n v="0"/>
    <n v="160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2"/>
    <n v="0"/>
    <n v="4000"/>
    <n v="0"/>
    <n v="1600"/>
    <m/>
  </r>
  <r>
    <x v="9"/>
    <x v="0"/>
    <x v="10"/>
    <n v="2634"/>
    <n v="1"/>
    <s v="Fire"/>
    <n v="1"/>
    <x v="0"/>
    <n v="0"/>
    <n v="0"/>
    <n v="0"/>
    <n v="0"/>
    <m/>
  </r>
  <r>
    <x v="2"/>
    <x v="0"/>
    <x v="7"/>
    <n v="3118"/>
    <n v="0"/>
    <s v="Blue"/>
    <n v="1"/>
    <x v="8"/>
    <n v="8500"/>
    <n v="8500"/>
    <n v="0"/>
    <n v="0"/>
    <m/>
  </r>
  <r>
    <x v="2"/>
    <x v="0"/>
    <x v="7"/>
    <n v="3166"/>
    <n v="3"/>
    <s v="Scroll"/>
    <n v="5"/>
    <x v="2"/>
    <n v="0"/>
    <n v="10000"/>
    <n v="0"/>
    <n v="4000"/>
    <m/>
  </r>
  <r>
    <x v="2"/>
    <x v="0"/>
    <x v="7"/>
    <n v="3825"/>
    <n v="1"/>
    <s v="Candy"/>
    <n v="1"/>
    <x v="0"/>
    <n v="0"/>
    <n v="0"/>
    <n v="0"/>
    <n v="0"/>
    <m/>
  </r>
  <r>
    <x v="2"/>
    <x v="0"/>
    <x v="7"/>
    <n v="3553"/>
    <n v="0"/>
    <s v="Blue"/>
    <n v="1"/>
    <x v="8"/>
    <n v="8500"/>
    <n v="8500"/>
    <n v="0"/>
    <n v="0"/>
    <m/>
  </r>
  <r>
    <x v="2"/>
    <x v="0"/>
    <x v="7"/>
    <n v="3574"/>
    <n v="1"/>
    <s v="Pink"/>
    <n v="1"/>
    <x v="7"/>
    <n v="4134"/>
    <n v="4134"/>
    <n v="0"/>
    <n v="0"/>
    <m/>
  </r>
  <r>
    <x v="2"/>
    <x v="0"/>
    <x v="7"/>
    <n v="3456"/>
    <n v="3"/>
    <s v="Blue"/>
    <n v="1"/>
    <x v="7"/>
    <n v="2411"/>
    <n v="2411"/>
    <n v="0"/>
    <n v="0"/>
    <m/>
  </r>
  <r>
    <x v="2"/>
    <x v="0"/>
    <x v="7"/>
    <n v="3185"/>
    <n v="0"/>
    <s v="Blue"/>
    <n v="1"/>
    <x v="8"/>
    <n v="6502"/>
    <n v="6502"/>
    <n v="0"/>
    <n v="0"/>
    <m/>
  </r>
  <r>
    <x v="2"/>
    <x v="0"/>
    <x v="7"/>
    <n v="3742"/>
    <n v="4"/>
    <s v="Blue"/>
    <n v="1"/>
    <x v="7"/>
    <n v="4593"/>
    <n v="4593"/>
    <n v="0"/>
    <n v="0"/>
    <m/>
  </r>
  <r>
    <x v="8"/>
    <x v="0"/>
    <x v="10"/>
    <n v="2924"/>
    <n v="1"/>
    <s v="Water"/>
    <n v="1"/>
    <x v="4"/>
    <n v="0"/>
    <n v="0"/>
    <n v="0"/>
    <n v="0"/>
    <m/>
  </r>
  <r>
    <x v="8"/>
    <x v="0"/>
    <x v="10"/>
    <n v="3192"/>
    <n v="2"/>
    <s v="Water"/>
    <n v="2"/>
    <x v="4"/>
    <n v="0"/>
    <n v="0"/>
    <n v="0"/>
    <n v="0"/>
    <m/>
  </r>
  <r>
    <x v="8"/>
    <x v="0"/>
    <x v="10"/>
    <n v="2967"/>
    <n v="1"/>
    <s v="Water"/>
    <n v="2"/>
    <x v="4"/>
    <n v="0"/>
    <n v="0"/>
    <n v="0"/>
    <n v="0"/>
    <m/>
  </r>
  <r>
    <x v="8"/>
    <x v="0"/>
    <x v="10"/>
    <n v="2926"/>
    <n v="0"/>
    <s v="Water"/>
    <n v="3"/>
    <x v="3"/>
    <n v="0"/>
    <n v="0"/>
    <n v="0"/>
    <n v="0"/>
    <m/>
  </r>
  <r>
    <x v="8"/>
    <x v="0"/>
    <x v="10"/>
    <n v="2801"/>
    <n v="1"/>
    <s v="Water"/>
    <n v="3"/>
    <x v="3"/>
    <n v="0"/>
    <n v="0"/>
    <n v="0"/>
    <n v="0"/>
    <m/>
  </r>
  <r>
    <x v="8"/>
    <x v="0"/>
    <x v="10"/>
    <n v="2800"/>
    <n v="0"/>
    <s v="SD"/>
    <s v="Vagabond"/>
    <x v="1"/>
    <n v="0"/>
    <n v="0"/>
    <n v="0"/>
    <n v="0"/>
    <m/>
  </r>
  <r>
    <x v="8"/>
    <x v="0"/>
    <x v="10"/>
    <n v="2913"/>
    <n v="0"/>
    <s v="Water"/>
    <n v="1"/>
    <x v="6"/>
    <n v="0"/>
    <n v="0"/>
    <n v="0"/>
    <n v="0"/>
    <m/>
  </r>
  <r>
    <x v="8"/>
    <x v="0"/>
    <x v="10"/>
    <n v="2812"/>
    <n v="1"/>
    <s v="Water"/>
    <n v="1"/>
    <x v="4"/>
    <n v="0"/>
    <n v="0"/>
    <n v="0"/>
    <n v="0"/>
    <m/>
  </r>
  <r>
    <x v="8"/>
    <x v="0"/>
    <x v="10"/>
    <n v="2449"/>
    <n v="0"/>
    <s v="Rainb"/>
    <n v="1"/>
    <x v="1"/>
    <n v="0"/>
    <n v="0"/>
    <n v="11500"/>
    <n v="35822"/>
    <m/>
  </r>
  <r>
    <x v="8"/>
    <x v="0"/>
    <x v="10"/>
    <n v="2754"/>
    <n v="1"/>
    <s v="MystScroll"/>
    <n v="1"/>
    <x v="2"/>
    <n v="0"/>
    <n v="120000"/>
    <n v="0"/>
    <n v="0"/>
    <m/>
  </r>
  <r>
    <x v="8"/>
    <x v="0"/>
    <x v="10"/>
    <n v="2824"/>
    <n v="1"/>
    <s v="SD"/>
    <s v="Pixie"/>
    <x v="1"/>
    <n v="0"/>
    <n v="0"/>
    <n v="0"/>
    <n v="0"/>
    <m/>
  </r>
  <r>
    <x v="8"/>
    <x v="0"/>
    <x v="10"/>
    <n v="2980"/>
    <n v="0"/>
    <s v="Water"/>
    <n v="1"/>
    <x v="4"/>
    <n v="0"/>
    <n v="0"/>
    <n v="0"/>
    <n v="0"/>
    <m/>
  </r>
  <r>
    <x v="8"/>
    <x v="0"/>
    <x v="10"/>
    <n v="2957"/>
    <n v="0"/>
    <s v="Angelmon"/>
    <n v="1"/>
    <x v="2"/>
    <n v="0"/>
    <n v="0"/>
    <n v="0"/>
    <n v="0"/>
    <m/>
  </r>
  <r>
    <x v="8"/>
    <x v="0"/>
    <x v="10"/>
    <n v="2417"/>
    <n v="0"/>
    <s v="Scroll"/>
    <n v="4"/>
    <x v="2"/>
    <n v="0"/>
    <n v="8000"/>
    <n v="0"/>
    <n v="3200"/>
    <m/>
  </r>
  <r>
    <x v="8"/>
    <x v="0"/>
    <x v="10"/>
    <n v="2671"/>
    <n v="0"/>
    <s v="Water"/>
    <n v="5"/>
    <x v="3"/>
    <n v="0"/>
    <n v="0"/>
    <n v="0"/>
    <n v="0"/>
    <m/>
  </r>
  <r>
    <x v="8"/>
    <x v="0"/>
    <x v="10"/>
    <n v="2947"/>
    <n v="1"/>
    <s v="Water"/>
    <n v="1"/>
    <x v="6"/>
    <n v="0"/>
    <n v="0"/>
    <n v="0"/>
    <n v="0"/>
    <m/>
  </r>
  <r>
    <x v="8"/>
    <x v="0"/>
    <x v="10"/>
    <n v="3358"/>
    <n v="1"/>
    <s v="Scroll"/>
    <n v="4"/>
    <x v="2"/>
    <n v="0"/>
    <n v="8000"/>
    <n v="0"/>
    <n v="3200"/>
    <m/>
  </r>
  <r>
    <x v="8"/>
    <x v="0"/>
    <x v="10"/>
    <n v="2184"/>
    <n v="0"/>
    <s v="Water"/>
    <n v="4"/>
    <x v="3"/>
    <n v="0"/>
    <n v="0"/>
    <n v="0"/>
    <n v="0"/>
    <m/>
  </r>
  <r>
    <x v="8"/>
    <x v="0"/>
    <x v="10"/>
    <n v="2654"/>
    <n v="3"/>
    <s v="Water"/>
    <n v="1"/>
    <x v="4"/>
    <n v="0"/>
    <n v="0"/>
    <n v="0"/>
    <n v="0"/>
    <m/>
  </r>
  <r>
    <x v="8"/>
    <x v="0"/>
    <x v="10"/>
    <n v="2592"/>
    <n v="1"/>
    <s v="Water"/>
    <n v="1"/>
    <x v="4"/>
    <n v="0"/>
    <n v="0"/>
    <n v="0"/>
    <n v="0"/>
    <m/>
  </r>
  <r>
    <x v="8"/>
    <x v="0"/>
    <x v="10"/>
    <n v="2625"/>
    <n v="0"/>
    <s v="Water"/>
    <n v="1"/>
    <x v="6"/>
    <n v="0"/>
    <n v="0"/>
    <n v="0"/>
    <n v="0"/>
    <m/>
  </r>
  <r>
    <x v="8"/>
    <x v="0"/>
    <x v="10"/>
    <n v="3029"/>
    <n v="0"/>
    <s v="Water"/>
    <n v="1"/>
    <x v="4"/>
    <n v="0"/>
    <n v="0"/>
    <n v="0"/>
    <n v="0"/>
    <m/>
  </r>
  <r>
    <x v="8"/>
    <x v="0"/>
    <x v="10"/>
    <n v="2865"/>
    <n v="1"/>
    <s v="Water"/>
    <n v="1"/>
    <x v="4"/>
    <n v="0"/>
    <n v="0"/>
    <n v="0"/>
    <n v="0"/>
    <m/>
  </r>
  <r>
    <x v="8"/>
    <x v="0"/>
    <x v="10"/>
    <n v="3075"/>
    <n v="3"/>
    <s v="Water"/>
    <n v="5"/>
    <x v="3"/>
    <n v="0"/>
    <n v="0"/>
    <n v="0"/>
    <n v="0"/>
    <m/>
  </r>
  <r>
    <x v="8"/>
    <x v="0"/>
    <x v="10"/>
    <n v="3767"/>
    <n v="2"/>
    <s v="Water"/>
    <n v="4"/>
    <x v="3"/>
    <n v="0"/>
    <n v="0"/>
    <n v="0"/>
    <n v="0"/>
    <m/>
  </r>
  <r>
    <x v="8"/>
    <x v="0"/>
    <x v="10"/>
    <n v="3007"/>
    <n v="2"/>
    <s v="Water"/>
    <n v="3"/>
    <x v="4"/>
    <n v="0"/>
    <n v="0"/>
    <n v="0"/>
    <n v="0"/>
    <m/>
  </r>
  <r>
    <x v="8"/>
    <x v="0"/>
    <x v="10"/>
    <n v="2942"/>
    <n v="0"/>
    <s v="Water"/>
    <n v="1"/>
    <x v="4"/>
    <n v="0"/>
    <n v="0"/>
    <n v="0"/>
    <n v="0"/>
    <m/>
  </r>
  <r>
    <x v="8"/>
    <x v="0"/>
    <x v="10"/>
    <n v="2701"/>
    <n v="0"/>
    <s v="Water"/>
    <n v="5"/>
    <x v="3"/>
    <n v="0"/>
    <n v="0"/>
    <n v="0"/>
    <n v="0"/>
    <m/>
  </r>
  <r>
    <x v="8"/>
    <x v="0"/>
    <x v="10"/>
    <n v="3320"/>
    <n v="0"/>
    <s v="Water"/>
    <n v="3"/>
    <x v="6"/>
    <n v="0"/>
    <n v="0"/>
    <n v="0"/>
    <n v="0"/>
    <m/>
  </r>
  <r>
    <x v="8"/>
    <x v="0"/>
    <x v="10"/>
    <n v="2890"/>
    <n v="2"/>
    <s v="Water"/>
    <n v="3"/>
    <x v="3"/>
    <n v="0"/>
    <n v="0"/>
    <n v="0"/>
    <n v="0"/>
    <m/>
  </r>
  <r>
    <x v="8"/>
    <x v="0"/>
    <x v="10"/>
    <n v="3274"/>
    <n v="1"/>
    <s v="Water"/>
    <n v="2"/>
    <x v="6"/>
    <n v="0"/>
    <n v="0"/>
    <n v="0"/>
    <n v="0"/>
    <m/>
  </r>
  <r>
    <x v="8"/>
    <x v="0"/>
    <x v="10"/>
    <n v="2847"/>
    <n v="1"/>
    <s v="Water"/>
    <n v="1"/>
    <x v="6"/>
    <n v="0"/>
    <n v="0"/>
    <n v="0"/>
    <n v="0"/>
    <m/>
  </r>
  <r>
    <x v="8"/>
    <x v="0"/>
    <x v="10"/>
    <n v="2602"/>
    <n v="0"/>
    <s v="Water"/>
    <n v="4"/>
    <x v="3"/>
    <n v="0"/>
    <n v="0"/>
    <n v="0"/>
    <n v="0"/>
    <m/>
  </r>
  <r>
    <x v="8"/>
    <x v="0"/>
    <x v="10"/>
    <n v="2901"/>
    <n v="1"/>
    <s v="SD"/>
    <s v="Golem"/>
    <x v="5"/>
    <n v="0"/>
    <n v="0"/>
    <n v="0"/>
    <n v="0"/>
    <m/>
  </r>
  <r>
    <x v="8"/>
    <x v="0"/>
    <x v="10"/>
    <n v="2768"/>
    <n v="0"/>
    <s v="Water"/>
    <n v="5"/>
    <x v="3"/>
    <n v="0"/>
    <n v="0"/>
    <n v="0"/>
    <n v="0"/>
    <m/>
  </r>
  <r>
    <x v="8"/>
    <x v="0"/>
    <x v="10"/>
    <n v="2401"/>
    <n v="1"/>
    <s v="Water"/>
    <n v="1"/>
    <x v="4"/>
    <n v="0"/>
    <n v="0"/>
    <n v="0"/>
    <n v="0"/>
    <m/>
  </r>
  <r>
    <x v="8"/>
    <x v="0"/>
    <x v="10"/>
    <n v="2915"/>
    <n v="0"/>
    <s v="SumStone"/>
    <n v="3"/>
    <x v="5"/>
    <n v="0"/>
    <n v="0"/>
    <n v="2587.5"/>
    <n v="2686.6499999999996"/>
    <m/>
  </r>
  <r>
    <x v="8"/>
    <x v="0"/>
    <x v="10"/>
    <n v="2978"/>
    <n v="0"/>
    <s v="Water"/>
    <n v="4"/>
    <x v="3"/>
    <n v="0"/>
    <n v="0"/>
    <n v="0"/>
    <n v="0"/>
    <m/>
  </r>
  <r>
    <x v="8"/>
    <x v="0"/>
    <x v="10"/>
    <n v="2956"/>
    <n v="0"/>
    <s v="Water"/>
    <n v="5"/>
    <x v="3"/>
    <n v="0"/>
    <n v="0"/>
    <n v="0"/>
    <n v="0"/>
    <m/>
  </r>
  <r>
    <x v="8"/>
    <x v="0"/>
    <x v="10"/>
    <n v="2657"/>
    <n v="1"/>
    <s v="Water"/>
    <n v="5"/>
    <x v="3"/>
    <n v="0"/>
    <n v="0"/>
    <n v="0"/>
    <n v="0"/>
    <m/>
  </r>
  <r>
    <x v="8"/>
    <x v="0"/>
    <x v="10"/>
    <n v="2789"/>
    <n v="0"/>
    <s v="Angelmon"/>
    <n v="1"/>
    <x v="2"/>
    <n v="0"/>
    <n v="0"/>
    <n v="0"/>
    <n v="0"/>
    <m/>
  </r>
  <r>
    <x v="8"/>
    <x v="0"/>
    <x v="10"/>
    <n v="2793"/>
    <n v="1"/>
    <s v="Water"/>
    <n v="5"/>
    <x v="3"/>
    <n v="0"/>
    <n v="0"/>
    <n v="0"/>
    <n v="0"/>
    <m/>
  </r>
  <r>
    <x v="8"/>
    <x v="0"/>
    <x v="10"/>
    <n v="2869"/>
    <n v="2"/>
    <s v="Water"/>
    <n v="4"/>
    <x v="3"/>
    <n v="0"/>
    <n v="0"/>
    <n v="0"/>
    <n v="0"/>
    <m/>
  </r>
  <r>
    <x v="8"/>
    <x v="0"/>
    <x v="10"/>
    <n v="2638"/>
    <n v="1"/>
    <s v="Angelmon"/>
    <n v="1"/>
    <x v="2"/>
    <n v="0"/>
    <n v="0"/>
    <n v="0"/>
    <n v="0"/>
    <m/>
  </r>
  <r>
    <x v="8"/>
    <x v="0"/>
    <x v="10"/>
    <n v="2929"/>
    <n v="1"/>
    <s v="Water"/>
    <n v="1"/>
    <x v="4"/>
    <n v="0"/>
    <n v="0"/>
    <n v="0"/>
    <n v="0"/>
    <m/>
  </r>
  <r>
    <x v="8"/>
    <x v="0"/>
    <x v="10"/>
    <n v="2423"/>
    <n v="1"/>
    <s v="Water"/>
    <n v="3"/>
    <x v="3"/>
    <n v="0"/>
    <n v="0"/>
    <n v="0"/>
    <n v="0"/>
    <m/>
  </r>
  <r>
    <x v="8"/>
    <x v="0"/>
    <x v="10"/>
    <n v="2881"/>
    <n v="0"/>
    <s v="Water"/>
    <n v="5"/>
    <x v="3"/>
    <n v="0"/>
    <n v="0"/>
    <n v="0"/>
    <n v="0"/>
    <m/>
  </r>
  <r>
    <x v="8"/>
    <x v="0"/>
    <x v="10"/>
    <n v="3128"/>
    <n v="1"/>
    <s v="Water"/>
    <n v="4"/>
    <x v="3"/>
    <n v="0"/>
    <n v="0"/>
    <n v="0"/>
    <n v="0"/>
    <m/>
  </r>
  <r>
    <x v="8"/>
    <x v="0"/>
    <x v="10"/>
    <n v="3042"/>
    <n v="0"/>
    <s v="Water"/>
    <n v="3"/>
    <x v="6"/>
    <n v="0"/>
    <n v="0"/>
    <n v="0"/>
    <n v="0"/>
    <m/>
  </r>
  <r>
    <x v="8"/>
    <x v="0"/>
    <x v="10"/>
    <n v="2846"/>
    <n v="1"/>
    <s v="Water"/>
    <n v="1"/>
    <x v="6"/>
    <n v="0"/>
    <n v="0"/>
    <n v="0"/>
    <n v="0"/>
    <m/>
  </r>
  <r>
    <x v="8"/>
    <x v="0"/>
    <x v="10"/>
    <n v="3112"/>
    <n v="1"/>
    <s v="Water"/>
    <n v="1"/>
    <x v="6"/>
    <n v="0"/>
    <n v="0"/>
    <n v="0"/>
    <n v="0"/>
    <m/>
  </r>
  <r>
    <x v="8"/>
    <x v="0"/>
    <x v="10"/>
    <n v="2928"/>
    <n v="1"/>
    <s v="Water"/>
    <n v="4"/>
    <x v="3"/>
    <n v="0"/>
    <n v="0"/>
    <n v="0"/>
    <n v="0"/>
    <m/>
  </r>
  <r>
    <x v="8"/>
    <x v="0"/>
    <x v="10"/>
    <n v="2702"/>
    <n v="1"/>
    <s v="Water"/>
    <n v="2"/>
    <x v="4"/>
    <n v="0"/>
    <n v="0"/>
    <n v="0"/>
    <n v="0"/>
    <m/>
  </r>
  <r>
    <x v="10"/>
    <x v="0"/>
    <x v="12"/>
    <n v="6071"/>
    <n v="0"/>
    <s v="SumStone"/>
    <n v="4"/>
    <x v="5"/>
    <n v="0"/>
    <n v="0"/>
    <n v="3450"/>
    <n v="3582.2"/>
    <m/>
  </r>
  <r>
    <x v="10"/>
    <x v="0"/>
    <x v="12"/>
    <n v="5719"/>
    <n v="0"/>
    <s v="SumStone"/>
    <n v="4"/>
    <x v="5"/>
    <n v="0"/>
    <n v="0"/>
    <n v="3450"/>
    <n v="3582.2"/>
    <m/>
  </r>
  <r>
    <x v="10"/>
    <x v="0"/>
    <x v="12"/>
    <n v="5444"/>
    <n v="0"/>
    <s v="SumStone"/>
    <n v="4"/>
    <x v="5"/>
    <n v="0"/>
    <n v="0"/>
    <n v="3450"/>
    <n v="3582.2"/>
    <m/>
  </r>
  <r>
    <x v="10"/>
    <x v="0"/>
    <x v="12"/>
    <n v="5741"/>
    <n v="0"/>
    <s v="SumStone"/>
    <n v="4"/>
    <x v="5"/>
    <n v="0"/>
    <n v="0"/>
    <n v="3450"/>
    <n v="3582.2"/>
    <m/>
  </r>
  <r>
    <x v="10"/>
    <x v="0"/>
    <x v="12"/>
    <n v="6031"/>
    <n v="0"/>
    <s v="SumStone"/>
    <n v="4"/>
    <x v="5"/>
    <n v="0"/>
    <n v="0"/>
    <n v="3450"/>
    <n v="3582.2"/>
    <m/>
  </r>
  <r>
    <x v="10"/>
    <x v="0"/>
    <x v="12"/>
    <n v="5574"/>
    <n v="0"/>
    <s v="SumStone"/>
    <n v="4"/>
    <x v="5"/>
    <n v="0"/>
    <n v="0"/>
    <n v="3450"/>
    <n v="3582.2"/>
    <m/>
  </r>
  <r>
    <x v="10"/>
    <x v="0"/>
    <x v="12"/>
    <n v="6065"/>
    <n v="0"/>
    <s v="SumStone"/>
    <n v="4"/>
    <x v="5"/>
    <n v="0"/>
    <n v="0"/>
    <n v="3450"/>
    <n v="3582.2"/>
    <m/>
  </r>
  <r>
    <x v="10"/>
    <x v="0"/>
    <x v="12"/>
    <n v="5631"/>
    <n v="0"/>
    <s v="SumStone"/>
    <n v="4"/>
    <x v="5"/>
    <n v="0"/>
    <n v="0"/>
    <n v="3450"/>
    <n v="3582.2"/>
    <m/>
  </r>
  <r>
    <x v="8"/>
    <x v="0"/>
    <x v="10"/>
    <n v="2671"/>
    <n v="0"/>
    <s v="Water"/>
    <n v="1"/>
    <x v="4"/>
    <n v="0"/>
    <n v="0"/>
    <n v="0"/>
    <n v="0"/>
    <m/>
  </r>
  <r>
    <x v="8"/>
    <x v="0"/>
    <x v="10"/>
    <n v="2940"/>
    <n v="0"/>
    <s v="Water"/>
    <n v="1"/>
    <x v="6"/>
    <n v="0"/>
    <n v="0"/>
    <n v="0"/>
    <n v="0"/>
    <m/>
  </r>
  <r>
    <x v="8"/>
    <x v="0"/>
    <x v="10"/>
    <n v="2643"/>
    <n v="2"/>
    <s v="Water"/>
    <n v="1"/>
    <x v="6"/>
    <n v="0"/>
    <n v="0"/>
    <n v="0"/>
    <n v="0"/>
    <m/>
  </r>
  <r>
    <x v="8"/>
    <x v="0"/>
    <x v="10"/>
    <n v="2968"/>
    <n v="0"/>
    <s v="Water"/>
    <n v="3"/>
    <x v="4"/>
    <n v="0"/>
    <n v="0"/>
    <n v="0"/>
    <n v="0"/>
    <m/>
  </r>
  <r>
    <x v="8"/>
    <x v="0"/>
    <x v="10"/>
    <n v="2502"/>
    <n v="2"/>
    <s v="Water"/>
    <n v="2"/>
    <x v="4"/>
    <n v="0"/>
    <n v="0"/>
    <n v="0"/>
    <n v="0"/>
    <m/>
  </r>
  <r>
    <x v="8"/>
    <x v="0"/>
    <x v="10"/>
    <n v="2719"/>
    <n v="3"/>
    <s v="SD"/>
    <s v="Serpent"/>
    <x v="5"/>
    <n v="0"/>
    <n v="0"/>
    <n v="0"/>
    <n v="0"/>
    <m/>
  </r>
  <r>
    <x v="8"/>
    <x v="0"/>
    <x v="10"/>
    <n v="2733"/>
    <n v="1"/>
    <s v="Water"/>
    <n v="1"/>
    <x v="4"/>
    <n v="0"/>
    <n v="0"/>
    <n v="0"/>
    <n v="0"/>
    <m/>
  </r>
  <r>
    <x v="8"/>
    <x v="0"/>
    <x v="10"/>
    <n v="2917"/>
    <n v="1"/>
    <s v="Water"/>
    <n v="1"/>
    <x v="4"/>
    <n v="0"/>
    <n v="0"/>
    <n v="0"/>
    <n v="0"/>
    <m/>
  </r>
  <r>
    <x v="8"/>
    <x v="0"/>
    <x v="10"/>
    <n v="2662"/>
    <n v="0"/>
    <s v="Water"/>
    <n v="3"/>
    <x v="6"/>
    <n v="0"/>
    <n v="0"/>
    <n v="0"/>
    <n v="0"/>
    <m/>
  </r>
  <r>
    <x v="8"/>
    <x v="0"/>
    <x v="10"/>
    <n v="2980"/>
    <n v="1"/>
    <s v="Water"/>
    <n v="2"/>
    <x v="4"/>
    <n v="0"/>
    <n v="0"/>
    <n v="0"/>
    <n v="0"/>
    <m/>
  </r>
  <r>
    <x v="8"/>
    <x v="0"/>
    <x v="10"/>
    <n v="2778"/>
    <n v="0"/>
    <s v="Rainb"/>
    <n v="1"/>
    <x v="5"/>
    <n v="0"/>
    <n v="0"/>
    <n v="34500"/>
    <n v="118004"/>
    <m/>
  </r>
  <r>
    <x v="8"/>
    <x v="0"/>
    <x v="10"/>
    <n v="2383"/>
    <n v="0"/>
    <s v="Scroll"/>
    <n v="5"/>
    <x v="2"/>
    <n v="0"/>
    <n v="10000"/>
    <n v="0"/>
    <n v="4000"/>
    <m/>
  </r>
  <r>
    <x v="8"/>
    <x v="0"/>
    <x v="10"/>
    <n v="2705"/>
    <n v="1"/>
    <s v="Water"/>
    <n v="1"/>
    <x v="6"/>
    <n v="0"/>
    <n v="0"/>
    <n v="0"/>
    <n v="0"/>
    <m/>
  </r>
  <r>
    <x v="8"/>
    <x v="0"/>
    <x v="10"/>
    <n v="2769"/>
    <n v="1"/>
    <s v="Water"/>
    <n v="1"/>
    <x v="6"/>
    <n v="0"/>
    <n v="0"/>
    <n v="0"/>
    <n v="0"/>
    <m/>
  </r>
  <r>
    <x v="3"/>
    <x v="0"/>
    <x v="10"/>
    <n v="2432"/>
    <n v="1"/>
    <s v="Magic"/>
    <n v="5"/>
    <x v="3"/>
    <n v="0"/>
    <n v="0"/>
    <n v="0"/>
    <n v="0"/>
    <m/>
  </r>
  <r>
    <x v="11"/>
    <x v="0"/>
    <x v="10"/>
    <n v="2838"/>
    <n v="0"/>
    <s v="Wind"/>
    <n v="4"/>
    <x v="3"/>
    <n v="0"/>
    <n v="0"/>
    <n v="0"/>
    <n v="0"/>
    <m/>
  </r>
  <r>
    <x v="11"/>
    <x v="0"/>
    <x v="10"/>
    <n v="2427"/>
    <n v="1"/>
    <s v="Candy"/>
    <n v="3"/>
    <x v="0"/>
    <n v="0"/>
    <n v="0"/>
    <n v="0"/>
    <n v="0"/>
    <m/>
  </r>
  <r>
    <x v="11"/>
    <x v="0"/>
    <x v="10"/>
    <n v="3047"/>
    <n v="2"/>
    <s v="Wind"/>
    <n v="1"/>
    <x v="4"/>
    <n v="0"/>
    <n v="0"/>
    <n v="0"/>
    <n v="0"/>
    <m/>
  </r>
  <r>
    <x v="11"/>
    <x v="0"/>
    <x v="10"/>
    <n v="2866"/>
    <n v="1"/>
    <s v="Angelmon"/>
    <n v="1"/>
    <x v="2"/>
    <n v="0"/>
    <n v="0"/>
    <n v="0"/>
    <n v="0"/>
    <m/>
  </r>
  <r>
    <x v="11"/>
    <x v="0"/>
    <x v="10"/>
    <n v="2763"/>
    <n v="0"/>
    <s v="Candy"/>
    <n v="2"/>
    <x v="0"/>
    <n v="0"/>
    <n v="0"/>
    <n v="0"/>
    <n v="0"/>
    <m/>
  </r>
  <r>
    <x v="11"/>
    <x v="0"/>
    <x v="10"/>
    <n v="3056"/>
    <n v="1"/>
    <s v="Candy"/>
    <n v="1"/>
    <x v="0"/>
    <n v="0"/>
    <n v="0"/>
    <n v="0"/>
    <n v="0"/>
    <m/>
  </r>
  <r>
    <x v="11"/>
    <x v="0"/>
    <x v="10"/>
    <n v="2719"/>
    <n v="0"/>
    <s v="Wind"/>
    <n v="5"/>
    <x v="3"/>
    <n v="0"/>
    <n v="0"/>
    <n v="0"/>
    <n v="0"/>
    <m/>
  </r>
  <r>
    <x v="11"/>
    <x v="0"/>
    <x v="10"/>
    <n v="2911"/>
    <n v="1"/>
    <s v="Wind"/>
    <n v="5"/>
    <x v="3"/>
    <n v="0"/>
    <n v="0"/>
    <n v="0"/>
    <n v="0"/>
    <m/>
  </r>
  <r>
    <x v="11"/>
    <x v="0"/>
    <x v="10"/>
    <n v="2858"/>
    <n v="0"/>
    <s v="Wind"/>
    <n v="1"/>
    <x v="4"/>
    <n v="0"/>
    <n v="0"/>
    <n v="0"/>
    <n v="0"/>
    <m/>
  </r>
  <r>
    <x v="11"/>
    <x v="0"/>
    <x v="10"/>
    <n v="2965"/>
    <n v="1"/>
    <s v="Wind"/>
    <n v="3"/>
    <x v="4"/>
    <n v="0"/>
    <n v="0"/>
    <n v="0"/>
    <n v="0"/>
    <m/>
  </r>
  <r>
    <x v="11"/>
    <x v="0"/>
    <x v="10"/>
    <n v="3486"/>
    <n v="1"/>
    <s v="Angelmon"/>
    <n v="1"/>
    <x v="2"/>
    <n v="0"/>
    <n v="0"/>
    <n v="0"/>
    <n v="0"/>
    <m/>
  </r>
  <r>
    <x v="11"/>
    <x v="0"/>
    <x v="10"/>
    <n v="2992"/>
    <n v="0"/>
    <s v="Rainb"/>
    <n v="1"/>
    <x v="5"/>
    <n v="0"/>
    <n v="0"/>
    <n v="34500"/>
    <n v="118004"/>
    <m/>
  </r>
  <r>
    <x v="11"/>
    <x v="0"/>
    <x v="10"/>
    <n v="2961"/>
    <n v="1"/>
    <s v="Scroll"/>
    <n v="5"/>
    <x v="2"/>
    <n v="0"/>
    <n v="10000"/>
    <n v="0"/>
    <n v="4000"/>
    <m/>
  </r>
  <r>
    <x v="11"/>
    <x v="0"/>
    <x v="10"/>
    <n v="2744"/>
    <n v="1"/>
    <s v="Wind"/>
    <n v="1"/>
    <x v="6"/>
    <n v="0"/>
    <n v="0"/>
    <n v="0"/>
    <n v="0"/>
    <m/>
  </r>
  <r>
    <x v="11"/>
    <x v="0"/>
    <x v="10"/>
    <n v="2564"/>
    <n v="0"/>
    <s v="Wind"/>
    <n v="5"/>
    <x v="3"/>
    <n v="0"/>
    <n v="0"/>
    <n v="0"/>
    <n v="0"/>
    <m/>
  </r>
  <r>
    <x v="11"/>
    <x v="0"/>
    <x v="10"/>
    <n v="2876"/>
    <n v="2"/>
    <s v="Rainb"/>
    <n v="1"/>
    <x v="5"/>
    <n v="0"/>
    <n v="0"/>
    <n v="34500"/>
    <n v="118004"/>
    <m/>
  </r>
  <r>
    <x v="11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4"/>
    <n v="0"/>
    <n v="0"/>
    <n v="0"/>
    <n v="0"/>
    <m/>
  </r>
  <r>
    <x v="11"/>
    <x v="0"/>
    <x v="10"/>
    <n v="3032"/>
    <n v="0"/>
    <s v="Wind"/>
    <n v="5"/>
    <x v="3"/>
    <n v="0"/>
    <n v="0"/>
    <n v="0"/>
    <n v="0"/>
    <m/>
  </r>
  <r>
    <x v="11"/>
    <x v="0"/>
    <x v="10"/>
    <n v="2865"/>
    <n v="1"/>
    <s v="Rainb"/>
    <n v="1"/>
    <x v="5"/>
    <n v="0"/>
    <n v="0"/>
    <n v="34500"/>
    <n v="118004"/>
    <m/>
  </r>
  <r>
    <x v="11"/>
    <x v="0"/>
    <x v="10"/>
    <n v="2891"/>
    <n v="2"/>
    <s v="Wind"/>
    <n v="1"/>
    <x v="4"/>
    <n v="0"/>
    <n v="0"/>
    <n v="0"/>
    <n v="0"/>
    <m/>
  </r>
  <r>
    <x v="11"/>
    <x v="0"/>
    <x v="10"/>
    <n v="2799"/>
    <n v="0"/>
    <s v="Wind"/>
    <n v="2"/>
    <x v="4"/>
    <n v="0"/>
    <n v="0"/>
    <n v="0"/>
    <n v="0"/>
    <m/>
  </r>
  <r>
    <x v="11"/>
    <x v="0"/>
    <x v="10"/>
    <n v="3197"/>
    <n v="1"/>
    <s v="Wind"/>
    <n v="2"/>
    <x v="4"/>
    <n v="0"/>
    <n v="0"/>
    <n v="0"/>
    <n v="0"/>
    <m/>
  </r>
  <r>
    <x v="11"/>
    <x v="0"/>
    <x v="10"/>
    <n v="3013"/>
    <n v="0"/>
    <s v="Wind"/>
    <n v="4"/>
    <x v="3"/>
    <n v="0"/>
    <n v="0"/>
    <n v="0"/>
    <n v="0"/>
    <m/>
  </r>
  <r>
    <x v="11"/>
    <x v="0"/>
    <x v="10"/>
    <n v="3393"/>
    <n v="1"/>
    <s v="Wind"/>
    <n v="4"/>
    <x v="3"/>
    <n v="0"/>
    <n v="0"/>
    <n v="0"/>
    <n v="0"/>
    <m/>
  </r>
  <r>
    <x v="11"/>
    <x v="0"/>
    <x v="10"/>
    <n v="3290"/>
    <n v="0"/>
    <s v="MystScroll"/>
    <n v="1"/>
    <x v="2"/>
    <n v="0"/>
    <n v="120000"/>
    <n v="0"/>
    <n v="0"/>
    <m/>
  </r>
  <r>
    <x v="12"/>
    <x v="2"/>
    <x v="3"/>
    <n v="1311"/>
    <n v="0"/>
    <m/>
    <m/>
    <x v="0"/>
    <n v="1236"/>
    <n v="1236"/>
    <n v="0"/>
    <n v="0"/>
    <m/>
  </r>
  <r>
    <x v="11"/>
    <x v="0"/>
    <x v="10"/>
    <n v="2551"/>
    <n v="1"/>
    <s v="SD"/>
    <s v="Yeti"/>
    <x v="1"/>
    <n v="0"/>
    <n v="0"/>
    <n v="0"/>
    <n v="0"/>
    <m/>
  </r>
  <r>
    <x v="11"/>
    <x v="0"/>
    <x v="10"/>
    <n v="2856"/>
    <n v="0"/>
    <s v="Wind"/>
    <n v="1"/>
    <x v="6"/>
    <n v="0"/>
    <n v="0"/>
    <n v="0"/>
    <n v="0"/>
    <m/>
  </r>
  <r>
    <x v="11"/>
    <x v="0"/>
    <x v="10"/>
    <n v="2488"/>
    <n v="1"/>
    <s v="Wind"/>
    <n v="3"/>
    <x v="4"/>
    <n v="0"/>
    <n v="0"/>
    <n v="0"/>
    <n v="0"/>
    <m/>
  </r>
  <r>
    <x v="11"/>
    <x v="0"/>
    <x v="10"/>
    <n v="2583"/>
    <n v="0"/>
    <s v="Wind"/>
    <n v="5"/>
    <x v="3"/>
    <n v="0"/>
    <n v="0"/>
    <n v="0"/>
    <n v="0"/>
    <m/>
  </r>
  <r>
    <x v="11"/>
    <x v="0"/>
    <x v="10"/>
    <n v="2394"/>
    <n v="0"/>
    <s v="Wind"/>
    <n v="4"/>
    <x v="3"/>
    <n v="0"/>
    <n v="0"/>
    <n v="0"/>
    <n v="0"/>
    <m/>
  </r>
  <r>
    <x v="11"/>
    <x v="0"/>
    <x v="10"/>
    <n v="2703"/>
    <n v="0"/>
    <s v="Wind"/>
    <n v="1"/>
    <x v="6"/>
    <n v="0"/>
    <n v="0"/>
    <n v="0"/>
    <n v="0"/>
    <m/>
  </r>
  <r>
    <x v="11"/>
    <x v="0"/>
    <x v="10"/>
    <n v="2880"/>
    <n v="1"/>
    <s v="Wind"/>
    <n v="4"/>
    <x v="3"/>
    <n v="0"/>
    <n v="0"/>
    <n v="0"/>
    <n v="0"/>
    <m/>
  </r>
  <r>
    <x v="11"/>
    <x v="0"/>
    <x v="10"/>
    <n v="2802"/>
    <n v="0"/>
    <s v="Wind"/>
    <n v="3"/>
    <x v="4"/>
    <n v="0"/>
    <n v="0"/>
    <n v="0"/>
    <n v="0"/>
    <m/>
  </r>
  <r>
    <x v="11"/>
    <x v="0"/>
    <x v="10"/>
    <n v="2784"/>
    <n v="2"/>
    <s v="Candy"/>
    <n v="2"/>
    <x v="0"/>
    <n v="0"/>
    <n v="0"/>
    <n v="0"/>
    <n v="0"/>
    <m/>
  </r>
  <r>
    <x v="11"/>
    <x v="0"/>
    <x v="10"/>
    <n v="2856"/>
    <n v="0"/>
    <s v="Wind"/>
    <n v="3"/>
    <x v="4"/>
    <n v="0"/>
    <n v="0"/>
    <n v="0"/>
    <n v="0"/>
    <m/>
  </r>
  <r>
    <x v="11"/>
    <x v="0"/>
    <x v="10"/>
    <n v="3481"/>
    <n v="0"/>
    <s v="Wind"/>
    <n v="4"/>
    <x v="3"/>
    <n v="0"/>
    <n v="0"/>
    <n v="0"/>
    <n v="0"/>
    <m/>
  </r>
  <r>
    <x v="11"/>
    <x v="0"/>
    <x v="10"/>
    <n v="2701"/>
    <n v="0"/>
    <s v="Rainb"/>
    <s v="2*"/>
    <x v="0"/>
    <n v="0"/>
    <n v="0"/>
    <n v="0"/>
    <n v="0"/>
    <m/>
  </r>
  <r>
    <x v="11"/>
    <x v="0"/>
    <x v="10"/>
    <n v="2809"/>
    <n v="1"/>
    <s v="Angelmon"/>
    <s v="1*"/>
    <x v="0"/>
    <n v="0"/>
    <n v="0"/>
    <n v="0"/>
    <n v="0"/>
    <m/>
  </r>
  <r>
    <x v="11"/>
    <x v="0"/>
    <x v="10"/>
    <n v="2999"/>
    <n v="0"/>
    <s v="Wind"/>
    <n v="5"/>
    <x v="3"/>
    <n v="0"/>
    <n v="0"/>
    <n v="0"/>
    <n v="0"/>
    <m/>
  </r>
  <r>
    <x v="11"/>
    <x v="0"/>
    <x v="10"/>
    <n v="2639"/>
    <n v="1"/>
    <s v="Wind"/>
    <n v="2"/>
    <x v="4"/>
    <n v="0"/>
    <n v="0"/>
    <n v="0"/>
    <n v="0"/>
    <m/>
  </r>
  <r>
    <x v="11"/>
    <x v="0"/>
    <x v="10"/>
    <n v="2853"/>
    <n v="0"/>
    <s v="Wind"/>
    <n v="2"/>
    <x v="6"/>
    <n v="0"/>
    <n v="0"/>
    <n v="0"/>
    <n v="0"/>
    <m/>
  </r>
  <r>
    <x v="11"/>
    <x v="0"/>
    <x v="10"/>
    <n v="3206"/>
    <n v="1"/>
    <s v="Wind"/>
    <n v="4"/>
    <x v="3"/>
    <n v="0"/>
    <n v="0"/>
    <n v="0"/>
    <n v="0"/>
    <m/>
  </r>
  <r>
    <x v="11"/>
    <x v="0"/>
    <x v="10"/>
    <n v="3218"/>
    <n v="0"/>
    <s v="Wind"/>
    <n v="3"/>
    <x v="4"/>
    <n v="0"/>
    <n v="0"/>
    <n v="0"/>
    <n v="0"/>
    <m/>
  </r>
  <r>
    <x v="11"/>
    <x v="0"/>
    <x v="10"/>
    <n v="2853"/>
    <n v="2"/>
    <s v="Wind"/>
    <n v="3"/>
    <x v="6"/>
    <n v="0"/>
    <n v="0"/>
    <n v="0"/>
    <n v="0"/>
    <m/>
  </r>
  <r>
    <x v="11"/>
    <x v="0"/>
    <x v="10"/>
    <n v="2921"/>
    <n v="0"/>
    <s v="Wind"/>
    <n v="1"/>
    <x v="6"/>
    <n v="0"/>
    <n v="0"/>
    <n v="0"/>
    <n v="0"/>
    <m/>
  </r>
  <r>
    <x v="11"/>
    <x v="0"/>
    <x v="10"/>
    <n v="2840"/>
    <n v="0"/>
    <s v="Angelmon"/>
    <s v="1*"/>
    <x v="0"/>
    <n v="0"/>
    <n v="0"/>
    <n v="0"/>
    <n v="0"/>
    <m/>
  </r>
  <r>
    <x v="11"/>
    <x v="0"/>
    <x v="10"/>
    <n v="3444"/>
    <n v="0"/>
    <s v="Candy"/>
    <n v="1"/>
    <x v="0"/>
    <n v="0"/>
    <n v="0"/>
    <n v="0"/>
    <n v="0"/>
    <m/>
  </r>
  <r>
    <x v="11"/>
    <x v="0"/>
    <x v="10"/>
    <n v="2844"/>
    <n v="0"/>
    <s v="Wind"/>
    <n v="2"/>
    <x v="4"/>
    <n v="0"/>
    <n v="0"/>
    <n v="0"/>
    <n v="0"/>
    <m/>
  </r>
  <r>
    <x v="11"/>
    <x v="0"/>
    <x v="10"/>
    <n v="2720"/>
    <n v="0"/>
    <s v="Wind"/>
    <n v="4"/>
    <x v="3"/>
    <n v="0"/>
    <n v="0"/>
    <n v="0"/>
    <n v="0"/>
    <m/>
  </r>
  <r>
    <x v="11"/>
    <x v="0"/>
    <x v="10"/>
    <n v="2990"/>
    <n v="1"/>
    <s v="Wind"/>
    <n v="4"/>
    <x v="3"/>
    <n v="0"/>
    <n v="0"/>
    <n v="0"/>
    <n v="0"/>
    <m/>
  </r>
  <r>
    <x v="11"/>
    <x v="0"/>
    <x v="10"/>
    <n v="2846"/>
    <n v="4"/>
    <s v="Wind"/>
    <n v="1"/>
    <x v="4"/>
    <n v="0"/>
    <n v="0"/>
    <n v="0"/>
    <n v="0"/>
    <m/>
  </r>
  <r>
    <x v="11"/>
    <x v="0"/>
    <x v="10"/>
    <n v="2740"/>
    <n v="1"/>
    <s v="Candy"/>
    <n v="1"/>
    <x v="0"/>
    <n v="0"/>
    <n v="0"/>
    <n v="0"/>
    <n v="0"/>
    <m/>
  </r>
  <r>
    <x v="11"/>
    <x v="0"/>
    <x v="10"/>
    <n v="2619"/>
    <n v="2"/>
    <s v="Wind"/>
    <n v="1"/>
    <x v="4"/>
    <n v="0"/>
    <n v="0"/>
    <n v="0"/>
    <n v="0"/>
    <m/>
  </r>
  <r>
    <x v="11"/>
    <x v="0"/>
    <x v="10"/>
    <n v="3000"/>
    <n v="1"/>
    <s v="Wind"/>
    <n v="2"/>
    <x v="4"/>
    <n v="0"/>
    <n v="0"/>
    <n v="0"/>
    <n v="0"/>
    <m/>
  </r>
  <r>
    <x v="11"/>
    <x v="0"/>
    <x v="10"/>
    <n v="2846"/>
    <n v="3"/>
    <s v="Wind"/>
    <n v="4"/>
    <x v="3"/>
    <n v="0"/>
    <n v="0"/>
    <n v="0"/>
    <n v="0"/>
    <m/>
  </r>
  <r>
    <x v="11"/>
    <x v="0"/>
    <x v="10"/>
    <n v="2824"/>
    <n v="2"/>
    <s v="Candy"/>
    <n v="3"/>
    <x v="0"/>
    <n v="0"/>
    <n v="0"/>
    <n v="0"/>
    <n v="0"/>
    <m/>
  </r>
  <r>
    <x v="11"/>
    <x v="0"/>
    <x v="10"/>
    <n v="3201"/>
    <n v="0"/>
    <s v="Wind"/>
    <n v="5"/>
    <x v="3"/>
    <n v="0"/>
    <n v="0"/>
    <n v="0"/>
    <n v="0"/>
    <m/>
  </r>
  <r>
    <x v="11"/>
    <x v="0"/>
    <x v="10"/>
    <n v="2638"/>
    <n v="0"/>
    <s v="Wind"/>
    <n v="3"/>
    <x v="3"/>
    <n v="0"/>
    <n v="0"/>
    <n v="0"/>
    <n v="0"/>
    <m/>
  </r>
  <r>
    <x v="11"/>
    <x v="0"/>
    <x v="10"/>
    <n v="2887"/>
    <n v="1"/>
    <s v="Scroll"/>
    <n v="4"/>
    <x v="2"/>
    <n v="0"/>
    <n v="8000"/>
    <n v="0"/>
    <n v="3200"/>
    <m/>
  </r>
  <r>
    <x v="11"/>
    <x v="0"/>
    <x v="10"/>
    <n v="2399"/>
    <n v="0"/>
    <s v="Wind"/>
    <n v="3"/>
    <x v="6"/>
    <n v="0"/>
    <n v="0"/>
    <n v="0"/>
    <n v="0"/>
    <m/>
  </r>
  <r>
    <x v="11"/>
    <x v="0"/>
    <x v="10"/>
    <n v="3055"/>
    <n v="1"/>
    <s v="Wind"/>
    <n v="1"/>
    <x v="4"/>
    <n v="0"/>
    <n v="0"/>
    <n v="0"/>
    <n v="0"/>
    <m/>
  </r>
  <r>
    <x v="11"/>
    <x v="0"/>
    <x v="10"/>
    <n v="2841"/>
    <n v="0"/>
    <s v="Wind"/>
    <n v="5"/>
    <x v="3"/>
    <n v="0"/>
    <n v="0"/>
    <n v="0"/>
    <n v="0"/>
    <m/>
  </r>
  <r>
    <x v="11"/>
    <x v="0"/>
    <x v="10"/>
    <n v="2937"/>
    <n v="0"/>
    <s v="SD"/>
    <s v="2*"/>
    <x v="0"/>
    <n v="0"/>
    <n v="0"/>
    <n v="0"/>
    <n v="0"/>
    <m/>
  </r>
  <r>
    <x v="11"/>
    <x v="0"/>
    <x v="10"/>
    <n v="2426"/>
    <n v="0"/>
    <s v="Wind"/>
    <n v="1"/>
    <x v="6"/>
    <n v="0"/>
    <n v="0"/>
    <n v="0"/>
    <n v="0"/>
    <m/>
  </r>
  <r>
    <x v="11"/>
    <x v="0"/>
    <x v="10"/>
    <n v="2552"/>
    <n v="1"/>
    <s v="Wind"/>
    <n v="3"/>
    <x v="4"/>
    <n v="0"/>
    <n v="0"/>
    <n v="0"/>
    <n v="0"/>
    <m/>
  </r>
  <r>
    <x v="11"/>
    <x v="0"/>
    <x v="10"/>
    <n v="2771"/>
    <n v="2"/>
    <s v="Wind"/>
    <n v="1"/>
    <x v="4"/>
    <n v="0"/>
    <n v="0"/>
    <n v="0"/>
    <n v="0"/>
    <m/>
  </r>
  <r>
    <x v="11"/>
    <x v="0"/>
    <x v="10"/>
    <n v="2652"/>
    <n v="2"/>
    <s v="Wind"/>
    <n v="4"/>
    <x v="3"/>
    <n v="0"/>
    <n v="0"/>
    <n v="0"/>
    <n v="0"/>
    <m/>
  </r>
  <r>
    <x v="11"/>
    <x v="0"/>
    <x v="10"/>
    <n v="2708"/>
    <n v="0"/>
    <s v="Wind"/>
    <n v="1"/>
    <x v="6"/>
    <n v="0"/>
    <n v="0"/>
    <n v="0"/>
    <n v="0"/>
    <m/>
  </r>
  <r>
    <x v="11"/>
    <x v="0"/>
    <x v="10"/>
    <n v="2684"/>
    <n v="1"/>
    <s v="Wind"/>
    <n v="1"/>
    <x v="6"/>
    <n v="0"/>
    <n v="0"/>
    <n v="0"/>
    <n v="0"/>
    <m/>
  </r>
  <r>
    <x v="11"/>
    <x v="0"/>
    <x v="10"/>
    <n v="3108"/>
    <n v="3"/>
    <s v="Wind"/>
    <n v="4"/>
    <x v="3"/>
    <n v="0"/>
    <n v="0"/>
    <n v="0"/>
    <n v="0"/>
    <m/>
  </r>
  <r>
    <x v="11"/>
    <x v="0"/>
    <x v="10"/>
    <n v="2839"/>
    <n v="1"/>
    <s v="Wind"/>
    <n v="1"/>
    <x v="6"/>
    <n v="0"/>
    <n v="0"/>
    <n v="0"/>
    <n v="0"/>
    <m/>
  </r>
  <r>
    <x v="5"/>
    <x v="1"/>
    <x v="8"/>
    <n v="1670"/>
    <n v="1"/>
    <m/>
    <m/>
    <x v="0"/>
    <n v="1976"/>
    <n v="1976"/>
    <n v="0"/>
    <n v="0"/>
    <m/>
  </r>
  <r>
    <x v="5"/>
    <x v="1"/>
    <x v="8"/>
    <n v="2097"/>
    <n v="1"/>
    <m/>
    <m/>
    <x v="0"/>
    <n v="1824"/>
    <n v="1824"/>
    <n v="0"/>
    <n v="0"/>
    <m/>
  </r>
  <r>
    <x v="5"/>
    <x v="1"/>
    <x v="8"/>
    <n v="2652"/>
    <n v="0"/>
    <m/>
    <m/>
    <x v="0"/>
    <n v="1976"/>
    <n v="1976"/>
    <n v="0"/>
    <n v="0"/>
    <m/>
  </r>
  <r>
    <x v="5"/>
    <x v="1"/>
    <x v="8"/>
    <n v="1719"/>
    <n v="2"/>
    <m/>
    <m/>
    <x v="0"/>
    <n v="1824"/>
    <n v="1824"/>
    <n v="0"/>
    <n v="0"/>
    <m/>
  </r>
  <r>
    <x v="5"/>
    <x v="1"/>
    <x v="8"/>
    <n v="1304"/>
    <n v="1"/>
    <s v="Scroll"/>
    <n v="2"/>
    <x v="2"/>
    <n v="0"/>
    <n v="4000"/>
    <n v="0"/>
    <n v="1600"/>
    <m/>
  </r>
  <r>
    <x v="5"/>
    <x v="1"/>
    <x v="8"/>
    <n v="1662"/>
    <n v="2"/>
    <m/>
    <m/>
    <x v="0"/>
    <n v="1976"/>
    <n v="1976"/>
    <n v="0"/>
    <n v="0"/>
    <m/>
  </r>
  <r>
    <x v="5"/>
    <x v="1"/>
    <x v="8"/>
    <n v="1385"/>
    <n v="0"/>
    <m/>
    <m/>
    <x v="0"/>
    <n v="2937"/>
    <n v="2937"/>
    <n v="0"/>
    <n v="0"/>
    <m/>
  </r>
  <r>
    <x v="5"/>
    <x v="1"/>
    <x v="8"/>
    <n v="1707"/>
    <n v="1"/>
    <m/>
    <m/>
    <x v="0"/>
    <n v="1824"/>
    <n v="1824"/>
    <n v="0"/>
    <n v="0"/>
    <m/>
  </r>
  <r>
    <x v="5"/>
    <x v="1"/>
    <x v="8"/>
    <n v="1589"/>
    <n v="1"/>
    <s v="Scroll"/>
    <n v="2"/>
    <x v="2"/>
    <n v="0"/>
    <n v="4000"/>
    <n v="0"/>
    <n v="1600"/>
    <m/>
  </r>
  <r>
    <x v="5"/>
    <x v="1"/>
    <x v="8"/>
    <n v="1796"/>
    <n v="2"/>
    <s v="Scroll"/>
    <n v="2"/>
    <x v="2"/>
    <n v="0"/>
    <n v="4000"/>
    <n v="0"/>
    <n v="1600"/>
    <m/>
  </r>
  <r>
    <x v="1"/>
    <x v="1"/>
    <x v="8"/>
    <n v="2028"/>
    <n v="0"/>
    <s v="Scroll"/>
    <n v="2"/>
    <x v="2"/>
    <n v="0"/>
    <n v="4000"/>
    <n v="0"/>
    <n v="1600"/>
    <m/>
  </r>
  <r>
    <x v="1"/>
    <x v="1"/>
    <x v="8"/>
    <n v="1671"/>
    <n v="0"/>
    <m/>
    <m/>
    <x v="0"/>
    <n v="1824"/>
    <n v="1824"/>
    <n v="0"/>
    <n v="0"/>
    <m/>
  </r>
  <r>
    <x v="1"/>
    <x v="1"/>
    <x v="8"/>
    <n v="777"/>
    <n v="3"/>
    <m/>
    <m/>
    <x v="0"/>
    <n v="2128"/>
    <n v="2128"/>
    <n v="0"/>
    <n v="0"/>
    <m/>
  </r>
  <r>
    <x v="1"/>
    <x v="1"/>
    <x v="8"/>
    <n v="2328"/>
    <n v="1"/>
    <s v="Scroll"/>
    <n v="2"/>
    <x v="2"/>
    <n v="0"/>
    <n v="4000"/>
    <n v="0"/>
    <n v="1600"/>
    <m/>
  </r>
  <r>
    <x v="1"/>
    <x v="1"/>
    <x v="8"/>
    <n v="1762"/>
    <n v="2"/>
    <m/>
    <m/>
    <x v="0"/>
    <n v="1976"/>
    <n v="1976"/>
    <n v="0"/>
    <n v="0"/>
    <m/>
  </r>
  <r>
    <x v="1"/>
    <x v="1"/>
    <x v="8"/>
    <n v="1553"/>
    <n v="1"/>
    <m/>
    <m/>
    <x v="0"/>
    <n v="2937"/>
    <n v="2937"/>
    <n v="0"/>
    <n v="0"/>
    <m/>
  </r>
  <r>
    <x v="1"/>
    <x v="1"/>
    <x v="8"/>
    <n v="1066"/>
    <n v="1"/>
    <s v="Scroll"/>
    <n v="2"/>
    <x v="2"/>
    <n v="0"/>
    <n v="4000"/>
    <n v="0"/>
    <n v="1600"/>
    <m/>
  </r>
  <r>
    <x v="1"/>
    <x v="1"/>
    <x v="8"/>
    <n v="1654"/>
    <n v="0"/>
    <m/>
    <m/>
    <x v="0"/>
    <n v="2937"/>
    <n v="2937"/>
    <n v="0"/>
    <n v="0"/>
    <m/>
  </r>
  <r>
    <x v="5"/>
    <x v="1"/>
    <x v="8"/>
    <n v="2758"/>
    <n v="0"/>
    <s v="Scroll"/>
    <n v="2"/>
    <x v="2"/>
    <n v="0"/>
    <n v="4000"/>
    <n v="0"/>
    <n v="1600"/>
    <m/>
  </r>
  <r>
    <x v="3"/>
    <x v="0"/>
    <x v="10"/>
    <n v="3008"/>
    <n v="1"/>
    <s v="Magic"/>
    <n v="5"/>
    <x v="3"/>
    <m/>
    <n v="0"/>
    <n v="0"/>
    <n v="0"/>
    <m/>
  </r>
  <r>
    <x v="2"/>
    <x v="0"/>
    <x v="6"/>
    <n v="2997"/>
    <n v="0"/>
    <s v="Scroll"/>
    <n v="4"/>
    <x v="2"/>
    <n v="0"/>
    <n v="8000"/>
    <n v="0"/>
    <n v="3200"/>
    <m/>
  </r>
  <r>
    <x v="2"/>
    <x v="0"/>
    <x v="6"/>
    <n v="3403"/>
    <n v="3"/>
    <s v="Blue"/>
    <n v="1"/>
    <x v="7"/>
    <n v="3307"/>
    <n v="3307"/>
    <n v="0"/>
    <n v="0"/>
    <m/>
  </r>
  <r>
    <x v="2"/>
    <x v="0"/>
    <x v="6"/>
    <n v="3941"/>
    <n v="1"/>
    <s v="Scroll"/>
    <n v="3"/>
    <x v="2"/>
    <n v="0"/>
    <n v="6000"/>
    <n v="0"/>
    <n v="2400"/>
    <m/>
  </r>
  <r>
    <x v="2"/>
    <x v="0"/>
    <x v="6"/>
    <n v="2787"/>
    <n v="1"/>
    <s v="Blue"/>
    <n v="1"/>
    <x v="7"/>
    <n v="5512"/>
    <n v="5512"/>
    <n v="0"/>
    <n v="0"/>
    <m/>
  </r>
  <r>
    <x v="2"/>
    <x v="0"/>
    <x v="6"/>
    <n v="3709"/>
    <n v="1"/>
    <s v="Scroll"/>
    <n v="3"/>
    <x v="2"/>
    <n v="0"/>
    <n v="6000"/>
    <n v="0"/>
    <n v="2400"/>
    <m/>
  </r>
  <r>
    <x v="2"/>
    <x v="0"/>
    <x v="6"/>
    <n v="3276"/>
    <n v="4"/>
    <s v="Blue"/>
    <n v="1"/>
    <x v="7"/>
    <n v="2411"/>
    <n v="2411"/>
    <n v="0"/>
    <n v="0"/>
    <m/>
  </r>
  <r>
    <x v="2"/>
    <x v="0"/>
    <x v="6"/>
    <n v="2942"/>
    <n v="1"/>
    <s v="Scroll"/>
    <n v="4"/>
    <x v="2"/>
    <n v="0"/>
    <n v="8000"/>
    <n v="0"/>
    <n v="3200"/>
    <m/>
  </r>
  <r>
    <x v="2"/>
    <x v="0"/>
    <x v="6"/>
    <n v="3049"/>
    <n v="1"/>
    <s v="Blue"/>
    <n v="1"/>
    <x v="7"/>
    <n v="3927"/>
    <n v="3927"/>
    <n v="0"/>
    <n v="0"/>
    <m/>
  </r>
  <r>
    <x v="2"/>
    <x v="0"/>
    <x v="6"/>
    <n v="2793"/>
    <n v="0"/>
    <s v="Violet"/>
    <n v="1"/>
    <x v="5"/>
    <n v="1971"/>
    <n v="1971"/>
    <n v="0"/>
    <n v="0"/>
    <m/>
  </r>
  <r>
    <x v="2"/>
    <x v="0"/>
    <x v="6"/>
    <n v="3111"/>
    <n v="1"/>
    <s v="Violet"/>
    <n v="1"/>
    <x v="7"/>
    <n v="3720"/>
    <n v="3720"/>
    <n v="0"/>
    <n v="0"/>
    <m/>
  </r>
  <r>
    <x v="2"/>
    <x v="0"/>
    <x v="6"/>
    <n v="2990"/>
    <n v="0"/>
    <s v="Blue"/>
    <n v="1"/>
    <x v="7"/>
    <n v="4134"/>
    <n v="4134"/>
    <n v="0"/>
    <n v="0"/>
    <m/>
  </r>
  <r>
    <x v="2"/>
    <x v="0"/>
    <x v="6"/>
    <n v="3378"/>
    <n v="1"/>
    <s v="Blue"/>
    <n v="1"/>
    <x v="7"/>
    <n v="4134"/>
    <n v="4134"/>
    <n v="0"/>
    <n v="0"/>
    <m/>
  </r>
  <r>
    <x v="2"/>
    <x v="0"/>
    <x v="6"/>
    <n v="2940"/>
    <n v="3"/>
    <s v="Violet"/>
    <n v="1"/>
    <x v="7"/>
    <n v="4042"/>
    <n v="4042"/>
    <n v="0"/>
    <n v="0"/>
    <m/>
  </r>
  <r>
    <x v="2"/>
    <x v="0"/>
    <x v="6"/>
    <n v="3698"/>
    <n v="3"/>
    <s v="Blue"/>
    <n v="1"/>
    <x v="8"/>
    <n v="8500"/>
    <n v="8500"/>
    <n v="0"/>
    <n v="0"/>
    <m/>
  </r>
  <r>
    <x v="2"/>
    <x v="0"/>
    <x v="6"/>
    <n v="3224"/>
    <n v="0"/>
    <s v="Scroll"/>
    <n v="3"/>
    <x v="2"/>
    <n v="0"/>
    <n v="6000"/>
    <n v="0"/>
    <n v="2400"/>
    <m/>
  </r>
  <r>
    <x v="2"/>
    <x v="0"/>
    <x v="6"/>
    <n v="2991"/>
    <n v="3"/>
    <s v="Scroll"/>
    <n v="3"/>
    <x v="2"/>
    <n v="0"/>
    <n v="6000"/>
    <n v="0"/>
    <n v="2400"/>
    <m/>
  </r>
  <r>
    <x v="2"/>
    <x v="0"/>
    <x v="6"/>
    <n v="3535"/>
    <n v="2"/>
    <s v="Blue"/>
    <n v="1"/>
    <x v="8"/>
    <n v="5057"/>
    <n v="5057"/>
    <n v="0"/>
    <n v="0"/>
    <m/>
  </r>
  <r>
    <x v="2"/>
    <x v="0"/>
    <x v="6"/>
    <n v="3010"/>
    <n v="1"/>
    <s v="Blue"/>
    <n v="1"/>
    <x v="8"/>
    <n v="6800"/>
    <n v="6800"/>
    <n v="0"/>
    <n v="0"/>
    <m/>
  </r>
  <r>
    <x v="2"/>
    <x v="0"/>
    <x v="6"/>
    <n v="3005"/>
    <n v="2"/>
    <s v="Blue"/>
    <n v="1"/>
    <x v="7"/>
    <n v="7028"/>
    <n v="7028"/>
    <n v="0"/>
    <n v="0"/>
    <m/>
  </r>
  <r>
    <x v="2"/>
    <x v="0"/>
    <x v="6"/>
    <n v="2684"/>
    <n v="1"/>
    <s v="Scroll"/>
    <n v="4"/>
    <x v="2"/>
    <n v="0"/>
    <n v="8000"/>
    <n v="0"/>
    <n v="3200"/>
    <m/>
  </r>
  <r>
    <x v="2"/>
    <x v="0"/>
    <x v="6"/>
    <n v="3225"/>
    <n v="0"/>
    <s v="Violet"/>
    <n v="1"/>
    <x v="7"/>
    <n v="4295"/>
    <n v="4295"/>
    <n v="0"/>
    <n v="0"/>
    <m/>
  </r>
  <r>
    <x v="2"/>
    <x v="0"/>
    <x v="6"/>
    <n v="3020"/>
    <n v="1"/>
    <s v="Blue"/>
    <n v="1"/>
    <x v="7"/>
    <n v="4134"/>
    <n v="4134"/>
    <n v="0"/>
    <n v="0"/>
    <m/>
  </r>
  <r>
    <x v="2"/>
    <x v="0"/>
    <x v="6"/>
    <n v="2530"/>
    <n v="1"/>
    <s v="Blue"/>
    <n v="1"/>
    <x v="7"/>
    <n v="4134"/>
    <n v="4134"/>
    <n v="0"/>
    <n v="0"/>
    <m/>
  </r>
  <r>
    <x v="2"/>
    <x v="0"/>
    <x v="6"/>
    <n v="3259"/>
    <n v="1"/>
    <s v="Violet"/>
    <n v="1"/>
    <x v="7"/>
    <n v="3675"/>
    <n v="3675"/>
    <n v="0"/>
    <n v="0"/>
    <m/>
  </r>
  <r>
    <x v="2"/>
    <x v="0"/>
    <x v="6"/>
    <n v="2913"/>
    <n v="1"/>
    <s v="Violet"/>
    <n v="1"/>
    <x v="7"/>
    <n v="3675"/>
    <n v="3675"/>
    <n v="0"/>
    <n v="0"/>
    <m/>
  </r>
  <r>
    <x v="2"/>
    <x v="0"/>
    <x v="6"/>
    <n v="2901"/>
    <n v="0"/>
    <s v="Violet"/>
    <n v="1"/>
    <x v="5"/>
    <n v="2319"/>
    <n v="2319"/>
    <n v="0"/>
    <n v="0"/>
    <m/>
  </r>
  <r>
    <x v="2"/>
    <x v="0"/>
    <x v="6"/>
    <n v="3437"/>
    <n v="2"/>
    <s v="Blue"/>
    <n v="1"/>
    <x v="7"/>
    <n v="2411"/>
    <n v="2411"/>
    <n v="0"/>
    <n v="0"/>
    <m/>
  </r>
  <r>
    <x v="2"/>
    <x v="0"/>
    <x v="6"/>
    <n v="2966"/>
    <n v="2"/>
    <s v="SumStone"/>
    <n v="2"/>
    <x v="5"/>
    <n v="0"/>
    <n v="0"/>
    <n v="1725"/>
    <n v="1791.1"/>
    <m/>
  </r>
  <r>
    <x v="2"/>
    <x v="0"/>
    <x v="6"/>
    <n v="3352"/>
    <n v="1"/>
    <s v="Violet"/>
    <n v="1"/>
    <x v="7"/>
    <n v="6615"/>
    <n v="6615"/>
    <n v="0"/>
    <n v="0"/>
    <m/>
  </r>
  <r>
    <x v="2"/>
    <x v="0"/>
    <x v="6"/>
    <n v="2869"/>
    <n v="1"/>
    <s v="Scroll"/>
    <n v="4"/>
    <x v="2"/>
    <n v="0"/>
    <n v="8000"/>
    <n v="0"/>
    <n v="3200"/>
    <m/>
  </r>
  <r>
    <x v="2"/>
    <x v="0"/>
    <x v="6"/>
    <n v="2535"/>
    <n v="1"/>
    <s v="Blue"/>
    <n v="1"/>
    <x v="7"/>
    <n v="3307"/>
    <n v="3307"/>
    <n v="0"/>
    <n v="0"/>
    <m/>
  </r>
  <r>
    <x v="2"/>
    <x v="0"/>
    <x v="6"/>
    <n v="3507"/>
    <n v="0"/>
    <s v="Rainb"/>
    <n v="1"/>
    <x v="1"/>
    <n v="0"/>
    <n v="0"/>
    <n v="11500"/>
    <n v="35822"/>
    <m/>
  </r>
  <r>
    <x v="2"/>
    <x v="0"/>
    <x v="6"/>
    <n v="2571"/>
    <n v="0"/>
    <s v="Scroll"/>
    <n v="3"/>
    <x v="2"/>
    <n v="0"/>
    <n v="6000"/>
    <n v="0"/>
    <n v="2400"/>
    <m/>
  </r>
  <r>
    <x v="2"/>
    <x v="0"/>
    <x v="6"/>
    <n v="3364"/>
    <n v="1"/>
    <s v="Blue"/>
    <n v="1"/>
    <x v="7"/>
    <n v="2205"/>
    <n v="2205"/>
    <n v="0"/>
    <n v="0"/>
    <m/>
  </r>
  <r>
    <x v="2"/>
    <x v="0"/>
    <x v="6"/>
    <n v="3190"/>
    <n v="1"/>
    <s v="Scroll"/>
    <n v="3"/>
    <x v="2"/>
    <n v="0"/>
    <n v="6000"/>
    <n v="0"/>
    <n v="2400"/>
    <m/>
  </r>
  <r>
    <x v="2"/>
    <x v="0"/>
    <x v="6"/>
    <n v="3129"/>
    <n v="0"/>
    <s v="Scroll"/>
    <n v="4"/>
    <x v="2"/>
    <n v="0"/>
    <n v="8000"/>
    <n v="0"/>
    <n v="3200"/>
    <m/>
  </r>
  <r>
    <x v="2"/>
    <x v="0"/>
    <x v="6"/>
    <n v="3416"/>
    <n v="0"/>
    <s v="Blue"/>
    <n v="1"/>
    <x v="7"/>
    <n v="2894"/>
    <n v="2894"/>
    <n v="0"/>
    <n v="0"/>
    <m/>
  </r>
  <r>
    <x v="2"/>
    <x v="0"/>
    <x v="6"/>
    <n v="2949"/>
    <n v="2"/>
    <s v="Blue"/>
    <n v="1"/>
    <x v="8"/>
    <n v="5355"/>
    <n v="5355"/>
    <n v="0"/>
    <n v="0"/>
    <m/>
  </r>
  <r>
    <x v="2"/>
    <x v="0"/>
    <x v="6"/>
    <n v="2714"/>
    <n v="2"/>
    <s v="Scroll"/>
    <n v="3"/>
    <x v="2"/>
    <n v="0"/>
    <n v="6000"/>
    <n v="0"/>
    <n v="2400"/>
    <m/>
  </r>
  <r>
    <x v="2"/>
    <x v="0"/>
    <x v="6"/>
    <n v="2949"/>
    <n v="1"/>
    <s v="Scroll"/>
    <n v="4"/>
    <x v="2"/>
    <n v="0"/>
    <n v="8000"/>
    <n v="0"/>
    <n v="3200"/>
    <m/>
  </r>
  <r>
    <x v="2"/>
    <x v="0"/>
    <x v="6"/>
    <n v="3175"/>
    <n v="0"/>
    <s v="Scroll"/>
    <n v="3"/>
    <x v="2"/>
    <n v="0"/>
    <n v="6000"/>
    <n v="0"/>
    <n v="2400"/>
    <m/>
  </r>
  <r>
    <x v="2"/>
    <x v="0"/>
    <x v="6"/>
    <n v="3045"/>
    <n v="0"/>
    <s v="Blue"/>
    <n v="1"/>
    <x v="7"/>
    <n v="3514"/>
    <n v="3514"/>
    <n v="0"/>
    <n v="0"/>
    <m/>
  </r>
  <r>
    <x v="2"/>
    <x v="0"/>
    <x v="6"/>
    <n v="3609"/>
    <n v="1"/>
    <s v="Scroll"/>
    <n v="3"/>
    <x v="2"/>
    <n v="0"/>
    <n v="6000"/>
    <n v="0"/>
    <n v="2400"/>
    <m/>
  </r>
  <r>
    <x v="2"/>
    <x v="0"/>
    <x v="6"/>
    <n v="2795"/>
    <n v="1"/>
    <s v="Blue"/>
    <n v="1"/>
    <x v="7"/>
    <n v="3675"/>
    <n v="3675"/>
    <n v="0"/>
    <n v="0"/>
    <m/>
  </r>
  <r>
    <x v="2"/>
    <x v="0"/>
    <x v="6"/>
    <n v="3324"/>
    <n v="0"/>
    <s v="Blue"/>
    <n v="1"/>
    <x v="7"/>
    <n v="2205"/>
    <n v="2205"/>
    <n v="0"/>
    <n v="0"/>
    <m/>
  </r>
  <r>
    <x v="2"/>
    <x v="0"/>
    <x v="6"/>
    <n v="2600"/>
    <n v="0"/>
    <s v="Scroll"/>
    <n v="3"/>
    <x v="2"/>
    <n v="0"/>
    <n v="6000"/>
    <n v="0"/>
    <n v="2400"/>
    <m/>
  </r>
  <r>
    <x v="2"/>
    <x v="0"/>
    <x v="6"/>
    <n v="2789"/>
    <n v="1"/>
    <s v="Violet"/>
    <n v="1"/>
    <x v="7"/>
    <n v="3675"/>
    <n v="3675"/>
    <n v="0"/>
    <n v="0"/>
    <m/>
  </r>
  <r>
    <x v="2"/>
    <x v="0"/>
    <x v="6"/>
    <n v="3263"/>
    <n v="1"/>
    <s v="Violet"/>
    <n v="1"/>
    <x v="8"/>
    <n v="13005"/>
    <n v="13005"/>
    <n v="0"/>
    <n v="0"/>
    <m/>
  </r>
  <r>
    <x v="2"/>
    <x v="0"/>
    <x v="6"/>
    <n v="3037"/>
    <n v="2"/>
    <s v="Scroll"/>
    <n v="3"/>
    <x v="2"/>
    <n v="0"/>
    <n v="6000"/>
    <n v="0"/>
    <n v="2400"/>
    <m/>
  </r>
  <r>
    <x v="2"/>
    <x v="0"/>
    <x v="6"/>
    <n v="1028"/>
    <n v="2"/>
    <m/>
    <m/>
    <x v="0"/>
    <n v="0"/>
    <n v="0"/>
    <n v="0"/>
    <n v="0"/>
    <s v="Y"/>
  </r>
  <r>
    <x v="2"/>
    <x v="0"/>
    <x v="7"/>
    <n v="3555"/>
    <n v="0"/>
    <s v="Scroll"/>
    <n v="5"/>
    <x v="2"/>
    <n v="0"/>
    <n v="10000"/>
    <n v="0"/>
    <n v="4000"/>
    <m/>
  </r>
  <r>
    <x v="2"/>
    <x v="0"/>
    <x v="7"/>
    <n v="3633"/>
    <n v="0"/>
    <s v="Scroll"/>
    <n v="4"/>
    <x v="2"/>
    <n v="0"/>
    <n v="8000"/>
    <n v="0"/>
    <n v="3200"/>
    <m/>
  </r>
  <r>
    <x v="2"/>
    <x v="0"/>
    <x v="7"/>
    <n v="3251"/>
    <n v="1"/>
    <s v="Violet"/>
    <n v="1"/>
    <x v="7"/>
    <n v="4134"/>
    <n v="4134"/>
    <n v="0"/>
    <n v="0"/>
    <m/>
  </r>
  <r>
    <x v="2"/>
    <x v="0"/>
    <x v="7"/>
    <n v="3614"/>
    <n v="1"/>
    <s v="Violet"/>
    <n v="1"/>
    <x v="8"/>
    <n v="7947"/>
    <n v="7947"/>
    <n v="0"/>
    <n v="0"/>
    <m/>
  </r>
  <r>
    <x v="2"/>
    <x v="0"/>
    <x v="7"/>
    <n v="3238"/>
    <n v="1"/>
    <s v="Blue"/>
    <n v="1"/>
    <x v="7"/>
    <n v="4134"/>
    <n v="4134"/>
    <n v="0"/>
    <n v="0"/>
    <m/>
  </r>
  <r>
    <x v="2"/>
    <x v="0"/>
    <x v="7"/>
    <n v="3097"/>
    <n v="0"/>
    <s v="Blue"/>
    <n v="1"/>
    <x v="7"/>
    <n v="3054"/>
    <n v="3054"/>
    <n v="0"/>
    <n v="0"/>
    <m/>
  </r>
  <r>
    <x v="2"/>
    <x v="0"/>
    <x v="7"/>
    <n v="2801"/>
    <n v="0"/>
    <s v="Blue"/>
    <n v="1"/>
    <x v="7"/>
    <n v="2618"/>
    <n v="2618"/>
    <n v="0"/>
    <n v="0"/>
    <m/>
  </r>
  <r>
    <x v="2"/>
    <x v="0"/>
    <x v="7"/>
    <n v="3150"/>
    <n v="0"/>
    <s v="Blue"/>
    <n v="1"/>
    <x v="8"/>
    <n v="5440"/>
    <n v="5440"/>
    <n v="0"/>
    <n v="0"/>
    <m/>
  </r>
  <r>
    <x v="2"/>
    <x v="0"/>
    <x v="7"/>
    <n v="3588"/>
    <n v="1"/>
    <s v="Blue"/>
    <n v="1"/>
    <x v="8"/>
    <n v="6800"/>
    <n v="6800"/>
    <n v="0"/>
    <n v="0"/>
    <m/>
  </r>
  <r>
    <x v="2"/>
    <x v="0"/>
    <x v="7"/>
    <n v="3318"/>
    <n v="1"/>
    <s v="Scroll"/>
    <n v="1"/>
    <x v="7"/>
    <n v="0"/>
    <n v="0"/>
    <n v="0"/>
    <n v="0"/>
    <m/>
  </r>
  <r>
    <x v="2"/>
    <x v="0"/>
    <x v="7"/>
    <n v="3137"/>
    <n v="0"/>
    <s v="Violet"/>
    <n v="1"/>
    <x v="7"/>
    <n v="3491"/>
    <n v="3491"/>
    <n v="0"/>
    <n v="0"/>
    <m/>
  </r>
  <r>
    <x v="2"/>
    <x v="0"/>
    <x v="7"/>
    <n v="3409"/>
    <n v="0"/>
    <s v="Scroll"/>
    <n v="5"/>
    <x v="2"/>
    <n v="0"/>
    <n v="10000"/>
    <n v="0"/>
    <n v="4000"/>
    <m/>
  </r>
  <r>
    <x v="2"/>
    <x v="0"/>
    <x v="7"/>
    <n v="3479"/>
    <n v="1"/>
    <s v="Blue"/>
    <n v="1"/>
    <x v="7"/>
    <n v="2411"/>
    <n v="2411"/>
    <n v="0"/>
    <n v="0"/>
    <m/>
  </r>
  <r>
    <x v="2"/>
    <x v="0"/>
    <x v="7"/>
    <n v="3505"/>
    <n v="2"/>
    <s v="Violet"/>
    <n v="1"/>
    <x v="8"/>
    <n v="7650"/>
    <n v="7650"/>
    <n v="0"/>
    <n v="0"/>
    <m/>
  </r>
  <r>
    <x v="2"/>
    <x v="0"/>
    <x v="7"/>
    <n v="3378"/>
    <n v="1"/>
    <s v="Blue"/>
    <n v="1"/>
    <x v="7"/>
    <n v="3675"/>
    <n v="3675"/>
    <n v="0"/>
    <n v="0"/>
    <m/>
  </r>
  <r>
    <x v="2"/>
    <x v="0"/>
    <x v="7"/>
    <n v="3978"/>
    <n v="2"/>
    <s v="Scroll"/>
    <n v="5"/>
    <x v="2"/>
    <n v="0"/>
    <n v="10000"/>
    <n v="0"/>
    <n v="4000"/>
    <m/>
  </r>
  <r>
    <x v="2"/>
    <x v="0"/>
    <x v="7"/>
    <n v="4035"/>
    <n v="0"/>
    <s v="Scroll"/>
    <n v="5"/>
    <x v="2"/>
    <n v="0"/>
    <n v="10000"/>
    <n v="0"/>
    <n v="4000"/>
    <m/>
  </r>
  <r>
    <x v="2"/>
    <x v="0"/>
    <x v="7"/>
    <n v="3616"/>
    <n v="1"/>
    <s v="Scroll"/>
    <n v="5"/>
    <x v="2"/>
    <n v="0"/>
    <n v="10000"/>
    <n v="0"/>
    <n v="4000"/>
    <m/>
  </r>
  <r>
    <x v="2"/>
    <x v="0"/>
    <x v="7"/>
    <n v="3217"/>
    <n v="0"/>
    <s v="Blue"/>
    <n v="1"/>
    <x v="8"/>
    <n v="5440"/>
    <n v="5440"/>
    <n v="0"/>
    <n v="0"/>
    <m/>
  </r>
  <r>
    <x v="2"/>
    <x v="0"/>
    <x v="7"/>
    <n v="3453"/>
    <n v="0"/>
    <s v="Blue"/>
    <n v="1"/>
    <x v="8"/>
    <n v="4080"/>
    <n v="4080"/>
    <n v="0"/>
    <n v="0"/>
    <m/>
  </r>
  <r>
    <x v="2"/>
    <x v="0"/>
    <x v="7"/>
    <n v="3773"/>
    <n v="1"/>
    <s v="Violet"/>
    <n v="1"/>
    <x v="7"/>
    <n v="4547"/>
    <n v="4547"/>
    <n v="0"/>
    <n v="0"/>
    <m/>
  </r>
  <r>
    <x v="2"/>
    <x v="0"/>
    <x v="7"/>
    <n v="3152"/>
    <n v="2"/>
    <s v="Blue"/>
    <n v="1"/>
    <x v="7"/>
    <n v="3100"/>
    <n v="3100"/>
    <n v="0"/>
    <n v="0"/>
    <m/>
  </r>
  <r>
    <x v="2"/>
    <x v="0"/>
    <x v="7"/>
    <n v="3199"/>
    <n v="2"/>
    <s v="Scroll"/>
    <n v="4"/>
    <x v="2"/>
    <n v="0"/>
    <n v="8000"/>
    <n v="0"/>
    <n v="3200"/>
    <m/>
  </r>
  <r>
    <x v="2"/>
    <x v="0"/>
    <x v="7"/>
    <n v="3391"/>
    <n v="1"/>
    <s v="Orange"/>
    <n v="1"/>
    <x v="7"/>
    <n v="5512"/>
    <n v="5512"/>
    <n v="0"/>
    <n v="0"/>
    <m/>
  </r>
  <r>
    <x v="2"/>
    <x v="0"/>
    <x v="7"/>
    <n v="3826"/>
    <n v="0"/>
    <s v="Blue"/>
    <n v="1"/>
    <x v="8"/>
    <n v="6885"/>
    <n v="6885"/>
    <n v="0"/>
    <n v="0"/>
    <m/>
  </r>
  <r>
    <x v="12"/>
    <x v="2"/>
    <x v="3"/>
    <n v="2208"/>
    <n v="2"/>
    <m/>
    <m/>
    <x v="0"/>
    <n v="1236"/>
    <n v="1236"/>
    <n v="0"/>
    <n v="0"/>
    <m/>
  </r>
  <r>
    <x v="12"/>
    <x v="2"/>
    <x v="3"/>
    <n v="2585"/>
    <n v="2"/>
    <m/>
    <m/>
    <x v="0"/>
    <n v="2205"/>
    <n v="2205"/>
    <n v="0"/>
    <n v="0"/>
    <m/>
  </r>
  <r>
    <x v="12"/>
    <x v="2"/>
    <x v="3"/>
    <n v="2501"/>
    <n v="0"/>
    <m/>
    <m/>
    <x v="0"/>
    <n v="1236"/>
    <n v="1236"/>
    <n v="0"/>
    <n v="0"/>
    <m/>
  </r>
  <r>
    <x v="12"/>
    <x v="2"/>
    <x v="3"/>
    <n v="1564"/>
    <n v="1"/>
    <m/>
    <m/>
    <x v="0"/>
    <n v="1236"/>
    <n v="1236"/>
    <n v="0"/>
    <n v="0"/>
    <m/>
  </r>
  <r>
    <x v="12"/>
    <x v="2"/>
    <x v="3"/>
    <n v="1352"/>
    <n v="0"/>
    <m/>
    <m/>
    <x v="0"/>
    <n v="2205"/>
    <n v="2205"/>
    <n v="0"/>
    <n v="0"/>
    <m/>
  </r>
  <r>
    <x v="12"/>
    <x v="2"/>
    <x v="3"/>
    <n v="828"/>
    <n v="0"/>
    <m/>
    <m/>
    <x v="0"/>
    <n v="1236"/>
    <n v="1236"/>
    <n v="0"/>
    <n v="0"/>
    <m/>
  </r>
  <r>
    <x v="12"/>
    <x v="2"/>
    <x v="3"/>
    <n v="1020"/>
    <n v="1"/>
    <s v="Candy"/>
    <n v="2"/>
    <x v="0"/>
    <n v="0"/>
    <n v="0"/>
    <n v="0"/>
    <n v="0"/>
    <m/>
  </r>
  <r>
    <x v="12"/>
    <x v="2"/>
    <x v="3"/>
    <n v="1937"/>
    <n v="1"/>
    <s v="Candy"/>
    <n v="3"/>
    <x v="0"/>
    <n v="0"/>
    <n v="0"/>
    <n v="0"/>
    <n v="0"/>
    <m/>
  </r>
  <r>
    <x v="12"/>
    <x v="2"/>
    <x v="3"/>
    <n v="2126"/>
    <n v="1"/>
    <m/>
    <m/>
    <x v="0"/>
    <n v="1443"/>
    <n v="1443"/>
    <n v="0"/>
    <n v="0"/>
    <m/>
  </r>
  <r>
    <x v="12"/>
    <x v="2"/>
    <x v="3"/>
    <n v="1860"/>
    <n v="1"/>
    <m/>
    <m/>
    <x v="0"/>
    <n v="1236"/>
    <n v="1236"/>
    <n v="0"/>
    <n v="0"/>
    <m/>
  </r>
  <r>
    <x v="12"/>
    <x v="2"/>
    <x v="3"/>
    <n v="1824"/>
    <n v="1"/>
    <m/>
    <m/>
    <x v="0"/>
    <n v="1236"/>
    <n v="1236"/>
    <n v="0"/>
    <n v="0"/>
    <m/>
  </r>
  <r>
    <x v="12"/>
    <x v="2"/>
    <x v="3"/>
    <n v="1625"/>
    <n v="2"/>
    <m/>
    <m/>
    <x v="0"/>
    <n v="1236"/>
    <n v="1236"/>
    <n v="0"/>
    <n v="0"/>
    <m/>
  </r>
  <r>
    <x v="1"/>
    <x v="1"/>
    <x v="8"/>
    <n v="1233"/>
    <n v="2"/>
    <m/>
    <m/>
    <x v="0"/>
    <n v="1824"/>
    <n v="1824"/>
    <n v="0"/>
    <n v="0"/>
    <m/>
  </r>
  <r>
    <x v="1"/>
    <x v="1"/>
    <x v="8"/>
    <n v="910"/>
    <n v="1"/>
    <m/>
    <m/>
    <x v="0"/>
    <n v="1824"/>
    <n v="1824"/>
    <n v="0"/>
    <n v="0"/>
    <m/>
  </r>
  <r>
    <x v="1"/>
    <x v="1"/>
    <x v="8"/>
    <n v="2073"/>
    <n v="0"/>
    <m/>
    <m/>
    <x v="0"/>
    <n v="1976"/>
    <n v="1976"/>
    <n v="0"/>
    <n v="0"/>
    <m/>
  </r>
  <r>
    <x v="1"/>
    <x v="1"/>
    <x v="8"/>
    <n v="1466"/>
    <n v="0"/>
    <m/>
    <m/>
    <x v="0"/>
    <n v="1976"/>
    <n v="1976"/>
    <n v="0"/>
    <n v="0"/>
    <m/>
  </r>
  <r>
    <x v="1"/>
    <x v="1"/>
    <x v="8"/>
    <n v="1067"/>
    <n v="3"/>
    <s v="Fod"/>
    <n v="1"/>
    <x v="1"/>
    <n v="0"/>
    <n v="0"/>
    <n v="11500"/>
    <n v="0"/>
    <m/>
  </r>
  <r>
    <x v="1"/>
    <x v="1"/>
    <x v="8"/>
    <n v="1973"/>
    <n v="1"/>
    <m/>
    <m/>
    <x v="0"/>
    <n v="2937"/>
    <n v="2937"/>
    <n v="0"/>
    <n v="0"/>
    <m/>
  </r>
  <r>
    <x v="13"/>
    <x v="1"/>
    <x v="0"/>
    <n v="1544"/>
    <n v="0"/>
    <m/>
    <m/>
    <x v="0"/>
    <n v="1824"/>
    <n v="1824"/>
    <n v="0"/>
    <n v="0"/>
    <m/>
  </r>
  <r>
    <x v="13"/>
    <x v="1"/>
    <x v="0"/>
    <n v="1180"/>
    <n v="0"/>
    <m/>
    <m/>
    <x v="0"/>
    <n v="1976"/>
    <n v="1976"/>
    <n v="0"/>
    <n v="0"/>
    <m/>
  </r>
  <r>
    <x v="13"/>
    <x v="1"/>
    <x v="0"/>
    <n v="1734"/>
    <n v="4"/>
    <m/>
    <m/>
    <x v="0"/>
    <n v="1824"/>
    <n v="1824"/>
    <n v="0"/>
    <n v="0"/>
    <m/>
  </r>
  <r>
    <x v="13"/>
    <x v="1"/>
    <x v="0"/>
    <n v="1594"/>
    <n v="0"/>
    <m/>
    <m/>
    <x v="0"/>
    <n v="2128"/>
    <n v="2128"/>
    <n v="0"/>
    <n v="0"/>
    <m/>
  </r>
  <r>
    <x v="13"/>
    <x v="1"/>
    <x v="0"/>
    <n v="1672"/>
    <n v="0"/>
    <m/>
    <m/>
    <x v="0"/>
    <n v="1824"/>
    <n v="1824"/>
    <n v="0"/>
    <n v="0"/>
    <m/>
  </r>
  <r>
    <x v="13"/>
    <x v="1"/>
    <x v="0"/>
    <n v="1879"/>
    <n v="1"/>
    <m/>
    <m/>
    <x v="0"/>
    <n v="1824"/>
    <n v="1824"/>
    <n v="0"/>
    <n v="0"/>
    <m/>
  </r>
  <r>
    <x v="13"/>
    <x v="1"/>
    <x v="0"/>
    <n v="1455"/>
    <n v="1"/>
    <m/>
    <m/>
    <x v="0"/>
    <n v="2280"/>
    <n v="2280"/>
    <n v="0"/>
    <n v="0"/>
    <m/>
  </r>
  <r>
    <x v="13"/>
    <x v="1"/>
    <x v="0"/>
    <n v="1898"/>
    <n v="1"/>
    <m/>
    <m/>
    <x v="0"/>
    <n v="1824"/>
    <n v="1824"/>
    <n v="0"/>
    <n v="0"/>
    <m/>
  </r>
  <r>
    <x v="12"/>
    <x v="2"/>
    <x v="3"/>
    <n v="1959"/>
    <n v="1"/>
    <m/>
    <m/>
    <x v="0"/>
    <n v="2205"/>
    <n v="2205"/>
    <n v="0"/>
    <n v="0"/>
    <m/>
  </r>
  <r>
    <x v="12"/>
    <x v="2"/>
    <x v="3"/>
    <n v="1626"/>
    <n v="0"/>
    <m/>
    <m/>
    <x v="0"/>
    <n v="1236"/>
    <n v="1236"/>
    <n v="0"/>
    <n v="0"/>
    <m/>
  </r>
  <r>
    <x v="12"/>
    <x v="2"/>
    <x v="3"/>
    <n v="2155"/>
    <n v="0"/>
    <m/>
    <m/>
    <x v="0"/>
    <n v="1236"/>
    <n v="1236"/>
    <n v="0"/>
    <n v="0"/>
    <m/>
  </r>
  <r>
    <x v="12"/>
    <x v="2"/>
    <x v="3"/>
    <n v="1844"/>
    <n v="1"/>
    <m/>
    <m/>
    <x v="0"/>
    <n v="2205"/>
    <n v="2205"/>
    <n v="0"/>
    <n v="0"/>
    <m/>
  </r>
  <r>
    <x v="12"/>
    <x v="2"/>
    <x v="3"/>
    <n v="645"/>
    <n v="2"/>
    <s v="Scroll"/>
    <n v="3"/>
    <x v="0"/>
    <n v="0"/>
    <n v="0"/>
    <n v="0"/>
    <n v="0"/>
    <m/>
  </r>
  <r>
    <x v="12"/>
    <x v="2"/>
    <x v="3"/>
    <n v="623"/>
    <n v="1"/>
    <m/>
    <m/>
    <x v="0"/>
    <n v="2205"/>
    <n v="2205"/>
    <n v="0"/>
    <n v="0"/>
    <m/>
  </r>
  <r>
    <x v="12"/>
    <x v="2"/>
    <x v="3"/>
    <n v="1484"/>
    <n v="2"/>
    <m/>
    <m/>
    <x v="0"/>
    <n v="2205"/>
    <n v="2205"/>
    <n v="0"/>
    <n v="0"/>
    <m/>
  </r>
  <r>
    <x v="12"/>
    <x v="2"/>
    <x v="3"/>
    <n v="1281"/>
    <n v="0"/>
    <m/>
    <m/>
    <x v="0"/>
    <n v="2572"/>
    <n v="2572"/>
    <n v="0"/>
    <n v="0"/>
    <m/>
  </r>
  <r>
    <x v="12"/>
    <x v="2"/>
    <x v="3"/>
    <n v="839"/>
    <n v="1"/>
    <m/>
    <m/>
    <x v="0"/>
    <n v="2940"/>
    <n v="2940"/>
    <n v="0"/>
    <n v="0"/>
    <m/>
  </r>
  <r>
    <x v="12"/>
    <x v="2"/>
    <x v="3"/>
    <n v="1785"/>
    <n v="2"/>
    <m/>
    <m/>
    <x v="0"/>
    <n v="1824"/>
    <n v="1824"/>
    <n v="0"/>
    <n v="0"/>
    <m/>
  </r>
  <r>
    <x v="12"/>
    <x v="2"/>
    <x v="3"/>
    <n v="1214"/>
    <n v="0"/>
    <m/>
    <m/>
    <x v="0"/>
    <n v="1236"/>
    <n v="1236"/>
    <n v="0"/>
    <n v="0"/>
    <m/>
  </r>
  <r>
    <x v="12"/>
    <x v="2"/>
    <x v="3"/>
    <n v="1200"/>
    <n v="0"/>
    <m/>
    <m/>
    <x v="0"/>
    <n v="1236"/>
    <n v="1236"/>
    <n v="0"/>
    <n v="0"/>
    <m/>
  </r>
  <r>
    <x v="12"/>
    <x v="2"/>
    <x v="3"/>
    <n v="1357"/>
    <n v="2"/>
    <s v="Fod"/>
    <n v="1"/>
    <x v="2"/>
    <n v="0"/>
    <n v="0"/>
    <n v="0"/>
    <n v="0"/>
    <m/>
  </r>
  <r>
    <x v="12"/>
    <x v="2"/>
    <x v="3"/>
    <n v="2917"/>
    <n v="0"/>
    <m/>
    <m/>
    <x v="0"/>
    <n v="1236"/>
    <n v="1236"/>
    <n v="0"/>
    <n v="0"/>
    <m/>
  </r>
  <r>
    <x v="5"/>
    <x v="1"/>
    <x v="8"/>
    <n v="1467"/>
    <n v="0"/>
    <s v="Scroll"/>
    <n v="2"/>
    <x v="2"/>
    <n v="0"/>
    <n v="4000"/>
    <n v="0"/>
    <n v="1600"/>
    <m/>
  </r>
  <r>
    <x v="5"/>
    <x v="1"/>
    <x v="8"/>
    <n v="1868"/>
    <n v="0"/>
    <s v="Scroll"/>
    <n v="2"/>
    <x v="2"/>
    <n v="0"/>
    <n v="4000"/>
    <n v="0"/>
    <n v="1600"/>
    <m/>
  </r>
  <r>
    <x v="5"/>
    <x v="1"/>
    <x v="8"/>
    <n v="1204"/>
    <n v="1"/>
    <m/>
    <m/>
    <x v="0"/>
    <n v="1824"/>
    <n v="1824"/>
    <n v="0"/>
    <n v="0"/>
    <m/>
  </r>
  <r>
    <x v="2"/>
    <x v="0"/>
    <x v="11"/>
    <n v="3766"/>
    <n v="0"/>
    <s v="Blue"/>
    <n v="1"/>
    <x v="8"/>
    <n v="10144"/>
    <n v="10144"/>
    <n v="0"/>
    <n v="0"/>
    <m/>
  </r>
  <r>
    <x v="2"/>
    <x v="0"/>
    <x v="11"/>
    <n v="4343"/>
    <n v="0"/>
    <s v="Violet"/>
    <n v="1"/>
    <x v="7"/>
    <n v="3904"/>
    <n v="3904"/>
    <n v="0"/>
    <n v="0"/>
    <m/>
  </r>
  <r>
    <x v="2"/>
    <x v="0"/>
    <x v="11"/>
    <n v="3715"/>
    <n v="1"/>
    <s v="Scroll"/>
    <n v="4"/>
    <x v="2"/>
    <n v="0"/>
    <n v="8000"/>
    <n v="0"/>
    <n v="3200"/>
    <m/>
  </r>
  <r>
    <x v="2"/>
    <x v="0"/>
    <x v="11"/>
    <n v="3985"/>
    <n v="1"/>
    <s v="Blue"/>
    <n v="1"/>
    <x v="9"/>
    <n v="25677"/>
    <n v="25677"/>
    <n v="0"/>
    <n v="0"/>
    <m/>
  </r>
  <r>
    <x v="2"/>
    <x v="0"/>
    <x v="11"/>
    <n v="4284"/>
    <n v="0"/>
    <s v="Scroll"/>
    <n v="5"/>
    <x v="2"/>
    <n v="0"/>
    <n v="10000"/>
    <n v="0"/>
    <n v="4000"/>
    <m/>
  </r>
  <r>
    <x v="2"/>
    <x v="0"/>
    <x v="11"/>
    <n v="4613"/>
    <n v="0"/>
    <s v="Blue"/>
    <n v="1"/>
    <x v="8"/>
    <n v="5440"/>
    <n v="5440"/>
    <n v="0"/>
    <n v="0"/>
    <m/>
  </r>
  <r>
    <x v="2"/>
    <x v="0"/>
    <x v="11"/>
    <n v="4512"/>
    <n v="0"/>
    <s v="Blue"/>
    <n v="1"/>
    <x v="8"/>
    <n v="6800"/>
    <n v="6800"/>
    <n v="0"/>
    <n v="0"/>
    <m/>
  </r>
  <r>
    <x v="2"/>
    <x v="0"/>
    <x v="11"/>
    <n v="4000"/>
    <n v="1"/>
    <s v="Rainb"/>
    <n v="1"/>
    <x v="5"/>
    <n v="0"/>
    <n v="0"/>
    <n v="34500"/>
    <n v="118004"/>
    <m/>
  </r>
  <r>
    <x v="2"/>
    <x v="0"/>
    <x v="11"/>
    <n v="4361"/>
    <n v="0"/>
    <s v="Scroll"/>
    <n v="5"/>
    <x v="2"/>
    <n v="0"/>
    <n v="10000"/>
    <n v="0"/>
    <n v="4000"/>
    <m/>
  </r>
  <r>
    <x v="2"/>
    <x v="0"/>
    <x v="11"/>
    <n v="4527"/>
    <n v="0"/>
    <s v="Blue"/>
    <n v="1"/>
    <x v="8"/>
    <n v="5440"/>
    <n v="5440"/>
    <n v="0"/>
    <n v="0"/>
    <m/>
  </r>
  <r>
    <x v="2"/>
    <x v="0"/>
    <x v="11"/>
    <n v="3817"/>
    <n v="1"/>
    <s v="Blue"/>
    <n v="1"/>
    <x v="8"/>
    <n v="5440"/>
    <n v="5440"/>
    <n v="0"/>
    <n v="0"/>
    <m/>
  </r>
  <r>
    <x v="2"/>
    <x v="0"/>
    <x v="11"/>
    <n v="3935"/>
    <n v="2"/>
    <s v="Violet"/>
    <n v="1"/>
    <x v="8"/>
    <n v="6800"/>
    <n v="6800"/>
    <n v="0"/>
    <n v="0"/>
    <m/>
  </r>
  <r>
    <x v="2"/>
    <x v="0"/>
    <x v="11"/>
    <n v="4040"/>
    <n v="1"/>
    <s v="Blue"/>
    <n v="1"/>
    <x v="8"/>
    <n v="5440"/>
    <n v="5440"/>
    <n v="0"/>
    <n v="0"/>
    <m/>
  </r>
  <r>
    <x v="2"/>
    <x v="0"/>
    <x v="11"/>
    <n v="3601"/>
    <n v="1"/>
    <s v="Scroll"/>
    <n v="4"/>
    <x v="2"/>
    <n v="0"/>
    <n v="8000"/>
    <n v="0"/>
    <n v="3200"/>
    <m/>
  </r>
  <r>
    <x v="2"/>
    <x v="0"/>
    <x v="11"/>
    <n v="3976"/>
    <n v="0"/>
    <s v="Violet"/>
    <n v="1"/>
    <x v="8"/>
    <n v="5440"/>
    <n v="5440"/>
    <n v="0"/>
    <n v="0"/>
    <m/>
  </r>
  <r>
    <x v="2"/>
    <x v="0"/>
    <x v="11"/>
    <n v="3824"/>
    <n v="0"/>
    <s v="Blue"/>
    <n v="1"/>
    <x v="7"/>
    <n v="3491"/>
    <n v="3491"/>
    <n v="0"/>
    <n v="0"/>
    <m/>
  </r>
  <r>
    <x v="2"/>
    <x v="0"/>
    <x v="11"/>
    <n v="3303"/>
    <n v="0"/>
    <s v="Blue"/>
    <n v="1"/>
    <x v="7"/>
    <n v="3445"/>
    <n v="3445"/>
    <n v="0"/>
    <n v="0"/>
    <m/>
  </r>
  <r>
    <x v="2"/>
    <x v="0"/>
    <x v="11"/>
    <n v="4601"/>
    <n v="1"/>
    <s v="Scroll"/>
    <n v="4"/>
    <x v="2"/>
    <n v="0"/>
    <n v="8000"/>
    <n v="0"/>
    <n v="3200"/>
    <m/>
  </r>
  <r>
    <x v="2"/>
    <x v="0"/>
    <x v="11"/>
    <n v="4076"/>
    <n v="1"/>
    <s v="Blue"/>
    <n v="1"/>
    <x v="7"/>
    <n v="5057"/>
    <n v="5057"/>
    <n v="0"/>
    <n v="0"/>
    <m/>
  </r>
  <r>
    <x v="2"/>
    <x v="0"/>
    <x v="11"/>
    <n v="3735"/>
    <n v="1"/>
    <s v="Blue"/>
    <n v="1"/>
    <x v="8"/>
    <n v="6502"/>
    <n v="6502"/>
    <n v="0"/>
    <n v="0"/>
    <m/>
  </r>
  <r>
    <x v="2"/>
    <x v="0"/>
    <x v="11"/>
    <n v="3968"/>
    <n v="1"/>
    <s v="Blue"/>
    <n v="1"/>
    <x v="8"/>
    <n v="3825"/>
    <n v="3825"/>
    <n v="0"/>
    <n v="0"/>
    <m/>
  </r>
  <r>
    <x v="2"/>
    <x v="0"/>
    <x v="11"/>
    <n v="4409"/>
    <n v="0"/>
    <s v="Blue"/>
    <n v="1"/>
    <x v="8"/>
    <n v="7650"/>
    <n v="7650"/>
    <n v="0"/>
    <n v="0"/>
    <m/>
  </r>
  <r>
    <x v="2"/>
    <x v="0"/>
    <x v="11"/>
    <n v="4316"/>
    <n v="0"/>
    <s v="Blue"/>
    <n v="1"/>
    <x v="8"/>
    <n v="5780"/>
    <n v="5780"/>
    <n v="0"/>
    <n v="0"/>
    <m/>
  </r>
  <r>
    <x v="2"/>
    <x v="0"/>
    <x v="11"/>
    <n v="4350"/>
    <n v="3"/>
    <s v="Blue"/>
    <n v="1"/>
    <x v="8"/>
    <n v="5950"/>
    <n v="5950"/>
    <n v="0"/>
    <n v="0"/>
    <m/>
  </r>
  <r>
    <x v="2"/>
    <x v="0"/>
    <x v="11"/>
    <n v="4027"/>
    <n v="1"/>
    <s v="Blue"/>
    <n v="1"/>
    <x v="8"/>
    <n v="5100"/>
    <n v="5100"/>
    <n v="0"/>
    <n v="0"/>
    <m/>
  </r>
  <r>
    <x v="2"/>
    <x v="0"/>
    <x v="11"/>
    <n v="4582"/>
    <n v="1"/>
    <s v="Orange"/>
    <n v="1"/>
    <x v="8"/>
    <n v="10444"/>
    <n v="10444"/>
    <n v="0"/>
    <n v="0"/>
    <m/>
  </r>
  <r>
    <x v="2"/>
    <x v="0"/>
    <x v="11"/>
    <n v="4490"/>
    <n v="0"/>
    <s v="Blue"/>
    <n v="1"/>
    <x v="7"/>
    <n v="4364"/>
    <n v="4364"/>
    <n v="0"/>
    <n v="0"/>
    <m/>
  </r>
  <r>
    <x v="2"/>
    <x v="0"/>
    <x v="11"/>
    <n v="4382"/>
    <n v="0"/>
    <s v="Blue"/>
    <n v="1"/>
    <x v="7"/>
    <n v="2940"/>
    <n v="2940"/>
    <n v="0"/>
    <n v="0"/>
    <m/>
  </r>
  <r>
    <x v="2"/>
    <x v="0"/>
    <x v="11"/>
    <n v="3808"/>
    <n v="0"/>
    <s v="Scroll"/>
    <n v="5"/>
    <x v="2"/>
    <n v="0"/>
    <n v="10000"/>
    <n v="0"/>
    <n v="4000"/>
    <m/>
  </r>
  <r>
    <x v="2"/>
    <x v="0"/>
    <x v="11"/>
    <n v="3873"/>
    <n v="2"/>
    <s v="Blue"/>
    <n v="1"/>
    <x v="7"/>
    <n v="3307"/>
    <n v="3307"/>
    <n v="0"/>
    <n v="0"/>
    <m/>
  </r>
  <r>
    <x v="2"/>
    <x v="0"/>
    <x v="11"/>
    <n v="4165"/>
    <n v="1"/>
    <s v="Violet"/>
    <n v="1"/>
    <x v="7"/>
    <n v="3927"/>
    <n v="3927"/>
    <n v="0"/>
    <n v="0"/>
    <m/>
  </r>
  <r>
    <x v="2"/>
    <x v="0"/>
    <x v="11"/>
    <n v="3918"/>
    <n v="1"/>
    <s v="Violet"/>
    <n v="1"/>
    <x v="8"/>
    <n v="5440"/>
    <n v="5440"/>
    <n v="0"/>
    <n v="0"/>
    <m/>
  </r>
  <r>
    <x v="2"/>
    <x v="0"/>
    <x v="11"/>
    <n v="3837"/>
    <n v="4"/>
    <s v="Blue"/>
    <n v="1"/>
    <x v="7"/>
    <n v="3100"/>
    <n v="3100"/>
    <n v="0"/>
    <n v="0"/>
    <m/>
  </r>
  <r>
    <x v="2"/>
    <x v="0"/>
    <x v="11"/>
    <n v="3909"/>
    <n v="0"/>
    <s v="Blue"/>
    <n v="1"/>
    <x v="8"/>
    <n v="6460"/>
    <n v="6460"/>
    <n v="0"/>
    <n v="0"/>
    <m/>
  </r>
  <r>
    <x v="2"/>
    <x v="0"/>
    <x v="11"/>
    <n v="4302"/>
    <n v="2"/>
    <s v="Violet"/>
    <n v="1"/>
    <x v="8"/>
    <n v="8075"/>
    <n v="8075"/>
    <n v="0"/>
    <n v="0"/>
    <m/>
  </r>
  <r>
    <x v="2"/>
    <x v="0"/>
    <x v="11"/>
    <n v="4644"/>
    <n v="1"/>
    <s v="MystScroll"/>
    <n v="1"/>
    <x v="2"/>
    <n v="0"/>
    <n v="120000"/>
    <n v="0"/>
    <n v="0"/>
    <m/>
  </r>
  <r>
    <x v="2"/>
    <x v="0"/>
    <x v="11"/>
    <n v="3772"/>
    <n v="0"/>
    <s v="Blue"/>
    <n v="1"/>
    <x v="8"/>
    <n v="5780"/>
    <n v="5780"/>
    <n v="0"/>
    <n v="0"/>
    <m/>
  </r>
  <r>
    <x v="2"/>
    <x v="0"/>
    <x v="11"/>
    <n v="3838"/>
    <n v="1"/>
    <s v="Blue"/>
    <n v="1"/>
    <x v="8"/>
    <n v="6460"/>
    <n v="6460"/>
    <n v="0"/>
    <n v="0"/>
    <m/>
  </r>
  <r>
    <x v="2"/>
    <x v="0"/>
    <x v="11"/>
    <n v="3618"/>
    <n v="1"/>
    <s v="Orange"/>
    <n v="1"/>
    <x v="8"/>
    <n v="11560"/>
    <n v="11560"/>
    <n v="0"/>
    <n v="0"/>
    <m/>
  </r>
  <r>
    <x v="2"/>
    <x v="0"/>
    <x v="11"/>
    <n v="3622"/>
    <n v="2"/>
    <s v="Orange"/>
    <n v="1"/>
    <x v="8"/>
    <n v="16320"/>
    <n v="16320"/>
    <n v="0"/>
    <n v="0"/>
    <m/>
  </r>
  <r>
    <x v="2"/>
    <x v="0"/>
    <x v="11"/>
    <n v="4131"/>
    <n v="2"/>
    <s v="Scroll"/>
    <n v="5"/>
    <x v="2"/>
    <n v="0"/>
    <n v="10000"/>
    <n v="0"/>
    <n v="4000"/>
    <m/>
  </r>
  <r>
    <x v="2"/>
    <x v="0"/>
    <x v="11"/>
    <n v="3935"/>
    <n v="0"/>
    <s v="Rainb"/>
    <n v="1"/>
    <x v="1"/>
    <n v="0"/>
    <n v="0"/>
    <n v="11500"/>
    <n v="35822"/>
    <m/>
  </r>
  <r>
    <x v="2"/>
    <x v="0"/>
    <x v="11"/>
    <n v="3786"/>
    <n v="1"/>
    <s v="Violet"/>
    <n v="1"/>
    <x v="7"/>
    <n v="3904"/>
    <n v="3904"/>
    <n v="0"/>
    <n v="0"/>
    <m/>
  </r>
  <r>
    <x v="2"/>
    <x v="0"/>
    <x v="11"/>
    <n v="3725"/>
    <n v="0"/>
    <s v="Scroll"/>
    <n v="4"/>
    <x v="2"/>
    <n v="0"/>
    <n v="8000"/>
    <n v="0"/>
    <n v="3200"/>
    <m/>
  </r>
  <r>
    <x v="2"/>
    <x v="0"/>
    <x v="11"/>
    <n v="3617"/>
    <n v="1"/>
    <s v="Blue"/>
    <n v="1"/>
    <x v="8"/>
    <n v="6800"/>
    <n v="6800"/>
    <n v="0"/>
    <n v="0"/>
    <m/>
  </r>
  <r>
    <x v="2"/>
    <x v="0"/>
    <x v="11"/>
    <n v="3937"/>
    <n v="1"/>
    <s v="Violet"/>
    <n v="1"/>
    <x v="9"/>
    <n v="13472"/>
    <n v="13472"/>
    <n v="0"/>
    <n v="0"/>
    <m/>
  </r>
  <r>
    <x v="2"/>
    <x v="0"/>
    <x v="11"/>
    <n v="3918"/>
    <n v="1"/>
    <s v="Blue"/>
    <n v="1"/>
    <x v="9"/>
    <n v="9510"/>
    <n v="9510"/>
    <n v="0"/>
    <n v="0"/>
    <m/>
  </r>
  <r>
    <x v="2"/>
    <x v="0"/>
    <x v="11"/>
    <n v="4078"/>
    <n v="3"/>
    <s v="Rainb"/>
    <n v="1"/>
    <x v="1"/>
    <n v="0"/>
    <n v="0"/>
    <n v="11500"/>
    <n v="35822"/>
    <m/>
  </r>
  <r>
    <x v="2"/>
    <x v="0"/>
    <x v="11"/>
    <n v="4022"/>
    <n v="2"/>
    <s v="Blue"/>
    <n v="1"/>
    <x v="8"/>
    <n v="13005"/>
    <n v="13005"/>
    <n v="0"/>
    <n v="0"/>
    <m/>
  </r>
  <r>
    <x v="2"/>
    <x v="0"/>
    <x v="11"/>
    <n v="3677"/>
    <n v="0"/>
    <s v="Scroll"/>
    <n v="5"/>
    <x v="2"/>
    <n v="0"/>
    <n v="10000"/>
    <n v="0"/>
    <n v="4000"/>
    <m/>
  </r>
  <r>
    <x v="2"/>
    <x v="0"/>
    <x v="11"/>
    <n v="4011"/>
    <n v="0"/>
    <s v="Orange"/>
    <n v="1"/>
    <x v="7"/>
    <n v="7350"/>
    <n v="7350"/>
    <n v="0"/>
    <n v="0"/>
    <m/>
  </r>
  <r>
    <x v="2"/>
    <x v="0"/>
    <x v="11"/>
    <n v="4195"/>
    <n v="1"/>
    <s v="Blue"/>
    <n v="1"/>
    <x v="7"/>
    <n v="3491"/>
    <n v="3491"/>
    <n v="0"/>
    <n v="0"/>
    <m/>
  </r>
  <r>
    <x v="2"/>
    <x v="0"/>
    <x v="11"/>
    <n v="4001"/>
    <n v="0"/>
    <s v="Blue"/>
    <n v="1"/>
    <x v="8"/>
    <n v="4590"/>
    <n v="4590"/>
    <n v="0"/>
    <n v="0"/>
    <m/>
  </r>
  <r>
    <x v="2"/>
    <x v="0"/>
    <x v="11"/>
    <n v="3836"/>
    <n v="0"/>
    <s v="Blue"/>
    <n v="1"/>
    <x v="8"/>
    <n v="5780"/>
    <n v="5780"/>
    <n v="0"/>
    <n v="0"/>
    <m/>
  </r>
  <r>
    <x v="2"/>
    <x v="0"/>
    <x v="11"/>
    <n v="3830"/>
    <n v="0"/>
    <s v="Blue"/>
    <n v="1"/>
    <x v="8"/>
    <n v="5100"/>
    <n v="5100"/>
    <n v="0"/>
    <n v="0"/>
    <m/>
  </r>
  <r>
    <x v="2"/>
    <x v="0"/>
    <x v="11"/>
    <n v="4098"/>
    <n v="0"/>
    <s v="Violet"/>
    <n v="1"/>
    <x v="7"/>
    <n v="4800"/>
    <n v="4800"/>
    <n v="0"/>
    <n v="0"/>
    <m/>
  </r>
  <r>
    <x v="2"/>
    <x v="0"/>
    <x v="11"/>
    <n v="4211"/>
    <n v="0"/>
    <s v="Rainb"/>
    <n v="1"/>
    <x v="1"/>
    <n v="0"/>
    <n v="0"/>
    <n v="11500"/>
    <n v="35822"/>
    <m/>
  </r>
  <r>
    <x v="2"/>
    <x v="0"/>
    <x v="11"/>
    <n v="4024"/>
    <n v="1"/>
    <s v="Blue"/>
    <n v="1"/>
    <x v="7"/>
    <n v="2572"/>
    <n v="2572"/>
    <n v="0"/>
    <n v="0"/>
    <m/>
  </r>
  <r>
    <x v="2"/>
    <x v="0"/>
    <x v="11"/>
    <n v="4051"/>
    <n v="0"/>
    <s v="Violet"/>
    <n v="1"/>
    <x v="8"/>
    <n v="8075"/>
    <n v="8075"/>
    <n v="0"/>
    <n v="0"/>
    <m/>
  </r>
  <r>
    <x v="2"/>
    <x v="0"/>
    <x v="11"/>
    <n v="3981"/>
    <n v="2"/>
    <s v="Rainb"/>
    <n v="1"/>
    <x v="1"/>
    <n v="0"/>
    <n v="0"/>
    <n v="11500"/>
    <n v="35822"/>
    <m/>
  </r>
  <r>
    <x v="2"/>
    <x v="0"/>
    <x v="11"/>
    <n v="3667"/>
    <n v="3"/>
    <s v="Blue"/>
    <n v="1"/>
    <x v="8"/>
    <n v="5440"/>
    <n v="5440"/>
    <n v="0"/>
    <n v="0"/>
    <m/>
  </r>
  <r>
    <x v="2"/>
    <x v="0"/>
    <x v="11"/>
    <n v="4500"/>
    <n v="2"/>
    <s v="Violet"/>
    <n v="1"/>
    <x v="8"/>
    <n v="9350"/>
    <n v="9350"/>
    <n v="0"/>
    <n v="0"/>
    <m/>
  </r>
  <r>
    <x v="2"/>
    <x v="0"/>
    <x v="11"/>
    <n v="4090"/>
    <n v="1"/>
    <s v="Blue"/>
    <n v="1"/>
    <x v="8"/>
    <n v="5780"/>
    <n v="5780"/>
    <n v="0"/>
    <n v="0"/>
    <m/>
  </r>
  <r>
    <x v="2"/>
    <x v="0"/>
    <x v="11"/>
    <n v="3757"/>
    <n v="0"/>
    <s v="Rainb"/>
    <n v="1"/>
    <x v="1"/>
    <n v="0"/>
    <n v="0"/>
    <n v="11500"/>
    <n v="35822"/>
    <m/>
  </r>
  <r>
    <x v="2"/>
    <x v="0"/>
    <x v="11"/>
    <n v="3889"/>
    <n v="0"/>
    <s v="Violet"/>
    <n v="1"/>
    <x v="8"/>
    <n v="10200"/>
    <n v="10200"/>
    <n v="0"/>
    <n v="0"/>
    <m/>
  </r>
  <r>
    <x v="2"/>
    <x v="0"/>
    <x v="11"/>
    <n v="3813"/>
    <n v="1"/>
    <s v="Blue"/>
    <n v="1"/>
    <x v="8"/>
    <n v="5355"/>
    <n v="5355"/>
    <n v="0"/>
    <n v="0"/>
    <m/>
  </r>
  <r>
    <x v="2"/>
    <x v="0"/>
    <x v="11"/>
    <n v="3859"/>
    <n v="1"/>
    <s v="Scroll"/>
    <n v="5"/>
    <x v="2"/>
    <n v="0"/>
    <n v="10000"/>
    <n v="0"/>
    <n v="4000"/>
    <m/>
  </r>
  <r>
    <x v="2"/>
    <x v="0"/>
    <x v="11"/>
    <n v="3967"/>
    <n v="2"/>
    <s v="Blue"/>
    <n v="1"/>
    <x v="9"/>
    <n v="12046"/>
    <n v="12046"/>
    <n v="0"/>
    <n v="0"/>
    <m/>
  </r>
  <r>
    <x v="2"/>
    <x v="0"/>
    <x v="11"/>
    <n v="4276"/>
    <n v="0"/>
    <s v="Scroll"/>
    <n v="5"/>
    <x v="2"/>
    <n v="0"/>
    <n v="10000"/>
    <n v="0"/>
    <n v="4000"/>
    <m/>
  </r>
  <r>
    <x v="2"/>
    <x v="0"/>
    <x v="11"/>
    <n v="3898"/>
    <n v="0"/>
    <s v="Violet"/>
    <n v="1"/>
    <x v="8"/>
    <n v="6502"/>
    <n v="6502"/>
    <n v="0"/>
    <n v="0"/>
    <m/>
  </r>
  <r>
    <x v="2"/>
    <x v="0"/>
    <x v="11"/>
    <n v="3992"/>
    <n v="3"/>
    <s v="Violet"/>
    <n v="1"/>
    <x v="8"/>
    <n v="7225"/>
    <n v="7225"/>
    <n v="0"/>
    <n v="0"/>
    <m/>
  </r>
  <r>
    <x v="2"/>
    <x v="0"/>
    <x v="11"/>
    <n v="3871"/>
    <n v="1"/>
    <s v="Blue"/>
    <n v="1"/>
    <x v="8"/>
    <n v="5737"/>
    <n v="5737"/>
    <n v="0"/>
    <n v="0"/>
    <m/>
  </r>
  <r>
    <x v="2"/>
    <x v="0"/>
    <x v="11"/>
    <n v="3832"/>
    <n v="0"/>
    <s v="Violet"/>
    <n v="1"/>
    <x v="8"/>
    <n v="8670"/>
    <n v="8670"/>
    <n v="0"/>
    <n v="0"/>
    <m/>
  </r>
  <r>
    <x v="2"/>
    <x v="0"/>
    <x v="11"/>
    <n v="3887"/>
    <n v="0"/>
    <s v="Blue"/>
    <n v="1"/>
    <x v="8"/>
    <n v="13770"/>
    <n v="13770"/>
    <n v="0"/>
    <n v="0"/>
    <m/>
  </r>
  <r>
    <x v="2"/>
    <x v="0"/>
    <x v="11"/>
    <n v="4114"/>
    <n v="3"/>
    <s v="Blue"/>
    <n v="1"/>
    <x v="8"/>
    <n v="6460"/>
    <n v="6460"/>
    <n v="0"/>
    <n v="0"/>
    <m/>
  </r>
  <r>
    <x v="2"/>
    <x v="0"/>
    <x v="11"/>
    <n v="4755"/>
    <n v="0"/>
    <s v="Blue"/>
    <n v="1"/>
    <x v="9"/>
    <n v="27103"/>
    <n v="27103"/>
    <n v="0"/>
    <n v="0"/>
    <m/>
  </r>
  <r>
    <x v="2"/>
    <x v="0"/>
    <x v="11"/>
    <n v="4329"/>
    <n v="2"/>
    <s v="Blue"/>
    <n v="1"/>
    <x v="8"/>
    <n v="6800"/>
    <n v="6800"/>
    <n v="0"/>
    <n v="0"/>
    <m/>
  </r>
  <r>
    <x v="2"/>
    <x v="0"/>
    <x v="11"/>
    <n v="4139"/>
    <n v="0"/>
    <s v="Blue"/>
    <n v="1"/>
    <x v="7"/>
    <n v="2067"/>
    <n v="2067"/>
    <n v="0"/>
    <n v="0"/>
    <m/>
  </r>
  <r>
    <x v="2"/>
    <x v="0"/>
    <x v="11"/>
    <n v="3838"/>
    <n v="0"/>
    <s v="Blue"/>
    <n v="1"/>
    <x v="8"/>
    <n v="5737"/>
    <n v="5737"/>
    <n v="0"/>
    <n v="0"/>
    <m/>
  </r>
  <r>
    <x v="2"/>
    <x v="0"/>
    <x v="11"/>
    <n v="4090"/>
    <n v="2"/>
    <s v="Scroll"/>
    <n v="4"/>
    <x v="2"/>
    <n v="0"/>
    <n v="8000"/>
    <n v="0"/>
    <n v="3200"/>
    <m/>
  </r>
  <r>
    <x v="2"/>
    <x v="0"/>
    <x v="11"/>
    <n v="4048"/>
    <n v="0"/>
    <s v="Violet"/>
    <n v="1"/>
    <x v="8"/>
    <n v="8075"/>
    <n v="8075"/>
    <n v="0"/>
    <n v="0"/>
    <m/>
  </r>
  <r>
    <x v="2"/>
    <x v="0"/>
    <x v="11"/>
    <n v="4066"/>
    <n v="1"/>
    <s v="Blue"/>
    <n v="1"/>
    <x v="7"/>
    <n v="8268"/>
    <n v="8268"/>
    <n v="0"/>
    <n v="0"/>
    <m/>
  </r>
  <r>
    <x v="2"/>
    <x v="0"/>
    <x v="11"/>
    <n v="4202"/>
    <n v="2"/>
    <s v="Blue"/>
    <n v="1"/>
    <x v="8"/>
    <n v="4590"/>
    <n v="4590"/>
    <n v="0"/>
    <n v="0"/>
    <m/>
  </r>
  <r>
    <x v="2"/>
    <x v="0"/>
    <x v="11"/>
    <n v="4359"/>
    <n v="1"/>
    <s v="Violet"/>
    <n v="1"/>
    <x v="8"/>
    <n v="9180"/>
    <n v="9180"/>
    <n v="0"/>
    <n v="0"/>
    <m/>
  </r>
  <r>
    <x v="2"/>
    <x v="0"/>
    <x v="11"/>
    <n v="3858"/>
    <n v="0"/>
    <s v="Blue"/>
    <n v="1"/>
    <x v="8"/>
    <n v="5100"/>
    <n v="5100"/>
    <n v="0"/>
    <n v="0"/>
    <m/>
  </r>
  <r>
    <x v="2"/>
    <x v="0"/>
    <x v="11"/>
    <n v="3946"/>
    <n v="0"/>
    <s v="Violet"/>
    <n v="1"/>
    <x v="9"/>
    <n v="14265"/>
    <n v="14265"/>
    <n v="0"/>
    <n v="0"/>
    <m/>
  </r>
  <r>
    <x v="2"/>
    <x v="0"/>
    <x v="11"/>
    <n v="4023"/>
    <n v="0"/>
    <s v="Violet"/>
    <n v="1"/>
    <x v="8"/>
    <n v="15300"/>
    <n v="15300"/>
    <n v="0"/>
    <n v="0"/>
    <m/>
  </r>
  <r>
    <x v="2"/>
    <x v="0"/>
    <x v="11"/>
    <n v="4021"/>
    <n v="0"/>
    <s v="MystScroll"/>
    <n v="1"/>
    <x v="2"/>
    <n v="0"/>
    <n v="120000"/>
    <n v="0"/>
    <n v="0"/>
    <m/>
  </r>
  <r>
    <x v="14"/>
    <x v="0"/>
    <x v="10"/>
    <n v="3980"/>
    <n v="0"/>
    <s v="Violet"/>
    <n v="1"/>
    <x v="8"/>
    <n v="8160"/>
    <n v="8160"/>
    <n v="0"/>
    <n v="0"/>
    <m/>
  </r>
  <r>
    <x v="14"/>
    <x v="0"/>
    <x v="10"/>
    <n v="4393"/>
    <n v="0"/>
    <s v="Blue"/>
    <n v="1"/>
    <x v="8"/>
    <n v="10200"/>
    <n v="10200"/>
    <n v="0"/>
    <n v="0"/>
    <m/>
  </r>
  <r>
    <x v="14"/>
    <x v="0"/>
    <x v="10"/>
    <n v="4309"/>
    <n v="1"/>
    <s v="Blue"/>
    <n v="1"/>
    <x v="8"/>
    <n v="7650"/>
    <n v="7650"/>
    <n v="0"/>
    <n v="0"/>
    <m/>
  </r>
  <r>
    <x v="14"/>
    <x v="0"/>
    <x v="10"/>
    <n v="4290"/>
    <n v="1"/>
    <s v="Scroll"/>
    <n v="5"/>
    <x v="2"/>
    <n v="0"/>
    <n v="10000"/>
    <n v="0"/>
    <n v="4000"/>
    <m/>
  </r>
  <r>
    <x v="2"/>
    <x v="0"/>
    <x v="11"/>
    <n v="4144"/>
    <n v="1"/>
    <s v="Blue"/>
    <n v="1"/>
    <x v="8"/>
    <n v="5057"/>
    <n v="5057"/>
    <n v="0"/>
    <n v="0"/>
    <m/>
  </r>
  <r>
    <x v="2"/>
    <x v="0"/>
    <x v="11"/>
    <n v="4074"/>
    <n v="0"/>
    <s v="Scroll"/>
    <n v="4"/>
    <x v="2"/>
    <n v="0"/>
    <n v="8000"/>
    <n v="0"/>
    <n v="3200"/>
    <m/>
  </r>
  <r>
    <x v="2"/>
    <x v="0"/>
    <x v="11"/>
    <n v="4032"/>
    <n v="0"/>
    <s v="Scroll"/>
    <n v="4"/>
    <x v="2"/>
    <n v="0"/>
    <n v="8000"/>
    <n v="0"/>
    <n v="3200"/>
    <m/>
  </r>
  <r>
    <x v="2"/>
    <x v="0"/>
    <x v="11"/>
    <n v="4157"/>
    <n v="3"/>
    <s v="Blue"/>
    <n v="1"/>
    <x v="8"/>
    <n v="5652"/>
    <n v="5652"/>
    <n v="0"/>
    <n v="0"/>
    <m/>
  </r>
  <r>
    <x v="2"/>
    <x v="0"/>
    <x v="11"/>
    <n v="4353"/>
    <n v="1"/>
    <s v="Rainb"/>
    <n v="1"/>
    <x v="1"/>
    <n v="0"/>
    <n v="0"/>
    <n v="11500"/>
    <n v="35822"/>
    <m/>
  </r>
  <r>
    <x v="2"/>
    <x v="0"/>
    <x v="11"/>
    <n v="4047"/>
    <n v="1"/>
    <s v="Blue"/>
    <n v="1"/>
    <x v="8"/>
    <n v="5100"/>
    <n v="5100"/>
    <n v="0"/>
    <n v="0"/>
    <m/>
  </r>
  <r>
    <x v="2"/>
    <x v="0"/>
    <x v="11"/>
    <n v="3847"/>
    <n v="0"/>
    <s v="Blue"/>
    <n v="1"/>
    <x v="7"/>
    <n v="5880"/>
    <n v="5880"/>
    <n v="0"/>
    <n v="0"/>
    <m/>
  </r>
  <r>
    <x v="2"/>
    <x v="0"/>
    <x v="11"/>
    <n v="3857"/>
    <n v="2"/>
    <s v="Blue"/>
    <n v="1"/>
    <x v="8"/>
    <n v="5100"/>
    <n v="5100"/>
    <n v="0"/>
    <n v="0"/>
    <m/>
  </r>
  <r>
    <x v="2"/>
    <x v="0"/>
    <x v="11"/>
    <n v="3902"/>
    <n v="0"/>
    <s v="Blue"/>
    <n v="1"/>
    <x v="7"/>
    <n v="2756"/>
    <n v="2756"/>
    <n v="0"/>
    <n v="0"/>
    <m/>
  </r>
  <r>
    <x v="2"/>
    <x v="0"/>
    <x v="11"/>
    <n v="3922"/>
    <n v="3"/>
    <s v="Blue"/>
    <n v="1"/>
    <x v="8"/>
    <n v="7267"/>
    <n v="7267"/>
    <n v="0"/>
    <n v="0"/>
    <m/>
  </r>
  <r>
    <x v="2"/>
    <x v="0"/>
    <x v="11"/>
    <n v="3822"/>
    <n v="0"/>
    <s v="Blue"/>
    <n v="1"/>
    <x v="8"/>
    <n v="5355"/>
    <n v="5355"/>
    <n v="0"/>
    <n v="0"/>
    <m/>
  </r>
  <r>
    <x v="2"/>
    <x v="0"/>
    <x v="11"/>
    <n v="4255"/>
    <n v="3"/>
    <s v="Blue"/>
    <n v="1"/>
    <x v="8"/>
    <n v="4760"/>
    <n v="4760"/>
    <n v="0"/>
    <n v="0"/>
    <m/>
  </r>
  <r>
    <x v="2"/>
    <x v="0"/>
    <x v="11"/>
    <n v="4271"/>
    <n v="0"/>
    <s v="Blue"/>
    <n v="1"/>
    <x v="7"/>
    <n v="2894"/>
    <n v="2894"/>
    <n v="0"/>
    <n v="0"/>
    <m/>
  </r>
  <r>
    <x v="2"/>
    <x v="0"/>
    <x v="11"/>
    <n v="4220"/>
    <n v="0"/>
    <s v="Blue"/>
    <n v="1"/>
    <x v="7"/>
    <n v="2756"/>
    <n v="2756"/>
    <n v="0"/>
    <n v="0"/>
    <m/>
  </r>
  <r>
    <x v="2"/>
    <x v="0"/>
    <x v="11"/>
    <n v="4125"/>
    <n v="3"/>
    <s v="Blue"/>
    <n v="1"/>
    <x v="7"/>
    <n v="2480"/>
    <n v="2480"/>
    <n v="0"/>
    <n v="0"/>
    <m/>
  </r>
  <r>
    <x v="2"/>
    <x v="0"/>
    <x v="11"/>
    <n v="3847"/>
    <n v="0"/>
    <s v="Rainb"/>
    <n v="1"/>
    <x v="1"/>
    <n v="0"/>
    <n v="0"/>
    <n v="11500"/>
    <n v="35822"/>
    <m/>
  </r>
  <r>
    <x v="2"/>
    <x v="0"/>
    <x v="11"/>
    <n v="4181"/>
    <n v="1"/>
    <s v="Blue"/>
    <n v="1"/>
    <x v="8"/>
    <n v="5440"/>
    <n v="5440"/>
    <n v="0"/>
    <n v="0"/>
    <m/>
  </r>
  <r>
    <x v="2"/>
    <x v="0"/>
    <x v="11"/>
    <n v="3847"/>
    <n v="0"/>
    <s v="Scroll"/>
    <n v="4"/>
    <x v="2"/>
    <n v="0"/>
    <n v="8000"/>
    <n v="0"/>
    <n v="3200"/>
    <m/>
  </r>
  <r>
    <x v="2"/>
    <x v="0"/>
    <x v="11"/>
    <n v="4162"/>
    <n v="2"/>
    <s v="Blue"/>
    <n v="1"/>
    <x v="8"/>
    <n v="4335"/>
    <n v="4335"/>
    <n v="0"/>
    <n v="0"/>
    <m/>
  </r>
  <r>
    <x v="2"/>
    <x v="0"/>
    <x v="11"/>
    <n v="3389"/>
    <n v="0"/>
    <s v="Violet"/>
    <n v="1"/>
    <x v="8"/>
    <n v="6075"/>
    <n v="6075"/>
    <n v="0"/>
    <n v="0"/>
    <m/>
  </r>
  <r>
    <x v="2"/>
    <x v="0"/>
    <x v="11"/>
    <n v="3666"/>
    <n v="1"/>
    <s v="Blue"/>
    <n v="1"/>
    <x v="7"/>
    <n v="2756"/>
    <n v="2756"/>
    <n v="0"/>
    <n v="0"/>
    <m/>
  </r>
  <r>
    <x v="2"/>
    <x v="0"/>
    <x v="11"/>
    <n v="3605"/>
    <n v="1"/>
    <s v="Violet"/>
    <n v="1"/>
    <x v="8"/>
    <n v="5737"/>
    <n v="5737"/>
    <n v="0"/>
    <n v="0"/>
    <m/>
  </r>
  <r>
    <x v="2"/>
    <x v="0"/>
    <x v="11"/>
    <n v="3793"/>
    <n v="2"/>
    <s v="Scroll"/>
    <n v="4"/>
    <x v="2"/>
    <n v="0"/>
    <n v="8000"/>
    <n v="0"/>
    <n v="3200"/>
    <m/>
  </r>
  <r>
    <x v="2"/>
    <x v="0"/>
    <x v="11"/>
    <n v="4423"/>
    <n v="0"/>
    <s v="Blue"/>
    <n v="1"/>
    <x v="8"/>
    <n v="8075"/>
    <n v="8075"/>
    <n v="0"/>
    <n v="0"/>
    <m/>
  </r>
  <r>
    <x v="2"/>
    <x v="0"/>
    <x v="11"/>
    <n v="4020"/>
    <n v="1"/>
    <s v="SumStone"/>
    <n v="3"/>
    <x v="5"/>
    <n v="0"/>
    <n v="0"/>
    <n v="2587.5"/>
    <n v="2686.6499999999996"/>
    <m/>
  </r>
  <r>
    <x v="2"/>
    <x v="0"/>
    <x v="11"/>
    <n v="3900"/>
    <n v="1"/>
    <s v="Violet"/>
    <n v="1"/>
    <x v="7"/>
    <n v="3307"/>
    <n v="3307"/>
    <n v="0"/>
    <n v="0"/>
    <m/>
  </r>
  <r>
    <x v="2"/>
    <x v="0"/>
    <x v="11"/>
    <n v="4316"/>
    <n v="1"/>
    <s v="Blue"/>
    <n v="1"/>
    <x v="8"/>
    <n v="14535"/>
    <n v="14535"/>
    <n v="0"/>
    <n v="0"/>
    <m/>
  </r>
  <r>
    <x v="2"/>
    <x v="0"/>
    <x v="11"/>
    <n v="3854"/>
    <n v="0"/>
    <s v="Blue"/>
    <n v="1"/>
    <x v="7"/>
    <n v="2940"/>
    <n v="2940"/>
    <n v="0"/>
    <n v="0"/>
    <m/>
  </r>
  <r>
    <x v="2"/>
    <x v="0"/>
    <x v="11"/>
    <n v="4559"/>
    <n v="1"/>
    <s v="Blue"/>
    <n v="1"/>
    <x v="8"/>
    <n v="6120"/>
    <n v="6120"/>
    <n v="0"/>
    <n v="0"/>
    <m/>
  </r>
  <r>
    <x v="2"/>
    <x v="0"/>
    <x v="11"/>
    <n v="4127"/>
    <n v="1"/>
    <s v="Blue"/>
    <n v="1"/>
    <x v="7"/>
    <n v="5512"/>
    <n v="5512"/>
    <n v="0"/>
    <n v="0"/>
    <m/>
  </r>
  <r>
    <x v="2"/>
    <x v="0"/>
    <x v="11"/>
    <n v="4449"/>
    <n v="1"/>
    <s v="Scroll"/>
    <n v="5"/>
    <x v="2"/>
    <n v="0"/>
    <n v="10000"/>
    <n v="0"/>
    <n v="4000"/>
    <m/>
  </r>
  <r>
    <x v="2"/>
    <x v="0"/>
    <x v="11"/>
    <n v="4660"/>
    <n v="3"/>
    <s v="Blue"/>
    <n v="1"/>
    <x v="8"/>
    <n v="6120"/>
    <n v="6120"/>
    <n v="0"/>
    <n v="0"/>
    <m/>
  </r>
  <r>
    <x v="2"/>
    <x v="0"/>
    <x v="11"/>
    <n v="4104"/>
    <n v="1"/>
    <s v="Rainb"/>
    <n v="1"/>
    <x v="5"/>
    <n v="0"/>
    <n v="0"/>
    <n v="34500"/>
    <n v="118004"/>
    <m/>
  </r>
  <r>
    <x v="2"/>
    <x v="0"/>
    <x v="11"/>
    <n v="4042"/>
    <n v="1"/>
    <s v="Blue"/>
    <n v="1"/>
    <x v="7"/>
    <n v="6615"/>
    <n v="6615"/>
    <n v="0"/>
    <n v="0"/>
    <m/>
  </r>
  <r>
    <x v="2"/>
    <x v="0"/>
    <x v="11"/>
    <n v="3926"/>
    <n v="2"/>
    <s v="Blue"/>
    <n v="1"/>
    <x v="8"/>
    <n v="6502"/>
    <n v="6502"/>
    <n v="0"/>
    <n v="0"/>
    <m/>
  </r>
  <r>
    <x v="2"/>
    <x v="0"/>
    <x v="11"/>
    <n v="3945"/>
    <n v="2"/>
    <s v="Scroll"/>
    <n v="4"/>
    <x v="2"/>
    <n v="0"/>
    <n v="8000"/>
    <n v="0"/>
    <n v="3200"/>
    <m/>
  </r>
  <r>
    <x v="2"/>
    <x v="0"/>
    <x v="11"/>
    <n v="4195"/>
    <n v="3"/>
    <s v="SumStone"/>
    <n v="3"/>
    <x v="5"/>
    <n v="0"/>
    <n v="0"/>
    <n v="2587.5"/>
    <n v="2686.6499999999996"/>
    <m/>
  </r>
  <r>
    <x v="2"/>
    <x v="0"/>
    <x v="11"/>
    <n v="4313"/>
    <n v="3"/>
    <s v="Violet"/>
    <n v="1"/>
    <x v="7"/>
    <n v="4961"/>
    <n v="4961"/>
    <n v="0"/>
    <n v="0"/>
    <m/>
  </r>
  <r>
    <x v="2"/>
    <x v="0"/>
    <x v="11"/>
    <n v="3617"/>
    <n v="1"/>
    <s v="Blue"/>
    <n v="1"/>
    <x v="8"/>
    <n v="13770"/>
    <n v="13770"/>
    <n v="0"/>
    <n v="0"/>
    <m/>
  </r>
  <r>
    <x v="14"/>
    <x v="0"/>
    <x v="6"/>
    <n v="3713"/>
    <n v="1"/>
    <s v="Blue"/>
    <n v="1"/>
    <x v="7"/>
    <n v="7350"/>
    <n v="7350"/>
    <n v="0"/>
    <n v="0"/>
    <m/>
  </r>
  <r>
    <x v="14"/>
    <x v="0"/>
    <x v="6"/>
    <n v="3997"/>
    <n v="1"/>
    <s v="Blue"/>
    <n v="1"/>
    <x v="7"/>
    <n v="3445"/>
    <n v="3445"/>
    <n v="0"/>
    <n v="0"/>
    <m/>
  </r>
  <r>
    <x v="14"/>
    <x v="0"/>
    <x v="6"/>
    <n v="3898"/>
    <n v="0"/>
    <s v="Blue"/>
    <n v="1"/>
    <x v="7"/>
    <n v="3491"/>
    <n v="3491"/>
    <n v="0"/>
    <n v="0"/>
    <m/>
  </r>
  <r>
    <x v="14"/>
    <x v="0"/>
    <x v="7"/>
    <n v="3967"/>
    <n v="1"/>
    <s v="Scroll"/>
    <n v="4"/>
    <x v="2"/>
    <n v="0"/>
    <n v="8000"/>
    <n v="0"/>
    <n v="3200"/>
    <m/>
  </r>
  <r>
    <x v="14"/>
    <x v="0"/>
    <x v="7"/>
    <n v="3757"/>
    <n v="0"/>
    <s v="Blue"/>
    <n v="1"/>
    <x v="7"/>
    <n v="2940"/>
    <n v="2940"/>
    <n v="0"/>
    <n v="0"/>
    <m/>
  </r>
  <r>
    <x v="14"/>
    <x v="0"/>
    <x v="7"/>
    <n v="3610"/>
    <n v="2"/>
    <s v="Scroll"/>
    <n v="5"/>
    <x v="2"/>
    <m/>
    <n v="10000"/>
    <n v="0"/>
    <n v="4000"/>
    <m/>
  </r>
  <r>
    <x v="14"/>
    <x v="0"/>
    <x v="7"/>
    <n v="4254"/>
    <n v="0"/>
    <s v="Rainb"/>
    <n v="1"/>
    <x v="1"/>
    <n v="0"/>
    <n v="0"/>
    <n v="11500"/>
    <n v="35822"/>
    <m/>
  </r>
  <r>
    <x v="14"/>
    <x v="0"/>
    <x v="7"/>
    <n v="3927"/>
    <n v="1"/>
    <s v="Orange"/>
    <n v="1"/>
    <x v="8"/>
    <n v="16150"/>
    <n v="16150"/>
    <n v="0"/>
    <n v="0"/>
    <m/>
  </r>
  <r>
    <x v="14"/>
    <x v="0"/>
    <x v="7"/>
    <n v="3878"/>
    <n v="0"/>
    <s v="Blue"/>
    <n v="1"/>
    <x v="8"/>
    <n v="7225"/>
    <n v="7225"/>
    <n v="0"/>
    <n v="0"/>
    <m/>
  </r>
  <r>
    <x v="14"/>
    <x v="0"/>
    <x v="7"/>
    <n v="3941"/>
    <n v="0"/>
    <s v="Scroll"/>
    <n v="5"/>
    <x v="2"/>
    <n v="0"/>
    <n v="10000"/>
    <n v="0"/>
    <n v="4000"/>
    <m/>
  </r>
  <r>
    <x v="14"/>
    <x v="0"/>
    <x v="7"/>
    <n v="4409"/>
    <n v="0"/>
    <s v="Blue"/>
    <n v="1"/>
    <x v="7"/>
    <n v="4364"/>
    <n v="4364"/>
    <n v="0"/>
    <n v="0"/>
    <m/>
  </r>
  <r>
    <x v="14"/>
    <x v="0"/>
    <x v="7"/>
    <n v="4062"/>
    <n v="4"/>
    <s v="Scroll"/>
    <n v="5"/>
    <x v="2"/>
    <n v="0"/>
    <n v="10000"/>
    <n v="0"/>
    <n v="4000"/>
    <m/>
  </r>
  <r>
    <x v="14"/>
    <x v="0"/>
    <x v="7"/>
    <n v="3764"/>
    <n v="0"/>
    <s v="Blue"/>
    <n v="1"/>
    <x v="8"/>
    <n v="12920"/>
    <n v="12920"/>
    <n v="0"/>
    <n v="0"/>
    <m/>
  </r>
  <r>
    <x v="14"/>
    <x v="0"/>
    <x v="7"/>
    <n v="3972"/>
    <n v="3"/>
    <s v="Blue"/>
    <n v="1"/>
    <x v="8"/>
    <n v="12920"/>
    <n v="12920"/>
    <n v="0"/>
    <n v="0"/>
    <m/>
  </r>
  <r>
    <x v="14"/>
    <x v="0"/>
    <x v="7"/>
    <n v="3793"/>
    <n v="1"/>
    <s v="Blue"/>
    <n v="1"/>
    <x v="7"/>
    <n v="6615"/>
    <n v="6615"/>
    <n v="0"/>
    <n v="0"/>
    <m/>
  </r>
  <r>
    <x v="14"/>
    <x v="0"/>
    <x v="7"/>
    <n v="3869"/>
    <n v="0"/>
    <s v="Scroll"/>
    <n v="4"/>
    <x v="2"/>
    <n v="0"/>
    <n v="8000"/>
    <n v="0"/>
    <n v="3200"/>
    <m/>
  </r>
  <r>
    <x v="14"/>
    <x v="0"/>
    <x v="7"/>
    <n v="3629"/>
    <n v="0"/>
    <s v="Violet"/>
    <n v="1"/>
    <x v="7"/>
    <n v="4134"/>
    <n v="4134"/>
    <n v="0"/>
    <n v="0"/>
    <m/>
  </r>
  <r>
    <x v="2"/>
    <x v="0"/>
    <x v="11"/>
    <n v="4330"/>
    <n v="2"/>
    <s v="Blue"/>
    <n v="1"/>
    <x v="8"/>
    <n v="8500"/>
    <n v="8500"/>
    <n v="0"/>
    <n v="0"/>
    <m/>
  </r>
  <r>
    <x v="2"/>
    <x v="0"/>
    <x v="11"/>
    <n v="3405"/>
    <n v="2"/>
    <s v="Blue"/>
    <n v="1"/>
    <x v="7"/>
    <n v="4134"/>
    <n v="4134"/>
    <n v="0"/>
    <n v="0"/>
    <m/>
  </r>
  <r>
    <x v="2"/>
    <x v="0"/>
    <x v="11"/>
    <n v="4212"/>
    <n v="0"/>
    <s v="Orange"/>
    <n v="1"/>
    <x v="7"/>
    <n v="12154"/>
    <n v="12154"/>
    <n v="0"/>
    <n v="0"/>
    <m/>
  </r>
  <r>
    <x v="2"/>
    <x v="0"/>
    <x v="11"/>
    <n v="3954"/>
    <n v="1"/>
    <s v="Blue"/>
    <n v="1"/>
    <x v="8"/>
    <n v="8524"/>
    <n v="8524"/>
    <n v="0"/>
    <n v="0"/>
    <m/>
  </r>
  <r>
    <x v="2"/>
    <x v="0"/>
    <x v="11"/>
    <n v="4287"/>
    <n v="0"/>
    <s v="Violet"/>
    <n v="1"/>
    <x v="7"/>
    <n v="5512"/>
    <n v="5512"/>
    <n v="0"/>
    <n v="0"/>
    <m/>
  </r>
  <r>
    <x v="2"/>
    <x v="0"/>
    <x v="11"/>
    <n v="4017"/>
    <n v="0"/>
    <s v="Violet"/>
    <n v="1"/>
    <x v="8"/>
    <n v="8160"/>
    <n v="8160"/>
    <n v="0"/>
    <n v="0"/>
    <m/>
  </r>
  <r>
    <x v="14"/>
    <x v="0"/>
    <x v="7"/>
    <n v="3963"/>
    <n v="4"/>
    <s v="Blue"/>
    <n v="1"/>
    <x v="8"/>
    <n v="6375"/>
    <n v="6375"/>
    <n v="0"/>
    <n v="0"/>
    <m/>
  </r>
  <r>
    <x v="14"/>
    <x v="0"/>
    <x v="7"/>
    <n v="3833"/>
    <n v="0"/>
    <s v="Scroll"/>
    <n v="4"/>
    <x v="2"/>
    <n v="0"/>
    <n v="8000"/>
    <n v="0"/>
    <n v="3200"/>
    <m/>
  </r>
  <r>
    <x v="14"/>
    <x v="0"/>
    <x v="7"/>
    <n v="3798"/>
    <n v="0"/>
    <s v="Blue"/>
    <n v="1"/>
    <x v="7"/>
    <n v="4134"/>
    <n v="4134"/>
    <n v="0"/>
    <n v="0"/>
    <m/>
  </r>
  <r>
    <x v="14"/>
    <x v="0"/>
    <x v="7"/>
    <n v="3703"/>
    <n v="0"/>
    <s v="Blue"/>
    <n v="1"/>
    <x v="7"/>
    <n v="3123"/>
    <n v="3123"/>
    <n v="0"/>
    <n v="0"/>
    <m/>
  </r>
  <r>
    <x v="2"/>
    <x v="0"/>
    <x v="11"/>
    <n v="4015"/>
    <n v="3"/>
    <s v="Scroll"/>
    <n v="5"/>
    <x v="2"/>
    <n v="0"/>
    <n v="10000"/>
    <n v="0"/>
    <n v="4000"/>
    <m/>
  </r>
  <r>
    <x v="2"/>
    <x v="0"/>
    <x v="11"/>
    <n v="3736"/>
    <n v="0"/>
    <s v="Blue"/>
    <n v="1"/>
    <x v="8"/>
    <n v="5100"/>
    <n v="5100"/>
    <n v="0"/>
    <n v="0"/>
    <m/>
  </r>
  <r>
    <x v="2"/>
    <x v="0"/>
    <x v="11"/>
    <n v="3629"/>
    <n v="0"/>
    <s v="Violet"/>
    <n v="1"/>
    <x v="8"/>
    <n v="8160"/>
    <n v="8160"/>
    <n v="0"/>
    <n v="0"/>
    <m/>
  </r>
  <r>
    <x v="2"/>
    <x v="0"/>
    <x v="11"/>
    <n v="4069"/>
    <n v="0"/>
    <s v="Blue"/>
    <n v="1"/>
    <x v="8"/>
    <n v="8500"/>
    <n v="8500"/>
    <n v="0"/>
    <n v="0"/>
    <m/>
  </r>
  <r>
    <x v="2"/>
    <x v="0"/>
    <x v="11"/>
    <n v="3900"/>
    <n v="1"/>
    <s v="Blue"/>
    <n v="1"/>
    <x v="7"/>
    <n v="2411"/>
    <n v="2411"/>
    <n v="0"/>
    <n v="0"/>
    <m/>
  </r>
  <r>
    <x v="2"/>
    <x v="0"/>
    <x v="11"/>
    <n v="3744"/>
    <n v="0"/>
    <s v="Blue"/>
    <n v="1"/>
    <x v="7"/>
    <n v="3215"/>
    <n v="3215"/>
    <n v="0"/>
    <n v="0"/>
    <m/>
  </r>
  <r>
    <x v="2"/>
    <x v="0"/>
    <x v="11"/>
    <n v="4648"/>
    <n v="1"/>
    <s v="Rainb"/>
    <n v="1"/>
    <x v="1"/>
    <n v="0"/>
    <n v="0"/>
    <n v="11500"/>
    <n v="35822"/>
    <m/>
  </r>
  <r>
    <x v="2"/>
    <x v="0"/>
    <x v="11"/>
    <n v="4164"/>
    <n v="0"/>
    <s v="Scroll"/>
    <n v="5"/>
    <x v="2"/>
    <n v="0"/>
    <n v="10000"/>
    <n v="0"/>
    <n v="4000"/>
    <m/>
  </r>
  <r>
    <x v="2"/>
    <x v="0"/>
    <x v="11"/>
    <n v="3725"/>
    <n v="0"/>
    <s v="Blue"/>
    <n v="1"/>
    <x v="9"/>
    <n v="8876"/>
    <n v="8876"/>
    <n v="0"/>
    <n v="0"/>
    <m/>
  </r>
  <r>
    <x v="2"/>
    <x v="0"/>
    <x v="11"/>
    <n v="4116"/>
    <n v="1"/>
    <s v="Blue"/>
    <n v="1"/>
    <x v="7"/>
    <n v="2940"/>
    <n v="2940"/>
    <n v="0"/>
    <n v="0"/>
    <m/>
  </r>
  <r>
    <x v="2"/>
    <x v="0"/>
    <x v="11"/>
    <n v="3438"/>
    <n v="0"/>
    <s v="Blue"/>
    <n v="1"/>
    <x v="8"/>
    <n v="3825"/>
    <n v="3825"/>
    <n v="0"/>
    <n v="0"/>
    <m/>
  </r>
  <r>
    <x v="2"/>
    <x v="0"/>
    <x v="11"/>
    <n v="4013"/>
    <n v="0"/>
    <s v="Blue"/>
    <n v="1"/>
    <x v="9"/>
    <n v="8321"/>
    <n v="8321"/>
    <n v="0"/>
    <n v="0"/>
    <m/>
  </r>
  <r>
    <x v="2"/>
    <x v="0"/>
    <x v="11"/>
    <n v="4287"/>
    <n v="1"/>
    <s v="Orange"/>
    <n v="1"/>
    <x v="7"/>
    <n v="5971"/>
    <n v="5971"/>
    <n v="0"/>
    <n v="0"/>
    <m/>
  </r>
  <r>
    <x v="2"/>
    <x v="0"/>
    <x v="11"/>
    <n v="3423"/>
    <n v="0"/>
    <s v="Blue"/>
    <n v="1"/>
    <x v="8"/>
    <n v="6502"/>
    <n v="6502"/>
    <n v="0"/>
    <n v="0"/>
    <m/>
  </r>
  <r>
    <x v="2"/>
    <x v="0"/>
    <x v="11"/>
    <n v="3869"/>
    <n v="0"/>
    <s v="Blue"/>
    <n v="1"/>
    <x v="8"/>
    <n v="10880"/>
    <n v="10880"/>
    <n v="0"/>
    <n v="0"/>
    <m/>
  </r>
  <r>
    <x v="2"/>
    <x v="0"/>
    <x v="11"/>
    <n v="4067"/>
    <n v="1"/>
    <s v="Violet"/>
    <n v="1"/>
    <x v="8"/>
    <n v="7267"/>
    <n v="7267"/>
    <n v="0"/>
    <n v="0"/>
    <m/>
  </r>
  <r>
    <x v="2"/>
    <x v="0"/>
    <x v="11"/>
    <n v="4317"/>
    <n v="1"/>
    <s v="Blue"/>
    <n v="1"/>
    <x v="7"/>
    <n v="2067"/>
    <n v="2067"/>
    <n v="0"/>
    <n v="0"/>
    <m/>
  </r>
  <r>
    <x v="2"/>
    <x v="0"/>
    <x v="11"/>
    <n v="3502"/>
    <n v="1"/>
    <s v="Blue"/>
    <n v="1"/>
    <x v="7"/>
    <n v="2411"/>
    <n v="2411"/>
    <n v="0"/>
    <n v="0"/>
    <m/>
  </r>
  <r>
    <x v="2"/>
    <x v="0"/>
    <x v="11"/>
    <n v="4182"/>
    <n v="0"/>
    <s v="Scroll"/>
    <n v="4"/>
    <x v="2"/>
    <n v="0"/>
    <n v="8000"/>
    <n v="0"/>
    <n v="3200"/>
    <m/>
  </r>
  <r>
    <x v="2"/>
    <x v="0"/>
    <x v="11"/>
    <n v="3429"/>
    <n v="0"/>
    <s v="Blue"/>
    <n v="1"/>
    <x v="8"/>
    <n v="10880"/>
    <n v="10880"/>
    <n v="0"/>
    <n v="0"/>
    <m/>
  </r>
  <r>
    <x v="2"/>
    <x v="0"/>
    <x v="11"/>
    <n v="4311"/>
    <n v="1"/>
    <s v="Blue"/>
    <n v="1"/>
    <x v="8"/>
    <n v="8075"/>
    <n v="8075"/>
    <n v="0"/>
    <n v="0"/>
    <m/>
  </r>
  <r>
    <x v="2"/>
    <x v="0"/>
    <x v="11"/>
    <n v="3883"/>
    <n v="0"/>
    <s v="Violet"/>
    <n v="1"/>
    <x v="8"/>
    <n v="6885"/>
    <n v="6885"/>
    <n v="0"/>
    <n v="0"/>
    <m/>
  </r>
  <r>
    <x v="2"/>
    <x v="0"/>
    <x v="11"/>
    <n v="961"/>
    <n v="0"/>
    <n v="0"/>
    <n v="0"/>
    <x v="10"/>
    <n v="0"/>
    <n v="0"/>
    <n v="0"/>
    <n v="0"/>
    <s v="Y"/>
  </r>
  <r>
    <x v="2"/>
    <x v="0"/>
    <x v="11"/>
    <n v="4397"/>
    <n v="3"/>
    <s v="Blue"/>
    <n v="1"/>
    <x v="7"/>
    <n v="3514"/>
    <n v="3514"/>
    <n v="0"/>
    <n v="0"/>
    <m/>
  </r>
  <r>
    <x v="2"/>
    <x v="0"/>
    <x v="11"/>
    <n v="3818"/>
    <n v="2"/>
    <s v="Blue"/>
    <n v="1"/>
    <x v="7"/>
    <n v="3675"/>
    <n v="3675"/>
    <n v="0"/>
    <n v="0"/>
    <m/>
  </r>
  <r>
    <x v="2"/>
    <x v="0"/>
    <x v="11"/>
    <n v="4006"/>
    <n v="2"/>
    <s v="Blue"/>
    <n v="1"/>
    <x v="9"/>
    <n v="12680"/>
    <n v="12680"/>
    <n v="0"/>
    <n v="0"/>
    <m/>
  </r>
  <r>
    <x v="2"/>
    <x v="0"/>
    <x v="11"/>
    <n v="4249"/>
    <n v="2"/>
    <s v="Blue"/>
    <n v="1"/>
    <x v="8"/>
    <n v="6120"/>
    <n v="6120"/>
    <n v="0"/>
    <n v="0"/>
    <m/>
  </r>
  <r>
    <x v="2"/>
    <x v="0"/>
    <x v="11"/>
    <n v="3495"/>
    <n v="1"/>
    <s v="Blue"/>
    <n v="1"/>
    <x v="8"/>
    <n v="3825"/>
    <n v="3825"/>
    <n v="0"/>
    <n v="0"/>
    <m/>
  </r>
  <r>
    <x v="2"/>
    <x v="0"/>
    <x v="11"/>
    <n v="4286"/>
    <n v="1"/>
    <s v="Blue"/>
    <n v="1"/>
    <x v="8"/>
    <n v="4335"/>
    <n v="4335"/>
    <n v="0"/>
    <n v="0"/>
    <m/>
  </r>
  <r>
    <x v="2"/>
    <x v="0"/>
    <x v="11"/>
    <n v="4231"/>
    <n v="0"/>
    <s v="Blue"/>
    <n v="1"/>
    <x v="7"/>
    <n v="6892"/>
    <n v="6892"/>
    <n v="0"/>
    <n v="0"/>
    <m/>
  </r>
  <r>
    <x v="2"/>
    <x v="0"/>
    <x v="11"/>
    <n v="4019"/>
    <n v="0"/>
    <s v="Blue"/>
    <n v="1"/>
    <x v="7"/>
    <n v="2756"/>
    <n v="2756"/>
    <n v="0"/>
    <n v="0"/>
    <m/>
  </r>
  <r>
    <x v="2"/>
    <x v="0"/>
    <x v="11"/>
    <n v="4094"/>
    <n v="3"/>
    <s v="Scroll"/>
    <n v="5"/>
    <x v="2"/>
    <n v="0"/>
    <n v="10000"/>
    <n v="0"/>
    <n v="4000"/>
    <m/>
  </r>
  <r>
    <x v="2"/>
    <x v="0"/>
    <x v="11"/>
    <n v="4074"/>
    <n v="1"/>
    <s v="Violet"/>
    <n v="1"/>
    <x v="7"/>
    <n v="2940"/>
    <n v="2940"/>
    <n v="0"/>
    <n v="0"/>
    <m/>
  </r>
  <r>
    <x v="2"/>
    <x v="0"/>
    <x v="11"/>
    <n v="4218"/>
    <n v="2"/>
    <s v="Blue"/>
    <n v="1"/>
    <x v="9"/>
    <n v="22824"/>
    <n v="22824"/>
    <n v="0"/>
    <n v="0"/>
    <m/>
  </r>
  <r>
    <x v="2"/>
    <x v="0"/>
    <x v="11"/>
    <n v="3925"/>
    <n v="1"/>
    <s v="Violet"/>
    <n v="1"/>
    <x v="8"/>
    <n v="15300"/>
    <n v="15300"/>
    <n v="0"/>
    <n v="0"/>
    <m/>
  </r>
  <r>
    <x v="2"/>
    <x v="0"/>
    <x v="11"/>
    <n v="4086"/>
    <n v="4"/>
    <s v="Blue"/>
    <n v="1"/>
    <x v="8"/>
    <n v="5652"/>
    <n v="5652"/>
    <n v="0"/>
    <n v="0"/>
    <m/>
  </r>
  <r>
    <x v="2"/>
    <x v="0"/>
    <x v="11"/>
    <n v="4019"/>
    <n v="1"/>
    <s v="Blue"/>
    <n v="1"/>
    <x v="9"/>
    <n v="8510"/>
    <n v="8510"/>
    <n v="0"/>
    <n v="0"/>
    <m/>
  </r>
  <r>
    <x v="2"/>
    <x v="0"/>
    <x v="11"/>
    <n v="4281"/>
    <n v="2"/>
    <s v="Scroll"/>
    <n v="5"/>
    <x v="2"/>
    <n v="0"/>
    <n v="10000"/>
    <n v="0"/>
    <n v="4000"/>
    <m/>
  </r>
  <r>
    <x v="2"/>
    <x v="0"/>
    <x v="11"/>
    <n v="3978"/>
    <n v="1"/>
    <s v="Blue"/>
    <n v="1"/>
    <x v="8"/>
    <n v="5652"/>
    <n v="5652"/>
    <n v="0"/>
    <n v="0"/>
    <m/>
  </r>
  <r>
    <x v="2"/>
    <x v="0"/>
    <x v="11"/>
    <n v="4032"/>
    <n v="2"/>
    <s v="Blue"/>
    <n v="1"/>
    <x v="8"/>
    <n v="6120"/>
    <n v="6120"/>
    <n v="0"/>
    <n v="0"/>
    <m/>
  </r>
  <r>
    <x v="2"/>
    <x v="0"/>
    <x v="11"/>
    <n v="3957"/>
    <n v="0"/>
    <s v="Violet"/>
    <n v="1"/>
    <x v="8"/>
    <n v="6120"/>
    <n v="6120"/>
    <n v="0"/>
    <n v="0"/>
    <m/>
  </r>
  <r>
    <x v="2"/>
    <x v="0"/>
    <x v="11"/>
    <n v="3863"/>
    <n v="1"/>
    <s v="Orange"/>
    <n v="1"/>
    <x v="8"/>
    <n v="10200"/>
    <n v="10200"/>
    <n v="0"/>
    <n v="0"/>
    <m/>
  </r>
  <r>
    <x v="2"/>
    <x v="0"/>
    <x v="11"/>
    <n v="3842"/>
    <n v="0"/>
    <s v="Blue"/>
    <n v="1"/>
    <x v="8"/>
    <n v="5737"/>
    <n v="5737"/>
    <n v="0"/>
    <n v="0"/>
    <m/>
  </r>
  <r>
    <x v="2"/>
    <x v="0"/>
    <x v="11"/>
    <n v="4207"/>
    <n v="3"/>
    <s v="Violet"/>
    <n v="1"/>
    <x v="9"/>
    <n v="27103"/>
    <n v="27103"/>
    <n v="0"/>
    <n v="0"/>
    <m/>
  </r>
  <r>
    <x v="2"/>
    <x v="0"/>
    <x v="11"/>
    <n v="3865"/>
    <n v="0"/>
    <s v="Violet"/>
    <n v="1"/>
    <x v="7"/>
    <n v="4295"/>
    <n v="4295"/>
    <n v="0"/>
    <n v="0"/>
    <m/>
  </r>
  <r>
    <x v="2"/>
    <x v="0"/>
    <x v="11"/>
    <n v="4382"/>
    <n v="2"/>
    <s v="Blue"/>
    <n v="1"/>
    <x v="8"/>
    <n v="3825"/>
    <n v="3825"/>
    <n v="0"/>
    <n v="0"/>
    <m/>
  </r>
  <r>
    <x v="2"/>
    <x v="0"/>
    <x v="11"/>
    <n v="4218"/>
    <n v="2"/>
    <s v="Violet"/>
    <n v="1"/>
    <x v="8"/>
    <n v="3507"/>
    <n v="3507"/>
    <n v="0"/>
    <n v="0"/>
    <m/>
  </r>
  <r>
    <x v="2"/>
    <x v="0"/>
    <x v="11"/>
    <n v="3737"/>
    <n v="1"/>
    <s v="Scroll"/>
    <n v="5"/>
    <x v="2"/>
    <n v="0"/>
    <n v="10000"/>
    <n v="0"/>
    <n v="4000"/>
    <m/>
  </r>
  <r>
    <x v="2"/>
    <x v="0"/>
    <x v="11"/>
    <n v="3979"/>
    <n v="2"/>
    <s v="Violet"/>
    <n v="1"/>
    <x v="7"/>
    <n v="4547"/>
    <n v="4547"/>
    <n v="0"/>
    <n v="0"/>
    <m/>
  </r>
  <r>
    <x v="2"/>
    <x v="0"/>
    <x v="11"/>
    <n v="3965"/>
    <n v="0"/>
    <s v="Blue"/>
    <n v="1"/>
    <x v="7"/>
    <n v="2573"/>
    <n v="2573"/>
    <n v="0"/>
    <n v="0"/>
    <m/>
  </r>
  <r>
    <x v="2"/>
    <x v="0"/>
    <x v="11"/>
    <n v="3790"/>
    <n v="1"/>
    <s v="Scroll"/>
    <n v="4"/>
    <x v="2"/>
    <n v="0"/>
    <n v="8000"/>
    <n v="0"/>
    <n v="3200"/>
    <m/>
  </r>
  <r>
    <x v="2"/>
    <x v="0"/>
    <x v="11"/>
    <n v="4142"/>
    <n v="1"/>
    <s v="Blue"/>
    <n v="1"/>
    <x v="7"/>
    <n v="2411"/>
    <n v="2411"/>
    <n v="0"/>
    <n v="0"/>
    <m/>
  </r>
  <r>
    <x v="2"/>
    <x v="0"/>
    <x v="11"/>
    <n v="3754"/>
    <n v="0"/>
    <s v="Rainb"/>
    <n v="1"/>
    <x v="1"/>
    <n v="0"/>
    <n v="0"/>
    <n v="11500"/>
    <n v="35822"/>
    <m/>
  </r>
  <r>
    <x v="2"/>
    <x v="0"/>
    <x v="11"/>
    <n v="4313"/>
    <n v="1"/>
    <s v="Blue"/>
    <n v="1"/>
    <x v="8"/>
    <n v="11560"/>
    <n v="11560"/>
    <n v="0"/>
    <n v="0"/>
    <m/>
  </r>
  <r>
    <x v="14"/>
    <x v="0"/>
    <x v="11"/>
    <n v="4211"/>
    <n v="0"/>
    <s v="Orange"/>
    <n v="1"/>
    <x v="8"/>
    <n v="10880"/>
    <n v="10880"/>
    <n v="0"/>
    <n v="0"/>
    <m/>
  </r>
  <r>
    <x v="14"/>
    <x v="0"/>
    <x v="11"/>
    <n v="4311"/>
    <n v="0"/>
    <s v="Scroll"/>
    <n v="5"/>
    <x v="2"/>
    <n v="0"/>
    <n v="10000"/>
    <n v="0"/>
    <n v="4000"/>
    <m/>
  </r>
  <r>
    <x v="14"/>
    <x v="0"/>
    <x v="11"/>
    <n v="4245"/>
    <n v="0"/>
    <s v="Scroll"/>
    <n v="4"/>
    <x v="2"/>
    <n v="0"/>
    <n v="8000"/>
    <n v="0"/>
    <n v="3200"/>
    <m/>
  </r>
  <r>
    <x v="14"/>
    <x v="0"/>
    <x v="11"/>
    <n v="4436"/>
    <n v="1"/>
    <s v="Blue"/>
    <n v="1"/>
    <x v="8"/>
    <n v="8925"/>
    <n v="8925"/>
    <n v="0"/>
    <n v="0"/>
    <m/>
  </r>
  <r>
    <x v="14"/>
    <x v="0"/>
    <x v="11"/>
    <n v="4301"/>
    <n v="0"/>
    <s v="Scroll"/>
    <n v="5"/>
    <x v="2"/>
    <n v="0"/>
    <n v="10000"/>
    <n v="0"/>
    <n v="4000"/>
    <m/>
  </r>
  <r>
    <x v="14"/>
    <x v="0"/>
    <x v="11"/>
    <n v="4084"/>
    <n v="0"/>
    <s v="Scroll"/>
    <n v="4"/>
    <x v="2"/>
    <n v="0"/>
    <n v="8000"/>
    <n v="0"/>
    <n v="3200"/>
    <m/>
  </r>
  <r>
    <x v="14"/>
    <x v="0"/>
    <x v="11"/>
    <n v="4184"/>
    <n v="1"/>
    <s v="Violet"/>
    <n v="1"/>
    <x v="8"/>
    <n v="13580"/>
    <n v="13580"/>
    <n v="0"/>
    <n v="0"/>
    <m/>
  </r>
  <r>
    <x v="14"/>
    <x v="0"/>
    <x v="11"/>
    <n v="4874"/>
    <n v="1"/>
    <s v="Rainb"/>
    <n v="1"/>
    <x v="1"/>
    <n v="0"/>
    <n v="0"/>
    <n v="11500"/>
    <n v="35822"/>
    <m/>
  </r>
  <r>
    <x v="14"/>
    <x v="0"/>
    <x v="11"/>
    <n v="4504"/>
    <n v="3"/>
    <s v="SumStone"/>
    <n v="3"/>
    <x v="5"/>
    <n v="0"/>
    <n v="0"/>
    <n v="2587.5"/>
    <n v="2686.6499999999996"/>
    <m/>
  </r>
  <r>
    <x v="14"/>
    <x v="0"/>
    <x v="11"/>
    <n v="4678"/>
    <n v="0"/>
    <s v="Blue"/>
    <n v="1"/>
    <x v="7"/>
    <n v="2940"/>
    <n v="2940"/>
    <n v="0"/>
    <n v="0"/>
    <m/>
  </r>
  <r>
    <x v="14"/>
    <x v="0"/>
    <x v="11"/>
    <n v="4384"/>
    <n v="3"/>
    <s v="Blue"/>
    <n v="1"/>
    <x v="8"/>
    <n v="6120"/>
    <n v="6120"/>
    <n v="0"/>
    <n v="0"/>
    <m/>
  </r>
  <r>
    <x v="14"/>
    <x v="0"/>
    <x v="11"/>
    <n v="4926"/>
    <n v="2"/>
    <s v="Blue"/>
    <n v="1"/>
    <x v="9"/>
    <n v="22190"/>
    <n v="22190"/>
    <n v="0"/>
    <n v="0"/>
    <m/>
  </r>
  <r>
    <x v="14"/>
    <x v="0"/>
    <x v="11"/>
    <n v="4473"/>
    <n v="4"/>
    <s v="Scroll"/>
    <n v="4"/>
    <x v="2"/>
    <n v="0"/>
    <n v="8000"/>
    <n v="0"/>
    <n v="3200"/>
    <m/>
  </r>
  <r>
    <x v="14"/>
    <x v="0"/>
    <x v="11"/>
    <n v="4685"/>
    <n v="0"/>
    <s v="Blue"/>
    <n v="1"/>
    <x v="7"/>
    <n v="3904"/>
    <n v="3904"/>
    <n v="0"/>
    <n v="0"/>
    <m/>
  </r>
  <r>
    <x v="14"/>
    <x v="0"/>
    <x v="11"/>
    <n v="5046"/>
    <n v="1"/>
    <s v="Blue"/>
    <n v="1"/>
    <x v="8"/>
    <n v="10710"/>
    <n v="10710"/>
    <n v="0"/>
    <n v="0"/>
    <m/>
  </r>
  <r>
    <x v="14"/>
    <x v="0"/>
    <x v="10"/>
    <n v="3976"/>
    <n v="1"/>
    <s v="Scroll"/>
    <n v="4"/>
    <x v="2"/>
    <n v="0"/>
    <n v="8000"/>
    <n v="0"/>
    <n v="3200"/>
    <m/>
  </r>
  <r>
    <x v="14"/>
    <x v="0"/>
    <x v="10"/>
    <n v="3952"/>
    <n v="1"/>
    <s v="Scroll"/>
    <n v="4"/>
    <x v="2"/>
    <n v="0"/>
    <n v="8000"/>
    <n v="0"/>
    <n v="3200"/>
    <m/>
  </r>
  <r>
    <x v="14"/>
    <x v="0"/>
    <x v="10"/>
    <n v="4003"/>
    <n v="1"/>
    <s v="Blue"/>
    <n v="1"/>
    <x v="7"/>
    <n v="6615"/>
    <n v="6615"/>
    <n v="0"/>
    <n v="0"/>
    <m/>
  </r>
  <r>
    <x v="14"/>
    <x v="0"/>
    <x v="10"/>
    <n v="4086"/>
    <n v="0"/>
    <s v="Orange"/>
    <n v="1"/>
    <x v="8"/>
    <n v="15300"/>
    <n v="15300"/>
    <n v="0"/>
    <n v="0"/>
    <m/>
  </r>
  <r>
    <x v="14"/>
    <x v="0"/>
    <x v="10"/>
    <n v="4099"/>
    <n v="0"/>
    <s v="Blue"/>
    <n v="1"/>
    <x v="7"/>
    <n v="6982"/>
    <n v="6982"/>
    <n v="0"/>
    <n v="0"/>
    <m/>
  </r>
  <r>
    <x v="14"/>
    <x v="0"/>
    <x v="10"/>
    <n v="3929"/>
    <n v="3"/>
    <s v="Blue"/>
    <n v="1"/>
    <x v="7"/>
    <n v="7028"/>
    <n v="7028"/>
    <n v="0"/>
    <n v="0"/>
    <m/>
  </r>
  <r>
    <x v="14"/>
    <x v="0"/>
    <x v="10"/>
    <n v="4239"/>
    <n v="1"/>
    <s v="Blue"/>
    <n v="1"/>
    <x v="7"/>
    <n v="7855"/>
    <n v="7855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4064"/>
    <n v="1"/>
    <s v="Scroll"/>
    <n v="5"/>
    <x v="2"/>
    <n v="0"/>
    <n v="10000"/>
    <n v="0"/>
    <n v="4000"/>
    <m/>
  </r>
  <r>
    <x v="14"/>
    <x v="0"/>
    <x v="10"/>
    <n v="4083"/>
    <n v="0"/>
    <s v="Blue"/>
    <n v="1"/>
    <x v="7"/>
    <n v="6615"/>
    <n v="6615"/>
    <n v="0"/>
    <n v="0"/>
    <m/>
  </r>
  <r>
    <x v="14"/>
    <x v="0"/>
    <x v="10"/>
    <n v="3906"/>
    <n v="1"/>
    <s v="Blue"/>
    <n v="1"/>
    <x v="8"/>
    <n v="13005"/>
    <n v="13005"/>
    <n v="0"/>
    <n v="0"/>
    <m/>
  </r>
  <r>
    <x v="14"/>
    <x v="0"/>
    <x v="10"/>
    <n v="4056"/>
    <n v="0"/>
    <s v="Blue"/>
    <n v="1"/>
    <x v="7"/>
    <n v="6615"/>
    <n v="6615"/>
    <n v="0"/>
    <n v="0"/>
    <m/>
  </r>
  <r>
    <x v="14"/>
    <x v="0"/>
    <x v="10"/>
    <n v="4209"/>
    <n v="1"/>
    <s v="SumStone"/>
    <n v="3"/>
    <x v="5"/>
    <n v="0"/>
    <n v="0"/>
    <n v="2587.5"/>
    <n v="2686.6499999999996"/>
    <m/>
  </r>
  <r>
    <x v="14"/>
    <x v="0"/>
    <x v="10"/>
    <n v="3820"/>
    <n v="1"/>
    <s v="Blue"/>
    <n v="1"/>
    <x v="7"/>
    <n v="3445"/>
    <n v="3445"/>
    <n v="0"/>
    <n v="0"/>
    <m/>
  </r>
  <r>
    <x v="14"/>
    <x v="0"/>
    <x v="10"/>
    <n v="3866"/>
    <n v="1"/>
    <s v="Blue"/>
    <n v="1"/>
    <x v="8"/>
    <n v="12340"/>
    <n v="12340"/>
    <n v="0"/>
    <n v="0"/>
    <m/>
  </r>
  <r>
    <x v="14"/>
    <x v="0"/>
    <x v="10"/>
    <n v="3662"/>
    <n v="2"/>
    <s v="Scroll"/>
    <n v="4"/>
    <x v="2"/>
    <n v="0"/>
    <n v="8000"/>
    <n v="0"/>
    <n v="3200"/>
    <m/>
  </r>
  <r>
    <x v="14"/>
    <x v="0"/>
    <x v="10"/>
    <n v="4037"/>
    <n v="2"/>
    <s v="Blue"/>
    <n v="1"/>
    <x v="8"/>
    <n v="5440"/>
    <n v="5440"/>
    <n v="0"/>
    <n v="0"/>
    <m/>
  </r>
  <r>
    <x v="14"/>
    <x v="0"/>
    <x v="10"/>
    <n v="4030"/>
    <n v="0"/>
    <s v="Blue"/>
    <n v="1"/>
    <x v="7"/>
    <n v="5788"/>
    <n v="5788"/>
    <n v="0"/>
    <n v="0"/>
    <m/>
  </r>
  <r>
    <x v="14"/>
    <x v="0"/>
    <x v="10"/>
    <n v="4230"/>
    <n v="0"/>
    <s v="Scroll"/>
    <n v="5"/>
    <x v="2"/>
    <n v="0"/>
    <n v="10000"/>
    <n v="0"/>
    <n v="4000"/>
    <m/>
  </r>
  <r>
    <x v="14"/>
    <x v="0"/>
    <x v="10"/>
    <n v="4242"/>
    <n v="1"/>
    <s v="Rainb"/>
    <n v="1"/>
    <x v="1"/>
    <n v="0"/>
    <n v="0"/>
    <n v="11500"/>
    <n v="35822"/>
    <m/>
  </r>
  <r>
    <x v="14"/>
    <x v="0"/>
    <x v="10"/>
    <n v="3742"/>
    <n v="1"/>
    <s v="Blue"/>
    <n v="1"/>
    <x v="9"/>
    <n v="20288"/>
    <n v="20288"/>
    <n v="0"/>
    <n v="0"/>
    <m/>
  </r>
  <r>
    <x v="14"/>
    <x v="0"/>
    <x v="10"/>
    <n v="4004"/>
    <n v="1"/>
    <s v="Blue"/>
    <n v="1"/>
    <x v="7"/>
    <n v="3123"/>
    <n v="3123"/>
    <n v="0"/>
    <n v="0"/>
    <m/>
  </r>
  <r>
    <x v="14"/>
    <x v="0"/>
    <x v="10"/>
    <n v="3972"/>
    <n v="1"/>
    <s v="Violet"/>
    <n v="1"/>
    <x v="7"/>
    <n v="7809"/>
    <n v="7809"/>
    <n v="0"/>
    <n v="0"/>
    <m/>
  </r>
  <r>
    <x v="14"/>
    <x v="0"/>
    <x v="10"/>
    <n v="3789"/>
    <n v="3"/>
    <s v="Blue"/>
    <n v="1"/>
    <x v="8"/>
    <n v="12240"/>
    <n v="12240"/>
    <n v="0"/>
    <n v="0"/>
    <m/>
  </r>
  <r>
    <x v="14"/>
    <x v="0"/>
    <x v="10"/>
    <n v="3881"/>
    <n v="1"/>
    <s v="Violet"/>
    <n v="1"/>
    <x v="8"/>
    <n v="8160"/>
    <n v="8160"/>
    <n v="0"/>
    <n v="0"/>
    <m/>
  </r>
  <r>
    <x v="14"/>
    <x v="0"/>
    <x v="10"/>
    <n v="4062"/>
    <n v="1"/>
    <s v="Violet"/>
    <n v="1"/>
    <x v="7"/>
    <n v="4410"/>
    <n v="4410"/>
    <n v="0"/>
    <n v="0"/>
    <m/>
  </r>
  <r>
    <x v="14"/>
    <x v="0"/>
    <x v="10"/>
    <n v="3897"/>
    <n v="1"/>
    <s v="Blue"/>
    <n v="1"/>
    <x v="8"/>
    <n v="5100"/>
    <n v="5100"/>
    <n v="0"/>
    <n v="0"/>
    <m/>
  </r>
  <r>
    <x v="14"/>
    <x v="0"/>
    <x v="10"/>
    <n v="4552"/>
    <n v="1"/>
    <s v="Blue"/>
    <n v="1"/>
    <x v="7"/>
    <n v="3491"/>
    <n v="3491"/>
    <n v="0"/>
    <n v="0"/>
    <m/>
  </r>
  <r>
    <x v="14"/>
    <x v="0"/>
    <x v="10"/>
    <n v="3972"/>
    <n v="0"/>
    <s v="Scroll"/>
    <n v="5"/>
    <x v="2"/>
    <n v="0"/>
    <n v="10000"/>
    <n v="0"/>
    <n v="4000"/>
    <m/>
  </r>
  <r>
    <x v="14"/>
    <x v="0"/>
    <x v="10"/>
    <n v="3822"/>
    <n v="0"/>
    <s v="Blue"/>
    <n v="1"/>
    <x v="8"/>
    <n v="12240"/>
    <n v="12240"/>
    <n v="0"/>
    <n v="0"/>
    <m/>
  </r>
  <r>
    <x v="14"/>
    <x v="0"/>
    <x v="10"/>
    <n v="4179"/>
    <n v="2"/>
    <s v="Blue"/>
    <n v="1"/>
    <x v="9"/>
    <n v="14265"/>
    <n v="14265"/>
    <n v="0"/>
    <n v="0"/>
    <m/>
  </r>
  <r>
    <x v="14"/>
    <x v="0"/>
    <x v="10"/>
    <n v="4975"/>
    <n v="1"/>
    <s v="Blue"/>
    <n v="1"/>
    <x v="8"/>
    <n v="7650"/>
    <n v="7650"/>
    <n v="0"/>
    <n v="0"/>
    <m/>
  </r>
  <r>
    <x v="14"/>
    <x v="0"/>
    <x v="10"/>
    <n v="4786"/>
    <n v="0"/>
    <s v="Orange"/>
    <n v="1"/>
    <x v="8"/>
    <n v="12920"/>
    <n v="12920"/>
    <n v="0"/>
    <n v="0"/>
    <m/>
  </r>
  <r>
    <x v="14"/>
    <x v="0"/>
    <x v="10"/>
    <n v="3843"/>
    <n v="1"/>
    <s v="Rainb"/>
    <n v="1"/>
    <x v="1"/>
    <n v="0"/>
    <n v="0"/>
    <n v="11500"/>
    <n v="35822"/>
    <m/>
  </r>
  <r>
    <x v="14"/>
    <x v="0"/>
    <x v="10"/>
    <n v="4162"/>
    <n v="1"/>
    <s v="Blue"/>
    <n v="1"/>
    <x v="8"/>
    <n v="5780"/>
    <n v="5780"/>
    <n v="0"/>
    <n v="0"/>
    <m/>
  </r>
  <r>
    <x v="14"/>
    <x v="0"/>
    <x v="10"/>
    <n v="3879"/>
    <n v="1"/>
    <s v="Blue"/>
    <n v="1"/>
    <x v="7"/>
    <n v="7350"/>
    <n v="7350"/>
    <n v="0"/>
    <n v="0"/>
    <m/>
  </r>
  <r>
    <x v="14"/>
    <x v="0"/>
    <x v="10"/>
    <n v="3611"/>
    <n v="0"/>
    <s v="SumStone"/>
    <n v="3"/>
    <x v="5"/>
    <n v="0"/>
    <n v="0"/>
    <n v="2587.5"/>
    <n v="2686.6499999999996"/>
    <m/>
  </r>
  <r>
    <x v="14"/>
    <x v="0"/>
    <x v="10"/>
    <n v="4220"/>
    <n v="1"/>
    <s v="Blue"/>
    <n v="1"/>
    <x v="8"/>
    <n v="11560"/>
    <n v="11560"/>
    <n v="0"/>
    <n v="0"/>
    <m/>
  </r>
  <r>
    <x v="14"/>
    <x v="0"/>
    <x v="10"/>
    <n v="3765"/>
    <n v="0"/>
    <s v="Blue"/>
    <n v="1"/>
    <x v="7"/>
    <n v="3904"/>
    <n v="3904"/>
    <n v="0"/>
    <n v="0"/>
    <m/>
  </r>
  <r>
    <x v="14"/>
    <x v="0"/>
    <x v="10"/>
    <n v="4073"/>
    <n v="3"/>
    <s v="Scroll"/>
    <n v="4"/>
    <x v="2"/>
    <n v="0"/>
    <n v="8000"/>
    <n v="0"/>
    <n v="3200"/>
    <m/>
  </r>
  <r>
    <x v="14"/>
    <x v="0"/>
    <x v="10"/>
    <n v="3957"/>
    <n v="0"/>
    <s v="Violet"/>
    <n v="1"/>
    <x v="8"/>
    <n v="6375"/>
    <n v="6375"/>
    <n v="0"/>
    <n v="0"/>
    <m/>
  </r>
  <r>
    <x v="14"/>
    <x v="0"/>
    <x v="10"/>
    <n v="3704"/>
    <n v="2"/>
    <s v="Blue"/>
    <n v="1"/>
    <x v="8"/>
    <n v="11560"/>
    <n v="11560"/>
    <n v="0"/>
    <n v="0"/>
    <m/>
  </r>
  <r>
    <x v="14"/>
    <x v="0"/>
    <x v="10"/>
    <n v="4168"/>
    <n v="1"/>
    <s v="Rainb"/>
    <n v="1"/>
    <x v="1"/>
    <n v="0"/>
    <n v="0"/>
    <n v="11500"/>
    <n v="35822"/>
    <m/>
  </r>
  <r>
    <x v="14"/>
    <x v="0"/>
    <x v="10"/>
    <n v="4443"/>
    <n v="2"/>
    <s v="Blue"/>
    <n v="1"/>
    <x v="8"/>
    <n v="11560"/>
    <n v="11560"/>
    <n v="0"/>
    <n v="0"/>
    <m/>
  </r>
  <r>
    <x v="14"/>
    <x v="0"/>
    <x v="10"/>
    <n v="4007"/>
    <n v="0"/>
    <s v="Blue"/>
    <n v="1"/>
    <x v="8"/>
    <n v="12240"/>
    <n v="12240"/>
    <n v="0"/>
    <n v="0"/>
    <m/>
  </r>
  <r>
    <x v="14"/>
    <x v="0"/>
    <x v="10"/>
    <n v="4304"/>
    <n v="2"/>
    <s v="Blue"/>
    <n v="1"/>
    <x v="9"/>
    <n v="20288"/>
    <n v="20288"/>
    <n v="0"/>
    <n v="0"/>
    <m/>
  </r>
  <r>
    <x v="14"/>
    <x v="0"/>
    <x v="10"/>
    <n v="3825"/>
    <n v="1"/>
    <s v="Violet"/>
    <n v="1"/>
    <x v="9"/>
    <n v="17118"/>
    <n v="17118"/>
    <n v="0"/>
    <n v="0"/>
    <m/>
  </r>
  <r>
    <x v="14"/>
    <x v="0"/>
    <x v="10"/>
    <n v="3952"/>
    <n v="0"/>
    <s v="Blue"/>
    <n v="1"/>
    <x v="7"/>
    <n v="3445"/>
    <n v="3445"/>
    <n v="0"/>
    <n v="0"/>
    <m/>
  </r>
  <r>
    <x v="14"/>
    <x v="0"/>
    <x v="10"/>
    <n v="3837"/>
    <n v="0"/>
    <s v="Blue"/>
    <n v="1"/>
    <x v="9"/>
    <n v="18861"/>
    <n v="18861"/>
    <n v="0"/>
    <n v="0"/>
    <m/>
  </r>
  <r>
    <x v="14"/>
    <x v="0"/>
    <x v="10"/>
    <n v="3964"/>
    <n v="2"/>
    <s v="Blue"/>
    <n v="1"/>
    <x v="8"/>
    <n v="8075"/>
    <n v="8075"/>
    <n v="0"/>
    <n v="0"/>
    <m/>
  </r>
  <r>
    <x v="14"/>
    <x v="0"/>
    <x v="10"/>
    <n v="3954"/>
    <n v="1"/>
    <s v="Blue"/>
    <n v="1"/>
    <x v="8"/>
    <n v="5440"/>
    <n v="5440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3708"/>
    <n v="2"/>
    <s v="Scroll"/>
    <n v="5"/>
    <x v="2"/>
    <n v="0"/>
    <n v="10000"/>
    <n v="0"/>
    <n v="4000"/>
    <m/>
  </r>
  <r>
    <x v="14"/>
    <x v="0"/>
    <x v="10"/>
    <n v="3596"/>
    <n v="3"/>
    <s v="Blue"/>
    <n v="1"/>
    <x v="9"/>
    <n v="10144"/>
    <n v="10144"/>
    <n v="0"/>
    <n v="0"/>
    <m/>
  </r>
  <r>
    <x v="14"/>
    <x v="0"/>
    <x v="10"/>
    <n v="3997"/>
    <n v="2"/>
    <s v="Rainb"/>
    <n v="1"/>
    <x v="1"/>
    <n v="0"/>
    <n v="0"/>
    <n v="11500"/>
    <n v="35822"/>
    <m/>
  </r>
  <r>
    <x v="14"/>
    <x v="0"/>
    <x v="10"/>
    <n v="4264"/>
    <n v="0"/>
    <s v="Scroll"/>
    <n v="4"/>
    <x v="2"/>
    <n v="0"/>
    <n v="8000"/>
    <n v="0"/>
    <n v="3200"/>
    <m/>
  </r>
  <r>
    <x v="14"/>
    <x v="0"/>
    <x v="10"/>
    <n v="4199"/>
    <n v="3"/>
    <s v="Blue"/>
    <n v="1"/>
    <x v="8"/>
    <n v="5440"/>
    <n v="5440"/>
    <n v="0"/>
    <n v="0"/>
    <m/>
  </r>
  <r>
    <x v="14"/>
    <x v="0"/>
    <x v="10"/>
    <n v="4060"/>
    <n v="2"/>
    <s v="Scroll"/>
    <n v="4"/>
    <x v="2"/>
    <n v="0"/>
    <n v="8000"/>
    <n v="0"/>
    <n v="3200"/>
    <m/>
  </r>
  <r>
    <x v="14"/>
    <x v="0"/>
    <x v="10"/>
    <n v="3943"/>
    <n v="3"/>
    <s v="Scroll"/>
    <n v="4"/>
    <x v="2"/>
    <n v="0"/>
    <n v="8000"/>
    <n v="0"/>
    <n v="3200"/>
    <m/>
  </r>
  <r>
    <x v="14"/>
    <x v="0"/>
    <x v="10"/>
    <n v="4141"/>
    <n v="1"/>
    <s v="Scroll"/>
    <n v="4"/>
    <x v="2"/>
    <n v="0"/>
    <n v="8000"/>
    <n v="0"/>
    <n v="3200"/>
    <m/>
  </r>
  <r>
    <x v="14"/>
    <x v="0"/>
    <x v="10"/>
    <n v="4075"/>
    <n v="0"/>
    <s v="Scroll"/>
    <n v="4"/>
    <x v="2"/>
    <n v="0"/>
    <n v="8000"/>
    <n v="0"/>
    <n v="3200"/>
    <m/>
  </r>
  <r>
    <x v="14"/>
    <x v="0"/>
    <x v="10"/>
    <n v="4269"/>
    <n v="1"/>
    <s v="Blue"/>
    <n v="1"/>
    <x v="7"/>
    <n v="6431"/>
    <n v="6431"/>
    <n v="0"/>
    <n v="0"/>
    <m/>
  </r>
  <r>
    <x v="14"/>
    <x v="0"/>
    <x v="10"/>
    <n v="3888"/>
    <n v="2"/>
    <s v="Scroll"/>
    <n v="5"/>
    <x v="2"/>
    <n v="0"/>
    <n v="10000"/>
    <n v="0"/>
    <n v="4000"/>
    <m/>
  </r>
  <r>
    <x v="14"/>
    <x v="0"/>
    <x v="10"/>
    <n v="3672"/>
    <n v="1"/>
    <s v="Blue"/>
    <n v="1"/>
    <x v="7"/>
    <n v="6120"/>
    <n v="6120"/>
    <n v="0"/>
    <n v="0"/>
    <m/>
  </r>
  <r>
    <x v="14"/>
    <x v="0"/>
    <x v="10"/>
    <n v="3924"/>
    <n v="1"/>
    <s v="Blue"/>
    <n v="1"/>
    <x v="8"/>
    <n v="12920"/>
    <n v="12920"/>
    <n v="0"/>
    <n v="0"/>
    <m/>
  </r>
  <r>
    <x v="14"/>
    <x v="0"/>
    <x v="10"/>
    <n v="4086"/>
    <n v="1"/>
    <s v="Blue"/>
    <n v="1"/>
    <x v="7"/>
    <n v="6120"/>
    <n v="6120"/>
    <n v="0"/>
    <n v="0"/>
    <m/>
  </r>
  <r>
    <x v="14"/>
    <x v="0"/>
    <x v="10"/>
    <n v="3956"/>
    <n v="1"/>
    <s v="Scroll"/>
    <n v="4"/>
    <x v="2"/>
    <n v="0"/>
    <n v="8000"/>
    <n v="0"/>
    <n v="3200"/>
    <m/>
  </r>
  <r>
    <x v="14"/>
    <x v="0"/>
    <x v="10"/>
    <n v="4121"/>
    <n v="2"/>
    <s v="Violet"/>
    <n v="1"/>
    <x v="9"/>
    <n v="27103"/>
    <n v="27103"/>
    <n v="0"/>
    <n v="0"/>
    <m/>
  </r>
  <r>
    <x v="14"/>
    <x v="0"/>
    <x v="10"/>
    <n v="3864"/>
    <n v="1"/>
    <s v="Scroll"/>
    <n v="4"/>
    <x v="2"/>
    <n v="0"/>
    <n v="8000"/>
    <n v="0"/>
    <n v="3200"/>
    <m/>
  </r>
  <r>
    <x v="14"/>
    <x v="0"/>
    <x v="10"/>
    <n v="4144"/>
    <n v="2"/>
    <s v="Blue"/>
    <n v="1"/>
    <x v="7"/>
    <n v="3445"/>
    <n v="3445"/>
    <n v="0"/>
    <n v="0"/>
    <m/>
  </r>
  <r>
    <x v="14"/>
    <x v="0"/>
    <x v="10"/>
    <n v="3884"/>
    <n v="1"/>
    <s v="Blue"/>
    <n v="1"/>
    <x v="7"/>
    <n v="3675"/>
    <n v="3675"/>
    <n v="0"/>
    <n v="0"/>
    <m/>
  </r>
  <r>
    <x v="14"/>
    <x v="0"/>
    <x v="10"/>
    <n v="4186"/>
    <n v="0"/>
    <s v="Violet"/>
    <n v="1"/>
    <x v="8"/>
    <n v="17000"/>
    <n v="17000"/>
    <n v="0"/>
    <n v="0"/>
    <m/>
  </r>
  <r>
    <x v="14"/>
    <x v="0"/>
    <x v="10"/>
    <n v="3886"/>
    <n v="0"/>
    <s v="Scroll"/>
    <n v="5"/>
    <x v="2"/>
    <n v="0"/>
    <n v="10000"/>
    <n v="0"/>
    <n v="4000"/>
    <m/>
  </r>
  <r>
    <x v="14"/>
    <x v="0"/>
    <x v="10"/>
    <n v="4242"/>
    <n v="2"/>
    <s v="Blue"/>
    <n v="1"/>
    <x v="7"/>
    <n v="4364"/>
    <n v="4364"/>
    <n v="0"/>
    <n v="0"/>
    <m/>
  </r>
  <r>
    <x v="14"/>
    <x v="0"/>
    <x v="10"/>
    <n v="4062"/>
    <n v="1"/>
    <s v="Blue"/>
    <n v="1"/>
    <x v="7"/>
    <n v="2940"/>
    <n v="2940"/>
    <n v="0"/>
    <n v="0"/>
    <m/>
  </r>
  <r>
    <x v="14"/>
    <x v="0"/>
    <x v="10"/>
    <n v="4025"/>
    <n v="1"/>
    <s v="Blue"/>
    <n v="1"/>
    <x v="8"/>
    <n v="6800"/>
    <n v="6800"/>
    <n v="0"/>
    <n v="0"/>
    <m/>
  </r>
  <r>
    <x v="14"/>
    <x v="0"/>
    <x v="10"/>
    <n v="4416"/>
    <n v="3"/>
    <s v="Blue"/>
    <n v="1"/>
    <x v="7"/>
    <n v="6615"/>
    <n v="6615"/>
    <n v="0"/>
    <n v="0"/>
    <m/>
  </r>
  <r>
    <x v="14"/>
    <x v="0"/>
    <x v="10"/>
    <n v="3856"/>
    <n v="2"/>
    <s v="Violet"/>
    <n v="1"/>
    <x v="7"/>
    <n v="6615"/>
    <n v="6615"/>
    <n v="0"/>
    <n v="0"/>
    <m/>
  </r>
  <r>
    <x v="14"/>
    <x v="0"/>
    <x v="10"/>
    <n v="4170"/>
    <n v="2"/>
    <s v="Scroll"/>
    <n v="4"/>
    <x v="2"/>
    <n v="0"/>
    <n v="8000"/>
    <n v="0"/>
    <n v="3200"/>
    <m/>
  </r>
  <r>
    <x v="14"/>
    <x v="0"/>
    <x v="10"/>
    <n v="4152"/>
    <n v="1"/>
    <s v="Blue"/>
    <n v="1"/>
    <x v="7"/>
    <n v="6247"/>
    <n v="6247"/>
    <n v="0"/>
    <n v="0"/>
    <m/>
  </r>
  <r>
    <x v="14"/>
    <x v="0"/>
    <x v="10"/>
    <n v="3678"/>
    <n v="0"/>
    <s v="Violet"/>
    <n v="1"/>
    <x v="8"/>
    <n v="10200"/>
    <n v="10200"/>
    <n v="0"/>
    <n v="0"/>
    <m/>
  </r>
  <r>
    <x v="14"/>
    <x v="0"/>
    <x v="10"/>
    <n v="4310"/>
    <n v="2"/>
    <s v="Blue"/>
    <n v="1"/>
    <x v="7"/>
    <n v="5100"/>
    <n v="5100"/>
    <n v="0"/>
    <n v="0"/>
    <m/>
  </r>
  <r>
    <x v="14"/>
    <x v="0"/>
    <x v="10"/>
    <n v="3697"/>
    <n v="0"/>
    <s v="Blue"/>
    <n v="1"/>
    <x v="7"/>
    <n v="2940"/>
    <n v="2940"/>
    <n v="0"/>
    <n v="0"/>
    <m/>
  </r>
  <r>
    <x v="14"/>
    <x v="0"/>
    <x v="10"/>
    <n v="4208"/>
    <n v="1"/>
    <s v="Blue"/>
    <n v="1"/>
    <x v="7"/>
    <n v="5788"/>
    <n v="5788"/>
    <n v="0"/>
    <n v="0"/>
    <m/>
  </r>
  <r>
    <x v="14"/>
    <x v="0"/>
    <x v="10"/>
    <n v="4465"/>
    <n v="2"/>
    <s v="Blue"/>
    <n v="1"/>
    <x v="7"/>
    <n v="4134"/>
    <n v="4134"/>
    <n v="0"/>
    <n v="0"/>
    <m/>
  </r>
  <r>
    <x v="14"/>
    <x v="0"/>
    <x v="10"/>
    <n v="3829"/>
    <n v="2"/>
    <s v="Blue"/>
    <n v="1"/>
    <x v="7"/>
    <n v="6982"/>
    <n v="6982"/>
    <n v="0"/>
    <n v="0"/>
    <m/>
  </r>
  <r>
    <x v="14"/>
    <x v="0"/>
    <x v="10"/>
    <n v="4194"/>
    <n v="0"/>
    <s v="Blue"/>
    <n v="1"/>
    <x v="7"/>
    <n v="3307"/>
    <n v="3307"/>
    <n v="0"/>
    <n v="0"/>
    <m/>
  </r>
  <r>
    <x v="14"/>
    <x v="0"/>
    <x v="10"/>
    <n v="3953"/>
    <n v="0"/>
    <s v="Blue"/>
    <n v="1"/>
    <x v="8"/>
    <n v="6800"/>
    <n v="6800"/>
    <n v="0"/>
    <n v="0"/>
    <m/>
  </r>
  <r>
    <x v="14"/>
    <x v="0"/>
    <x v="10"/>
    <n v="3831"/>
    <n v="0"/>
    <s v="Blue"/>
    <n v="1"/>
    <x v="8"/>
    <n v="5780"/>
    <n v="5780"/>
    <n v="0"/>
    <n v="0"/>
    <m/>
  </r>
  <r>
    <x v="14"/>
    <x v="0"/>
    <x v="10"/>
    <n v="3852"/>
    <n v="0"/>
    <s v="Blue"/>
    <n v="1"/>
    <x v="9"/>
    <n v="17752"/>
    <n v="17752"/>
    <n v="0"/>
    <n v="0"/>
    <m/>
  </r>
  <r>
    <x v="14"/>
    <x v="0"/>
    <x v="10"/>
    <n v="4081"/>
    <n v="2"/>
    <s v="Scroll"/>
    <n v="4"/>
    <x v="2"/>
    <n v="0"/>
    <n v="8000"/>
    <n v="0"/>
    <n v="3200"/>
    <m/>
  </r>
  <r>
    <x v="14"/>
    <x v="0"/>
    <x v="10"/>
    <n v="4016"/>
    <n v="1"/>
    <s v="Blue"/>
    <n v="1"/>
    <x v="7"/>
    <n v="6100"/>
    <n v="6100"/>
    <n v="0"/>
    <n v="0"/>
    <m/>
  </r>
  <r>
    <x v="14"/>
    <x v="0"/>
    <x v="10"/>
    <n v="4213"/>
    <n v="0"/>
    <s v="Blue"/>
    <n v="1"/>
    <x v="8"/>
    <n v="8075"/>
    <n v="8075"/>
    <n v="0"/>
    <n v="0"/>
    <m/>
  </r>
  <r>
    <x v="14"/>
    <x v="0"/>
    <x v="10"/>
    <n v="3708"/>
    <n v="1"/>
    <s v="Violet"/>
    <n v="1"/>
    <x v="7"/>
    <n v="4961"/>
    <n v="4961"/>
    <n v="0"/>
    <n v="0"/>
    <m/>
  </r>
  <r>
    <x v="14"/>
    <x v="0"/>
    <x v="11"/>
    <n v="4889"/>
    <n v="2"/>
    <s v="Blue"/>
    <n v="1"/>
    <x v="8"/>
    <n v="15300"/>
    <n v="15300"/>
    <n v="0"/>
    <n v="0"/>
    <m/>
  </r>
  <r>
    <x v="14"/>
    <x v="0"/>
    <x v="10"/>
    <n v="4352"/>
    <n v="1"/>
    <s v="Blue"/>
    <n v="1"/>
    <x v="9"/>
    <n v="15850"/>
    <n v="15850"/>
    <n v="0"/>
    <n v="0"/>
    <m/>
  </r>
  <r>
    <x v="14"/>
    <x v="0"/>
    <x v="10"/>
    <n v="4128"/>
    <n v="0"/>
    <s v="Blue"/>
    <n v="1"/>
    <x v="8"/>
    <n v="10710"/>
    <n v="10710"/>
    <n v="0"/>
    <n v="0"/>
    <m/>
  </r>
  <r>
    <x v="14"/>
    <x v="0"/>
    <x v="10"/>
    <n v="4086"/>
    <n v="1"/>
    <s v="Blue"/>
    <n v="1"/>
    <x v="7"/>
    <n v="1593"/>
    <n v="1593"/>
    <n v="0"/>
    <n v="0"/>
    <m/>
  </r>
  <r>
    <x v="14"/>
    <x v="0"/>
    <x v="10"/>
    <n v="3994"/>
    <n v="1"/>
    <s v="Scroll"/>
    <n v="5"/>
    <x v="2"/>
    <n v="0"/>
    <n v="10000"/>
    <n v="0"/>
    <n v="4000"/>
    <m/>
  </r>
  <r>
    <x v="14"/>
    <x v="0"/>
    <x v="10"/>
    <n v="3963"/>
    <n v="1"/>
    <s v="Blue"/>
    <n v="1"/>
    <x v="8"/>
    <n v="5440"/>
    <n v="5440"/>
    <n v="0"/>
    <n v="0"/>
    <m/>
  </r>
  <r>
    <x v="14"/>
    <x v="0"/>
    <x v="10"/>
    <n v="4372"/>
    <n v="1"/>
    <s v="Blue"/>
    <n v="1"/>
    <x v="7"/>
    <n v="2756"/>
    <n v="2756"/>
    <n v="0"/>
    <n v="0"/>
    <m/>
  </r>
  <r>
    <x v="14"/>
    <x v="0"/>
    <x v="10"/>
    <n v="4374"/>
    <n v="1"/>
    <s v="Scroll"/>
    <n v="5"/>
    <x v="2"/>
    <n v="0"/>
    <n v="10000"/>
    <n v="0"/>
    <n v="4000"/>
    <m/>
  </r>
  <r>
    <x v="14"/>
    <x v="0"/>
    <x v="10"/>
    <n v="3694"/>
    <n v="1"/>
    <s v="Blue"/>
    <n v="1"/>
    <x v="8"/>
    <n v="10115"/>
    <n v="10115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5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O10:X25" firstHeaderRow="1" firstDataRow="2" firstDataCol="1"/>
  <pivotFields count="13">
    <pivotField axis="axisRow" showAll="0">
      <items count="18">
        <item h="1" x="5"/>
        <item x="14"/>
        <item h="1" x="1"/>
        <item h="1" m="1" x="16"/>
        <item x="2"/>
        <item h="1" x="7"/>
        <item h="1" x="9"/>
        <item h="1" x="6"/>
        <item h="1" x="3"/>
        <item h="1" x="8"/>
        <item h="1" x="11"/>
        <item h="1" x="12"/>
        <item h="1" x="4"/>
        <item h="1" x="10"/>
        <item h="1" x="0"/>
        <item h="1" x="13"/>
        <item h="1" x="15"/>
        <item t="default"/>
      </items>
    </pivotField>
    <pivotField dataField="1" showAll="0"/>
    <pivotField axis="axisRow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showAll="0"/>
    <pivotField showAll="0"/>
    <pivotField axis="axisCol" showAll="0">
      <items count="13">
        <item x="10"/>
        <item m="1" x="11"/>
        <item x="2"/>
        <item x="1"/>
        <item x="5"/>
        <item x="7"/>
        <item x="8"/>
        <item x="9"/>
        <item x="6"/>
        <item x="3"/>
        <item x="4"/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2"/>
  </rowFields>
  <rowItems count="14">
    <i>
      <x v="1"/>
    </i>
    <i r="1">
      <x v="6"/>
    </i>
    <i r="1">
      <x v="7"/>
    </i>
    <i r="1">
      <x v="8"/>
    </i>
    <i r="1">
      <x v="9"/>
    </i>
    <i>
      <x v="4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t="grand">
      <x/>
    </i>
  </rowItems>
  <colFields count="1">
    <field x="7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5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14"/>
        <item h="1" x="1"/>
        <item h="1" m="1" x="16"/>
        <item h="1" x="2"/>
        <item x="7"/>
        <item x="6"/>
        <item x="3"/>
        <item x="8"/>
        <item h="1" x="4"/>
        <item h="1" x="0"/>
        <item h="1" x="15"/>
        <item x="9"/>
        <item h="1" x="10"/>
        <item h="1" x="11"/>
        <item h="1" x="12"/>
        <item h="1" x="13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5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m="1" x="16"/>
        <item x="3"/>
        <item h="1" x="4"/>
        <item h="1" x="0"/>
        <item h="1" x="15"/>
        <item x="6"/>
        <item h="1" x="2"/>
        <item x="7"/>
        <item h="1" x="14"/>
        <item x="8"/>
        <item x="9"/>
        <item h="1" x="10"/>
        <item h="1" x="11"/>
        <item h="1" x="12"/>
        <item h="1" x="13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2">
        <item x="6"/>
        <item x="3"/>
        <item h="1" x="0"/>
        <item h="1" x="1"/>
        <item h="1" x="2"/>
        <item h="1" x="5"/>
        <item h="1" x="7"/>
        <item h="1" x="8"/>
        <item h="1" m="1" x="11"/>
        <item x="4"/>
        <item h="1" x="9"/>
        <item h="1" x="1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5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8" firstHeaderRow="1" firstDataRow="2" firstDataCol="1"/>
  <pivotFields count="13">
    <pivotField axis="axisRow" showAll="0">
      <items count="18">
        <item x="5"/>
        <item x="1"/>
        <item m="1" x="16"/>
        <item x="3"/>
        <item x="4"/>
        <item x="0"/>
        <item h="1" x="15"/>
        <item h="1" x="6"/>
        <item x="2"/>
        <item h="1" x="7"/>
        <item h="1" x="14"/>
        <item h="1" x="8"/>
        <item h="1" x="9"/>
        <item h="1" x="10"/>
        <item h="1" x="11"/>
        <item h="1" x="12"/>
        <item h="1" x="13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4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0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1" cacheId="4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3" cacheId="3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1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Tabela przestawna2" cacheId="3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6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5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4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20" name="Tabela20" displayName="Tabela20" ref="A1:G20" totalsRowShown="0">
  <autoFilter ref="A1:G20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21">
      <calculatedColumnFormula>MAXA(-(4*M1-Tabela6[[#This Row],[Done]]),0)</calculatedColumnFormula>
    </tableColumn>
    <tableColumn id="4" name="XP to gain" dataDxfId="120"/>
    <tableColumn id="6" name="Mana Cost" dataDxfId="119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8"/>
    <tableColumn id="5" name="Kolumna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7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DropAnalityka" displayName="DropAnalityka" ref="A1:M1997" totalsRowShown="0">
  <autoFilter ref="A1:M1997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6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5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4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2" name="LocFeatures" displayName="LocFeatures" ref="A1:W94" totalsRowShown="0">
  <autoFilter ref="A1:W94"/>
  <sortState ref="A2:V94">
    <sortCondition ref="A2:A94"/>
    <sortCondition ref="B2:B94"/>
    <sortCondition ref="C2:C94"/>
  </sortState>
  <tableColumns count="23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3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2">
      <calculatedColumnFormula>4*LocFeatures[[#This Row],[XP Gain per member]]</calculatedColumnFormula>
    </tableColumn>
    <tableColumn id="11" name="XP Train Gain"/>
    <tableColumn id="22" name="XP drop" dataDxfId="111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10">
      <calculatedColumnFormula>LocFeatures[[#This Row],[XP Train Gain]]/(LocFeatures[[#This Row],[E. Cost]]-LocFeatures[[#This Row],[Energy gain]])</calculatedColumnFormula>
    </tableColumn>
    <tableColumn id="14" name="Kolumna1" dataDxfId="109">
      <calculatedColumnFormula>LocFeatures[[#This Row],[XP drop]]/(LocFeatures[[#This Row],[E. Cost]]-LocFeatures[[#This Row],[Energy gain]])</calculatedColumnFormula>
    </tableColumn>
    <tableColumn id="13" name="XP/Energy"/>
    <tableColumn id="15" name="Próbka" dataDxfId="108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7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1" name="Tabela11" displayName="Tabela11" ref="Q3:W6" totalsRowShown="0" headerRowDxfId="104" tableBorderDxfId="103">
  <autoFilter ref="Q3:W6"/>
  <tableColumns count="7">
    <tableColumn id="1" name="Kolumna1">
      <calculatedColumnFormula>G5</calculatedColumnFormula>
    </tableColumn>
    <tableColumn id="2" name="4" dataDxfId="102"/>
    <tableColumn id="3" name="5" dataDxfId="101"/>
    <tableColumn id="4" name="7" dataDxfId="100"/>
    <tableColumn id="5" name="8" dataDxfId="99"/>
    <tableColumn id="6" name="9" dataDxfId="98"/>
    <tableColumn id="7" name="10" dataDxfId="97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2" name="Tabela12" displayName="Tabela12" ref="X1:AB5" totalsRowShown="0" headerRowDxfId="96">
  <autoFilter ref="X1:AB5"/>
  <tableColumns count="5">
    <tableColumn id="1" name="Set Name" dataDxfId="95"/>
    <tableColumn id="2" name="Attack" dataDxfId="94"/>
    <tableColumn id="3" name="Crit.Dmg" dataDxfId="93"/>
    <tableColumn id="4" name="Crit.Cha" dataDxfId="92"/>
    <tableColumn id="5" name="Speed" dataDxfId="91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74" totalsRowShown="0" headerRowDxfId="90" dataDxfId="89" tableBorderDxfId="88">
  <autoFilter ref="A1:U74"/>
  <tableColumns count="21">
    <tableColumn id="1" name="Set" dataDxfId="87"/>
    <tableColumn id="2" name="Runes" dataDxfId="86"/>
    <tableColumn id="3" name="Fatal Nbr" dataDxfId="85"/>
    <tableColumn id="4" name="Rage Nbr" dataDxfId="84"/>
    <tableColumn id="5" name="Blade Nbr" dataDxfId="83"/>
    <tableColumn id="6" name="Atk Mult" dataDxfId="82"/>
    <tableColumn id="7" name="CritD" dataDxfId="81"/>
    <tableColumn id="8" name="Atk % from subs" dataDxfId="80"/>
    <tableColumn id="9" name="Crit D % from subs" dataDxfId="79"/>
    <tableColumn id="10" name="% of Crit C from subs" dataDxfId="78"/>
    <tableColumn id="11" name="Nbr of Atk rune" dataDxfId="77"/>
    <tableColumn id="12" name="Nbr of Crit D rune" dataDxfId="76"/>
    <tableColumn id="13" name="Nbr of Crit C rune" dataDxfId="75"/>
    <tableColumn id="14" name="Atk" dataDxfId="74"/>
    <tableColumn id="15" name="Dmg" dataDxfId="73"/>
    <tableColumn id="16" name="DmgC" dataDxfId="72"/>
    <tableColumn id="17" name="Crit Chance Basic" dataDxfId="71"/>
    <tableColumn id="18" name="Final Crit Chance" dataDxfId="70"/>
    <tableColumn id="19" name="AvgDmg" dataDxfId="69"/>
    <tableColumn id="20" name="AvgDmg Basic" dataDxfId="68"/>
    <tableColumn id="21" name="% change to basic" dataDxfId="67"/>
  </tableColumns>
  <tableStyleInfo name="TableStyleMedium23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3" totalsRowShown="0" headerRowDxfId="66">
  <autoFilter ref="W20:AF43"/>
  <tableColumns count="10">
    <tableColumn id="1" name="Crit C" dataDxfId="65"/>
    <tableColumn id="2" name="Crit D" dataDxfId="64"/>
    <tableColumn id="3" name="Atk " dataDxfId="63"/>
    <tableColumn id="4" name="Set1" dataDxfId="62"/>
    <tableColumn id="5" name="Set2" dataDxfId="61"/>
    <tableColumn id="6" name="Rune1" dataDxfId="60"/>
    <tableColumn id="7" name="NBR R1"/>
    <tableColumn id="8" name="Rune2" dataDxfId="59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21" name="Tabela21" displayName="Tabela21" ref="AJ2:AU1190" totalsRowShown="0" headerRowDxfId="58">
  <autoFilter ref="AJ2:AU1190"/>
  <tableColumns count="12">
    <tableColumn id="1" name="Att stones" dataDxfId="57"/>
    <tableColumn id="2" name="Crid D stone" dataDxfId="56"/>
    <tableColumn id="3" name="Crit C stone" dataDxfId="55"/>
    <tableColumn id="11" name="Kolumna1" dataDxfId="54">
      <calculatedColumnFormula>Tabela21[[#This Row],[Att subs]]+Tabela21[[#This Row],[Crit D subs]]</calculatedColumnFormula>
    </tableColumn>
    <tableColumn id="4" name="Att subs" dataDxfId="53"/>
    <tableColumn id="5" name="Crit D subs" dataDxfId="52"/>
    <tableColumn id="6" name="Crit C subs" dataDxfId="51"/>
    <tableColumn id="7" name="Fatal + Blade" dataDxfId="50">
      <calculatedColumnFormula>$AG$3*(1+$AJ3*$Y$2+$AN3+0.35)*(MAXA(1-$AI$3-$AL3*$AA$3-$AP3-0.12,0)+MINA($AI$3+$AL3*$AA$3+$AP3+0.12,1)*(1+$AH$3+$AO3+$AK3*$Z$4))</calculatedColumnFormula>
    </tableColumn>
    <tableColumn id="8" name="Rage + Blade" dataDxfId="49">
      <calculatedColumnFormula>$AG$3*(1+$AJ3*$Y$2+$AN3)*(MAXA(1-$AI$3-$AL3*$AA$3-$AP3-0.12,0)+MINA($AI$3+$AL3*$AA$3+$AP3+0.12,1)*(1+$AH$3+$AO3+$AK3*$Z$4+0.4))</calculatedColumnFormula>
    </tableColumn>
    <tableColumn id="9" name="3x Blade" dataDxfId="48">
      <calculatedColumnFormula>$AG$3*(1+$AJ3*$Y$2+$AN3)*(MAXA(1-$AI$3-$AL3*$AA$3-$AP3-0.36,0)+MINA($AI$3+$AL3*$AA$3+$AP3+0.36,1)*(1+$AH$3+$AO3+$AK3*$Z$4))</calculatedColumnFormula>
    </tableColumn>
    <tableColumn id="10" name="DobSk Fatal+balde" dataDxfId="47">
      <calculatedColumnFormula>$AG$3*(1+$AJ3*$Y$2+$AN3)*(MAXA(1-$AI$3-$AL3*$AA$3-$AP3-0.36,0)+2*MINA($AI$3+$AL3*$AA$3+$AP3+0.36,1)*(1+$AH$3+$AO3+$AK3*$Z$4))</calculatedColumnFormula>
    </tableColumn>
    <tableColumn id="12" name="DobSk Fatal+balde2" dataDxfId="46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5">
      <calculatedColumnFormula>FLOOR((J$17+J$18*(Tabela1318[[#This Row],[Type]]-1))*1.2,1)</calculatedColumnFormula>
    </tableColumn>
    <tableColumn id="9" name="Att" dataDxfId="44">
      <calculatedColumnFormula>FLOOR((K$17+K$18*(Tabela1318[[#This Row],[Type]]-1))*1.2,1)</calculatedColumnFormula>
    </tableColumn>
    <tableColumn id="10" name="Def" dataDxfId="43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2"/>
    <tableColumn id="5" name="HP"/>
    <tableColumn id="6" name="Acc%"/>
    <tableColumn id="7" name="SPD"/>
    <tableColumn id="8" name="Crit Rate%" dataDxfId="41"/>
    <tableColumn id="9" name="Crit DMG%" dataDxfId="40"/>
    <tableColumn id="10" name="Att%" dataDxfId="39"/>
    <tableColumn id="16" name="Att"/>
    <tableColumn id="11" name="Def%" dataDxfId="38"/>
    <tableColumn id="14" name="Def"/>
    <tableColumn id="12" name="Res%" dataDxfId="37"/>
    <tableColumn id="13" name="Enchant2"/>
    <tableColumn id="19" name="GO to 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6" name="Tabela16" displayName="Tabela16" ref="A6:R38" totalsRowShown="0" headerRowDxfId="29">
  <autoFilter ref="A6:R38"/>
  <tableColumns count="18">
    <tableColumn id="1" name="Scenario"/>
    <tableColumn id="2" name="XP" dataDxfId="28">
      <calculatedColumnFormula>(2*$J7+$K7)/($R7-$Q7)*O7</calculatedColumnFormula>
    </tableColumn>
    <tableColumn id="3" name="Gold" dataDxfId="27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6"/>
    <tableColumn id="11" name="Ene normal" dataDxfId="25"/>
    <tableColumn id="12" name="Location" dataDxfId="24"/>
    <tableColumn id="13" name="LVL" dataDxfId="23"/>
    <tableColumn id="14" name="Stage" dataDxfId="22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8" name="Tabela2" displayName="Tabela2" ref="A1:T327" totalsRowShown="0" headerRowDxfId="21" dataDxfId="20">
  <autoFilter ref="A1:T327"/>
  <sortState ref="A2:T327">
    <sortCondition ref="A2:A327"/>
  </sortState>
  <tableColumns count="20">
    <tableColumn id="1" name="LP" dataDxfId="19" dataCellStyle="Normalny 2"/>
    <tableColumn id="16" name="Awakened2" dataDxfId="18" dataCellStyle="Normalny 2"/>
    <tableColumn id="2" name="Name" dataDxfId="17"/>
    <tableColumn id="3" name="Stars" dataDxfId="16"/>
    <tableColumn id="4" name="Attribute" dataDxfId="15"/>
    <tableColumn id="5" name="G" dataDxfId="14"/>
    <tableColumn id="6" name="D" dataDxfId="13"/>
    <tableColumn id="7" name="N" dataDxfId="12"/>
    <tableColumn id="8" name="AO" dataDxfId="11"/>
    <tableColumn id="9" name="AD" dataDxfId="10"/>
    <tableColumn id="10" name="HM" dataDxfId="9"/>
    <tableColumn id="11" name="GWO" dataDxfId="8"/>
    <tableColumn id="12" name="GWD" dataDxfId="7"/>
    <tableColumn id="13" name="Fusion" dataDxfId="6"/>
    <tableColumn id="15" name="Possesion" dataDxfId="5" dataCellStyle="Normalny 2"/>
    <tableColumn id="20" name="Try to Get" dataDxfId="4" dataCellStyle="Normalny 2"/>
    <tableColumn id="17" name="Suma PVE" dataDxfId="3" dataCellStyle="Normalny 2">
      <calculatedColumnFormula>SUM(Tabela2[[#This Row],[G]]+Tabela2[[#This Row],[D]]+Tabela2[[#This Row],[N]]+Tabela2[[#This Row],[HM]])</calculatedColumnFormula>
    </tableColumn>
    <tableColumn id="18" name="Suma PVP" dataDxfId="2" dataCellStyle="Normalny 2">
      <calculatedColumnFormula>SUM(Tabela2[[#This Row],[AO]]+Tabela2[[#This Row],[AD]]+Tabela2[[#This Row],[GWO]]+Tabela2[[#This Row],[GWD]])</calculatedColumnFormula>
    </tableColumn>
    <tableColumn id="19" name="Suma GW" dataDxfId="1" dataCellStyle="Normalny 2">
      <calculatedColumnFormula>Tabela2[[#This Row],[GWO]]+Tabela2[[#This Row],[GWD]]</calculatedColumnFormula>
    </tableColumn>
    <tableColumn id="14" name="Suma ALL" dataDxfId="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35"/>
  <sheetViews>
    <sheetView tabSelected="1" zoomScale="85" zoomScaleNormal="85" workbookViewId="0">
      <selection activeCell="H16" sqref="H16"/>
    </sheetView>
  </sheetViews>
  <sheetFormatPr defaultRowHeight="14.25"/>
  <cols>
    <col min="3" max="3" width="10.75" bestFit="1" customWidth="1"/>
    <col min="4" max="4" width="14.625" customWidth="1"/>
    <col min="5" max="5" width="18.875" bestFit="1" customWidth="1"/>
    <col min="6" max="6" width="20.5" customWidth="1"/>
    <col min="7" max="7" width="15.625" bestFit="1" customWidth="1"/>
    <col min="8" max="8" width="25.125" bestFit="1" customWidth="1"/>
    <col min="9" max="9" width="12.5" bestFit="1" customWidth="1"/>
    <col min="10" max="10" width="22.125" bestFit="1" customWidth="1"/>
    <col min="11" max="11" width="18.125" bestFit="1" customWidth="1"/>
    <col min="12" max="12" width="20.875" customWidth="1"/>
    <col min="13" max="13" width="24.75" customWidth="1"/>
    <col min="14" max="14" width="16.875" customWidth="1"/>
  </cols>
  <sheetData>
    <row r="1" spans="1:16">
      <c r="B1" t="s">
        <v>896</v>
      </c>
      <c r="C1" t="s">
        <v>897</v>
      </c>
      <c r="D1" t="s">
        <v>898</v>
      </c>
      <c r="E1" t="s">
        <v>899</v>
      </c>
      <c r="F1" t="s">
        <v>900</v>
      </c>
      <c r="G1" t="s">
        <v>901</v>
      </c>
      <c r="H1" t="s">
        <v>902</v>
      </c>
      <c r="I1" t="s">
        <v>903</v>
      </c>
      <c r="J1" t="s">
        <v>904</v>
      </c>
      <c r="K1" t="s">
        <v>905</v>
      </c>
      <c r="L1" t="s">
        <v>906</v>
      </c>
      <c r="M1" t="s">
        <v>907</v>
      </c>
      <c r="N1" t="s">
        <v>908</v>
      </c>
      <c r="O1" t="s">
        <v>909</v>
      </c>
      <c r="P1" t="s">
        <v>910</v>
      </c>
    </row>
    <row r="2" spans="1:16">
      <c r="C2">
        <v>186</v>
      </c>
      <c r="D2" s="15">
        <f>1-1000/(1000+3*$C2)</f>
        <v>0.35815147625160459</v>
      </c>
      <c r="E2" s="15">
        <f>1-1000/(1000+3*$C2/2)</f>
        <v>0.21813917122752147</v>
      </c>
      <c r="F2" s="15">
        <f>(1-E2)/(1-D2)-1</f>
        <v>0.21813917122752158</v>
      </c>
      <c r="G2" s="50">
        <f t="shared" ref="G2:G12" si="0">($A$35*2*63%+$B$35)/(1-$D2)</f>
        <v>43037.413</v>
      </c>
      <c r="H2" s="50">
        <f t="shared" ref="H2:H12" si="1">($A$35*2*63%+$B$35)/(1-$E2)</f>
        <v>35330.4565</v>
      </c>
      <c r="I2" s="50">
        <f t="shared" ref="I2:I12" si="2">($A$35*63%+$B$35)/(1-(1-1000/(1000+3*($C2+63%*$C$35))))</f>
        <v>65230.655784999995</v>
      </c>
      <c r="J2" s="50">
        <f t="shared" ref="J2:J12" si="3">($A$35*63%+$B$35)/(1-(1-1000/(1000+3*($C2+63%*$C$35)/2)))</f>
        <v>43521.202892499998</v>
      </c>
      <c r="K2" s="50">
        <f t="shared" ref="K2:K12" si="4">($A$35*3*63%+$B$35)/(1-$D2)</f>
        <v>52092.119500000001</v>
      </c>
      <c r="L2" s="50">
        <f t="shared" ref="L2:L12" si="5">($A$35*2*63%+$B$35)/(1-(1-1000/(1000+3*($C2+63%*$C$35))))</f>
        <v>82611.391569999992</v>
      </c>
      <c r="M2" s="50">
        <f t="shared" ref="M2:M12" si="6">($A$35*63%+$B$35)/(1-(1-1000/(1000+3*($C2+2*63%*$C$35))))</f>
        <v>96478.605069999991</v>
      </c>
      <c r="N2" s="50">
        <f t="shared" ref="N2:N12" si="7">($A$35*3*63%+$B$35)/(1-$E2)</f>
        <v>42763.68475</v>
      </c>
      <c r="O2" s="50">
        <f t="shared" ref="O2:O12" si="8">($A$35*2*63%+$B$35)/(1-(1-1000/(1000+3*($C2+63%*$C$35)/2)))</f>
        <v>55117.445784999996</v>
      </c>
      <c r="P2" s="50">
        <f t="shared" ref="P2:P12" si="9">($A$35*63%+$B$35)/(1-(1-1000/(1000+3*($C2+2*63%*$C$35)/2)))</f>
        <v>59145.177534999995</v>
      </c>
    </row>
    <row r="3" spans="1:16">
      <c r="C3">
        <v>228</v>
      </c>
      <c r="D3" s="15">
        <f t="shared" ref="D3:D16" si="10">1-1000/(1000+3*$C3)</f>
        <v>0.40617577197149646</v>
      </c>
      <c r="E3" s="15">
        <f t="shared" ref="E3:E16" si="11">1-1000/(1000+3*$C3/2)</f>
        <v>0.2548435171385991</v>
      </c>
      <c r="F3" s="15">
        <f t="shared" ref="F3:F15" si="12">(1-E3)/(1-D3)-1</f>
        <v>0.25484351713859921</v>
      </c>
      <c r="G3" s="50">
        <f t="shared" si="0"/>
        <v>46517.974000000002</v>
      </c>
      <c r="H3" s="50">
        <f t="shared" si="1"/>
        <v>37070.737000000001</v>
      </c>
      <c r="I3" s="50">
        <f t="shared" si="2"/>
        <v>67978.936285000018</v>
      </c>
      <c r="J3" s="50">
        <f t="shared" si="3"/>
        <v>44895.343142500002</v>
      </c>
      <c r="K3" s="50">
        <f t="shared" si="4"/>
        <v>56304.961000000003</v>
      </c>
      <c r="L3" s="50">
        <f t="shared" si="5"/>
        <v>86091.952570000023</v>
      </c>
      <c r="M3" s="50">
        <f t="shared" si="6"/>
        <v>99226.885570000013</v>
      </c>
      <c r="N3" s="50">
        <f t="shared" si="7"/>
        <v>44870.105499999998</v>
      </c>
      <c r="O3" s="50">
        <f t="shared" si="8"/>
        <v>56857.726284999997</v>
      </c>
      <c r="P3" s="50">
        <f t="shared" si="9"/>
        <v>60519.317784999999</v>
      </c>
    </row>
    <row r="4" spans="1:16">
      <c r="C4">
        <v>500</v>
      </c>
      <c r="D4" s="15">
        <f t="shared" si="10"/>
        <v>0.6</v>
      </c>
      <c r="E4" s="15">
        <f t="shared" si="11"/>
        <v>0.4285714285714286</v>
      </c>
      <c r="F4" s="15">
        <f t="shared" si="12"/>
        <v>0.42857142857142838</v>
      </c>
      <c r="G4" s="50">
        <f t="shared" si="0"/>
        <v>69058.75</v>
      </c>
      <c r="H4" s="50">
        <f t="shared" si="1"/>
        <v>48341.125</v>
      </c>
      <c r="I4" s="50">
        <f t="shared" si="2"/>
        <v>85777.324285000024</v>
      </c>
      <c r="J4" s="50">
        <f t="shared" si="3"/>
        <v>53794.537142500012</v>
      </c>
      <c r="K4" s="50">
        <f t="shared" si="4"/>
        <v>83588.125</v>
      </c>
      <c r="L4" s="50">
        <f t="shared" si="5"/>
        <v>108632.72857000002</v>
      </c>
      <c r="M4" s="50">
        <f t="shared" si="6"/>
        <v>117025.27357000002</v>
      </c>
      <c r="N4" s="50">
        <f t="shared" si="7"/>
        <v>58511.6875</v>
      </c>
      <c r="O4" s="50">
        <f t="shared" si="8"/>
        <v>68128.114285000018</v>
      </c>
      <c r="P4" s="50">
        <f t="shared" si="9"/>
        <v>69418.511784999995</v>
      </c>
    </row>
    <row r="5" spans="1:16">
      <c r="C5">
        <v>750</v>
      </c>
      <c r="D5" s="15">
        <f t="shared" si="10"/>
        <v>0.69230769230769229</v>
      </c>
      <c r="E5" s="15">
        <f t="shared" si="11"/>
        <v>0.52941176470588236</v>
      </c>
      <c r="F5" s="15">
        <f t="shared" si="12"/>
        <v>0.52941176470588225</v>
      </c>
      <c r="G5" s="50">
        <f t="shared" si="0"/>
        <v>89776.375</v>
      </c>
      <c r="H5" s="50">
        <f t="shared" si="1"/>
        <v>58699.9375</v>
      </c>
      <c r="I5" s="50">
        <f t="shared" si="2"/>
        <v>102136.136785</v>
      </c>
      <c r="J5" s="50">
        <f t="shared" si="3"/>
        <v>61973.943392499998</v>
      </c>
      <c r="K5" s="50">
        <f t="shared" si="4"/>
        <v>108664.5625</v>
      </c>
      <c r="L5" s="50">
        <f t="shared" si="5"/>
        <v>129350.35356999999</v>
      </c>
      <c r="M5" s="50">
        <f t="shared" si="6"/>
        <v>133384.08606999999</v>
      </c>
      <c r="N5" s="50">
        <f t="shared" si="7"/>
        <v>71049.90625</v>
      </c>
      <c r="O5" s="50">
        <f t="shared" si="8"/>
        <v>78486.926785000003</v>
      </c>
      <c r="P5" s="50">
        <f t="shared" si="9"/>
        <v>77597.918034999981</v>
      </c>
    </row>
    <row r="6" spans="1:16">
      <c r="C6">
        <v>900</v>
      </c>
      <c r="D6" s="15">
        <f t="shared" si="10"/>
        <v>0.72972972972972971</v>
      </c>
      <c r="E6" s="15">
        <f t="shared" si="11"/>
        <v>0.57446808510638303</v>
      </c>
      <c r="F6" s="15">
        <f t="shared" si="12"/>
        <v>0.57446808510638281</v>
      </c>
      <c r="G6" s="50">
        <f t="shared" si="0"/>
        <v>102206.95</v>
      </c>
      <c r="H6" s="50">
        <f t="shared" si="1"/>
        <v>64915.225000000006</v>
      </c>
      <c r="I6" s="50">
        <f t="shared" si="2"/>
        <v>111951.42428499997</v>
      </c>
      <c r="J6" s="50">
        <f t="shared" si="3"/>
        <v>66881.587142500008</v>
      </c>
      <c r="K6" s="50">
        <f t="shared" si="4"/>
        <v>123710.42499999999</v>
      </c>
      <c r="L6" s="50">
        <f t="shared" si="5"/>
        <v>141780.92856999996</v>
      </c>
      <c r="M6" s="50">
        <f t="shared" si="6"/>
        <v>143199.37356999997</v>
      </c>
      <c r="N6" s="50">
        <f t="shared" si="7"/>
        <v>78572.837500000009</v>
      </c>
      <c r="O6" s="50">
        <f t="shared" si="8"/>
        <v>84702.214285000009</v>
      </c>
      <c r="P6" s="50">
        <f t="shared" si="9"/>
        <v>82505.561784999998</v>
      </c>
    </row>
    <row r="7" spans="1:16">
      <c r="C7">
        <v>1000</v>
      </c>
      <c r="D7" s="15">
        <f t="shared" si="10"/>
        <v>0.75</v>
      </c>
      <c r="E7" s="15">
        <f t="shared" si="11"/>
        <v>0.6</v>
      </c>
      <c r="F7" s="15">
        <f t="shared" si="12"/>
        <v>0.60000000000000009</v>
      </c>
      <c r="G7" s="50">
        <f t="shared" si="0"/>
        <v>110494</v>
      </c>
      <c r="H7" s="50">
        <f t="shared" si="1"/>
        <v>69058.75</v>
      </c>
      <c r="I7" s="50">
        <f t="shared" si="2"/>
        <v>118494.949285</v>
      </c>
      <c r="J7" s="50">
        <f t="shared" si="3"/>
        <v>70153.349642500019</v>
      </c>
      <c r="K7" s="50">
        <f t="shared" si="4"/>
        <v>133741</v>
      </c>
      <c r="L7" s="50">
        <f t="shared" si="5"/>
        <v>150067.97857000001</v>
      </c>
      <c r="M7" s="50">
        <f t="shared" si="6"/>
        <v>149742.89857000002</v>
      </c>
      <c r="N7" s="50">
        <f t="shared" si="7"/>
        <v>83588.125</v>
      </c>
      <c r="O7" s="50">
        <f t="shared" si="8"/>
        <v>88845.739285000018</v>
      </c>
      <c r="P7" s="50">
        <f t="shared" si="9"/>
        <v>85777.324285000024</v>
      </c>
    </row>
    <row r="8" spans="1:16">
      <c r="C8">
        <v>1250</v>
      </c>
      <c r="D8" s="15">
        <f t="shared" si="10"/>
        <v>0.78947368421052633</v>
      </c>
      <c r="E8" s="15">
        <f t="shared" si="11"/>
        <v>0.65217391304347827</v>
      </c>
      <c r="F8" s="15">
        <f t="shared" si="12"/>
        <v>0.65217391304347827</v>
      </c>
      <c r="G8" s="50">
        <f t="shared" si="0"/>
        <v>131211.625</v>
      </c>
      <c r="H8" s="50">
        <f t="shared" si="1"/>
        <v>79417.5625</v>
      </c>
      <c r="I8" s="50">
        <f t="shared" si="2"/>
        <v>134853.76178499998</v>
      </c>
      <c r="J8" s="50">
        <f t="shared" si="3"/>
        <v>78332.755892500005</v>
      </c>
      <c r="K8" s="50">
        <f t="shared" si="4"/>
        <v>158817.4375</v>
      </c>
      <c r="L8" s="50">
        <f t="shared" si="5"/>
        <v>170785.60356999995</v>
      </c>
      <c r="M8" s="50">
        <f t="shared" si="6"/>
        <v>166101.71107000005</v>
      </c>
      <c r="N8" s="50">
        <f t="shared" si="7"/>
        <v>96126.34375</v>
      </c>
      <c r="O8" s="50">
        <f t="shared" si="8"/>
        <v>99204.551785000003</v>
      </c>
      <c r="P8" s="50">
        <f t="shared" si="9"/>
        <v>93956.730534999981</v>
      </c>
    </row>
    <row r="9" spans="1:16">
      <c r="C9">
        <v>1500</v>
      </c>
      <c r="D9" s="15">
        <f t="shared" si="10"/>
        <v>0.81818181818181812</v>
      </c>
      <c r="E9" s="15">
        <f t="shared" si="11"/>
        <v>0.69230769230769229</v>
      </c>
      <c r="F9" s="15">
        <f t="shared" si="12"/>
        <v>0.69230769230769185</v>
      </c>
      <c r="G9" s="50">
        <f t="shared" si="0"/>
        <v>151929.24999999994</v>
      </c>
      <c r="H9" s="50">
        <f t="shared" si="1"/>
        <v>89776.375</v>
      </c>
      <c r="I9" s="50">
        <f t="shared" si="2"/>
        <v>151212.57428500004</v>
      </c>
      <c r="J9" s="50">
        <f t="shared" si="3"/>
        <v>86512.16214249999</v>
      </c>
      <c r="K9" s="50">
        <f t="shared" si="4"/>
        <v>183893.87499999994</v>
      </c>
      <c r="L9" s="50">
        <f t="shared" si="5"/>
        <v>191503.22857000004</v>
      </c>
      <c r="M9" s="50">
        <f t="shared" si="6"/>
        <v>182460.52356999993</v>
      </c>
      <c r="N9" s="50">
        <f t="shared" si="7"/>
        <v>108664.5625</v>
      </c>
      <c r="O9" s="50">
        <f t="shared" si="8"/>
        <v>109563.36428499999</v>
      </c>
      <c r="P9" s="50">
        <f t="shared" si="9"/>
        <v>102136.136785</v>
      </c>
    </row>
    <row r="10" spans="1:16">
      <c r="C10">
        <v>1750</v>
      </c>
      <c r="D10" s="15">
        <f t="shared" si="10"/>
        <v>0.84</v>
      </c>
      <c r="E10" s="15">
        <f t="shared" si="11"/>
        <v>0.72413793103448276</v>
      </c>
      <c r="F10" s="15">
        <f t="shared" si="12"/>
        <v>0.72413793103448243</v>
      </c>
      <c r="G10" s="50">
        <f t="shared" si="0"/>
        <v>172646.87499999997</v>
      </c>
      <c r="H10" s="50">
        <f t="shared" si="1"/>
        <v>100135.1875</v>
      </c>
      <c r="I10" s="50">
        <f t="shared" si="2"/>
        <v>167571.38678499998</v>
      </c>
      <c r="J10" s="50">
        <f t="shared" si="3"/>
        <v>94691.56839249999</v>
      </c>
      <c r="K10" s="50">
        <f t="shared" si="4"/>
        <v>208970.31249999997</v>
      </c>
      <c r="L10" s="50">
        <f t="shared" si="5"/>
        <v>212220.85356999998</v>
      </c>
      <c r="M10" s="50">
        <f t="shared" si="6"/>
        <v>198819.3360699999</v>
      </c>
      <c r="N10" s="50">
        <f t="shared" si="7"/>
        <v>121202.78125</v>
      </c>
      <c r="O10" s="50">
        <f t="shared" si="8"/>
        <v>119922.17678499999</v>
      </c>
      <c r="P10" s="50">
        <f t="shared" si="9"/>
        <v>110315.54303499998</v>
      </c>
    </row>
    <row r="11" spans="1:16">
      <c r="C11">
        <v>2000</v>
      </c>
      <c r="D11" s="15">
        <f t="shared" si="10"/>
        <v>0.85714285714285721</v>
      </c>
      <c r="E11" s="15">
        <f t="shared" si="11"/>
        <v>0.75</v>
      </c>
      <c r="F11" s="15">
        <f t="shared" si="12"/>
        <v>0.75000000000000089</v>
      </c>
      <c r="G11" s="50">
        <f t="shared" si="0"/>
        <v>193364.50000000009</v>
      </c>
      <c r="H11" s="50">
        <f t="shared" si="1"/>
        <v>110494</v>
      </c>
      <c r="I11" s="50">
        <f t="shared" si="2"/>
        <v>183930.19928499992</v>
      </c>
      <c r="J11" s="50">
        <f t="shared" si="3"/>
        <v>102870.97464249999</v>
      </c>
      <c r="K11" s="50">
        <f t="shared" si="4"/>
        <v>234046.75000000012</v>
      </c>
      <c r="L11" s="50">
        <f t="shared" si="5"/>
        <v>232938.47856999989</v>
      </c>
      <c r="M11" s="50">
        <f t="shared" si="6"/>
        <v>215178.14856999993</v>
      </c>
      <c r="N11" s="50">
        <f t="shared" si="7"/>
        <v>133741</v>
      </c>
      <c r="O11" s="50">
        <f t="shared" si="8"/>
        <v>130280.98928499999</v>
      </c>
      <c r="P11" s="50">
        <f t="shared" si="9"/>
        <v>118494.949285</v>
      </c>
    </row>
    <row r="12" spans="1:16">
      <c r="C12">
        <f>D35</f>
        <v>1221</v>
      </c>
      <c r="D12" s="15">
        <f t="shared" si="10"/>
        <v>0.78554578597469438</v>
      </c>
      <c r="E12" s="15">
        <f t="shared" si="11"/>
        <v>0.64683030196009184</v>
      </c>
      <c r="F12" s="15">
        <f t="shared" si="12"/>
        <v>0.64683030196009161</v>
      </c>
      <c r="G12" s="50">
        <f t="shared" si="0"/>
        <v>128808.38049999998</v>
      </c>
      <c r="H12" s="50">
        <f t="shared" si="1"/>
        <v>78215.94025</v>
      </c>
      <c r="I12" s="50">
        <f t="shared" si="2"/>
        <v>132956.13953499999</v>
      </c>
      <c r="J12" s="50">
        <f t="shared" si="3"/>
        <v>77383.944767500012</v>
      </c>
      <c r="K12" s="50">
        <f t="shared" si="4"/>
        <v>155908.57074999998</v>
      </c>
      <c r="L12" s="50">
        <f t="shared" si="5"/>
        <v>168382.35906999998</v>
      </c>
      <c r="M12" s="50">
        <f t="shared" si="6"/>
        <v>164204.08882000003</v>
      </c>
      <c r="N12" s="50">
        <f t="shared" si="7"/>
        <v>94671.910375000007</v>
      </c>
      <c r="O12" s="50">
        <f t="shared" si="8"/>
        <v>98002.929535000003</v>
      </c>
      <c r="P12" s="50">
        <f t="shared" si="9"/>
        <v>93007.919410000017</v>
      </c>
    </row>
    <row r="13" spans="1:16">
      <c r="A13" t="s">
        <v>911</v>
      </c>
      <c r="B13">
        <f>7245+7617</f>
        <v>14862</v>
      </c>
      <c r="C13">
        <f>560+409</f>
        <v>969</v>
      </c>
      <c r="D13" s="15">
        <f t="shared" si="10"/>
        <v>0.74404914256462762</v>
      </c>
      <c r="E13" s="15">
        <f t="shared" si="11"/>
        <v>0.59241899327491332</v>
      </c>
      <c r="F13" s="15">
        <f t="shared" si="12"/>
        <v>0.59241899327491376</v>
      </c>
      <c r="G13" s="50">
        <f>$B13/(1-$D13)</f>
        <v>58065.83400000001</v>
      </c>
      <c r="H13" s="50">
        <f>$B13/(1-$E13)</f>
        <v>36463.916999999994</v>
      </c>
    </row>
    <row r="14" spans="1:16">
      <c r="A14" t="s">
        <v>911</v>
      </c>
      <c r="B14">
        <f>7245+7360</f>
        <v>14605</v>
      </c>
      <c r="C14">
        <v>1491</v>
      </c>
      <c r="D14" s="15">
        <f t="shared" si="10"/>
        <v>0.81728485291430664</v>
      </c>
      <c r="E14" s="15">
        <f t="shared" si="11"/>
        <v>0.69102425459601413</v>
      </c>
      <c r="F14" s="15">
        <f t="shared" si="12"/>
        <v>0.69102425459601502</v>
      </c>
      <c r="G14" s="50">
        <f>$B14/(1-$D14)</f>
        <v>79933.165000000023</v>
      </c>
      <c r="H14" s="50">
        <f>$B14/(1-$E14)</f>
        <v>47269.08249999999</v>
      </c>
    </row>
    <row r="15" spans="1:16">
      <c r="A15" t="s">
        <v>911</v>
      </c>
      <c r="B15">
        <v>22000</v>
      </c>
      <c r="C15">
        <v>1221</v>
      </c>
      <c r="D15" s="15">
        <f t="shared" si="10"/>
        <v>0.78554578597469438</v>
      </c>
      <c r="E15" s="15">
        <f t="shared" si="11"/>
        <v>0.64683030196009184</v>
      </c>
      <c r="F15" s="15">
        <f t="shared" ref="F15" si="13">(1-E15)/(1-D15)-1</f>
        <v>0.64683030196009161</v>
      </c>
      <c r="G15" s="50">
        <f>$B15/(1-$D15)</f>
        <v>102585.99999999999</v>
      </c>
      <c r="H15" s="50">
        <f>$B15/(1-$E15)</f>
        <v>62293</v>
      </c>
    </row>
    <row r="16" spans="1:16">
      <c r="A16" t="s">
        <v>911</v>
      </c>
      <c r="B16">
        <v>25000</v>
      </c>
      <c r="C16">
        <v>1000</v>
      </c>
      <c r="D16" s="15">
        <f t="shared" si="10"/>
        <v>0.75</v>
      </c>
      <c r="E16" s="15">
        <f t="shared" si="11"/>
        <v>0.6</v>
      </c>
      <c r="F16" s="15">
        <f t="shared" ref="F16" si="14">(1-E16)/(1-D16)-1</f>
        <v>0.60000000000000009</v>
      </c>
      <c r="G16" s="50">
        <f>$B16/(1-$D16)</f>
        <v>100000</v>
      </c>
      <c r="H16" s="50">
        <f>$B16/(1-$E16)</f>
        <v>62500</v>
      </c>
    </row>
    <row r="17" spans="2:12">
      <c r="C17" s="15"/>
      <c r="D17" s="15"/>
    </row>
    <row r="18" spans="2:12">
      <c r="C18" s="15"/>
      <c r="D18" s="15"/>
    </row>
    <row r="19" spans="2:12">
      <c r="C19" s="15"/>
      <c r="D19" s="15"/>
    </row>
    <row r="20" spans="2:12">
      <c r="C20" s="15"/>
      <c r="D20" s="15"/>
    </row>
    <row r="21" spans="2:12">
      <c r="B21" t="s">
        <v>897</v>
      </c>
      <c r="C21" t="s">
        <v>898</v>
      </c>
      <c r="D21" t="s">
        <v>899</v>
      </c>
      <c r="E21" t="s">
        <v>901</v>
      </c>
      <c r="F21" t="s">
        <v>902</v>
      </c>
      <c r="G21" t="s">
        <v>903</v>
      </c>
      <c r="H21" t="s">
        <v>904</v>
      </c>
      <c r="I21" t="s">
        <v>905</v>
      </c>
      <c r="J21" t="s">
        <v>908</v>
      </c>
      <c r="K21" t="s">
        <v>906</v>
      </c>
      <c r="L21" t="s">
        <v>909</v>
      </c>
    </row>
    <row r="22" spans="2:12">
      <c r="B22">
        <v>50</v>
      </c>
      <c r="C22" s="15">
        <f>1-(1-0.00075)^$B22</f>
        <v>3.6819133881618282E-2</v>
      </c>
      <c r="D22" s="15">
        <f>1-(1-0.00075)^($B22/2)</f>
        <v>1.8582216322537981E-2</v>
      </c>
      <c r="E22" s="50">
        <f t="shared" ref="E22:E32" si="15">($A$35*2*63%+$B$35)/(1-$C22)</f>
        <v>28679.452605119419</v>
      </c>
      <c r="F22" s="50">
        <f t="shared" ref="F22:F32" si="16">($A$35*2*63%+$B$35)/(1-$D22)</f>
        <v>28146.524812799114</v>
      </c>
      <c r="G22" s="50">
        <f>($A$35*63%+$B$35)/(1-(1-(1-0.00075)^($B22+63%*$C$35)))</f>
        <v>32403.040476718274</v>
      </c>
      <c r="H22" s="50">
        <f>($A$35*63%+$B$35)/(1-(1-(1-0.00075)^(($B22+63%*$C$35)/2)))</f>
        <v>26585.09014688609</v>
      </c>
      <c r="I22" s="50">
        <f>($A$35*3*63%+$B$35)/(1-$C22)</f>
        <v>34713.366072920486</v>
      </c>
      <c r="J22" s="50">
        <f>($A$35*3*63%+$B$35)/(1-$D22)</f>
        <v>34068.314795270031</v>
      </c>
      <c r="K22" s="50">
        <f>($A$35*2*63%+$B$35)/(1-(1-(1-0.00075)^($B22+63%*$C$35)))</f>
        <v>41036.84429762065</v>
      </c>
      <c r="L22" s="50">
        <f>($A$35*2*63%+$B$35)/(1-(1-(1-0.00075)^(($B22+63%*$C$35)/2)))</f>
        <v>33668.69864511137</v>
      </c>
    </row>
    <row r="23" spans="2:12">
      <c r="B23">
        <v>250</v>
      </c>
      <c r="C23" s="15">
        <f t="shared" ref="C23:C32" si="17">1-(1-0.00075)^$B23</f>
        <v>0.17102920004013511</v>
      </c>
      <c r="D23" s="15">
        <f t="shared" ref="D23:D32" si="18">1-(1-0.00075)^($B23/2)</f>
        <v>8.9521664200698958E-2</v>
      </c>
      <c r="E23" s="50">
        <f t="shared" si="15"/>
        <v>33322.645383091185</v>
      </c>
      <c r="F23" s="50">
        <f t="shared" si="16"/>
        <v>30339.54671282713</v>
      </c>
      <c r="G23" s="50">
        <f t="shared" ref="G23:G32" si="19">($A$35*63%+$B$35)/(1-(1-(1-0.00075)^($B23+63%*$C$35)))</f>
        <v>37649.080755010422</v>
      </c>
      <c r="H23" s="50">
        <f t="shared" ref="H23:H32" si="20">($A$35*63%+$B$35)/(1-(1-(1-0.00075)^(($B23+63%*$C$35)/2)))</f>
        <v>28656.453673790456</v>
      </c>
      <c r="I23" s="50">
        <f t="shared" ref="I23:I32" si="21">($A$35*3*63%+$B$35)/(1-$C23)</f>
        <v>40333.447211432278</v>
      </c>
      <c r="J23" s="50">
        <f t="shared" ref="J23:J32" si="22">($A$35*3*63%+$B$35)/(1-$D23)</f>
        <v>36722.729894113829</v>
      </c>
      <c r="K23" s="50">
        <f t="shared" ref="K23:K32" si="23">($A$35*2*63%+$B$35)/(1-(1-(1-0.00075)^($B23+63%*$C$35)))</f>
        <v>47680.694223802784</v>
      </c>
      <c r="L23" s="50">
        <f t="shared" ref="L23:L32" si="24">($A$35*2*63%+$B$35)/(1-(1-(1-0.00075)^(($B23+63%*$C$35)/2)))</f>
        <v>36291.977858628983</v>
      </c>
    </row>
    <row r="24" spans="2:12">
      <c r="B24">
        <v>500</v>
      </c>
      <c r="C24" s="15">
        <f t="shared" si="17"/>
        <v>0.31280741281390179</v>
      </c>
      <c r="D24" s="15">
        <f t="shared" si="18"/>
        <v>0.17102920004013511</v>
      </c>
      <c r="E24" s="50">
        <f t="shared" si="15"/>
        <v>40197.610560835834</v>
      </c>
      <c r="F24" s="50">
        <f t="shared" si="16"/>
        <v>33322.645383091185</v>
      </c>
      <c r="G24" s="50">
        <f t="shared" si="19"/>
        <v>45416.654913337501</v>
      </c>
      <c r="H24" s="50">
        <f t="shared" si="20"/>
        <v>31474.064288013218</v>
      </c>
      <c r="I24" s="50">
        <f t="shared" si="21"/>
        <v>48654.846724860581</v>
      </c>
      <c r="J24" s="50">
        <f t="shared" si="22"/>
        <v>40333.447211432278</v>
      </c>
      <c r="K24" s="50">
        <f t="shared" si="23"/>
        <v>57517.94179736053</v>
      </c>
      <c r="L24" s="50">
        <f t="shared" si="24"/>
        <v>39860.342011068948</v>
      </c>
    </row>
    <row r="25" spans="2:12">
      <c r="B25">
        <v>750</v>
      </c>
      <c r="C25" s="15">
        <f t="shared" si="17"/>
        <v>0.43033741127385094</v>
      </c>
      <c r="D25" s="15">
        <f t="shared" si="18"/>
        <v>0.24524004562632695</v>
      </c>
      <c r="E25" s="50">
        <f t="shared" si="15"/>
        <v>48490.984921039468</v>
      </c>
      <c r="F25" s="50">
        <f t="shared" si="16"/>
        <v>36599.053566538219</v>
      </c>
      <c r="G25" s="50">
        <f t="shared" si="19"/>
        <v>54786.796972265467</v>
      </c>
      <c r="H25" s="50">
        <f t="shared" si="20"/>
        <v>34568.713005546088</v>
      </c>
      <c r="I25" s="50">
        <f t="shared" si="21"/>
        <v>58693.076676785517</v>
      </c>
      <c r="J25" s="50">
        <f t="shared" si="22"/>
        <v>44299.183874621136</v>
      </c>
      <c r="K25" s="50">
        <f t="shared" si="23"/>
        <v>69384.762165501394</v>
      </c>
      <c r="L25" s="50">
        <f t="shared" si="24"/>
        <v>43779.561186456951</v>
      </c>
    </row>
    <row r="26" spans="2:12">
      <c r="B26">
        <v>900</v>
      </c>
      <c r="C26" s="15">
        <f t="shared" si="17"/>
        <v>0.49097250776145562</v>
      </c>
      <c r="D26" s="15">
        <f t="shared" si="18"/>
        <v>0.28653837367483848</v>
      </c>
      <c r="E26" s="50">
        <f t="shared" si="15"/>
        <v>54267.206430286213</v>
      </c>
      <c r="F26" s="50">
        <f t="shared" si="16"/>
        <v>38717.569355875261</v>
      </c>
      <c r="G26" s="50">
        <f t="shared" si="19"/>
        <v>61312.972417232137</v>
      </c>
      <c r="H26" s="50">
        <f t="shared" si="20"/>
        <v>36569.70366466706</v>
      </c>
      <c r="I26" s="50">
        <f t="shared" si="21"/>
        <v>65684.566177284811</v>
      </c>
      <c r="J26" s="50">
        <f t="shared" si="22"/>
        <v>46863.41740930832</v>
      </c>
      <c r="K26" s="50">
        <f t="shared" si="23"/>
        <v>77649.839814201609</v>
      </c>
      <c r="L26" s="50">
        <f t="shared" si="24"/>
        <v>46313.71665184731</v>
      </c>
    </row>
    <row r="27" spans="2:12">
      <c r="B27">
        <v>1000</v>
      </c>
      <c r="C27" s="15">
        <f t="shared" si="17"/>
        <v>0.52776634811647671</v>
      </c>
      <c r="D27" s="15">
        <f t="shared" si="18"/>
        <v>0.31280741281390179</v>
      </c>
      <c r="E27" s="50">
        <f t="shared" si="15"/>
        <v>58495.407707228267</v>
      </c>
      <c r="F27" s="50">
        <f t="shared" si="16"/>
        <v>40197.610560835834</v>
      </c>
      <c r="G27" s="50">
        <f t="shared" si="19"/>
        <v>66090.140901124789</v>
      </c>
      <c r="H27" s="50">
        <f t="shared" si="20"/>
        <v>37967.639257663999</v>
      </c>
      <c r="I27" s="50">
        <f t="shared" si="21"/>
        <v>70802.345124372514</v>
      </c>
      <c r="J27" s="50">
        <f t="shared" si="22"/>
        <v>48654.846724860581</v>
      </c>
      <c r="K27" s="50">
        <f t="shared" si="23"/>
        <v>83699.886858331898</v>
      </c>
      <c r="L27" s="50">
        <f t="shared" si="24"/>
        <v>48084.132774036079</v>
      </c>
    </row>
    <row r="28" spans="2:12">
      <c r="B28">
        <v>1250</v>
      </c>
      <c r="C28" s="15">
        <f t="shared" si="17"/>
        <v>0.60853209183014734</v>
      </c>
      <c r="D28" s="15">
        <f t="shared" si="18"/>
        <v>0.37432603684518517</v>
      </c>
      <c r="E28" s="50">
        <f t="shared" si="15"/>
        <v>70563.894060032457</v>
      </c>
      <c r="F28" s="50">
        <f t="shared" si="16"/>
        <v>44149.991252177017</v>
      </c>
      <c r="G28" s="50">
        <f t="shared" si="19"/>
        <v>79725.535452303899</v>
      </c>
      <c r="H28" s="50">
        <f t="shared" si="20"/>
        <v>41700.760759268996</v>
      </c>
      <c r="I28" s="50">
        <f t="shared" si="21"/>
        <v>85409.938598320281</v>
      </c>
      <c r="J28" s="50">
        <f t="shared" si="22"/>
        <v>53438.774775620455</v>
      </c>
      <c r="K28" s="50">
        <f t="shared" si="23"/>
        <v>100968.43804677372</v>
      </c>
      <c r="L28" s="50">
        <f t="shared" si="24"/>
        <v>52811.946076480206</v>
      </c>
    </row>
    <row r="29" spans="2:12">
      <c r="B29">
        <v>1500</v>
      </c>
      <c r="C29" s="15">
        <f t="shared" si="17"/>
        <v>0.67548453500582228</v>
      </c>
      <c r="D29" s="15">
        <f t="shared" si="18"/>
        <v>0.43033741127385094</v>
      </c>
      <c r="E29" s="50">
        <f t="shared" si="15"/>
        <v>85122.291476911909</v>
      </c>
      <c r="F29" s="50">
        <f t="shared" si="16"/>
        <v>48490.984921039468</v>
      </c>
      <c r="G29" s="50">
        <f t="shared" si="19"/>
        <v>96174.117901576334</v>
      </c>
      <c r="H29" s="50">
        <f t="shared" si="20"/>
        <v>45800.936847838675</v>
      </c>
      <c r="I29" s="50">
        <f t="shared" si="21"/>
        <v>103031.29929601314</v>
      </c>
      <c r="J29" s="50">
        <f t="shared" si="22"/>
        <v>58693.076676785517</v>
      </c>
      <c r="K29" s="50">
        <f t="shared" si="23"/>
        <v>121799.75223694539</v>
      </c>
      <c r="L29" s="50">
        <f t="shared" si="24"/>
        <v>58004.615815616431</v>
      </c>
    </row>
    <row r="30" spans="2:12">
      <c r="B30">
        <v>1750</v>
      </c>
      <c r="C30" s="15">
        <f t="shared" si="17"/>
        <v>0.73098615538442901</v>
      </c>
      <c r="D30" s="15">
        <f t="shared" si="18"/>
        <v>0.48133455424949412</v>
      </c>
      <c r="E30" s="50">
        <f t="shared" si="15"/>
        <v>102684.30622771414</v>
      </c>
      <c r="F30" s="50">
        <f t="shared" si="16"/>
        <v>53258.801461178809</v>
      </c>
      <c r="G30" s="50">
        <f t="shared" si="19"/>
        <v>116016.29141368173</v>
      </c>
      <c r="H30" s="50">
        <f t="shared" si="20"/>
        <v>50304.257714853251</v>
      </c>
      <c r="I30" s="50">
        <f t="shared" si="21"/>
        <v>124288.21292740526</v>
      </c>
      <c r="J30" s="50">
        <f t="shared" si="22"/>
        <v>64464.001359526446</v>
      </c>
      <c r="K30" s="50">
        <f t="shared" si="23"/>
        <v>146928.88126197289</v>
      </c>
      <c r="L30" s="50">
        <f t="shared" si="24"/>
        <v>63707.848429688063</v>
      </c>
    </row>
    <row r="31" spans="2:12">
      <c r="B31">
        <v>2000</v>
      </c>
      <c r="C31" s="15">
        <f t="shared" si="17"/>
        <v>0.77699537802875129</v>
      </c>
      <c r="D31" s="15">
        <f t="shared" si="18"/>
        <v>0.52776634811647671</v>
      </c>
      <c r="E31" s="50">
        <f t="shared" si="15"/>
        <v>123869.62994677936</v>
      </c>
      <c r="F31" s="50">
        <f t="shared" si="16"/>
        <v>58495.407707228267</v>
      </c>
      <c r="G31" s="50">
        <f t="shared" si="19"/>
        <v>139952.2050949189</v>
      </c>
      <c r="H31" s="50">
        <f t="shared" si="20"/>
        <v>55250.362075547499</v>
      </c>
      <c r="I31" s="50">
        <f t="shared" si="21"/>
        <v>149930.74898829093</v>
      </c>
      <c r="J31" s="50">
        <f t="shared" si="22"/>
        <v>70802.345124372514</v>
      </c>
      <c r="K31" s="50">
        <f t="shared" si="23"/>
        <v>177242.52925324618</v>
      </c>
      <c r="L31" s="50">
        <f t="shared" si="24"/>
        <v>69971.844386346187</v>
      </c>
    </row>
    <row r="32" spans="2:12">
      <c r="B32">
        <f>D35</f>
        <v>1221</v>
      </c>
      <c r="C32" s="15">
        <f t="shared" si="17"/>
        <v>0.59992113069581676</v>
      </c>
      <c r="D32" s="15">
        <f t="shared" si="18"/>
        <v>0.36748211937987174</v>
      </c>
      <c r="E32" s="50">
        <f t="shared" si="15"/>
        <v>69045.136145387442</v>
      </c>
      <c r="F32" s="50">
        <f t="shared" si="16"/>
        <v>43672.283181809158</v>
      </c>
      <c r="G32" s="50">
        <f t="shared" si="19"/>
        <v>78009.59007286538</v>
      </c>
      <c r="H32" s="50">
        <f t="shared" si="20"/>
        <v>41249.553649364752</v>
      </c>
      <c r="I32" s="50">
        <f t="shared" si="21"/>
        <v>83571.646905897709</v>
      </c>
      <c r="J32" s="50">
        <f t="shared" si="22"/>
        <v>52860.560980852701</v>
      </c>
      <c r="K32" s="50">
        <f t="shared" si="23"/>
        <v>98795.278296230099</v>
      </c>
      <c r="L32" s="50">
        <f t="shared" si="24"/>
        <v>52240.514641568298</v>
      </c>
    </row>
    <row r="33" spans="1:8">
      <c r="C33" s="15"/>
      <c r="D33" s="15"/>
      <c r="E33" s="50"/>
      <c r="F33" s="50"/>
      <c r="G33" s="50"/>
      <c r="H33" s="50"/>
    </row>
    <row r="34" spans="1:8">
      <c r="A34" t="s">
        <v>912</v>
      </c>
      <c r="B34" t="s">
        <v>913</v>
      </c>
      <c r="C34" t="s">
        <v>914</v>
      </c>
      <c r="D34" t="s">
        <v>897</v>
      </c>
      <c r="E34" t="s">
        <v>915</v>
      </c>
      <c r="F34" t="s">
        <v>916</v>
      </c>
    </row>
    <row r="35" spans="1:8">
      <c r="A35">
        <v>9225</v>
      </c>
      <c r="B35">
        <v>16000</v>
      </c>
      <c r="C35">
        <v>758</v>
      </c>
      <c r="D35">
        <f>758+463</f>
        <v>1221</v>
      </c>
      <c r="E35" s="15">
        <v>1.26</v>
      </c>
      <c r="F35" s="15">
        <f>(C35*3*E35*E35-1000*E35)/(6*C35*E35*E35)</f>
        <v>0.32549454844969355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22"/>
  <sheetViews>
    <sheetView workbookViewId="0">
      <selection activeCell="N20" sqref="N20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  <col min="13" max="13" width="12.5" bestFit="1" customWidth="1"/>
    <col min="14" max="14" width="16.25" bestFit="1" customWidth="1"/>
    <col min="15" max="15" width="11.875" bestFit="1" customWidth="1"/>
    <col min="16" max="16" width="11.375" bestFit="1" customWidth="1"/>
    <col min="17" max="17" width="11.875" bestFit="1" customWidth="1"/>
    <col min="18" max="18" width="11.375" bestFit="1" customWidth="1"/>
  </cols>
  <sheetData>
    <row r="1" spans="1:18">
      <c r="A1" t="s">
        <v>154</v>
      </c>
      <c r="B1" t="s">
        <v>202</v>
      </c>
      <c r="C1" t="s">
        <v>785</v>
      </c>
      <c r="D1" t="s">
        <v>775</v>
      </c>
      <c r="E1" t="s">
        <v>789</v>
      </c>
      <c r="F1" t="s">
        <v>792</v>
      </c>
      <c r="G1" t="s">
        <v>790</v>
      </c>
      <c r="J1" t="s">
        <v>794</v>
      </c>
    </row>
    <row r="2" spans="1:18">
      <c r="A2" t="s">
        <v>791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$G$22/30*J2</f>
        <v>6270</v>
      </c>
      <c r="N2" t="s">
        <v>847</v>
      </c>
      <c r="O2">
        <v>20</v>
      </c>
      <c r="P2">
        <v>70</v>
      </c>
      <c r="Q2">
        <v>750</v>
      </c>
    </row>
    <row r="3" spans="1:18">
      <c r="A3" t="s">
        <v>791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20" si="0">F3*E3</f>
        <v>90</v>
      </c>
      <c r="J3">
        <v>80</v>
      </c>
      <c r="K3">
        <f>$G$22/30*J3</f>
        <v>6600</v>
      </c>
      <c r="L3">
        <f>(K3-K2)/J2*30/G22</f>
        <v>5.2631578947368425E-2</v>
      </c>
      <c r="N3" t="s">
        <v>848</v>
      </c>
      <c r="O3" s="15">
        <v>0.05</v>
      </c>
    </row>
    <row r="4" spans="1:18">
      <c r="A4" t="s">
        <v>791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  <c r="N4" t="s">
        <v>147</v>
      </c>
      <c r="O4">
        <v>0</v>
      </c>
      <c r="P4">
        <v>30</v>
      </c>
    </row>
    <row r="5" spans="1:18">
      <c r="A5" t="s">
        <v>791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  <c r="N5" t="s">
        <v>3</v>
      </c>
      <c r="P5" s="15">
        <v>0.05</v>
      </c>
    </row>
    <row r="6" spans="1:18">
      <c r="A6" t="s">
        <v>791</v>
      </c>
      <c r="B6">
        <v>5</v>
      </c>
      <c r="C6">
        <v>18</v>
      </c>
      <c r="D6">
        <v>2</v>
      </c>
      <c r="E6">
        <v>2</v>
      </c>
      <c r="F6">
        <v>30</v>
      </c>
      <c r="G6">
        <f t="shared" si="0"/>
        <v>60</v>
      </c>
      <c r="N6" t="s">
        <v>849</v>
      </c>
      <c r="O6">
        <f>O4/$J$2*30</f>
        <v>0</v>
      </c>
      <c r="P6">
        <f>P4/$J$2*30</f>
        <v>11.842105263157896</v>
      </c>
    </row>
    <row r="7" spans="1:18">
      <c r="A7" t="s">
        <v>791</v>
      </c>
      <c r="B7">
        <v>6</v>
      </c>
      <c r="C7">
        <v>16</v>
      </c>
      <c r="D7">
        <v>2</v>
      </c>
      <c r="E7">
        <v>3</v>
      </c>
      <c r="F7">
        <v>30</v>
      </c>
      <c r="G7">
        <f t="shared" si="0"/>
        <v>90</v>
      </c>
      <c r="N7" t="s">
        <v>850</v>
      </c>
      <c r="O7">
        <v>20</v>
      </c>
      <c r="P7">
        <v>117.75</v>
      </c>
      <c r="Q7">
        <v>199</v>
      </c>
    </row>
    <row r="8" spans="1:18">
      <c r="A8" t="s">
        <v>791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  <c r="N8" t="s">
        <v>851</v>
      </c>
      <c r="O8">
        <v>15</v>
      </c>
      <c r="P8">
        <v>15</v>
      </c>
      <c r="Q8">
        <v>1</v>
      </c>
    </row>
    <row r="9" spans="1:18">
      <c r="A9" t="s">
        <v>791</v>
      </c>
      <c r="B9">
        <v>8</v>
      </c>
      <c r="C9">
        <v>48</v>
      </c>
      <c r="D9">
        <v>2</v>
      </c>
      <c r="E9">
        <v>2</v>
      </c>
      <c r="F9">
        <v>30</v>
      </c>
      <c r="G9">
        <f t="shared" si="0"/>
        <v>60</v>
      </c>
      <c r="N9" t="s">
        <v>852</v>
      </c>
      <c r="O9">
        <f>(O2+O6)*O8/O7</f>
        <v>15</v>
      </c>
      <c r="P9">
        <f>(P2+P6)*P8/P7</f>
        <v>10.425745893395909</v>
      </c>
      <c r="Q9">
        <f>(Q11+Q2)/Q7</f>
        <v>13.229545304116078</v>
      </c>
    </row>
    <row r="10" spans="1:18">
      <c r="A10" t="s">
        <v>791</v>
      </c>
      <c r="B10">
        <v>9</v>
      </c>
      <c r="C10">
        <v>60</v>
      </c>
      <c r="D10">
        <v>3</v>
      </c>
      <c r="E10">
        <v>1.5</v>
      </c>
      <c r="F10">
        <v>30</v>
      </c>
      <c r="G10">
        <f t="shared" si="0"/>
        <v>45</v>
      </c>
      <c r="N10" t="s">
        <v>877</v>
      </c>
      <c r="O10" s="50">
        <f>O12/O7*(1+O3)</f>
        <v>72855.677045454562</v>
      </c>
      <c r="P10" s="50">
        <f>P12/P7*(1+P3)</f>
        <v>48226.969889982633</v>
      </c>
      <c r="Q10" s="50">
        <f>Q12/Q7*(1+Q3)</f>
        <v>17433.75856555505</v>
      </c>
    </row>
    <row r="11" spans="1:18">
      <c r="A11" t="s">
        <v>784</v>
      </c>
      <c r="C11">
        <v>24</v>
      </c>
      <c r="D11">
        <v>10</v>
      </c>
      <c r="E11">
        <v>10</v>
      </c>
      <c r="F11">
        <v>30</v>
      </c>
      <c r="G11">
        <f t="shared" si="0"/>
        <v>300</v>
      </c>
      <c r="N11" t="s">
        <v>875</v>
      </c>
      <c r="Q11">
        <f>3*'EXP lvls'!S15</f>
        <v>1882.6795155190996</v>
      </c>
    </row>
    <row r="12" spans="1:18">
      <c r="A12" t="s">
        <v>786</v>
      </c>
      <c r="C12">
        <f t="shared" ref="C12:C17" si="1">24*30</f>
        <v>720</v>
      </c>
      <c r="D12">
        <v>100</v>
      </c>
      <c r="E12">
        <v>100</v>
      </c>
      <c r="F12">
        <v>1</v>
      </c>
      <c r="G12">
        <f t="shared" si="0"/>
        <v>100</v>
      </c>
      <c r="N12" t="s">
        <v>876</v>
      </c>
      <c r="O12" s="50">
        <f>'Location features'!$N$14*(76*O2/30+O4)*O8</f>
        <v>1387727.1818181819</v>
      </c>
      <c r="P12" s="50">
        <f>'Location features'!$N$14*(76*P2/30+P4)*P8</f>
        <v>5678725.7045454551</v>
      </c>
      <c r="Q12" s="50">
        <f>'Location features'!$N$14*76*Q2/30*Q8</f>
        <v>3469317.9545454551</v>
      </c>
    </row>
    <row r="13" spans="1:18">
      <c r="A13" t="s">
        <v>821</v>
      </c>
      <c r="B13">
        <v>5.15</v>
      </c>
      <c r="C13">
        <f t="shared" si="1"/>
        <v>720</v>
      </c>
      <c r="D13">
        <v>10</v>
      </c>
      <c r="E13">
        <v>10</v>
      </c>
      <c r="F13">
        <v>2</v>
      </c>
      <c r="G13">
        <f t="shared" si="0"/>
        <v>20</v>
      </c>
      <c r="N13" t="s">
        <v>889</v>
      </c>
      <c r="O13">
        <f>O8*(O2+O6)</f>
        <v>300</v>
      </c>
      <c r="P13">
        <f>P8*(P2+P6)</f>
        <v>1227.6315789473683</v>
      </c>
      <c r="Q13">
        <f>Q8*(Q2+Q6)</f>
        <v>750</v>
      </c>
    </row>
    <row r="14" spans="1:18">
      <c r="A14" t="s">
        <v>786</v>
      </c>
      <c r="B14">
        <v>25.35</v>
      </c>
      <c r="C14">
        <f t="shared" si="1"/>
        <v>720</v>
      </c>
      <c r="D14">
        <v>20</v>
      </c>
      <c r="E14">
        <v>20</v>
      </c>
      <c r="F14">
        <v>2</v>
      </c>
      <c r="G14">
        <f>F14*E14</f>
        <v>40</v>
      </c>
    </row>
    <row r="15" spans="1:18">
      <c r="A15" t="s">
        <v>786</v>
      </c>
      <c r="B15">
        <v>45.55</v>
      </c>
      <c r="C15">
        <f t="shared" si="1"/>
        <v>720</v>
      </c>
      <c r="D15">
        <v>30</v>
      </c>
      <c r="E15">
        <v>30</v>
      </c>
      <c r="F15">
        <v>2</v>
      </c>
      <c r="G15">
        <f>F15*E15</f>
        <v>60</v>
      </c>
      <c r="N15" s="206" t="s">
        <v>888</v>
      </c>
      <c r="O15" s="207"/>
      <c r="P15" s="208"/>
      <c r="Q15" t="s">
        <v>886</v>
      </c>
      <c r="R15" t="s">
        <v>887</v>
      </c>
    </row>
    <row r="16" spans="1:18" ht="15">
      <c r="A16" t="s">
        <v>786</v>
      </c>
      <c r="B16">
        <v>65.75</v>
      </c>
      <c r="C16">
        <f t="shared" si="1"/>
        <v>720</v>
      </c>
      <c r="D16">
        <v>40</v>
      </c>
      <c r="E16">
        <v>40</v>
      </c>
      <c r="F16">
        <v>2</v>
      </c>
      <c r="G16">
        <f>F16*E16</f>
        <v>80</v>
      </c>
      <c r="N16" s="197" t="s">
        <v>878</v>
      </c>
      <c r="O16" s="6" t="s">
        <v>880</v>
      </c>
      <c r="P16" s="198" t="s">
        <v>885</v>
      </c>
    </row>
    <row r="17" spans="1:18" ht="15">
      <c r="A17" t="s">
        <v>786</v>
      </c>
      <c r="B17">
        <v>80</v>
      </c>
      <c r="C17">
        <f t="shared" si="1"/>
        <v>720</v>
      </c>
      <c r="D17">
        <v>300</v>
      </c>
      <c r="E17">
        <v>300</v>
      </c>
      <c r="F17">
        <v>1</v>
      </c>
      <c r="G17">
        <f>F17*E17</f>
        <v>300</v>
      </c>
      <c r="N17" s="197" t="s">
        <v>879</v>
      </c>
      <c r="O17" s="6" t="s">
        <v>881</v>
      </c>
      <c r="P17" s="198"/>
    </row>
    <row r="18" spans="1:18" ht="15">
      <c r="A18" t="s">
        <v>890</v>
      </c>
      <c r="B18" t="s">
        <v>891</v>
      </c>
      <c r="C18">
        <f>24*7</f>
        <v>168</v>
      </c>
      <c r="D18">
        <v>100</v>
      </c>
      <c r="E18">
        <v>100</v>
      </c>
      <c r="F18">
        <v>4</v>
      </c>
      <c r="G18">
        <f>F18*E18</f>
        <v>400</v>
      </c>
      <c r="M18" t="s">
        <v>280</v>
      </c>
      <c r="N18" s="197">
        <f>(1660)/2.5/3*('Location features'!D10-'Location features'!J10)*3</f>
        <v>2030.1609195402302</v>
      </c>
      <c r="O18" s="6">
        <f>950*3+150</f>
        <v>3000</v>
      </c>
      <c r="P18" s="199">
        <f>SUM(N18,O18)</f>
        <v>5030.1609195402307</v>
      </c>
      <c r="Q18" s="50">
        <f>P18</f>
        <v>5030.1609195402307</v>
      </c>
      <c r="R18">
        <f>76*R19/30</f>
        <v>1900</v>
      </c>
    </row>
    <row r="19" spans="1:18" ht="15">
      <c r="A19" t="s">
        <v>787</v>
      </c>
      <c r="C19">
        <f>C12</f>
        <v>720</v>
      </c>
      <c r="D19">
        <v>100</v>
      </c>
      <c r="E19">
        <v>100</v>
      </c>
      <c r="F19">
        <v>1</v>
      </c>
      <c r="G19">
        <f t="shared" si="0"/>
        <v>100</v>
      </c>
      <c r="M19" t="s">
        <v>883</v>
      </c>
      <c r="N19" s="197">
        <f>N18/76*30</f>
        <v>801.37931034482767</v>
      </c>
      <c r="O19" s="6">
        <f>O18/76*30</f>
        <v>1184.2105263157894</v>
      </c>
      <c r="P19" s="199">
        <f>SUM(N19,O19)</f>
        <v>1985.589836660617</v>
      </c>
      <c r="Q19" s="50">
        <f>P19</f>
        <v>1985.589836660617</v>
      </c>
      <c r="R19">
        <v>750</v>
      </c>
    </row>
    <row r="20" spans="1:18" ht="15">
      <c r="A20" t="s">
        <v>788</v>
      </c>
      <c r="C20">
        <f>24*7</f>
        <v>168</v>
      </c>
      <c r="D20">
        <v>100</v>
      </c>
      <c r="E20">
        <v>100</v>
      </c>
      <c r="F20">
        <v>4</v>
      </c>
      <c r="G20">
        <f t="shared" si="0"/>
        <v>400</v>
      </c>
      <c r="M20" t="s">
        <v>882</v>
      </c>
      <c r="N20" s="200">
        <f>N18*'Location features'!N10-480000*3</f>
        <v>1856576.8275862075</v>
      </c>
      <c r="O20" s="39">
        <f>O18*'Location features'!N21</f>
        <v>2767478.4172661868</v>
      </c>
      <c r="P20" s="199">
        <f>SUM(N20,O20)</f>
        <v>4624055.2448523939</v>
      </c>
      <c r="Q20" s="1">
        <f>'Location features'!$N$14*Crystals!Q18</f>
        <v>9184856.6275862083</v>
      </c>
      <c r="R20" s="1">
        <f>'Location features'!$N$14*Crystals!R18</f>
        <v>3469317.9545454551</v>
      </c>
    </row>
    <row r="21" spans="1:18" ht="15">
      <c r="M21" t="s">
        <v>884</v>
      </c>
      <c r="N21" s="201">
        <f>N18*'Location features'!P10</f>
        <v>493206.98850574717</v>
      </c>
      <c r="O21" s="202">
        <v>0</v>
      </c>
      <c r="P21" s="203">
        <f>SUM(N21,O21)</f>
        <v>493206.98850574717</v>
      </c>
      <c r="Q21" s="1">
        <f>Q18*'Location features'!$P$14</f>
        <v>2492899.355478928</v>
      </c>
      <c r="R21" s="1">
        <f>R18*'Location features'!$P$14</f>
        <v>941621.71969696973</v>
      </c>
    </row>
    <row r="22" spans="1:18" ht="15">
      <c r="F22" s="36" t="s">
        <v>793</v>
      </c>
      <c r="G22" s="36">
        <f>SUM(Tabela20[Cryst/Month])</f>
        <v>2475</v>
      </c>
      <c r="M22" t="s">
        <v>72</v>
      </c>
      <c r="P22">
        <f>(O7+P7)*P19/(15*(O2+P2+P6))</f>
        <v>179.04513350559864</v>
      </c>
      <c r="R22">
        <v>200</v>
      </c>
    </row>
  </sheetData>
  <mergeCells count="1">
    <mergeCell ref="N15:P15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AA41"/>
  <sheetViews>
    <sheetView workbookViewId="0">
      <selection activeCell="M6" sqref="M6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19" max="19" width="18.625" bestFit="1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71</v>
      </c>
      <c r="T1" t="s">
        <v>72</v>
      </c>
      <c r="U1" t="s">
        <v>73</v>
      </c>
      <c r="V1" t="s">
        <v>14</v>
      </c>
      <c r="W1" t="s">
        <v>75</v>
      </c>
      <c r="X1" t="s">
        <v>141</v>
      </c>
      <c r="Y1" t="s">
        <v>74</v>
      </c>
      <c r="Z1" t="s">
        <v>76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116</v>
      </c>
      <c r="N2" t="s">
        <v>117</v>
      </c>
      <c r="O2" t="s">
        <v>328</v>
      </c>
      <c r="P2" t="s">
        <v>120</v>
      </c>
      <c r="Q2" t="s">
        <v>826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118</v>
      </c>
      <c r="M3">
        <f>5-Tabela6[[#This Row],[Done]]</f>
        <v>4</v>
      </c>
      <c r="N3">
        <v>1</v>
      </c>
      <c r="O3" s="43">
        <v>0</v>
      </c>
      <c r="P3" s="1">
        <v>0</v>
      </c>
      <c r="Q3" s="1">
        <f>Tabela6[[#This Row],[Missing]]*22300</f>
        <v>89200</v>
      </c>
      <c r="R3">
        <v>2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80</v>
      </c>
      <c r="M4">
        <f>MAXA(M3-Tabela6[[#This Row],[Done]],0)</f>
        <v>4</v>
      </c>
      <c r="N4">
        <v>0</v>
      </c>
      <c r="O4" s="43">
        <f>MAXA(Tabela6[[#This Row],[Done]]-M3,0)</f>
        <v>0</v>
      </c>
      <c r="P4" s="1">
        <f>M4*$B$5</f>
        <v>759000</v>
      </c>
      <c r="Q4" s="1">
        <f>Tabela6[[#This Row],[Missing]]*9600</f>
        <v>38400</v>
      </c>
      <c r="R4">
        <v>0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79</v>
      </c>
      <c r="M5">
        <f>MAXA(4*M3-Tabela6[[#This Row],[Done]],0)</f>
        <v>0</v>
      </c>
      <c r="N5">
        <v>16</v>
      </c>
      <c r="O5" s="43">
        <f>MAXA(-(4*M3-Tabela6[[#This Row],[Done]])-M4,0)</f>
        <v>0</v>
      </c>
      <c r="P5" s="1"/>
      <c r="Q5" s="1">
        <f>Tabela6[[#This Row],[Missing]]*9600</f>
        <v>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77</v>
      </c>
      <c r="M6">
        <f>MAXA(M5+M4-O5-Tabela6[[#This Row],[Done]],0)</f>
        <v>4</v>
      </c>
      <c r="N6">
        <v>0</v>
      </c>
      <c r="O6" s="43">
        <f>MAXA(-(M5+M4-O5-Tabela6[[#This Row],[Done]]),0)</f>
        <v>0</v>
      </c>
      <c r="P6" s="1">
        <f>M6*$B$4</f>
        <v>328728</v>
      </c>
      <c r="Q6" s="1">
        <f>Tabela6[[#This Row],[Missing]]*4000</f>
        <v>16000</v>
      </c>
      <c r="R6">
        <v>11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78</v>
      </c>
      <c r="M7">
        <f>MAXA(3*(M5+M4-O5)-Tabela6[[#This Row],[Done]],0)</f>
        <v>12</v>
      </c>
      <c r="N7">
        <v>0</v>
      </c>
      <c r="O7" s="43">
        <f>MAXA(-3*(M4+M5-O5)+Tabela6[[#This Row],[Done]],0)</f>
        <v>0</v>
      </c>
      <c r="P7" s="1"/>
      <c r="Q7" s="1">
        <f>Tabela6[[#This Row],[Missing]]*4000</f>
        <v>48000</v>
      </c>
      <c r="R7">
        <v>6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119</v>
      </c>
      <c r="M8">
        <f>MAXA(M7+M6-O7-Tabela6[[#This Row],[Done]],0)</f>
        <v>16</v>
      </c>
      <c r="N8">
        <v>0</v>
      </c>
      <c r="O8" s="43">
        <f>MAXA(-(M7+M6-O7-Tabela6[[#This Row],[Done]]),0)</f>
        <v>0</v>
      </c>
      <c r="P8" s="1">
        <f>M8*$B$3</f>
        <v>573152</v>
      </c>
      <c r="Q8" s="1">
        <f>Tabela6[[#This Row],[Missing]]*4000</f>
        <v>64000</v>
      </c>
      <c r="R8">
        <v>9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122</v>
      </c>
      <c r="M9" s="6">
        <f>MAXA(2*(M7+M6-O7)-Tabela6[[#This Row],[Done]],0)</f>
        <v>32</v>
      </c>
      <c r="N9">
        <v>0</v>
      </c>
      <c r="O9" s="43">
        <f>MAXA(-(2*M7+M8-Tabela6[[#This Row],[Done]]),0)</f>
        <v>0</v>
      </c>
      <c r="P9" s="39"/>
      <c r="Q9" s="39">
        <f>Tabela6[[#This Row],[Missing]]*11000</f>
        <v>352000</v>
      </c>
      <c r="R9">
        <v>20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161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162</v>
      </c>
      <c r="M11" s="6">
        <f>MAXA(2*M10-Tabela6[[#This Row],[Done]],0)</f>
        <v>0</v>
      </c>
      <c r="N11">
        <v>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121</v>
      </c>
      <c r="P12" s="38">
        <f>SUM(Tabela6[XP to gain])</f>
        <v>1660880</v>
      </c>
      <c r="Q12" s="38">
        <f>SUM(Q3:Q9)</f>
        <v>607600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116</v>
      </c>
      <c r="N14" t="s">
        <v>117</v>
      </c>
      <c r="O14" t="s">
        <v>120</v>
      </c>
      <c r="P14" t="s">
        <v>35</v>
      </c>
      <c r="S14" t="s">
        <v>874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118</v>
      </c>
      <c r="M15">
        <v>1</v>
      </c>
      <c r="N15">
        <v>0</v>
      </c>
      <c r="O15" s="1">
        <v>0</v>
      </c>
      <c r="S15">
        <f>(1190/2.5/3*('Location features'!D9-'Location features'!J9)+Fusion!U97)/76*30</f>
        <v>627.55983850636653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80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79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77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78</v>
      </c>
      <c r="M19">
        <f>3*(M17+M16)-Tabela66[[#This Row],[Done]]</f>
        <v>15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119</v>
      </c>
      <c r="M20">
        <f>MAXA(M19+M18-Tabela66[[#This Row],[Done]],0)</f>
        <v>19</v>
      </c>
      <c r="N20">
        <v>0</v>
      </c>
      <c r="O20" s="1">
        <f>M20*$B$3</f>
        <v>680618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122</v>
      </c>
      <c r="M21" s="6">
        <f>2*(M19+M18)-Tabela66[[#This Row],[Done]]</f>
        <v>38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161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162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121</v>
      </c>
      <c r="O24" s="38">
        <f>SUM(Tabela66[XP to gain])</f>
        <v>1199096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116</v>
      </c>
      <c r="N27" t="s">
        <v>117</v>
      </c>
      <c r="O27" t="s">
        <v>120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329</v>
      </c>
      <c r="M28">
        <v>0</v>
      </c>
      <c r="N28">
        <v>3</v>
      </c>
      <c r="O28" s="1">
        <f>Tabela610[[#This Row],[Missing]]*$B$6</f>
        <v>0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80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79</v>
      </c>
      <c r="M30">
        <v>1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77</v>
      </c>
      <c r="M31">
        <f>MAXA(M30-Tabela610[[#This Row],[Done]],0)</f>
        <v>1</v>
      </c>
      <c r="N31">
        <f>O6</f>
        <v>0</v>
      </c>
      <c r="O31" s="1">
        <f>M31*$B$4</f>
        <v>82182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78</v>
      </c>
      <c r="M32">
        <f>MAXA(3*M30-Tabela610[[#This Row],[Done]],0)</f>
        <v>3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119</v>
      </c>
      <c r="M33">
        <v>4</v>
      </c>
      <c r="N33">
        <f>O8</f>
        <v>0</v>
      </c>
      <c r="O33" s="1">
        <f>M33*$B$3</f>
        <v>143288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122</v>
      </c>
      <c r="M34" s="6">
        <v>8</v>
      </c>
      <c r="N34">
        <f>O9</f>
        <v>0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161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162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121</v>
      </c>
      <c r="O37" s="38">
        <f>SUM(Tabela610[XP to gain])</f>
        <v>225470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11"/>
  <sheetViews>
    <sheetView workbookViewId="0">
      <selection activeCell="L2" sqref="L2"/>
    </sheetView>
  </sheetViews>
  <sheetFormatPr defaultRowHeight="14.25"/>
  <cols>
    <col min="2" max="2" width="4.125" bestFit="1" customWidth="1"/>
    <col min="3" max="3" width="5.5" bestFit="1" customWidth="1"/>
    <col min="4" max="4" width="5.75" bestFit="1" customWidth="1"/>
    <col min="5" max="5" width="17.75" bestFit="1" customWidth="1"/>
    <col min="6" max="6" width="14.375" bestFit="1" customWidth="1"/>
    <col min="7" max="7" width="11.125" bestFit="1" customWidth="1"/>
    <col min="8" max="9" width="10.875" bestFit="1" customWidth="1"/>
    <col min="13" max="13" width="10" bestFit="1" customWidth="1"/>
  </cols>
  <sheetData>
    <row r="1" spans="1:15">
      <c r="A1" t="s">
        <v>867</v>
      </c>
      <c r="B1" t="s">
        <v>862</v>
      </c>
      <c r="C1" t="s">
        <v>340</v>
      </c>
      <c r="D1" t="s">
        <v>857</v>
      </c>
      <c r="E1" t="s">
        <v>864</v>
      </c>
      <c r="F1" t="s">
        <v>865</v>
      </c>
      <c r="G1" t="s">
        <v>871</v>
      </c>
      <c r="H1" t="s">
        <v>872</v>
      </c>
      <c r="I1" t="s">
        <v>866</v>
      </c>
      <c r="K1" t="s">
        <v>870</v>
      </c>
      <c r="L1" t="s">
        <v>873</v>
      </c>
      <c r="M1" t="s">
        <v>868</v>
      </c>
      <c r="N1" t="s">
        <v>863</v>
      </c>
      <c r="O1" t="s">
        <v>869</v>
      </c>
    </row>
    <row r="2" spans="1:15">
      <c r="A2" t="s">
        <v>858</v>
      </c>
      <c r="B2">
        <v>1</v>
      </c>
      <c r="C2" s="15">
        <f>$M$2+N2+0.35</f>
        <v>1.65</v>
      </c>
      <c r="D2">
        <f>$K$2+$L$2</f>
        <v>131</v>
      </c>
      <c r="E2" s="19">
        <f>(265+1.25*$D2)/100*(1+$C2)</f>
        <v>11.361875</v>
      </c>
      <c r="F2" s="17">
        <f>E2</f>
        <v>11.361875</v>
      </c>
      <c r="G2" s="17">
        <f>E2+E6</f>
        <v>19.776874999999997</v>
      </c>
      <c r="H2" s="17">
        <f>F2+F6</f>
        <v>19.776874999999997</v>
      </c>
      <c r="I2" s="19">
        <f>(265+1.25*$D2*1.33)/100*(1+$C2)</f>
        <v>12.793868750000001</v>
      </c>
      <c r="K2">
        <v>100</v>
      </c>
      <c r="L2">
        <v>31</v>
      </c>
      <c r="M2" s="15">
        <v>0.93</v>
      </c>
      <c r="N2" s="15">
        <v>0.37</v>
      </c>
      <c r="O2">
        <v>39</v>
      </c>
    </row>
    <row r="3" spans="1:15">
      <c r="A3" s="2" t="s">
        <v>859</v>
      </c>
      <c r="B3" s="2">
        <v>1</v>
      </c>
      <c r="C3" s="144">
        <f>C2-N2</f>
        <v>1.2799999999999998</v>
      </c>
      <c r="D3" s="2">
        <f>D2+$O$2</f>
        <v>170</v>
      </c>
      <c r="E3" s="195">
        <f t="shared" ref="E3:E5" si="0">(265+1.25*$D3)/100*(1+$C3)</f>
        <v>10.887</v>
      </c>
      <c r="F3" s="196">
        <f t="shared" ref="F3:F9" si="1">E3*D3/$D$2</f>
        <v>14.128167938931297</v>
      </c>
      <c r="G3" s="196">
        <f t="shared" ref="G3:G5" si="2">E3+E7</f>
        <v>17.414999999999999</v>
      </c>
      <c r="H3" s="196">
        <f>F3+F7</f>
        <v>22.599618320610684</v>
      </c>
      <c r="I3" s="195">
        <f>(265+1.25*$D3*1.33)/100*(1+$C3)</f>
        <v>12.485849999999999</v>
      </c>
      <c r="K3">
        <v>100</v>
      </c>
      <c r="L3">
        <v>31</v>
      </c>
      <c r="M3" s="15">
        <v>0.93</v>
      </c>
      <c r="N3" s="15">
        <v>0.63</v>
      </c>
      <c r="O3">
        <v>39</v>
      </c>
    </row>
    <row r="4" spans="1:15">
      <c r="A4" t="s">
        <v>860</v>
      </c>
      <c r="B4">
        <v>1</v>
      </c>
      <c r="C4" s="15">
        <f>$M$2+N2</f>
        <v>1.3</v>
      </c>
      <c r="D4">
        <f>D2+20</f>
        <v>151</v>
      </c>
      <c r="E4" s="19">
        <f t="shared" si="0"/>
        <v>10.436249999999998</v>
      </c>
      <c r="F4" s="17">
        <f t="shared" si="1"/>
        <v>12.029570610687021</v>
      </c>
      <c r="G4" s="17">
        <f t="shared" si="2"/>
        <v>17.066249999999997</v>
      </c>
      <c r="H4" s="17">
        <f>F4+F8</f>
        <v>19.671784351145035</v>
      </c>
      <c r="I4" s="19">
        <f>(265+1.25*$D4*1.33)/100*(1+$C4)</f>
        <v>11.868862499999999</v>
      </c>
    </row>
    <row r="5" spans="1:15">
      <c r="A5" t="s">
        <v>861</v>
      </c>
      <c r="B5">
        <v>1</v>
      </c>
      <c r="C5" s="15">
        <f>$M$2</f>
        <v>0.93</v>
      </c>
      <c r="D5">
        <f>D4+$O$2</f>
        <v>190</v>
      </c>
      <c r="E5" s="19">
        <f t="shared" si="0"/>
        <v>9.6982500000000016</v>
      </c>
      <c r="F5" s="17">
        <f t="shared" si="1"/>
        <v>14.066164122137407</v>
      </c>
      <c r="G5" s="17">
        <f t="shared" si="2"/>
        <v>14.441250000000002</v>
      </c>
      <c r="H5" s="17">
        <f>F5+F9</f>
        <v>20.945324427480919</v>
      </c>
      <c r="I5" s="19">
        <f>(265+1.25*$D5*1.33)/100*(1+$C5)</f>
        <v>11.2108875</v>
      </c>
    </row>
    <row r="6" spans="1:15">
      <c r="A6" t="s">
        <v>858</v>
      </c>
      <c r="B6">
        <v>2</v>
      </c>
      <c r="C6" s="15">
        <f t="shared" ref="C6:D9" si="3">C2</f>
        <v>1.65</v>
      </c>
      <c r="D6">
        <f t="shared" si="3"/>
        <v>131</v>
      </c>
      <c r="E6" s="19">
        <f>1.7*3*C6</f>
        <v>8.4149999999999991</v>
      </c>
      <c r="F6" s="17">
        <f t="shared" si="1"/>
        <v>8.4149999999999991</v>
      </c>
      <c r="G6" s="17"/>
    </row>
    <row r="7" spans="1:15">
      <c r="A7" t="s">
        <v>859</v>
      </c>
      <c r="B7">
        <v>2</v>
      </c>
      <c r="C7" s="15">
        <f t="shared" si="3"/>
        <v>1.2799999999999998</v>
      </c>
      <c r="D7">
        <f t="shared" si="3"/>
        <v>170</v>
      </c>
      <c r="E7" s="19">
        <f>1.7*3*C7</f>
        <v>6.5279999999999987</v>
      </c>
      <c r="F7" s="17">
        <f t="shared" si="1"/>
        <v>8.4714503816793876</v>
      </c>
      <c r="G7" s="17"/>
    </row>
    <row r="8" spans="1:15">
      <c r="A8" t="s">
        <v>860</v>
      </c>
      <c r="B8">
        <v>2</v>
      </c>
      <c r="C8" s="15">
        <f t="shared" si="3"/>
        <v>1.3</v>
      </c>
      <c r="D8">
        <f t="shared" si="3"/>
        <v>151</v>
      </c>
      <c r="E8" s="19">
        <f>1.7*3*C8</f>
        <v>6.63</v>
      </c>
      <c r="F8" s="17">
        <f t="shared" si="1"/>
        <v>7.6422137404580148</v>
      </c>
      <c r="G8" s="17"/>
    </row>
    <row r="9" spans="1:15">
      <c r="A9" t="s">
        <v>861</v>
      </c>
      <c r="B9">
        <v>2</v>
      </c>
      <c r="C9" s="15">
        <f t="shared" si="3"/>
        <v>0.93</v>
      </c>
      <c r="D9">
        <f t="shared" si="3"/>
        <v>190</v>
      </c>
      <c r="E9" s="19">
        <f>1.7*3*C9</f>
        <v>4.7430000000000003</v>
      </c>
      <c r="F9" s="17">
        <f t="shared" si="1"/>
        <v>6.879160305343512</v>
      </c>
      <c r="G9" s="17"/>
    </row>
    <row r="11" spans="1:15">
      <c r="F11" s="1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997"/>
  <sheetViews>
    <sheetView zoomScale="85" zoomScaleNormal="85" workbookViewId="0">
      <pane ySplit="1" topLeftCell="A1433" activePane="bottomLeft" state="frozen"/>
      <selection pane="bottomLeft" activeCell="H1461" sqref="H1461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5" max="15" width="17.125" customWidth="1"/>
    <col min="16" max="16" width="16.75" customWidth="1"/>
    <col min="17" max="19" width="3.125" customWidth="1"/>
    <col min="20" max="21" width="4.125" customWidth="1"/>
    <col min="22" max="22" width="3.125" customWidth="1"/>
    <col min="23" max="23" width="7.125" customWidth="1"/>
    <col min="24" max="24" width="14.125" customWidth="1"/>
    <col min="25" max="25" width="2.75" customWidth="1"/>
    <col min="26" max="26" width="13" customWidth="1"/>
    <col min="27" max="27" width="6.5" customWidth="1"/>
    <col min="28" max="28" width="10.125" customWidth="1"/>
    <col min="29" max="29" width="7.75" customWidth="1"/>
    <col min="30" max="30" width="2.75" customWidth="1"/>
    <col min="31" max="31" width="11.5" customWidth="1"/>
    <col min="32" max="32" width="7.75" customWidth="1"/>
    <col min="33" max="33" width="2.75" customWidth="1"/>
    <col min="34" max="34" width="11.5" customWidth="1"/>
    <col min="35" max="35" width="11.75" customWidth="1"/>
    <col min="36" max="36" width="15.625" customWidth="1"/>
    <col min="37" max="37" width="14.5" customWidth="1"/>
    <col min="38" max="38" width="18.25" customWidth="1"/>
    <col min="39" max="39" width="7.625" customWidth="1"/>
    <col min="40" max="41" width="3.125" customWidth="1"/>
    <col min="42" max="42" width="2.75" customWidth="1"/>
    <col min="43" max="43" width="11.25" customWidth="1"/>
    <col min="44" max="44" width="8.875" customWidth="1"/>
    <col min="45" max="45" width="12.625" customWidth="1"/>
    <col min="46" max="46" width="3.75" customWidth="1"/>
    <col min="47" max="47" width="7.375" customWidth="1"/>
    <col min="48" max="48" width="14.125" bestFit="1" customWidth="1"/>
  </cols>
  <sheetData>
    <row r="1" spans="1:24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56</v>
      </c>
      <c r="H1" t="s">
        <v>202</v>
      </c>
      <c r="I1" t="s">
        <v>175</v>
      </c>
      <c r="J1" t="s">
        <v>174</v>
      </c>
      <c r="K1" t="s">
        <v>181</v>
      </c>
      <c r="L1" t="s">
        <v>179</v>
      </c>
      <c r="M1" t="s">
        <v>261</v>
      </c>
      <c r="O1" t="s">
        <v>11</v>
      </c>
      <c r="P1" t="s">
        <v>202</v>
      </c>
      <c r="Q1" t="s">
        <v>174</v>
      </c>
      <c r="R1" t="s">
        <v>181</v>
      </c>
      <c r="S1" t="s">
        <v>179</v>
      </c>
      <c r="T1" t="s">
        <v>289</v>
      </c>
    </row>
    <row r="2" spans="1:24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57</v>
      </c>
      <c r="P2" t="s">
        <v>12</v>
      </c>
      <c r="Q2" s="1"/>
      <c r="R2">
        <v>11500</v>
      </c>
      <c r="S2">
        <v>15120</v>
      </c>
      <c r="T2">
        <v>0</v>
      </c>
    </row>
    <row r="3" spans="1:24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57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4">
      <c r="A4" t="s">
        <v>8</v>
      </c>
      <c r="B4" t="s">
        <v>9</v>
      </c>
      <c r="C4">
        <v>3</v>
      </c>
      <c r="D4">
        <v>1668</v>
      </c>
      <c r="E4">
        <v>1</v>
      </c>
      <c r="F4" t="s">
        <v>57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58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4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58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4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50">
        <f>(11500-300*5)/5</f>
        <v>2000</v>
      </c>
      <c r="S6">
        <v>800</v>
      </c>
      <c r="T6">
        <v>800</v>
      </c>
    </row>
    <row r="7" spans="1:24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288</v>
      </c>
      <c r="P7" t="s">
        <v>17</v>
      </c>
      <c r="Q7" s="50">
        <v>120000</v>
      </c>
      <c r="R7">
        <v>0</v>
      </c>
      <c r="S7">
        <v>0</v>
      </c>
      <c r="T7">
        <v>0</v>
      </c>
    </row>
    <row r="8" spans="1:24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205</v>
      </c>
      <c r="P8" t="s">
        <v>26</v>
      </c>
      <c r="Q8" s="1"/>
      <c r="R8">
        <f>R3/40</f>
        <v>862.5</v>
      </c>
      <c r="T8">
        <f>T3/40</f>
        <v>895.55</v>
      </c>
    </row>
    <row r="9" spans="1:24">
      <c r="A9" t="s">
        <v>8</v>
      </c>
      <c r="B9" t="s">
        <v>9</v>
      </c>
      <c r="C9">
        <v>3</v>
      </c>
      <c r="D9">
        <v>1401</v>
      </c>
      <c r="E9">
        <v>0</v>
      </c>
      <c r="F9" t="s">
        <v>57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4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  <c r="O10" s="11" t="s">
        <v>260</v>
      </c>
      <c r="P10" s="11" t="s">
        <v>142</v>
      </c>
    </row>
    <row r="11" spans="1:24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  <c r="O11" s="11" t="s">
        <v>64</v>
      </c>
      <c r="P11">
        <v>0</v>
      </c>
      <c r="Q11" t="s">
        <v>17</v>
      </c>
      <c r="R11" t="s">
        <v>12</v>
      </c>
      <c r="S11" t="s">
        <v>26</v>
      </c>
      <c r="T11" t="s">
        <v>27</v>
      </c>
      <c r="U11" t="s">
        <v>28</v>
      </c>
      <c r="V11" t="s">
        <v>29</v>
      </c>
      <c r="W11" t="s">
        <v>65</v>
      </c>
      <c r="X11" t="s">
        <v>66</v>
      </c>
    </row>
    <row r="12" spans="1:24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57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  <c r="O12" s="12" t="s">
        <v>178</v>
      </c>
      <c r="P12" s="43"/>
      <c r="Q12" s="43">
        <v>35</v>
      </c>
      <c r="R12" s="43">
        <v>6</v>
      </c>
      <c r="S12" s="43">
        <v>3</v>
      </c>
      <c r="T12" s="43">
        <v>46</v>
      </c>
      <c r="U12" s="43">
        <v>43</v>
      </c>
      <c r="V12" s="43">
        <v>10</v>
      </c>
      <c r="W12" s="43">
        <v>4</v>
      </c>
      <c r="X12" s="43">
        <v>147</v>
      </c>
    </row>
    <row r="13" spans="1:24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  <c r="O13" s="13">
        <v>7</v>
      </c>
      <c r="P13" s="43"/>
      <c r="Q13" s="43"/>
      <c r="R13" s="43"/>
      <c r="S13" s="43"/>
      <c r="T13" s="43">
        <v>3</v>
      </c>
      <c r="U13" s="43"/>
      <c r="V13" s="43"/>
      <c r="W13" s="43"/>
      <c r="X13" s="43">
        <v>3</v>
      </c>
    </row>
    <row r="14" spans="1:24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  <c r="O14" s="13">
        <v>8</v>
      </c>
      <c r="P14" s="43"/>
      <c r="Q14" s="43">
        <v>6</v>
      </c>
      <c r="R14" s="43">
        <v>1</v>
      </c>
      <c r="S14" s="43"/>
      <c r="T14" s="43">
        <v>6</v>
      </c>
      <c r="U14" s="43">
        <v>5</v>
      </c>
      <c r="V14" s="43"/>
      <c r="W14" s="43"/>
      <c r="X14" s="43">
        <v>18</v>
      </c>
    </row>
    <row r="15" spans="1:24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  <c r="O15" s="13">
        <v>9</v>
      </c>
      <c r="P15" s="43"/>
      <c r="Q15" s="43">
        <v>24</v>
      </c>
      <c r="R15" s="43">
        <v>4</v>
      </c>
      <c r="S15" s="43">
        <v>2</v>
      </c>
      <c r="T15" s="43">
        <v>35</v>
      </c>
      <c r="U15" s="43">
        <v>32</v>
      </c>
      <c r="V15" s="43">
        <v>9</v>
      </c>
      <c r="W15" s="43">
        <v>4</v>
      </c>
      <c r="X15" s="43">
        <v>110</v>
      </c>
    </row>
    <row r="16" spans="1:24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  <c r="O16" s="13">
        <v>10</v>
      </c>
      <c r="P16" s="43"/>
      <c r="Q16" s="43">
        <v>5</v>
      </c>
      <c r="R16" s="43">
        <v>1</v>
      </c>
      <c r="S16" s="43">
        <v>1</v>
      </c>
      <c r="T16" s="43">
        <v>2</v>
      </c>
      <c r="U16" s="43">
        <v>6</v>
      </c>
      <c r="V16" s="43">
        <v>1</v>
      </c>
      <c r="W16" s="43"/>
      <c r="X16" s="43">
        <v>16</v>
      </c>
    </row>
    <row r="17" spans="1:24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57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  <c r="O17" s="12" t="s">
        <v>172</v>
      </c>
      <c r="P17" s="43">
        <v>1</v>
      </c>
      <c r="Q17" s="43">
        <v>60</v>
      </c>
      <c r="R17" s="43">
        <v>11</v>
      </c>
      <c r="S17" s="43">
        <v>7</v>
      </c>
      <c r="T17" s="43">
        <v>86</v>
      </c>
      <c r="U17" s="43">
        <v>105</v>
      </c>
      <c r="V17" s="43">
        <v>12</v>
      </c>
      <c r="W17" s="43">
        <v>21</v>
      </c>
      <c r="X17" s="43">
        <v>303</v>
      </c>
    </row>
    <row r="18" spans="1:24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  <c r="O18" s="13">
        <v>3</v>
      </c>
      <c r="P18" s="43"/>
      <c r="Q18" s="43"/>
      <c r="R18" s="43"/>
      <c r="S18" s="43"/>
      <c r="T18" s="43"/>
      <c r="U18" s="43"/>
      <c r="V18" s="43"/>
      <c r="W18" s="43">
        <v>1</v>
      </c>
      <c r="X18" s="43">
        <v>1</v>
      </c>
    </row>
    <row r="19" spans="1:24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  <c r="O19" s="13">
        <v>4</v>
      </c>
      <c r="P19" s="43"/>
      <c r="Q19" s="43"/>
      <c r="R19" s="43"/>
      <c r="S19" s="43"/>
      <c r="T19" s="43"/>
      <c r="U19" s="43"/>
      <c r="V19" s="43"/>
      <c r="W19" s="43">
        <v>1</v>
      </c>
      <c r="X19" s="43">
        <v>1</v>
      </c>
    </row>
    <row r="20" spans="1:24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  <c r="O20" s="13">
        <v>5</v>
      </c>
      <c r="P20" s="43"/>
      <c r="Q20" s="43">
        <v>5</v>
      </c>
      <c r="R20" s="43"/>
      <c r="S20" s="43"/>
      <c r="T20" s="43"/>
      <c r="U20" s="43"/>
      <c r="V20" s="43"/>
      <c r="W20" s="43">
        <v>11</v>
      </c>
      <c r="X20" s="43">
        <v>16</v>
      </c>
    </row>
    <row r="21" spans="1:24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  <c r="O21" s="13">
        <v>6</v>
      </c>
      <c r="P21" s="43"/>
      <c r="Q21" s="43">
        <v>3</v>
      </c>
      <c r="R21" s="43">
        <v>1</v>
      </c>
      <c r="S21" s="43"/>
      <c r="T21" s="43">
        <v>1</v>
      </c>
      <c r="U21" s="43"/>
      <c r="V21" s="43"/>
      <c r="W21" s="43">
        <v>6</v>
      </c>
      <c r="X21" s="43">
        <v>11</v>
      </c>
    </row>
    <row r="22" spans="1:24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57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  <c r="O22" s="13">
        <v>7</v>
      </c>
      <c r="P22" s="43"/>
      <c r="Q22" s="43">
        <v>17</v>
      </c>
      <c r="R22" s="43">
        <v>1</v>
      </c>
      <c r="S22" s="43">
        <v>3</v>
      </c>
      <c r="T22" s="43">
        <v>23</v>
      </c>
      <c r="U22" s="43">
        <v>5</v>
      </c>
      <c r="V22" s="43"/>
      <c r="W22" s="43">
        <v>1</v>
      </c>
      <c r="X22" s="43">
        <v>50</v>
      </c>
    </row>
    <row r="23" spans="1:24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  <c r="O23" s="13">
        <v>8</v>
      </c>
      <c r="P23" s="43"/>
      <c r="Q23" s="43">
        <v>8</v>
      </c>
      <c r="R23" s="43"/>
      <c r="S23" s="43"/>
      <c r="T23" s="43">
        <v>17</v>
      </c>
      <c r="U23" s="43">
        <v>11</v>
      </c>
      <c r="V23" s="43"/>
      <c r="W23" s="43">
        <v>1</v>
      </c>
      <c r="X23" s="43">
        <v>37</v>
      </c>
    </row>
    <row r="24" spans="1:24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  <c r="O24" s="13">
        <v>10</v>
      </c>
      <c r="P24" s="43">
        <v>1</v>
      </c>
      <c r="Q24" s="43">
        <v>27</v>
      </c>
      <c r="R24" s="43">
        <v>9</v>
      </c>
      <c r="S24" s="43">
        <v>4</v>
      </c>
      <c r="T24" s="43">
        <v>45</v>
      </c>
      <c r="U24" s="43">
        <v>89</v>
      </c>
      <c r="V24" s="43">
        <v>12</v>
      </c>
      <c r="W24" s="43"/>
      <c r="X24" s="43">
        <v>187</v>
      </c>
    </row>
    <row r="25" spans="1:24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  <c r="O25" s="12" t="s">
        <v>66</v>
      </c>
      <c r="P25" s="43">
        <v>1</v>
      </c>
      <c r="Q25" s="43">
        <v>95</v>
      </c>
      <c r="R25" s="43">
        <v>17</v>
      </c>
      <c r="S25" s="43">
        <v>10</v>
      </c>
      <c r="T25" s="43">
        <v>132</v>
      </c>
      <c r="U25" s="43">
        <v>148</v>
      </c>
      <c r="V25" s="43">
        <v>22</v>
      </c>
      <c r="W25" s="43">
        <v>25</v>
      </c>
      <c r="X25" s="43">
        <v>450</v>
      </c>
    </row>
    <row r="26" spans="1:24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24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24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24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24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24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24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57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57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172</v>
      </c>
      <c r="B119" t="s">
        <v>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36</v>
      </c>
      <c r="B120" t="s">
        <v>9</v>
      </c>
      <c r="C120">
        <v>5</v>
      </c>
      <c r="D120">
        <v>1712</v>
      </c>
      <c r="E120">
        <v>2</v>
      </c>
      <c r="F120" t="s">
        <v>252</v>
      </c>
      <c r="G120">
        <v>2</v>
      </c>
      <c r="H120" t="s">
        <v>270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57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58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57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57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57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57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36</v>
      </c>
      <c r="B170" t="s">
        <v>9</v>
      </c>
      <c r="C170">
        <v>4</v>
      </c>
      <c r="D170">
        <v>1346</v>
      </c>
      <c r="E170">
        <v>1</v>
      </c>
      <c r="F170" t="s">
        <v>252</v>
      </c>
      <c r="G170">
        <v>2</v>
      </c>
      <c r="H170" t="s">
        <v>270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36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36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36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36</v>
      </c>
      <c r="B174" t="s">
        <v>9</v>
      </c>
      <c r="C174">
        <v>4</v>
      </c>
      <c r="D174">
        <v>1365</v>
      </c>
      <c r="E174">
        <v>1</v>
      </c>
      <c r="F174" t="s">
        <v>252</v>
      </c>
      <c r="G174">
        <v>1</v>
      </c>
      <c r="H174" t="s">
        <v>292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36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36</v>
      </c>
      <c r="B176" t="s">
        <v>9</v>
      </c>
      <c r="C176">
        <v>4</v>
      </c>
      <c r="D176">
        <v>1209</v>
      </c>
      <c r="E176">
        <v>1</v>
      </c>
      <c r="F176" t="s">
        <v>249</v>
      </c>
      <c r="G176">
        <v>2</v>
      </c>
      <c r="H176" t="s">
        <v>270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59</v>
      </c>
      <c r="B178" t="s">
        <v>32</v>
      </c>
      <c r="C178">
        <v>2</v>
      </c>
      <c r="D178">
        <v>1192</v>
      </c>
      <c r="E178">
        <v>1</v>
      </c>
      <c r="F178" t="s">
        <v>58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57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57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60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60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60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60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60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60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60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60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60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60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60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60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60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60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60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60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60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60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60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60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60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60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60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60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60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60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60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60</v>
      </c>
      <c r="B215" t="s">
        <v>9</v>
      </c>
      <c r="C215">
        <v>1</v>
      </c>
      <c r="D215">
        <v>1404</v>
      </c>
      <c r="E215">
        <v>0</v>
      </c>
      <c r="F215" t="s">
        <v>57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60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60</v>
      </c>
      <c r="B217" t="s">
        <v>9</v>
      </c>
      <c r="C217">
        <v>1</v>
      </c>
      <c r="D217">
        <v>1391</v>
      </c>
      <c r="E217">
        <v>2</v>
      </c>
      <c r="F217" t="s">
        <v>57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60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60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60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60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60</v>
      </c>
      <c r="B222" t="s">
        <v>9</v>
      </c>
      <c r="C222">
        <v>1</v>
      </c>
      <c r="D222">
        <v>1376</v>
      </c>
      <c r="E222">
        <v>1</v>
      </c>
      <c r="F222" t="s">
        <v>57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60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60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60</v>
      </c>
      <c r="B225" t="s">
        <v>9</v>
      </c>
      <c r="C225">
        <v>1</v>
      </c>
      <c r="D225">
        <v>1130</v>
      </c>
      <c r="E225">
        <v>2</v>
      </c>
      <c r="F225" t="s">
        <v>57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60</v>
      </c>
      <c r="B226" t="s">
        <v>9</v>
      </c>
      <c r="C226">
        <v>1</v>
      </c>
      <c r="D226">
        <v>2414</v>
      </c>
      <c r="E226">
        <v>0</v>
      </c>
      <c r="F226" t="s">
        <v>57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60</v>
      </c>
      <c r="B227" t="s">
        <v>9</v>
      </c>
      <c r="C227">
        <v>1</v>
      </c>
      <c r="D227">
        <v>1779</v>
      </c>
      <c r="E227">
        <v>1</v>
      </c>
      <c r="F227" t="s">
        <v>57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60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60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60</v>
      </c>
      <c r="B230" t="s">
        <v>9</v>
      </c>
      <c r="C230">
        <v>1</v>
      </c>
      <c r="D230">
        <v>2068</v>
      </c>
      <c r="E230">
        <v>2</v>
      </c>
      <c r="F230" t="s">
        <v>57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60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60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60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60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60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60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60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60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60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60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60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60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60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60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60</v>
      </c>
      <c r="B245" t="s">
        <v>9</v>
      </c>
      <c r="C245">
        <v>1</v>
      </c>
      <c r="D245">
        <v>1455</v>
      </c>
      <c r="E245">
        <v>0</v>
      </c>
      <c r="F245" t="s">
        <v>57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60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60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60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60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60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60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60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60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60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60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60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60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60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60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60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60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60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60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60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60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60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60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60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60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60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60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60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60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60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60</v>
      </c>
      <c r="B277" t="s">
        <v>9</v>
      </c>
      <c r="C277">
        <v>1</v>
      </c>
      <c r="D277">
        <v>1054</v>
      </c>
      <c r="E277">
        <v>0</v>
      </c>
      <c r="F277" t="s">
        <v>57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60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60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60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60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36</v>
      </c>
      <c r="B284" t="s">
        <v>9</v>
      </c>
      <c r="C284">
        <v>5</v>
      </c>
      <c r="D284">
        <v>1500</v>
      </c>
      <c r="E284">
        <v>0</v>
      </c>
      <c r="F284" t="s">
        <v>252</v>
      </c>
      <c r="G284">
        <v>4</v>
      </c>
      <c r="H284" t="s">
        <v>270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139</v>
      </c>
      <c r="B285" t="s">
        <v>9</v>
      </c>
      <c r="C285">
        <v>5</v>
      </c>
      <c r="D285">
        <v>1500</v>
      </c>
      <c r="E285">
        <v>0</v>
      </c>
      <c r="F285" t="s">
        <v>272</v>
      </c>
      <c r="G285">
        <v>3</v>
      </c>
      <c r="H285" t="s">
        <v>270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139</v>
      </c>
      <c r="B286" t="s">
        <v>9</v>
      </c>
      <c r="C286">
        <v>5</v>
      </c>
      <c r="D286">
        <v>1782</v>
      </c>
      <c r="E286">
        <v>0</v>
      </c>
      <c r="F286" t="s">
        <v>272</v>
      </c>
      <c r="G286">
        <v>2</v>
      </c>
      <c r="H286" t="s">
        <v>270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139</v>
      </c>
      <c r="B287" t="s">
        <v>9</v>
      </c>
      <c r="C287">
        <v>5</v>
      </c>
      <c r="D287">
        <v>1666</v>
      </c>
      <c r="E287">
        <v>1</v>
      </c>
      <c r="F287" t="s">
        <v>272</v>
      </c>
      <c r="G287">
        <v>1</v>
      </c>
      <c r="H287" t="s">
        <v>292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139</v>
      </c>
      <c r="B288" t="s">
        <v>9</v>
      </c>
      <c r="C288">
        <v>5</v>
      </c>
      <c r="D288">
        <v>1556</v>
      </c>
      <c r="E288">
        <v>0</v>
      </c>
      <c r="F288" t="s">
        <v>272</v>
      </c>
      <c r="G288">
        <v>2</v>
      </c>
      <c r="H288" t="s">
        <v>270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139</v>
      </c>
      <c r="B289" t="s">
        <v>9</v>
      </c>
      <c r="C289">
        <v>5</v>
      </c>
      <c r="D289">
        <v>2860</v>
      </c>
      <c r="E289">
        <v>0</v>
      </c>
      <c r="F289" t="s">
        <v>272</v>
      </c>
      <c r="G289">
        <v>1</v>
      </c>
      <c r="H289" t="s">
        <v>292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139</v>
      </c>
      <c r="B290" t="s">
        <v>9</v>
      </c>
      <c r="C290">
        <v>5</v>
      </c>
      <c r="D290">
        <v>2986</v>
      </c>
      <c r="E290">
        <v>0</v>
      </c>
      <c r="F290" t="s">
        <v>272</v>
      </c>
      <c r="G290">
        <v>2</v>
      </c>
      <c r="H290" t="s">
        <v>270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139</v>
      </c>
      <c r="B291" t="s">
        <v>9</v>
      </c>
      <c r="C291">
        <v>5</v>
      </c>
      <c r="D291">
        <v>3172</v>
      </c>
      <c r="E291">
        <v>1</v>
      </c>
      <c r="F291" t="s">
        <v>140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139</v>
      </c>
      <c r="B292" t="s">
        <v>9</v>
      </c>
      <c r="C292">
        <v>5</v>
      </c>
      <c r="D292">
        <v>1420</v>
      </c>
      <c r="E292">
        <v>0</v>
      </c>
      <c r="F292" t="s">
        <v>272</v>
      </c>
      <c r="G292">
        <v>2</v>
      </c>
      <c r="H292" t="s">
        <v>292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139</v>
      </c>
      <c r="B293" t="s">
        <v>9</v>
      </c>
      <c r="C293">
        <v>5</v>
      </c>
      <c r="D293">
        <v>1352</v>
      </c>
      <c r="E293">
        <v>0</v>
      </c>
      <c r="F293" t="s">
        <v>272</v>
      </c>
      <c r="G293">
        <v>1</v>
      </c>
      <c r="H293" t="s">
        <v>292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139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139</v>
      </c>
      <c r="B295" t="s">
        <v>9</v>
      </c>
      <c r="C295">
        <v>5</v>
      </c>
      <c r="D295">
        <v>1428</v>
      </c>
      <c r="E295">
        <v>1</v>
      </c>
      <c r="F295" t="s">
        <v>205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139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139</v>
      </c>
      <c r="B297" t="s">
        <v>9</v>
      </c>
      <c r="C297">
        <v>5</v>
      </c>
      <c r="D297">
        <v>1559</v>
      </c>
      <c r="E297">
        <v>0</v>
      </c>
      <c r="F297" t="s">
        <v>272</v>
      </c>
      <c r="G297">
        <v>1</v>
      </c>
      <c r="H297" t="s">
        <v>292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139</v>
      </c>
      <c r="B298" t="s">
        <v>9</v>
      </c>
      <c r="C298">
        <v>5</v>
      </c>
      <c r="D298">
        <v>1600</v>
      </c>
      <c r="E298">
        <v>0</v>
      </c>
      <c r="F298" t="s">
        <v>272</v>
      </c>
      <c r="G298">
        <v>3</v>
      </c>
      <c r="H298" t="s">
        <v>292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139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139</v>
      </c>
      <c r="B300" t="s">
        <v>9</v>
      </c>
      <c r="C300">
        <v>5</v>
      </c>
      <c r="D300">
        <v>1389</v>
      </c>
      <c r="E300">
        <v>0</v>
      </c>
      <c r="F300" t="s">
        <v>272</v>
      </c>
      <c r="G300">
        <v>4</v>
      </c>
      <c r="H300" t="s">
        <v>270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57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143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57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58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57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57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172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36</v>
      </c>
      <c r="B335" t="s">
        <v>9</v>
      </c>
      <c r="C335">
        <v>5</v>
      </c>
      <c r="D335">
        <v>1000</v>
      </c>
      <c r="E335">
        <v>0</v>
      </c>
      <c r="F335" t="s">
        <v>252</v>
      </c>
      <c r="G335">
        <v>1</v>
      </c>
      <c r="H335" t="s">
        <v>292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173</v>
      </c>
      <c r="B336" t="s">
        <v>9</v>
      </c>
      <c r="C336">
        <v>5</v>
      </c>
      <c r="D336">
        <v>1000</v>
      </c>
      <c r="E336">
        <v>0</v>
      </c>
      <c r="F336" t="s">
        <v>251</v>
      </c>
      <c r="G336">
        <v>5</v>
      </c>
      <c r="H336" t="s">
        <v>270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143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172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172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172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172</v>
      </c>
      <c r="B370" t="s">
        <v>9</v>
      </c>
      <c r="C370">
        <v>5</v>
      </c>
      <c r="D370">
        <v>2547</v>
      </c>
      <c r="E370">
        <v>2</v>
      </c>
      <c r="F370" t="s">
        <v>143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172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172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172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172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172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172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172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172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172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172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172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172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57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8</v>
      </c>
      <c r="B438" t="s">
        <v>32</v>
      </c>
      <c r="C438">
        <v>3</v>
      </c>
      <c r="D438">
        <v>2271</v>
      </c>
      <c r="E438">
        <v>1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1066</v>
      </c>
      <c r="E439">
        <v>0</v>
      </c>
      <c r="F439" t="s">
        <v>58</v>
      </c>
      <c r="G439">
        <v>1</v>
      </c>
      <c r="H439" t="s">
        <v>12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11500</v>
      </c>
      <c r="L439" s="43">
        <f>IFERROR(SUMIFS(Tabela10[Exp Gain only 2*+],Tabela10[Drop],DropAnalityka[[#This Row],[Drop]],Tabela10[Grade],DropAnalityka[[#This Row],[Grade]])*DropAnalityka[[#This Row],[Quality/Quantity]],0)</f>
        <v>35822</v>
      </c>
    </row>
    <row r="440" spans="1:12">
      <c r="A440" t="s">
        <v>8</v>
      </c>
      <c r="B440" t="s">
        <v>32</v>
      </c>
      <c r="C440">
        <v>3</v>
      </c>
      <c r="D440">
        <v>1217</v>
      </c>
      <c r="E440">
        <v>0</v>
      </c>
      <c r="I440">
        <v>1159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0" s="43">
        <f>IFERROR(SUMIFS(Tabela10[Fod Worth],Tabela10[Drop],DropAnalityka[[#This Row],[Drop]],Tabela10[Grade],DropAnalityka[[#This Row],[Grade]])*DropAnalityka[[#This Row],[Quality/Quantity]],0)</f>
        <v>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1369</v>
      </c>
      <c r="E441">
        <v>0</v>
      </c>
      <c r="F441" t="s">
        <v>57</v>
      </c>
      <c r="G441">
        <v>1</v>
      </c>
      <c r="H441" t="s">
        <v>26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1" s="43">
        <f>IFERROR(SUMIFS(Tabela10[Fod Worth],Tabela10[Drop],DropAnalityka[[#This Row],[Drop]],Tabela10[Grade],DropAnalityka[[#This Row],[Grade]])*DropAnalityka[[#This Row],[Quality/Quantity]],0)</f>
        <v>34500</v>
      </c>
      <c r="L441" s="43">
        <f>IFERROR(SUMIFS(Tabela10[Exp Gain only 2*+],Tabela10[Drop],DropAnalityka[[#This Row],[Drop]],Tabela10[Grade],DropAnalityka[[#This Row],[Grade]])*DropAnalityka[[#This Row],[Quality/Quantity]],0)</f>
        <v>35822</v>
      </c>
    </row>
    <row r="442" spans="1:12">
      <c r="A442" t="s">
        <v>8</v>
      </c>
      <c r="B442" t="s">
        <v>32</v>
      </c>
      <c r="C442">
        <v>3</v>
      </c>
      <c r="D442">
        <v>1200</v>
      </c>
      <c r="E442">
        <v>1</v>
      </c>
      <c r="I442">
        <v>1546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2" s="43">
        <f>IFERROR(SUMIFS(Tabela10[Fod Worth],Tabela10[Drop],DropAnalityka[[#This Row],[Drop]],Tabela10[Grade],DropAnalityka[[#This Row],[Grade]])*DropAnalityka[[#This Row],[Quality/Quantity]],0)</f>
        <v>0</v>
      </c>
      <c r="L442" s="43">
        <f>IFERROR(SUMIFS(Tabela10[Exp Gain only 2*+],Tabela10[Drop],DropAnalityka[[#This Row],[Drop]],Tabela10[Grade],DropAnalityka[[#This Row],[Grade]])*DropAnalityka[[#This Row],[Quality/Quantity]],0)</f>
        <v>0</v>
      </c>
    </row>
    <row r="443" spans="1:12">
      <c r="A443" t="s">
        <v>8</v>
      </c>
      <c r="B443" t="s">
        <v>32</v>
      </c>
      <c r="C443">
        <v>3</v>
      </c>
      <c r="D443">
        <v>2084</v>
      </c>
      <c r="E443">
        <v>1</v>
      </c>
      <c r="I443">
        <v>1159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1041</v>
      </c>
      <c r="E444">
        <v>2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1173</v>
      </c>
      <c r="E445">
        <v>0</v>
      </c>
      <c r="F445" t="s">
        <v>34</v>
      </c>
      <c r="G445">
        <v>3</v>
      </c>
      <c r="H445" t="s">
        <v>17</v>
      </c>
      <c r="I445">
        <v>0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2400</v>
      </c>
    </row>
    <row r="446" spans="1:12">
      <c r="A446" t="s">
        <v>8</v>
      </c>
      <c r="B446" t="s">
        <v>32</v>
      </c>
      <c r="C446">
        <v>3</v>
      </c>
      <c r="D446">
        <v>1203</v>
      </c>
      <c r="E446">
        <v>0</v>
      </c>
      <c r="I446">
        <v>1159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0</v>
      </c>
    </row>
    <row r="447" spans="1:12">
      <c r="A447" t="s">
        <v>8</v>
      </c>
      <c r="B447" t="s">
        <v>32</v>
      </c>
      <c r="C447">
        <v>3</v>
      </c>
      <c r="D447">
        <v>1265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1133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967</v>
      </c>
      <c r="E449">
        <v>1</v>
      </c>
      <c r="F449" t="s">
        <v>57</v>
      </c>
      <c r="G449">
        <v>1</v>
      </c>
      <c r="H449" t="s">
        <v>17</v>
      </c>
      <c r="I449">
        <v>0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2246</v>
      </c>
      <c r="E450">
        <v>1</v>
      </c>
      <c r="I450">
        <v>2067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1423</v>
      </c>
      <c r="E451">
        <v>2</v>
      </c>
      <c r="I451">
        <v>1159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1858</v>
      </c>
      <c r="E452">
        <v>0</v>
      </c>
      <c r="I452">
        <v>2067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1423</v>
      </c>
      <c r="E453">
        <v>1</v>
      </c>
      <c r="I453">
        <v>1546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2042</v>
      </c>
      <c r="E454">
        <v>1</v>
      </c>
      <c r="I454">
        <v>1159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2001</v>
      </c>
      <c r="E455">
        <v>1</v>
      </c>
      <c r="F455" t="s">
        <v>57</v>
      </c>
      <c r="G455">
        <v>1</v>
      </c>
      <c r="H455" t="s">
        <v>17</v>
      </c>
      <c r="I455">
        <v>0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1540</v>
      </c>
      <c r="E456">
        <v>0</v>
      </c>
      <c r="F456" t="s">
        <v>57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1699</v>
      </c>
      <c r="E457">
        <v>1</v>
      </c>
      <c r="I457">
        <v>2067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1916</v>
      </c>
      <c r="E458">
        <v>1</v>
      </c>
      <c r="I458">
        <v>1159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2501</v>
      </c>
      <c r="E459">
        <v>0</v>
      </c>
      <c r="I459">
        <v>2067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1812</v>
      </c>
      <c r="E460">
        <v>1</v>
      </c>
      <c r="F460" t="s">
        <v>34</v>
      </c>
      <c r="G460">
        <v>3</v>
      </c>
      <c r="H460" t="s">
        <v>17</v>
      </c>
      <c r="I460">
        <v>0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2400</v>
      </c>
    </row>
    <row r="461" spans="1:12">
      <c r="A461" t="s">
        <v>8</v>
      </c>
      <c r="B461" t="s">
        <v>32</v>
      </c>
      <c r="C461">
        <v>3</v>
      </c>
      <c r="D461">
        <v>1215</v>
      </c>
      <c r="E461">
        <v>0</v>
      </c>
      <c r="I461">
        <v>1159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0</v>
      </c>
    </row>
    <row r="462" spans="1:12">
      <c r="A462" t="s">
        <v>8</v>
      </c>
      <c r="B462" t="s">
        <v>32</v>
      </c>
      <c r="C462">
        <v>3</v>
      </c>
      <c r="D462">
        <v>422</v>
      </c>
      <c r="E462">
        <v>1</v>
      </c>
      <c r="I462">
        <v>2756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1105</v>
      </c>
      <c r="E463">
        <v>0</v>
      </c>
      <c r="F463" t="s">
        <v>57</v>
      </c>
      <c r="G463">
        <v>1</v>
      </c>
      <c r="H463" t="s">
        <v>12</v>
      </c>
      <c r="I463">
        <v>0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3" s="43">
        <f>IFERROR(SUMIFS(Tabela10[Fod Worth],Tabela10[Drop],DropAnalityka[[#This Row],[Drop]],Tabela10[Grade],DropAnalityka[[#This Row],[Grade]])*DropAnalityka[[#This Row],[Quality/Quantity]],0)</f>
        <v>11500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821</v>
      </c>
      <c r="E464">
        <v>1</v>
      </c>
      <c r="I464">
        <v>1159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4" s="43">
        <f>IFERROR(SUMIFS(Tabela10[Fod Worth],Tabela10[Drop],DropAnalityka[[#This Row],[Drop]],Tabela10[Grade],DropAnalityka[[#This Row],[Grade]])*DropAnalityka[[#This Row],[Quality/Quantity]],0)</f>
        <v>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1748</v>
      </c>
      <c r="E465">
        <v>1</v>
      </c>
      <c r="F465" t="s">
        <v>143</v>
      </c>
      <c r="I465">
        <v>0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1840</v>
      </c>
      <c r="E466">
        <v>0</v>
      </c>
      <c r="F466" t="s">
        <v>143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1395</v>
      </c>
      <c r="E467">
        <v>2</v>
      </c>
      <c r="I467">
        <v>1159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1292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1574</v>
      </c>
      <c r="E469">
        <v>0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1388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3326</v>
      </c>
      <c r="E471">
        <v>0</v>
      </c>
      <c r="F471" t="s">
        <v>34</v>
      </c>
      <c r="G471">
        <v>3</v>
      </c>
      <c r="H471" t="s">
        <v>17</v>
      </c>
      <c r="I471">
        <v>0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2400</v>
      </c>
    </row>
    <row r="472" spans="1:12">
      <c r="A472" t="s">
        <v>8</v>
      </c>
      <c r="B472" t="s">
        <v>32</v>
      </c>
      <c r="C472">
        <v>3</v>
      </c>
      <c r="D472">
        <v>999</v>
      </c>
      <c r="E472">
        <v>1</v>
      </c>
      <c r="F472" t="s">
        <v>143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0</v>
      </c>
    </row>
    <row r="473" spans="1:12">
      <c r="A473" t="s">
        <v>8</v>
      </c>
      <c r="B473" t="s">
        <v>32</v>
      </c>
      <c r="C473">
        <v>3</v>
      </c>
      <c r="D473">
        <v>1225</v>
      </c>
      <c r="E473">
        <v>0</v>
      </c>
      <c r="I473">
        <v>2411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1362</v>
      </c>
      <c r="E474">
        <v>2</v>
      </c>
      <c r="F474" t="s">
        <v>57</v>
      </c>
      <c r="G474">
        <v>1</v>
      </c>
      <c r="H474" t="s">
        <v>17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1149</v>
      </c>
      <c r="E475">
        <v>2</v>
      </c>
      <c r="I475">
        <v>1159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1186</v>
      </c>
      <c r="E476">
        <v>1</v>
      </c>
      <c r="I476">
        <v>2067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1366</v>
      </c>
      <c r="E477">
        <v>1</v>
      </c>
      <c r="I477">
        <v>2411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2407</v>
      </c>
      <c r="E478">
        <v>4</v>
      </c>
      <c r="F478" t="s">
        <v>57</v>
      </c>
      <c r="G478">
        <v>1</v>
      </c>
      <c r="H478" t="s">
        <v>12</v>
      </c>
      <c r="I478">
        <v>0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8" s="43">
        <f>IFERROR(SUMIFS(Tabela10[Fod Worth],Tabela10[Drop],DropAnalityka[[#This Row],[Drop]],Tabela10[Grade],DropAnalityka[[#This Row],[Grade]])*DropAnalityka[[#This Row],[Quality/Quantity]],0)</f>
        <v>11500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2050</v>
      </c>
      <c r="E479">
        <v>1</v>
      </c>
      <c r="I479">
        <v>2067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9" s="43">
        <f>IFERROR(SUMIFS(Tabela10[Fod Worth],Tabela10[Drop],DropAnalityka[[#This Row],[Drop]],Tabela10[Grade],DropAnalityka[[#This Row],[Grade]])*DropAnalityka[[#This Row],[Quality/Quantity]],0)</f>
        <v>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2063</v>
      </c>
      <c r="E480">
        <v>1</v>
      </c>
      <c r="F480" t="s">
        <v>57</v>
      </c>
      <c r="G480">
        <v>1</v>
      </c>
      <c r="H480" t="s">
        <v>17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1086</v>
      </c>
      <c r="E481">
        <v>0</v>
      </c>
      <c r="I481">
        <v>1546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1248</v>
      </c>
      <c r="E482">
        <v>2</v>
      </c>
      <c r="F482" t="s">
        <v>34</v>
      </c>
      <c r="G482">
        <v>3</v>
      </c>
      <c r="H482" t="s">
        <v>17</v>
      </c>
      <c r="I482">
        <v>0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2400</v>
      </c>
    </row>
    <row r="483" spans="1:12">
      <c r="A483" t="s">
        <v>8</v>
      </c>
      <c r="B483" t="s">
        <v>32</v>
      </c>
      <c r="C483">
        <v>3</v>
      </c>
      <c r="D483">
        <v>1342</v>
      </c>
      <c r="E483">
        <v>1</v>
      </c>
      <c r="F483" t="s">
        <v>143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0</v>
      </c>
    </row>
    <row r="484" spans="1:12">
      <c r="A484" t="s">
        <v>8</v>
      </c>
      <c r="B484" t="s">
        <v>32</v>
      </c>
      <c r="C484">
        <v>3</v>
      </c>
      <c r="D484">
        <v>2048</v>
      </c>
      <c r="E484">
        <v>0</v>
      </c>
      <c r="I484">
        <v>1159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2152</v>
      </c>
      <c r="E485">
        <v>2</v>
      </c>
      <c r="F485" t="s">
        <v>57</v>
      </c>
      <c r="G485">
        <v>1</v>
      </c>
      <c r="H485" t="s">
        <v>17</v>
      </c>
      <c r="I485">
        <v>0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1171</v>
      </c>
      <c r="E486">
        <v>1</v>
      </c>
      <c r="I486">
        <v>2067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2951</v>
      </c>
      <c r="E487">
        <v>2</v>
      </c>
      <c r="I487">
        <v>2411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1340</v>
      </c>
      <c r="E488">
        <v>0</v>
      </c>
      <c r="I488">
        <v>1159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1120</v>
      </c>
      <c r="E489">
        <v>1</v>
      </c>
      <c r="I489">
        <v>1546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805</v>
      </c>
      <c r="E490">
        <v>1</v>
      </c>
      <c r="I490">
        <v>2067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1611</v>
      </c>
      <c r="E491">
        <v>3</v>
      </c>
      <c r="I491">
        <v>1159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1332</v>
      </c>
      <c r="E492">
        <v>0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1613</v>
      </c>
      <c r="E493">
        <v>1</v>
      </c>
      <c r="I493">
        <v>2411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1375</v>
      </c>
      <c r="E494">
        <v>1</v>
      </c>
      <c r="I494">
        <v>1159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1277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1167</v>
      </c>
      <c r="E496">
        <v>0</v>
      </c>
      <c r="I496">
        <v>2067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1156</v>
      </c>
      <c r="E497">
        <v>2</v>
      </c>
      <c r="I497">
        <v>1352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1404</v>
      </c>
      <c r="E498">
        <v>0</v>
      </c>
      <c r="F498" t="s">
        <v>57</v>
      </c>
      <c r="G498">
        <v>1</v>
      </c>
      <c r="H498" t="s">
        <v>26</v>
      </c>
      <c r="I498">
        <v>0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8" s="43">
        <f>IFERROR(SUMIFS(Tabela10[Fod Worth],Tabela10[Drop],DropAnalityka[[#This Row],[Drop]],Tabela10[Grade],DropAnalityka[[#This Row],[Grade]])*DropAnalityka[[#This Row],[Quality/Quantity]],0)</f>
        <v>34500</v>
      </c>
      <c r="L498" s="43">
        <f>IFERROR(SUMIFS(Tabela10[Exp Gain only 2*+],Tabela10[Drop],DropAnalityka[[#This Row],[Drop]],Tabela10[Grade],DropAnalityka[[#This Row],[Grade]])*DropAnalityka[[#This Row],[Quality/Quantity]],0)</f>
        <v>35822</v>
      </c>
    </row>
    <row r="499" spans="1:12">
      <c r="A499" t="s">
        <v>8</v>
      </c>
      <c r="B499" t="s">
        <v>32</v>
      </c>
      <c r="C499">
        <v>3</v>
      </c>
      <c r="D499">
        <v>1462</v>
      </c>
      <c r="E499">
        <v>0</v>
      </c>
      <c r="I499">
        <v>1159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9" s="43">
        <f>IFERROR(SUMIFS(Tabela10[Fod Worth],Tabela10[Drop],DropAnalityka[[#This Row],[Drop]],Tabela10[Grade],DropAnalityka[[#This Row],[Grade]])*DropAnalityka[[#This Row],[Quality/Quantity]],0)</f>
        <v>0</v>
      </c>
      <c r="L499" s="43">
        <f>IFERROR(SUMIFS(Tabela10[Exp Gain only 2*+],Tabela10[Drop],DropAnalityka[[#This Row],[Drop]],Tabela10[Grade],DropAnalityka[[#This Row],[Grade]])*DropAnalityka[[#This Row],[Quality/Quantity]],0)</f>
        <v>0</v>
      </c>
    </row>
    <row r="500" spans="1:12">
      <c r="A500" t="s">
        <v>8</v>
      </c>
      <c r="B500" t="s">
        <v>32</v>
      </c>
      <c r="C500">
        <v>3</v>
      </c>
      <c r="D500">
        <v>1957</v>
      </c>
      <c r="E500">
        <v>2</v>
      </c>
      <c r="F500" t="s">
        <v>143</v>
      </c>
      <c r="I500">
        <v>0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1051</v>
      </c>
      <c r="E501">
        <v>0</v>
      </c>
      <c r="I501">
        <v>2411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1187</v>
      </c>
      <c r="E502">
        <v>2</v>
      </c>
      <c r="I502">
        <v>1159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1798</v>
      </c>
      <c r="E503">
        <v>2</v>
      </c>
      <c r="F503" t="s">
        <v>34</v>
      </c>
      <c r="G503">
        <v>3</v>
      </c>
      <c r="H503" t="s">
        <v>17</v>
      </c>
      <c r="I503">
        <v>0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2400</v>
      </c>
    </row>
    <row r="504" spans="1:12">
      <c r="A504" t="s">
        <v>8</v>
      </c>
      <c r="B504" t="s">
        <v>32</v>
      </c>
      <c r="C504">
        <v>3</v>
      </c>
      <c r="D504">
        <v>1909</v>
      </c>
      <c r="E504">
        <v>3</v>
      </c>
      <c r="I504">
        <v>1159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0</v>
      </c>
    </row>
    <row r="505" spans="1:12">
      <c r="A505" t="s">
        <v>8</v>
      </c>
      <c r="B505" t="s">
        <v>32</v>
      </c>
      <c r="C505">
        <v>3</v>
      </c>
      <c r="D505">
        <v>829</v>
      </c>
      <c r="E505">
        <v>2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1201</v>
      </c>
      <c r="E506">
        <v>2</v>
      </c>
      <c r="F506" t="s">
        <v>34</v>
      </c>
      <c r="G506">
        <v>3</v>
      </c>
      <c r="H506" t="s">
        <v>17</v>
      </c>
      <c r="I506">
        <v>0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2400</v>
      </c>
    </row>
    <row r="507" spans="1:12">
      <c r="A507" t="s">
        <v>8</v>
      </c>
      <c r="B507" t="s">
        <v>32</v>
      </c>
      <c r="C507">
        <v>3</v>
      </c>
      <c r="D507">
        <v>1770</v>
      </c>
      <c r="E507">
        <v>0</v>
      </c>
      <c r="I507">
        <v>1159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0</v>
      </c>
    </row>
    <row r="508" spans="1:12">
      <c r="A508" t="s">
        <v>8</v>
      </c>
      <c r="B508" t="s">
        <v>32</v>
      </c>
      <c r="C508">
        <v>3</v>
      </c>
      <c r="D508">
        <v>1190</v>
      </c>
      <c r="E508">
        <v>0</v>
      </c>
      <c r="I508">
        <v>1739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60</v>
      </c>
      <c r="B509" t="s">
        <v>9</v>
      </c>
      <c r="C509">
        <v>1</v>
      </c>
      <c r="D509">
        <v>849</v>
      </c>
      <c r="E509">
        <v>2</v>
      </c>
      <c r="I509">
        <v>823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60</v>
      </c>
      <c r="B510" t="s">
        <v>9</v>
      </c>
      <c r="C510">
        <v>1</v>
      </c>
      <c r="D510">
        <v>1244</v>
      </c>
      <c r="E510">
        <v>2</v>
      </c>
      <c r="I510">
        <v>1976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60</v>
      </c>
      <c r="B511" t="s">
        <v>9</v>
      </c>
      <c r="C511">
        <v>1</v>
      </c>
      <c r="D511">
        <v>1902</v>
      </c>
      <c r="E511">
        <v>2</v>
      </c>
      <c r="F511" t="s">
        <v>34</v>
      </c>
      <c r="G511">
        <v>1</v>
      </c>
      <c r="H511" t="s">
        <v>17</v>
      </c>
      <c r="I511">
        <v>0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800</v>
      </c>
    </row>
    <row r="512" spans="1:12">
      <c r="A512" t="s">
        <v>60</v>
      </c>
      <c r="B512" t="s">
        <v>9</v>
      </c>
      <c r="C512">
        <v>1</v>
      </c>
      <c r="D512">
        <v>1295</v>
      </c>
      <c r="E512">
        <v>0</v>
      </c>
      <c r="I512">
        <v>1976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0</v>
      </c>
    </row>
    <row r="513" spans="1:12">
      <c r="A513" t="s">
        <v>60</v>
      </c>
      <c r="B513" t="s">
        <v>9</v>
      </c>
      <c r="C513">
        <v>1</v>
      </c>
      <c r="D513">
        <v>993</v>
      </c>
      <c r="E513">
        <v>0</v>
      </c>
      <c r="F513" t="s">
        <v>34</v>
      </c>
      <c r="G513">
        <v>1</v>
      </c>
      <c r="H513" t="s">
        <v>17</v>
      </c>
      <c r="I513">
        <v>0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800</v>
      </c>
    </row>
    <row r="514" spans="1:12">
      <c r="A514" t="s">
        <v>60</v>
      </c>
      <c r="B514" t="s">
        <v>9</v>
      </c>
      <c r="C514">
        <v>1</v>
      </c>
      <c r="D514">
        <v>1238</v>
      </c>
      <c r="E514">
        <v>0</v>
      </c>
      <c r="I514">
        <v>892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0</v>
      </c>
    </row>
    <row r="515" spans="1:12">
      <c r="A515" t="s">
        <v>60</v>
      </c>
      <c r="B515" t="s">
        <v>9</v>
      </c>
      <c r="C515">
        <v>1</v>
      </c>
      <c r="D515">
        <v>1277</v>
      </c>
      <c r="E515">
        <v>0</v>
      </c>
      <c r="F515" t="s">
        <v>34</v>
      </c>
      <c r="G515">
        <v>1</v>
      </c>
      <c r="H515" t="s">
        <v>17</v>
      </c>
      <c r="I515">
        <v>0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800</v>
      </c>
    </row>
    <row r="516" spans="1:12">
      <c r="A516" t="s">
        <v>8</v>
      </c>
      <c r="B516" t="s">
        <v>30</v>
      </c>
      <c r="C516">
        <v>3</v>
      </c>
      <c r="D516">
        <v>2474</v>
      </c>
      <c r="E516">
        <v>3</v>
      </c>
      <c r="F516" t="s">
        <v>34</v>
      </c>
      <c r="G516">
        <v>2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1600</v>
      </c>
    </row>
    <row r="517" spans="1:12">
      <c r="A517" t="s">
        <v>8</v>
      </c>
      <c r="B517" t="s">
        <v>32</v>
      </c>
      <c r="C517">
        <v>3</v>
      </c>
      <c r="D517">
        <v>920</v>
      </c>
      <c r="E517">
        <v>2</v>
      </c>
      <c r="F517" t="s">
        <v>34</v>
      </c>
      <c r="G517">
        <v>3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2400</v>
      </c>
    </row>
    <row r="518" spans="1:12">
      <c r="A518" t="s">
        <v>8</v>
      </c>
      <c r="B518" t="s">
        <v>32</v>
      </c>
      <c r="C518">
        <v>3</v>
      </c>
      <c r="D518">
        <v>1475</v>
      </c>
      <c r="E518">
        <v>3</v>
      </c>
      <c r="I518">
        <v>2756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0</v>
      </c>
    </row>
    <row r="519" spans="1:12">
      <c r="A519" t="s">
        <v>8</v>
      </c>
      <c r="B519" t="s">
        <v>32</v>
      </c>
      <c r="C519">
        <v>3</v>
      </c>
      <c r="D519">
        <v>1500</v>
      </c>
      <c r="E519">
        <v>3</v>
      </c>
      <c r="F519" t="s">
        <v>57</v>
      </c>
      <c r="G519">
        <v>1</v>
      </c>
      <c r="H519" t="s">
        <v>26</v>
      </c>
      <c r="I519">
        <v>0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9" s="43">
        <f>IFERROR(SUMIFS(Tabela10[Fod Worth],Tabela10[Drop],DropAnalityka[[#This Row],[Drop]],Tabela10[Grade],DropAnalityka[[#This Row],[Grade]])*DropAnalityka[[#This Row],[Quality/Quantity]],0)</f>
        <v>34500</v>
      </c>
      <c r="L519" s="43">
        <f>IFERROR(SUMIFS(Tabela10[Exp Gain only 2*+],Tabela10[Drop],DropAnalityka[[#This Row],[Drop]],Tabela10[Grade],DropAnalityka[[#This Row],[Grade]])*DropAnalityka[[#This Row],[Quality/Quantity]],0)</f>
        <v>35822</v>
      </c>
    </row>
    <row r="520" spans="1:12">
      <c r="A520" t="s">
        <v>8</v>
      </c>
      <c r="B520" t="s">
        <v>32</v>
      </c>
      <c r="C520">
        <v>3</v>
      </c>
      <c r="D520">
        <v>2329</v>
      </c>
      <c r="E520">
        <v>2</v>
      </c>
      <c r="I520">
        <v>2067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0" s="43">
        <f>IFERROR(SUMIFS(Tabela10[Fod Worth],Tabela10[Drop],DropAnalityka[[#This Row],[Drop]],Tabela10[Grade],DropAnalityka[[#This Row],[Grade]])*DropAnalityka[[#This Row],[Quality/Quantity]],0)</f>
        <v>0</v>
      </c>
      <c r="L520" s="43">
        <f>IFERROR(SUMIFS(Tabela10[Exp Gain only 2*+],Tabela10[Drop],DropAnalityka[[#This Row],[Drop]],Tabela10[Grade],DropAnalityka[[#This Row],[Grade]])*DropAnalityka[[#This Row],[Quality/Quantity]],0)</f>
        <v>0</v>
      </c>
    </row>
    <row r="521" spans="1:12">
      <c r="A521" t="s">
        <v>36</v>
      </c>
      <c r="B521" t="s">
        <v>9</v>
      </c>
      <c r="C521">
        <v>7</v>
      </c>
      <c r="D521">
        <v>2340</v>
      </c>
      <c r="E521">
        <v>0</v>
      </c>
      <c r="F521" t="s">
        <v>252</v>
      </c>
      <c r="G521">
        <v>1</v>
      </c>
      <c r="H521" t="s">
        <v>292</v>
      </c>
      <c r="I521">
        <v>0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36</v>
      </c>
      <c r="B522" t="s">
        <v>9</v>
      </c>
      <c r="C522">
        <v>7</v>
      </c>
      <c r="D522">
        <v>2340</v>
      </c>
      <c r="E522">
        <v>0</v>
      </c>
      <c r="F522" t="s">
        <v>252</v>
      </c>
      <c r="G522">
        <v>1</v>
      </c>
      <c r="H522" t="s">
        <v>292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36</v>
      </c>
      <c r="B523" t="s">
        <v>9</v>
      </c>
      <c r="C523">
        <v>7</v>
      </c>
      <c r="D523">
        <v>2182</v>
      </c>
      <c r="E523">
        <v>0</v>
      </c>
      <c r="F523" t="s">
        <v>252</v>
      </c>
      <c r="G523">
        <v>4</v>
      </c>
      <c r="H523" t="s">
        <v>270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s="10" t="s">
        <v>172</v>
      </c>
      <c r="B524" t="s">
        <v>9</v>
      </c>
      <c r="C524">
        <v>6</v>
      </c>
      <c r="D524">
        <v>2090</v>
      </c>
      <c r="E524">
        <v>2</v>
      </c>
      <c r="I524">
        <v>1971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172</v>
      </c>
      <c r="B525" t="s">
        <v>9</v>
      </c>
      <c r="C525">
        <v>6</v>
      </c>
      <c r="D525">
        <v>2783</v>
      </c>
      <c r="E525">
        <v>2</v>
      </c>
      <c r="F525" t="s">
        <v>34</v>
      </c>
      <c r="G525">
        <v>3</v>
      </c>
      <c r="H525" t="s">
        <v>17</v>
      </c>
      <c r="I525">
        <v>0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2400</v>
      </c>
    </row>
    <row r="526" spans="1:12">
      <c r="A526" s="10" t="s">
        <v>172</v>
      </c>
      <c r="B526" t="s">
        <v>9</v>
      </c>
      <c r="C526">
        <v>6</v>
      </c>
      <c r="D526">
        <v>2090</v>
      </c>
      <c r="E526">
        <v>0</v>
      </c>
      <c r="I526">
        <v>12000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0</v>
      </c>
    </row>
    <row r="527" spans="1:12">
      <c r="A527" s="10" t="s">
        <v>172</v>
      </c>
      <c r="B527" t="s">
        <v>9</v>
      </c>
      <c r="C527">
        <v>6</v>
      </c>
      <c r="D527">
        <v>2367</v>
      </c>
      <c r="E527">
        <v>0</v>
      </c>
      <c r="F527" t="s">
        <v>58</v>
      </c>
      <c r="G527">
        <v>1</v>
      </c>
      <c r="H527" t="s">
        <v>12</v>
      </c>
      <c r="I527">
        <v>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7" s="43">
        <f>IFERROR(SUMIFS(Tabela10[Fod Worth],Tabela10[Drop],DropAnalityka[[#This Row],[Drop]],Tabela10[Grade],DropAnalityka[[#This Row],[Grade]])*DropAnalityka[[#This Row],[Quality/Quantity]],0)</f>
        <v>11500</v>
      </c>
      <c r="L527" s="43">
        <f>IFERROR(SUMIFS(Tabela10[Exp Gain only 2*+],Tabela10[Drop],DropAnalityka[[#This Row],[Drop]],Tabela10[Grade],DropAnalityka[[#This Row],[Grade]])*DropAnalityka[[#This Row],[Quality/Quantity]],0)</f>
        <v>35822</v>
      </c>
    </row>
    <row r="528" spans="1:12">
      <c r="A528" s="10" t="s">
        <v>172</v>
      </c>
      <c r="B528" t="s">
        <v>9</v>
      </c>
      <c r="C528">
        <v>6</v>
      </c>
      <c r="D528">
        <v>3236</v>
      </c>
      <c r="E528">
        <v>1</v>
      </c>
      <c r="I528">
        <v>1236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8" s="43">
        <f>IFERROR(SUMIFS(Tabela10[Fod Worth],Tabela10[Drop],DropAnalityka[[#This Row],[Drop]],Tabela10[Grade],DropAnalityka[[#This Row],[Grade]])*DropAnalityka[[#This Row],[Quality/Quantity]],0)</f>
        <v>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172</v>
      </c>
      <c r="B529" t="s">
        <v>9</v>
      </c>
      <c r="C529">
        <v>6</v>
      </c>
      <c r="D529">
        <v>2638</v>
      </c>
      <c r="E529">
        <v>0</v>
      </c>
      <c r="F529" t="s">
        <v>143</v>
      </c>
      <c r="I529">
        <v>0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172</v>
      </c>
      <c r="B530" t="s">
        <v>9</v>
      </c>
      <c r="C530">
        <v>6</v>
      </c>
      <c r="D530">
        <v>2603</v>
      </c>
      <c r="E530">
        <v>0</v>
      </c>
      <c r="F530" t="s">
        <v>34</v>
      </c>
      <c r="G530">
        <v>4</v>
      </c>
      <c r="H530" t="s">
        <v>17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3200</v>
      </c>
    </row>
    <row r="531" spans="1:12">
      <c r="A531" s="10" t="s">
        <v>172</v>
      </c>
      <c r="B531" t="s">
        <v>9</v>
      </c>
      <c r="C531">
        <v>6</v>
      </c>
      <c r="D531">
        <v>2600</v>
      </c>
      <c r="E531">
        <v>2</v>
      </c>
      <c r="I531">
        <v>3916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0</v>
      </c>
    </row>
    <row r="532" spans="1:12">
      <c r="A532" s="10" t="s">
        <v>172</v>
      </c>
      <c r="B532" t="s">
        <v>9</v>
      </c>
      <c r="C532">
        <v>6</v>
      </c>
      <c r="D532">
        <v>2913</v>
      </c>
      <c r="E532">
        <v>0</v>
      </c>
      <c r="I532">
        <v>3789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172</v>
      </c>
      <c r="B533" t="s">
        <v>9</v>
      </c>
      <c r="C533">
        <v>6</v>
      </c>
      <c r="D533">
        <v>2460</v>
      </c>
      <c r="E533">
        <v>1</v>
      </c>
      <c r="F533" t="s">
        <v>34</v>
      </c>
      <c r="G533">
        <v>4</v>
      </c>
      <c r="H533" t="s">
        <v>17</v>
      </c>
      <c r="I533">
        <v>0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3200</v>
      </c>
    </row>
    <row r="534" spans="1:12">
      <c r="A534" s="10" t="s">
        <v>207</v>
      </c>
      <c r="B534" t="s">
        <v>9</v>
      </c>
      <c r="C534">
        <v>8</v>
      </c>
      <c r="D534">
        <v>2498</v>
      </c>
      <c r="E534">
        <v>2</v>
      </c>
      <c r="F534" t="s">
        <v>249</v>
      </c>
      <c r="G534">
        <v>3</v>
      </c>
      <c r="H534" t="s">
        <v>270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0</v>
      </c>
    </row>
    <row r="535" spans="1:12">
      <c r="A535" s="10" t="s">
        <v>207</v>
      </c>
      <c r="B535" t="s">
        <v>9</v>
      </c>
      <c r="C535">
        <v>7</v>
      </c>
      <c r="D535">
        <v>2073</v>
      </c>
      <c r="E535">
        <v>0</v>
      </c>
      <c r="F535" t="s">
        <v>249</v>
      </c>
      <c r="G535">
        <v>1</v>
      </c>
      <c r="H535" t="s">
        <v>292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207</v>
      </c>
      <c r="B536" t="s">
        <v>9</v>
      </c>
      <c r="C536">
        <v>7</v>
      </c>
      <c r="D536">
        <v>2143</v>
      </c>
      <c r="E536">
        <v>0</v>
      </c>
      <c r="F536" t="s">
        <v>249</v>
      </c>
      <c r="G536">
        <v>3</v>
      </c>
      <c r="H536" t="s">
        <v>270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207</v>
      </c>
      <c r="B537" t="s">
        <v>9</v>
      </c>
      <c r="C537">
        <v>7</v>
      </c>
      <c r="D537">
        <v>1852</v>
      </c>
      <c r="E537">
        <v>1</v>
      </c>
      <c r="F537" t="s">
        <v>249</v>
      </c>
      <c r="G537">
        <v>1</v>
      </c>
      <c r="H537" t="s">
        <v>292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207</v>
      </c>
      <c r="B538" t="s">
        <v>9</v>
      </c>
      <c r="C538">
        <v>7</v>
      </c>
      <c r="D538">
        <v>2417</v>
      </c>
      <c r="E538">
        <v>0</v>
      </c>
      <c r="F538" t="s">
        <v>205</v>
      </c>
      <c r="G538">
        <v>1</v>
      </c>
      <c r="H538" t="s">
        <v>26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862.5</v>
      </c>
      <c r="L538" s="43">
        <f>IFERROR(SUMIFS(Tabela10[Exp Gain only 2*+],Tabela10[Drop],DropAnalityka[[#This Row],[Drop]],Tabela10[Grade],DropAnalityka[[#This Row],[Grade]])*DropAnalityka[[#This Row],[Quality/Quantity]],0)</f>
        <v>895.55</v>
      </c>
    </row>
    <row r="539" spans="1:12">
      <c r="A539" s="10" t="s">
        <v>207</v>
      </c>
      <c r="B539" t="s">
        <v>9</v>
      </c>
      <c r="C539">
        <v>8</v>
      </c>
      <c r="D539">
        <v>2146</v>
      </c>
      <c r="E539">
        <v>0</v>
      </c>
      <c r="F539" t="s">
        <v>249</v>
      </c>
      <c r="G539">
        <v>2</v>
      </c>
      <c r="H539" t="s">
        <v>292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0</v>
      </c>
      <c r="L539" s="43">
        <f>IFERROR(SUMIFS(Tabela10[Exp Gain only 2*+],Tabela10[Drop],DropAnalityka[[#This Row],[Drop]],Tabela10[Grade],DropAnalityka[[#This Row],[Grade]])*DropAnalityka[[#This Row],[Quality/Quantity]],0)</f>
        <v>0</v>
      </c>
    </row>
    <row r="540" spans="1:12">
      <c r="A540" s="10" t="s">
        <v>207</v>
      </c>
      <c r="B540" t="s">
        <v>9</v>
      </c>
      <c r="C540">
        <v>8</v>
      </c>
      <c r="D540">
        <v>2968</v>
      </c>
      <c r="E540">
        <v>0</v>
      </c>
      <c r="F540" t="s">
        <v>34</v>
      </c>
      <c r="G540">
        <v>4</v>
      </c>
      <c r="H540" t="s">
        <v>17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3200</v>
      </c>
    </row>
    <row r="541" spans="1:12">
      <c r="A541" s="10" t="s">
        <v>207</v>
      </c>
      <c r="B541" t="s">
        <v>9</v>
      </c>
      <c r="C541">
        <v>8</v>
      </c>
      <c r="D541">
        <v>2237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207</v>
      </c>
      <c r="B542" t="s">
        <v>9</v>
      </c>
      <c r="C542">
        <v>8</v>
      </c>
      <c r="D542">
        <v>2223</v>
      </c>
      <c r="E542">
        <v>1</v>
      </c>
      <c r="F542" t="s">
        <v>249</v>
      </c>
      <c r="G542">
        <v>5</v>
      </c>
      <c r="H542" t="s">
        <v>270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0</v>
      </c>
    </row>
    <row r="543" spans="1:12">
      <c r="A543" s="10" t="s">
        <v>207</v>
      </c>
      <c r="B543" t="s">
        <v>9</v>
      </c>
      <c r="C543">
        <v>8</v>
      </c>
      <c r="D543">
        <v>2246</v>
      </c>
      <c r="E543">
        <v>2</v>
      </c>
      <c r="F543" t="s">
        <v>34</v>
      </c>
      <c r="G543">
        <v>4</v>
      </c>
      <c r="H543" t="s">
        <v>17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3200</v>
      </c>
    </row>
    <row r="544" spans="1:12">
      <c r="A544" s="10" t="s">
        <v>207</v>
      </c>
      <c r="B544" t="s">
        <v>9</v>
      </c>
      <c r="C544">
        <v>8</v>
      </c>
      <c r="D544">
        <v>1945</v>
      </c>
      <c r="E544">
        <v>0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207</v>
      </c>
      <c r="B545" t="s">
        <v>9</v>
      </c>
      <c r="C545">
        <v>8</v>
      </c>
      <c r="D545">
        <v>2404</v>
      </c>
      <c r="E545">
        <v>1</v>
      </c>
      <c r="F545" t="s">
        <v>249</v>
      </c>
      <c r="G545">
        <v>4</v>
      </c>
      <c r="H545" t="s">
        <v>270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0</v>
      </c>
    </row>
    <row r="546" spans="1:12">
      <c r="A546" s="10" t="s">
        <v>207</v>
      </c>
      <c r="B546" t="s">
        <v>9</v>
      </c>
      <c r="C546">
        <v>8</v>
      </c>
      <c r="D546">
        <v>3017</v>
      </c>
      <c r="E546">
        <v>1</v>
      </c>
      <c r="F546" t="s">
        <v>249</v>
      </c>
      <c r="G546">
        <v>4</v>
      </c>
      <c r="H546" t="s">
        <v>270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207</v>
      </c>
      <c r="B547" t="s">
        <v>9</v>
      </c>
      <c r="C547">
        <v>8</v>
      </c>
      <c r="D547">
        <v>2175</v>
      </c>
      <c r="E547">
        <v>0</v>
      </c>
      <c r="F547" t="s">
        <v>143</v>
      </c>
      <c r="G547">
        <v>1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207</v>
      </c>
      <c r="B548" t="s">
        <v>9</v>
      </c>
      <c r="C548">
        <v>8</v>
      </c>
      <c r="D548">
        <v>2276</v>
      </c>
      <c r="E548">
        <v>0</v>
      </c>
      <c r="F548" t="s">
        <v>249</v>
      </c>
      <c r="G548">
        <v>4</v>
      </c>
      <c r="H548" t="s">
        <v>270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207</v>
      </c>
      <c r="B549" t="s">
        <v>9</v>
      </c>
      <c r="C549">
        <v>8</v>
      </c>
      <c r="D549">
        <v>2576</v>
      </c>
      <c r="E549">
        <v>3</v>
      </c>
      <c r="F549" t="s">
        <v>249</v>
      </c>
      <c r="G549">
        <v>4</v>
      </c>
      <c r="H549" t="s">
        <v>270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207</v>
      </c>
      <c r="B550" t="s">
        <v>9</v>
      </c>
      <c r="C550">
        <v>8</v>
      </c>
      <c r="D550">
        <v>2058</v>
      </c>
      <c r="E550">
        <v>1</v>
      </c>
      <c r="F550" t="s">
        <v>249</v>
      </c>
      <c r="G550">
        <v>5</v>
      </c>
      <c r="H550" t="s">
        <v>270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207</v>
      </c>
      <c r="B551" t="s">
        <v>9</v>
      </c>
      <c r="C551">
        <v>8</v>
      </c>
      <c r="D551">
        <v>2086</v>
      </c>
      <c r="E551">
        <v>1</v>
      </c>
      <c r="F551" t="s">
        <v>34</v>
      </c>
      <c r="G551">
        <v>4</v>
      </c>
      <c r="H551" t="s">
        <v>17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3200</v>
      </c>
    </row>
    <row r="552" spans="1:12">
      <c r="A552" s="10" t="s">
        <v>207</v>
      </c>
      <c r="B552" t="s">
        <v>9</v>
      </c>
      <c r="C552">
        <v>8</v>
      </c>
      <c r="D552">
        <v>2586</v>
      </c>
      <c r="E552">
        <v>3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207</v>
      </c>
      <c r="B553" t="s">
        <v>9</v>
      </c>
      <c r="C553">
        <v>8</v>
      </c>
      <c r="D553">
        <v>2500</v>
      </c>
      <c r="E553">
        <v>1</v>
      </c>
      <c r="F553" t="s">
        <v>34</v>
      </c>
      <c r="G553">
        <v>5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4000</v>
      </c>
    </row>
    <row r="554" spans="1:12">
      <c r="A554" s="10" t="s">
        <v>207</v>
      </c>
      <c r="B554" t="s">
        <v>9</v>
      </c>
      <c r="C554">
        <v>8</v>
      </c>
      <c r="D554">
        <v>2526</v>
      </c>
      <c r="E554">
        <v>0</v>
      </c>
      <c r="F554" t="s">
        <v>249</v>
      </c>
      <c r="G554">
        <v>1</v>
      </c>
      <c r="H554" t="s">
        <v>271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0</v>
      </c>
    </row>
    <row r="555" spans="1:12">
      <c r="A555" s="10" t="s">
        <v>207</v>
      </c>
      <c r="B555" t="s">
        <v>9</v>
      </c>
      <c r="C555">
        <v>8</v>
      </c>
      <c r="D555">
        <v>2483</v>
      </c>
      <c r="E555">
        <v>3</v>
      </c>
      <c r="F555" t="s">
        <v>249</v>
      </c>
      <c r="G555">
        <v>1</v>
      </c>
      <c r="H555" t="s">
        <v>271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207</v>
      </c>
      <c r="B556" t="s">
        <v>9</v>
      </c>
      <c r="C556">
        <v>8</v>
      </c>
      <c r="D556">
        <v>2491</v>
      </c>
      <c r="E556">
        <v>0</v>
      </c>
      <c r="F556" t="s">
        <v>223</v>
      </c>
      <c r="G556" t="s">
        <v>290</v>
      </c>
      <c r="H556" t="s">
        <v>26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207</v>
      </c>
      <c r="B557" t="s">
        <v>9</v>
      </c>
      <c r="C557">
        <v>8</v>
      </c>
      <c r="D557">
        <v>2730</v>
      </c>
      <c r="E557">
        <v>0</v>
      </c>
      <c r="F557" t="s">
        <v>34</v>
      </c>
      <c r="G557">
        <v>4</v>
      </c>
      <c r="H557" t="s">
        <v>17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3200</v>
      </c>
    </row>
    <row r="558" spans="1:12">
      <c r="A558" s="10" t="s">
        <v>207</v>
      </c>
      <c r="B558" t="s">
        <v>9</v>
      </c>
      <c r="C558">
        <v>8</v>
      </c>
      <c r="D558">
        <v>2671</v>
      </c>
      <c r="E558">
        <v>2</v>
      </c>
      <c r="F558" t="s">
        <v>249</v>
      </c>
      <c r="G558">
        <v>4</v>
      </c>
      <c r="H558" t="s">
        <v>270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0</v>
      </c>
    </row>
    <row r="559" spans="1:12">
      <c r="A559" s="10" t="s">
        <v>207</v>
      </c>
      <c r="B559" t="s">
        <v>9</v>
      </c>
      <c r="C559">
        <v>8</v>
      </c>
      <c r="D559">
        <v>2186</v>
      </c>
      <c r="E559">
        <v>1</v>
      </c>
      <c r="F559" t="s">
        <v>206</v>
      </c>
      <c r="G559">
        <v>1</v>
      </c>
      <c r="H559" t="s">
        <v>17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207</v>
      </c>
      <c r="B560" t="s">
        <v>9</v>
      </c>
      <c r="C560">
        <v>8</v>
      </c>
      <c r="D560">
        <v>2316</v>
      </c>
      <c r="E560">
        <v>0</v>
      </c>
      <c r="F560" t="s">
        <v>249</v>
      </c>
      <c r="G560">
        <v>3</v>
      </c>
      <c r="H560" t="s">
        <v>270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207</v>
      </c>
      <c r="B561" t="s">
        <v>9</v>
      </c>
      <c r="C561">
        <v>8</v>
      </c>
      <c r="D561">
        <v>2046</v>
      </c>
      <c r="E561">
        <v>1</v>
      </c>
      <c r="F561" t="s">
        <v>249</v>
      </c>
      <c r="G561">
        <v>4</v>
      </c>
      <c r="H561" t="s">
        <v>270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207</v>
      </c>
      <c r="B562" t="s">
        <v>9</v>
      </c>
      <c r="C562">
        <v>8</v>
      </c>
      <c r="D562">
        <v>2303</v>
      </c>
      <c r="E562">
        <v>3</v>
      </c>
      <c r="F562" t="s">
        <v>249</v>
      </c>
      <c r="G562">
        <v>1</v>
      </c>
      <c r="H562" t="s">
        <v>292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207</v>
      </c>
      <c r="B563" t="s">
        <v>9</v>
      </c>
      <c r="C563">
        <v>8</v>
      </c>
      <c r="D563">
        <v>2396</v>
      </c>
      <c r="E563">
        <v>1</v>
      </c>
      <c r="F563" t="s">
        <v>249</v>
      </c>
      <c r="G563">
        <v>1</v>
      </c>
      <c r="H563" t="s">
        <v>292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207</v>
      </c>
      <c r="B564" t="s">
        <v>9</v>
      </c>
      <c r="C564">
        <v>8</v>
      </c>
      <c r="D564">
        <v>2325</v>
      </c>
      <c r="E564">
        <v>1</v>
      </c>
      <c r="F564" t="s">
        <v>249</v>
      </c>
      <c r="G564">
        <v>2</v>
      </c>
      <c r="H564" t="s">
        <v>271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207</v>
      </c>
      <c r="B565" t="s">
        <v>9</v>
      </c>
      <c r="C565">
        <v>8</v>
      </c>
      <c r="D565">
        <v>2398</v>
      </c>
      <c r="E565">
        <v>1</v>
      </c>
      <c r="F565" t="s">
        <v>249</v>
      </c>
      <c r="G565">
        <v>3</v>
      </c>
      <c r="H565" t="s">
        <v>270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207</v>
      </c>
      <c r="B566" t="s">
        <v>9</v>
      </c>
      <c r="C566">
        <v>8</v>
      </c>
      <c r="D566">
        <v>2668</v>
      </c>
      <c r="E566">
        <v>0</v>
      </c>
      <c r="F566" t="s">
        <v>249</v>
      </c>
      <c r="G566">
        <v>3</v>
      </c>
      <c r="H566" t="s">
        <v>271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36</v>
      </c>
      <c r="B567" t="s">
        <v>9</v>
      </c>
      <c r="C567">
        <v>7</v>
      </c>
      <c r="D567">
        <v>3002</v>
      </c>
      <c r="E567">
        <v>2</v>
      </c>
      <c r="F567" t="s">
        <v>252</v>
      </c>
      <c r="G567">
        <v>2</v>
      </c>
      <c r="H567" t="s">
        <v>292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36</v>
      </c>
      <c r="B568" t="s">
        <v>9</v>
      </c>
      <c r="C568">
        <v>7</v>
      </c>
      <c r="D568">
        <v>2021</v>
      </c>
      <c r="E568">
        <v>1</v>
      </c>
      <c r="F568" t="s">
        <v>252</v>
      </c>
      <c r="G568">
        <v>1</v>
      </c>
      <c r="H568" t="s">
        <v>292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36</v>
      </c>
      <c r="B569" t="s">
        <v>9</v>
      </c>
      <c r="C569">
        <v>7</v>
      </c>
      <c r="D569">
        <v>2168</v>
      </c>
      <c r="E569">
        <v>0</v>
      </c>
      <c r="F569" t="s">
        <v>252</v>
      </c>
      <c r="G569">
        <v>4</v>
      </c>
      <c r="H569" t="s">
        <v>270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36</v>
      </c>
      <c r="B570" t="s">
        <v>9</v>
      </c>
      <c r="C570">
        <v>7</v>
      </c>
      <c r="D570">
        <v>2540</v>
      </c>
      <c r="E570">
        <v>3</v>
      </c>
      <c r="F570" t="s">
        <v>252</v>
      </c>
      <c r="G570">
        <v>1</v>
      </c>
      <c r="H570" t="s">
        <v>292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36</v>
      </c>
      <c r="B571" t="s">
        <v>9</v>
      </c>
      <c r="C571">
        <v>7</v>
      </c>
      <c r="D571">
        <v>2251</v>
      </c>
      <c r="E571">
        <v>1</v>
      </c>
      <c r="F571" t="s">
        <v>252</v>
      </c>
      <c r="G571">
        <v>1</v>
      </c>
      <c r="H571" t="s">
        <v>292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36</v>
      </c>
      <c r="B572" t="s">
        <v>9</v>
      </c>
      <c r="C572">
        <v>7</v>
      </c>
      <c r="D572">
        <v>2591</v>
      </c>
      <c r="E572">
        <v>1</v>
      </c>
      <c r="F572" t="s">
        <v>252</v>
      </c>
      <c r="G572">
        <v>4</v>
      </c>
      <c r="H572" t="s">
        <v>270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36</v>
      </c>
      <c r="B573" t="s">
        <v>9</v>
      </c>
      <c r="C573">
        <v>7</v>
      </c>
      <c r="D573">
        <v>2238</v>
      </c>
      <c r="E573">
        <v>1</v>
      </c>
      <c r="F573" t="s">
        <v>252</v>
      </c>
      <c r="G573">
        <v>3</v>
      </c>
      <c r="H573" t="s">
        <v>292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36</v>
      </c>
      <c r="B574" t="s">
        <v>9</v>
      </c>
      <c r="C574">
        <v>7</v>
      </c>
      <c r="D574">
        <v>2506</v>
      </c>
      <c r="E574">
        <v>0</v>
      </c>
      <c r="F574" t="s">
        <v>252</v>
      </c>
      <c r="G574">
        <v>3</v>
      </c>
      <c r="H574" t="s">
        <v>292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36</v>
      </c>
      <c r="B575" t="s">
        <v>9</v>
      </c>
      <c r="C575">
        <v>7</v>
      </c>
      <c r="D575">
        <v>2339</v>
      </c>
      <c r="E575">
        <v>0</v>
      </c>
      <c r="F575" t="s">
        <v>252</v>
      </c>
      <c r="G575">
        <v>4</v>
      </c>
      <c r="H575" t="s">
        <v>270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36</v>
      </c>
      <c r="B576" t="s">
        <v>9</v>
      </c>
      <c r="C576">
        <v>7</v>
      </c>
      <c r="D576">
        <v>2207</v>
      </c>
      <c r="E576">
        <v>1</v>
      </c>
      <c r="F576" t="s">
        <v>252</v>
      </c>
      <c r="G576">
        <v>3</v>
      </c>
      <c r="H576" t="s">
        <v>270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36</v>
      </c>
      <c r="B577" t="s">
        <v>9</v>
      </c>
      <c r="C577">
        <v>7</v>
      </c>
      <c r="D577">
        <v>1988</v>
      </c>
      <c r="E577">
        <v>0</v>
      </c>
      <c r="F577" t="s">
        <v>249</v>
      </c>
      <c r="G577">
        <v>3</v>
      </c>
      <c r="H577" t="s">
        <v>270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36</v>
      </c>
      <c r="B578" t="s">
        <v>9</v>
      </c>
      <c r="C578">
        <v>7</v>
      </c>
      <c r="D578">
        <v>2659</v>
      </c>
      <c r="E578">
        <v>0</v>
      </c>
      <c r="F578" t="s">
        <v>252</v>
      </c>
      <c r="G578">
        <v>5</v>
      </c>
      <c r="H578" t="s">
        <v>270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36</v>
      </c>
      <c r="B579" t="s">
        <v>9</v>
      </c>
      <c r="C579">
        <v>7</v>
      </c>
      <c r="D579">
        <v>2237</v>
      </c>
      <c r="E579">
        <v>0</v>
      </c>
      <c r="F579" t="s">
        <v>34</v>
      </c>
      <c r="G579">
        <v>4</v>
      </c>
      <c r="H579" t="s">
        <v>17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3200</v>
      </c>
    </row>
    <row r="580" spans="1:12">
      <c r="A580" s="10" t="s">
        <v>36</v>
      </c>
      <c r="B580" t="s">
        <v>9</v>
      </c>
      <c r="C580">
        <v>7</v>
      </c>
      <c r="D580">
        <v>2137</v>
      </c>
      <c r="E580">
        <v>1</v>
      </c>
      <c r="F580" t="s">
        <v>143</v>
      </c>
      <c r="G580">
        <v>1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0</v>
      </c>
    </row>
    <row r="581" spans="1:12">
      <c r="A581" s="10" t="s">
        <v>36</v>
      </c>
      <c r="B581" t="s">
        <v>9</v>
      </c>
      <c r="C581">
        <v>7</v>
      </c>
      <c r="D581">
        <v>2588</v>
      </c>
      <c r="E581">
        <v>1</v>
      </c>
      <c r="F581" t="s">
        <v>252</v>
      </c>
      <c r="G581">
        <v>3</v>
      </c>
      <c r="H581" t="s">
        <v>270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36</v>
      </c>
      <c r="B582" t="s">
        <v>9</v>
      </c>
      <c r="C582">
        <v>7</v>
      </c>
      <c r="D582">
        <v>2248</v>
      </c>
      <c r="E582">
        <v>1</v>
      </c>
      <c r="F582" t="s">
        <v>252</v>
      </c>
      <c r="G582">
        <v>2</v>
      </c>
      <c r="H582" t="s">
        <v>271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172</v>
      </c>
      <c r="B583" t="s">
        <v>9</v>
      </c>
      <c r="C583">
        <v>6</v>
      </c>
      <c r="D583">
        <v>2097</v>
      </c>
      <c r="E583">
        <v>2</v>
      </c>
      <c r="F583" t="s">
        <v>258</v>
      </c>
      <c r="G583">
        <v>1</v>
      </c>
      <c r="H583" t="s">
        <v>27</v>
      </c>
      <c r="I583">
        <v>3307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31</v>
      </c>
      <c r="B584" t="s">
        <v>30</v>
      </c>
      <c r="C584">
        <v>11</v>
      </c>
      <c r="D584">
        <v>707</v>
      </c>
      <c r="E584">
        <v>1</v>
      </c>
      <c r="I584">
        <v>1824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1504</v>
      </c>
      <c r="E585">
        <v>1</v>
      </c>
      <c r="F585" t="s">
        <v>57</v>
      </c>
      <c r="G585">
        <v>1</v>
      </c>
      <c r="H585" t="s">
        <v>12</v>
      </c>
      <c r="I585">
        <v>0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5" s="43">
        <f>IFERROR(SUMIFS(Tabela10[Fod Worth],Tabela10[Drop],DropAnalityka[[#This Row],[Drop]],Tabela10[Grade],DropAnalityka[[#This Row],[Grade]])*DropAnalityka[[#This Row],[Quality/Quantity]],0)</f>
        <v>11500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1442</v>
      </c>
      <c r="E586">
        <v>1</v>
      </c>
      <c r="F586" t="s">
        <v>57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1510</v>
      </c>
      <c r="E587">
        <v>0</v>
      </c>
      <c r="I587">
        <v>1824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7" s="43">
        <f>IFERROR(SUMIFS(Tabela10[Fod Worth],Tabela10[Drop],DropAnalityka[[#This Row],[Drop]],Tabela10[Grade],DropAnalityka[[#This Row],[Grade]])*DropAnalityka[[#This Row],[Quality/Quantity]],0)</f>
        <v>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1606</v>
      </c>
      <c r="E588">
        <v>0</v>
      </c>
      <c r="F588" t="s">
        <v>34</v>
      </c>
      <c r="G588">
        <v>2</v>
      </c>
      <c r="H588" t="s">
        <v>17</v>
      </c>
      <c r="I588">
        <v>0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1600</v>
      </c>
    </row>
    <row r="589" spans="1:12">
      <c r="A589" s="10" t="s">
        <v>31</v>
      </c>
      <c r="B589" t="s">
        <v>30</v>
      </c>
      <c r="C589">
        <v>11</v>
      </c>
      <c r="D589">
        <v>1532</v>
      </c>
      <c r="E589">
        <v>1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1918</v>
      </c>
      <c r="E590">
        <v>0</v>
      </c>
      <c r="I590">
        <v>1824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0</v>
      </c>
    </row>
    <row r="591" spans="1:12">
      <c r="A591" s="10" t="s">
        <v>31</v>
      </c>
      <c r="B591" t="s">
        <v>30</v>
      </c>
      <c r="C591">
        <v>11</v>
      </c>
      <c r="D591">
        <v>2175</v>
      </c>
      <c r="E591">
        <v>2</v>
      </c>
      <c r="F591" t="s">
        <v>34</v>
      </c>
      <c r="G591">
        <v>2</v>
      </c>
      <c r="H591" t="s">
        <v>17</v>
      </c>
      <c r="I591">
        <v>0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1600</v>
      </c>
    </row>
    <row r="592" spans="1:12">
      <c r="A592" s="10" t="s">
        <v>31</v>
      </c>
      <c r="B592" t="s">
        <v>30</v>
      </c>
      <c r="C592">
        <v>11</v>
      </c>
      <c r="D592">
        <v>1952</v>
      </c>
      <c r="E592">
        <v>2</v>
      </c>
      <c r="I592">
        <v>3182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0</v>
      </c>
    </row>
    <row r="593" spans="1:12">
      <c r="A593" s="10" t="s">
        <v>31</v>
      </c>
      <c r="B593" t="s">
        <v>30</v>
      </c>
      <c r="C593">
        <v>11</v>
      </c>
      <c r="D593">
        <v>2050</v>
      </c>
      <c r="E593">
        <v>0</v>
      </c>
      <c r="I593">
        <v>3427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1235</v>
      </c>
      <c r="E594">
        <v>0</v>
      </c>
      <c r="I594">
        <v>1824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1960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1632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1128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1864</v>
      </c>
      <c r="E598">
        <v>1</v>
      </c>
      <c r="F598" t="s">
        <v>34</v>
      </c>
      <c r="G598">
        <v>2</v>
      </c>
      <c r="H598" t="s">
        <v>17</v>
      </c>
      <c r="I598">
        <v>0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1600</v>
      </c>
    </row>
    <row r="599" spans="1:12">
      <c r="A599" s="10" t="s">
        <v>31</v>
      </c>
      <c r="B599" t="s">
        <v>30</v>
      </c>
      <c r="C599">
        <v>11</v>
      </c>
      <c r="D599">
        <v>1372</v>
      </c>
      <c r="E599">
        <v>0</v>
      </c>
      <c r="I599">
        <v>2280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0</v>
      </c>
    </row>
    <row r="600" spans="1:12">
      <c r="A600" s="10" t="s">
        <v>31</v>
      </c>
      <c r="B600" t="s">
        <v>30</v>
      </c>
      <c r="C600">
        <v>11</v>
      </c>
      <c r="D600">
        <v>1560</v>
      </c>
      <c r="E600">
        <v>3</v>
      </c>
      <c r="I600">
        <v>1824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971</v>
      </c>
      <c r="E601">
        <v>1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1750</v>
      </c>
      <c r="E602">
        <v>2</v>
      </c>
      <c r="I602">
        <v>2128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586</v>
      </c>
      <c r="E603">
        <v>1</v>
      </c>
      <c r="F603" t="s">
        <v>57</v>
      </c>
      <c r="G603">
        <v>1</v>
      </c>
      <c r="H603" t="s">
        <v>12</v>
      </c>
      <c r="I603">
        <v>0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3" s="43">
        <f>IFERROR(SUMIFS(Tabela10[Fod Worth],Tabela10[Drop],DropAnalityka[[#This Row],[Drop]],Tabela10[Grade],DropAnalityka[[#This Row],[Grade]])*DropAnalityka[[#This Row],[Quality/Quantity]],0)</f>
        <v>11500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1287</v>
      </c>
      <c r="E604">
        <v>4</v>
      </c>
      <c r="F604" t="s">
        <v>34</v>
      </c>
      <c r="G604">
        <v>2</v>
      </c>
      <c r="H604" t="s">
        <v>17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4" s="43">
        <f>IFERROR(SUMIFS(Tabela10[Fod Worth],Tabela10[Drop],DropAnalityka[[#This Row],[Drop]],Tabela10[Grade],DropAnalityka[[#This Row],[Grade]])*DropAnalityka[[#This Row],[Quality/Quantity]],0)</f>
        <v>0</v>
      </c>
      <c r="L604" s="43">
        <f>IFERROR(SUMIFS(Tabela10[Exp Gain only 2*+],Tabela10[Drop],DropAnalityka[[#This Row],[Drop]],Tabela10[Grade],DropAnalityka[[#This Row],[Grade]])*DropAnalityka[[#This Row],[Quality/Quantity]],0)</f>
        <v>1600</v>
      </c>
    </row>
    <row r="605" spans="1:12">
      <c r="A605" s="10" t="s">
        <v>31</v>
      </c>
      <c r="B605" t="s">
        <v>30</v>
      </c>
      <c r="C605">
        <v>11</v>
      </c>
      <c r="D605">
        <v>1485</v>
      </c>
      <c r="E605">
        <v>1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2328</v>
      </c>
      <c r="E606">
        <v>2</v>
      </c>
      <c r="I606">
        <v>1824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0</v>
      </c>
    </row>
    <row r="607" spans="1:12">
      <c r="A607" s="10" t="s">
        <v>31</v>
      </c>
      <c r="B607" t="s">
        <v>30</v>
      </c>
      <c r="C607">
        <v>11</v>
      </c>
      <c r="D607">
        <v>1784</v>
      </c>
      <c r="E607">
        <v>1</v>
      </c>
      <c r="F607" t="s">
        <v>34</v>
      </c>
      <c r="G607">
        <v>2</v>
      </c>
      <c r="H607" t="s">
        <v>17</v>
      </c>
      <c r="I607">
        <v>0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1600</v>
      </c>
    </row>
    <row r="608" spans="1:12">
      <c r="A608" s="10" t="s">
        <v>31</v>
      </c>
      <c r="B608" t="s">
        <v>30</v>
      </c>
      <c r="C608">
        <v>11</v>
      </c>
      <c r="D608">
        <v>2122</v>
      </c>
      <c r="E608">
        <v>2</v>
      </c>
      <c r="I608">
        <v>1976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0</v>
      </c>
    </row>
    <row r="609" spans="1:12">
      <c r="A609" s="10" t="s">
        <v>31</v>
      </c>
      <c r="B609" t="s">
        <v>30</v>
      </c>
      <c r="C609">
        <v>11</v>
      </c>
      <c r="D609">
        <v>1311</v>
      </c>
      <c r="E609">
        <v>0</v>
      </c>
      <c r="I609">
        <v>1824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1185</v>
      </c>
      <c r="E610">
        <v>0</v>
      </c>
      <c r="F610" t="s">
        <v>57</v>
      </c>
      <c r="G610">
        <v>1</v>
      </c>
      <c r="H610" t="s">
        <v>12</v>
      </c>
      <c r="I610">
        <v>0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0" s="43">
        <f>IFERROR(SUMIFS(Tabela10[Fod Worth],Tabela10[Drop],DropAnalityka[[#This Row],[Drop]],Tabela10[Grade],DropAnalityka[[#This Row],[Grade]])*DropAnalityka[[#This Row],[Quality/Quantity]],0)</f>
        <v>11500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1211</v>
      </c>
      <c r="E611">
        <v>1</v>
      </c>
      <c r="I611">
        <v>2937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1" s="43">
        <f>IFERROR(SUMIFS(Tabela10[Fod Worth],Tabela10[Drop],DropAnalityka[[#This Row],[Drop]],Tabela10[Grade],DropAnalityka[[#This Row],[Grade]])*DropAnalityka[[#This Row],[Quality/Quantity]],0)</f>
        <v>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1078</v>
      </c>
      <c r="E612">
        <v>1</v>
      </c>
      <c r="I612">
        <v>1824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1832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1974</v>
      </c>
      <c r="E614">
        <v>1</v>
      </c>
      <c r="I614">
        <v>3427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8</v>
      </c>
      <c r="B615" t="s">
        <v>32</v>
      </c>
      <c r="C615">
        <v>3</v>
      </c>
      <c r="D615">
        <v>1628</v>
      </c>
      <c r="E615">
        <v>2</v>
      </c>
      <c r="I615">
        <v>1159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1636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2219</v>
      </c>
      <c r="E617">
        <v>0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31</v>
      </c>
      <c r="B618" t="s">
        <v>30</v>
      </c>
      <c r="C618">
        <v>11</v>
      </c>
      <c r="D618">
        <v>2000</v>
      </c>
      <c r="E618">
        <v>2</v>
      </c>
      <c r="F618" t="s">
        <v>34</v>
      </c>
      <c r="G618">
        <v>2</v>
      </c>
      <c r="H618" t="s">
        <v>17</v>
      </c>
      <c r="I618">
        <v>0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1600</v>
      </c>
    </row>
    <row r="619" spans="1:12">
      <c r="A619" s="10" t="s">
        <v>31</v>
      </c>
      <c r="B619" t="s">
        <v>30</v>
      </c>
      <c r="C619">
        <v>11</v>
      </c>
      <c r="D619">
        <v>1918</v>
      </c>
      <c r="E619">
        <v>0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1961</v>
      </c>
      <c r="E620">
        <v>1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1686</v>
      </c>
      <c r="E621">
        <v>1</v>
      </c>
      <c r="I621">
        <v>1824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0</v>
      </c>
    </row>
    <row r="622" spans="1:12">
      <c r="A622" s="10" t="s">
        <v>31</v>
      </c>
      <c r="B622" t="s">
        <v>30</v>
      </c>
      <c r="C622">
        <v>11</v>
      </c>
      <c r="D622">
        <v>1336</v>
      </c>
      <c r="E622">
        <v>1</v>
      </c>
      <c r="I622">
        <v>1976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2019</v>
      </c>
      <c r="E623">
        <v>2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2327</v>
      </c>
      <c r="E624">
        <v>1</v>
      </c>
      <c r="I624">
        <v>1824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1196</v>
      </c>
      <c r="E625">
        <v>0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1637</v>
      </c>
      <c r="E626">
        <v>0</v>
      </c>
      <c r="I626">
        <v>2937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1391</v>
      </c>
      <c r="E627">
        <v>2</v>
      </c>
      <c r="I627">
        <v>1824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895</v>
      </c>
      <c r="E628">
        <v>0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1297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1906</v>
      </c>
      <c r="E630">
        <v>1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1554</v>
      </c>
      <c r="E631">
        <v>0</v>
      </c>
      <c r="I631">
        <v>2937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1561</v>
      </c>
      <c r="E632">
        <v>0</v>
      </c>
      <c r="I632">
        <v>3182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1059</v>
      </c>
      <c r="E633">
        <v>0</v>
      </c>
      <c r="I633">
        <v>2128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1954</v>
      </c>
      <c r="E634">
        <v>0</v>
      </c>
      <c r="F634" t="s">
        <v>34</v>
      </c>
      <c r="G634">
        <v>2</v>
      </c>
      <c r="H634" t="s">
        <v>17</v>
      </c>
      <c r="I634">
        <v>0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1600</v>
      </c>
    </row>
    <row r="635" spans="1:12">
      <c r="A635" t="s">
        <v>8</v>
      </c>
      <c r="B635" t="s">
        <v>32</v>
      </c>
      <c r="C635">
        <v>13</v>
      </c>
      <c r="D635">
        <v>1836</v>
      </c>
      <c r="E635">
        <v>1</v>
      </c>
      <c r="I635">
        <v>1352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0</v>
      </c>
    </row>
    <row r="636" spans="1:12">
      <c r="A636" t="s">
        <v>8</v>
      </c>
      <c r="B636" t="s">
        <v>32</v>
      </c>
      <c r="C636">
        <v>13</v>
      </c>
      <c r="D636">
        <v>1596</v>
      </c>
      <c r="E636">
        <v>1</v>
      </c>
      <c r="F636" t="s">
        <v>34</v>
      </c>
      <c r="G636">
        <v>3</v>
      </c>
      <c r="H636" t="s">
        <v>17</v>
      </c>
      <c r="I636">
        <v>0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2400</v>
      </c>
    </row>
    <row r="637" spans="1:12">
      <c r="A637" t="s">
        <v>8</v>
      </c>
      <c r="B637" t="s">
        <v>32</v>
      </c>
      <c r="C637">
        <v>13</v>
      </c>
      <c r="D637">
        <v>1249</v>
      </c>
      <c r="E637">
        <v>1</v>
      </c>
      <c r="I637">
        <v>1352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0</v>
      </c>
    </row>
    <row r="638" spans="1:12">
      <c r="A638" t="s">
        <v>8</v>
      </c>
      <c r="B638" t="s">
        <v>32</v>
      </c>
      <c r="C638">
        <v>13</v>
      </c>
      <c r="D638">
        <v>1211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1264</v>
      </c>
      <c r="E639">
        <v>2</v>
      </c>
      <c r="I639">
        <v>2411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2595</v>
      </c>
      <c r="E640">
        <v>0</v>
      </c>
      <c r="I640">
        <v>2067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1424</v>
      </c>
      <c r="E641">
        <v>2</v>
      </c>
      <c r="I641">
        <v>1159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1971</v>
      </c>
      <c r="E642">
        <v>1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2145</v>
      </c>
      <c r="E643">
        <v>0</v>
      </c>
      <c r="I643">
        <v>2067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2223</v>
      </c>
      <c r="E644">
        <v>0</v>
      </c>
      <c r="I644">
        <v>1546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2364</v>
      </c>
      <c r="E645">
        <v>1</v>
      </c>
      <c r="I645">
        <v>1159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781</v>
      </c>
      <c r="E646">
        <v>0</v>
      </c>
      <c r="I646">
        <v>2067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904</v>
      </c>
      <c r="E647">
        <v>2</v>
      </c>
      <c r="F647" t="s">
        <v>34</v>
      </c>
      <c r="G647">
        <v>3</v>
      </c>
      <c r="H647" t="s">
        <v>17</v>
      </c>
      <c r="I647">
        <v>0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2400</v>
      </c>
    </row>
    <row r="648" spans="1:13">
      <c r="A648" t="s">
        <v>8</v>
      </c>
      <c r="B648" t="s">
        <v>32</v>
      </c>
      <c r="C648">
        <v>13</v>
      </c>
      <c r="D648">
        <v>1500</v>
      </c>
      <c r="E648">
        <v>0</v>
      </c>
      <c r="I648">
        <v>1159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0</v>
      </c>
    </row>
    <row r="649" spans="1:13">
      <c r="A649" t="s">
        <v>8</v>
      </c>
      <c r="B649" t="s">
        <v>32</v>
      </c>
      <c r="C649">
        <v>13</v>
      </c>
      <c r="D649">
        <v>1071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1683</v>
      </c>
      <c r="E650">
        <v>2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1102</v>
      </c>
      <c r="E651">
        <v>0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1495</v>
      </c>
      <c r="E652">
        <v>1</v>
      </c>
      <c r="F652" t="s">
        <v>34</v>
      </c>
      <c r="G652">
        <v>3</v>
      </c>
      <c r="H652" t="s">
        <v>17</v>
      </c>
      <c r="I652">
        <v>0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2400</v>
      </c>
      <c r="M652">
        <v>92</v>
      </c>
    </row>
    <row r="653" spans="1:13">
      <c r="A653" t="s">
        <v>31</v>
      </c>
      <c r="B653" t="s">
        <v>30</v>
      </c>
      <c r="C653">
        <v>11</v>
      </c>
      <c r="D653">
        <v>946</v>
      </c>
      <c r="E653">
        <v>0</v>
      </c>
      <c r="I653">
        <v>1824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0</v>
      </c>
    </row>
    <row r="654" spans="1:13">
      <c r="A654" s="10" t="s">
        <v>36</v>
      </c>
      <c r="B654" t="s">
        <v>9</v>
      </c>
      <c r="C654">
        <v>7</v>
      </c>
      <c r="D654">
        <v>2381</v>
      </c>
      <c r="E654">
        <v>2</v>
      </c>
      <c r="F654" t="s">
        <v>252</v>
      </c>
      <c r="G654">
        <v>4</v>
      </c>
      <c r="H654" t="s">
        <v>270</v>
      </c>
      <c r="I654">
        <v>0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36</v>
      </c>
      <c r="B655" t="s">
        <v>9</v>
      </c>
      <c r="C655">
        <v>7</v>
      </c>
      <c r="D655">
        <v>2191</v>
      </c>
      <c r="E655">
        <v>1</v>
      </c>
      <c r="F655" t="s">
        <v>252</v>
      </c>
      <c r="G655">
        <v>1</v>
      </c>
      <c r="H655" t="s">
        <v>271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36</v>
      </c>
      <c r="B656" t="s">
        <v>9</v>
      </c>
      <c r="C656">
        <v>7</v>
      </c>
      <c r="D656">
        <v>2209</v>
      </c>
      <c r="E656">
        <v>0</v>
      </c>
      <c r="F656" t="s">
        <v>252</v>
      </c>
      <c r="G656">
        <v>1</v>
      </c>
      <c r="H656" t="s">
        <v>292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36</v>
      </c>
      <c r="B657" t="s">
        <v>9</v>
      </c>
      <c r="C657">
        <v>7</v>
      </c>
      <c r="D657">
        <v>2202</v>
      </c>
      <c r="E657">
        <v>1</v>
      </c>
      <c r="F657" t="s">
        <v>249</v>
      </c>
      <c r="G657">
        <v>1</v>
      </c>
      <c r="H657" t="s">
        <v>292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36</v>
      </c>
      <c r="B658" t="s">
        <v>9</v>
      </c>
      <c r="C658">
        <v>7</v>
      </c>
      <c r="D658">
        <v>2118</v>
      </c>
      <c r="E658">
        <v>0</v>
      </c>
      <c r="F658" t="s">
        <v>34</v>
      </c>
      <c r="G658">
        <v>4</v>
      </c>
      <c r="H658" t="s">
        <v>17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3200</v>
      </c>
    </row>
    <row r="659" spans="1:12">
      <c r="A659" s="10" t="s">
        <v>36</v>
      </c>
      <c r="B659" t="s">
        <v>9</v>
      </c>
      <c r="C659">
        <v>7</v>
      </c>
      <c r="D659">
        <v>2413</v>
      </c>
      <c r="E659">
        <v>1</v>
      </c>
      <c r="F659" t="s">
        <v>252</v>
      </c>
      <c r="G659">
        <v>1</v>
      </c>
      <c r="H659" t="s">
        <v>292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0</v>
      </c>
    </row>
    <row r="660" spans="1:12">
      <c r="A660" s="10" t="s">
        <v>36</v>
      </c>
      <c r="B660" t="s">
        <v>9</v>
      </c>
      <c r="C660">
        <v>7</v>
      </c>
      <c r="D660">
        <v>2546</v>
      </c>
      <c r="E660">
        <v>2</v>
      </c>
      <c r="F660" t="s">
        <v>34</v>
      </c>
      <c r="G660">
        <v>4</v>
      </c>
      <c r="H660" t="s">
        <v>17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3200</v>
      </c>
    </row>
    <row r="661" spans="1:12">
      <c r="A661" s="10" t="s">
        <v>36</v>
      </c>
      <c r="B661" t="s">
        <v>9</v>
      </c>
      <c r="C661">
        <v>7</v>
      </c>
      <c r="D661">
        <v>1950</v>
      </c>
      <c r="E661">
        <v>0</v>
      </c>
      <c r="F661" t="s">
        <v>252</v>
      </c>
      <c r="G661">
        <v>1</v>
      </c>
      <c r="H661" t="s">
        <v>292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0</v>
      </c>
    </row>
    <row r="662" spans="1:12">
      <c r="A662" s="10" t="s">
        <v>36</v>
      </c>
      <c r="B662" t="s">
        <v>9</v>
      </c>
      <c r="C662">
        <v>7</v>
      </c>
      <c r="D662">
        <v>2444</v>
      </c>
      <c r="E662">
        <v>1</v>
      </c>
      <c r="F662" t="s">
        <v>252</v>
      </c>
      <c r="G662">
        <v>5</v>
      </c>
      <c r="H662" t="s">
        <v>270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36</v>
      </c>
      <c r="B663" t="s">
        <v>9</v>
      </c>
      <c r="C663">
        <v>7</v>
      </c>
      <c r="D663">
        <v>2293</v>
      </c>
      <c r="E663">
        <v>1</v>
      </c>
      <c r="F663" t="s">
        <v>252</v>
      </c>
      <c r="G663">
        <v>4</v>
      </c>
      <c r="H663" t="s">
        <v>270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36</v>
      </c>
      <c r="B664" t="s">
        <v>9</v>
      </c>
      <c r="C664">
        <v>7</v>
      </c>
      <c r="D664">
        <v>2100</v>
      </c>
      <c r="E664">
        <v>0</v>
      </c>
      <c r="F664" t="s">
        <v>252</v>
      </c>
      <c r="G664">
        <v>2</v>
      </c>
      <c r="H664" t="s">
        <v>292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36</v>
      </c>
      <c r="B665" t="s">
        <v>9</v>
      </c>
      <c r="C665">
        <v>7</v>
      </c>
      <c r="D665">
        <v>2235</v>
      </c>
      <c r="E665">
        <v>1</v>
      </c>
      <c r="F665" t="s">
        <v>252</v>
      </c>
      <c r="G665">
        <v>1</v>
      </c>
      <c r="H665" t="s">
        <v>292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36</v>
      </c>
      <c r="B666" t="s">
        <v>9</v>
      </c>
      <c r="C666">
        <v>7</v>
      </c>
      <c r="D666">
        <v>2213</v>
      </c>
      <c r="E666">
        <v>0</v>
      </c>
      <c r="F666" t="s">
        <v>252</v>
      </c>
      <c r="G666">
        <v>3</v>
      </c>
      <c r="H666" t="s">
        <v>270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36</v>
      </c>
      <c r="B667" t="s">
        <v>9</v>
      </c>
      <c r="C667">
        <v>7</v>
      </c>
      <c r="D667">
        <v>2376</v>
      </c>
      <c r="E667">
        <v>1</v>
      </c>
      <c r="F667" t="s">
        <v>250</v>
      </c>
      <c r="G667">
        <v>1</v>
      </c>
      <c r="H667" t="s">
        <v>292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36</v>
      </c>
      <c r="B668" t="s">
        <v>9</v>
      </c>
      <c r="C668">
        <v>7</v>
      </c>
      <c r="D668">
        <v>2190</v>
      </c>
      <c r="E668">
        <v>0</v>
      </c>
      <c r="F668" t="s">
        <v>250</v>
      </c>
      <c r="G668">
        <v>2</v>
      </c>
      <c r="H668" t="s">
        <v>292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36</v>
      </c>
      <c r="B669" t="s">
        <v>9</v>
      </c>
      <c r="C669">
        <v>7</v>
      </c>
      <c r="D669">
        <v>2435</v>
      </c>
      <c r="E669">
        <v>1</v>
      </c>
      <c r="F669" t="s">
        <v>252</v>
      </c>
      <c r="G669">
        <v>5</v>
      </c>
      <c r="H669" t="s">
        <v>270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36</v>
      </c>
      <c r="B670" t="s">
        <v>9</v>
      </c>
      <c r="C670">
        <v>7</v>
      </c>
      <c r="D670">
        <v>2777</v>
      </c>
      <c r="E670">
        <v>0</v>
      </c>
      <c r="F670" t="s">
        <v>58</v>
      </c>
      <c r="G670">
        <v>1</v>
      </c>
      <c r="H670" t="s">
        <v>12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11500</v>
      </c>
      <c r="L670" s="43">
        <f>IFERROR(SUMIFS(Tabela10[Exp Gain only 2*+],Tabela10[Drop],DropAnalityka[[#This Row],[Drop]],Tabela10[Grade],DropAnalityka[[#This Row],[Grade]])*DropAnalityka[[#This Row],[Quality/Quantity]],0)</f>
        <v>35822</v>
      </c>
    </row>
    <row r="671" spans="1:12">
      <c r="A671" s="10" t="s">
        <v>36</v>
      </c>
      <c r="B671" t="s">
        <v>9</v>
      </c>
      <c r="C671">
        <v>7</v>
      </c>
      <c r="D671">
        <v>2127</v>
      </c>
      <c r="E671">
        <v>0</v>
      </c>
      <c r="F671" t="s">
        <v>252</v>
      </c>
      <c r="G671">
        <v>3</v>
      </c>
      <c r="H671" t="s">
        <v>270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36</v>
      </c>
      <c r="B672" t="s">
        <v>9</v>
      </c>
      <c r="C672">
        <v>7</v>
      </c>
      <c r="D672">
        <v>2217</v>
      </c>
      <c r="E672">
        <v>1</v>
      </c>
      <c r="F672" t="s">
        <v>252</v>
      </c>
      <c r="G672">
        <v>4</v>
      </c>
      <c r="H672" t="s">
        <v>270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36</v>
      </c>
      <c r="B673" t="s">
        <v>9</v>
      </c>
      <c r="C673">
        <v>7</v>
      </c>
      <c r="D673">
        <v>2126</v>
      </c>
      <c r="E673">
        <v>0</v>
      </c>
      <c r="F673" t="s">
        <v>250</v>
      </c>
      <c r="G673">
        <v>3</v>
      </c>
      <c r="H673" t="s">
        <v>292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36</v>
      </c>
      <c r="B674" t="s">
        <v>9</v>
      </c>
      <c r="C674">
        <v>7</v>
      </c>
      <c r="D674">
        <v>2061</v>
      </c>
      <c r="E674">
        <v>0</v>
      </c>
      <c r="F674" t="s">
        <v>252</v>
      </c>
      <c r="G674">
        <v>5</v>
      </c>
      <c r="H674" t="s">
        <v>270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36</v>
      </c>
      <c r="B675" t="s">
        <v>9</v>
      </c>
      <c r="C675">
        <v>7</v>
      </c>
      <c r="D675">
        <v>1946</v>
      </c>
      <c r="E675">
        <v>0</v>
      </c>
      <c r="F675" t="s">
        <v>18</v>
      </c>
      <c r="G675">
        <v>2</v>
      </c>
      <c r="H675" t="s">
        <v>271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36</v>
      </c>
      <c r="B676" t="s">
        <v>9</v>
      </c>
      <c r="C676">
        <v>7</v>
      </c>
      <c r="D676">
        <v>2497</v>
      </c>
      <c r="E676">
        <v>1</v>
      </c>
      <c r="F676" t="s">
        <v>252</v>
      </c>
      <c r="G676">
        <v>5</v>
      </c>
      <c r="H676" t="s">
        <v>270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36</v>
      </c>
      <c r="B677" t="s">
        <v>9</v>
      </c>
      <c r="C677">
        <v>7</v>
      </c>
      <c r="D677">
        <v>1941</v>
      </c>
      <c r="E677">
        <v>0</v>
      </c>
      <c r="F677" t="s">
        <v>250</v>
      </c>
      <c r="G677">
        <v>1</v>
      </c>
      <c r="H677" t="s">
        <v>292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t="s">
        <v>172</v>
      </c>
      <c r="B678" t="s">
        <v>9</v>
      </c>
      <c r="C678">
        <v>8</v>
      </c>
      <c r="D678">
        <v>3681</v>
      </c>
      <c r="E678">
        <v>1</v>
      </c>
      <c r="F678" t="s">
        <v>258</v>
      </c>
      <c r="G678">
        <v>1</v>
      </c>
      <c r="H678" t="s">
        <v>27</v>
      </c>
      <c r="I678">
        <v>3300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60</v>
      </c>
      <c r="B679" t="s">
        <v>30</v>
      </c>
      <c r="C679">
        <v>1</v>
      </c>
      <c r="D679">
        <v>830</v>
      </c>
      <c r="E679">
        <v>0</v>
      </c>
      <c r="I679">
        <v>1824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60</v>
      </c>
      <c r="B680" t="s">
        <v>30</v>
      </c>
      <c r="C680">
        <v>1</v>
      </c>
      <c r="D680">
        <v>1949</v>
      </c>
      <c r="E680">
        <v>4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60</v>
      </c>
      <c r="B681" t="s">
        <v>30</v>
      </c>
      <c r="C681">
        <v>1</v>
      </c>
      <c r="D681">
        <v>1975</v>
      </c>
      <c r="E681">
        <v>1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60</v>
      </c>
      <c r="B682" t="s">
        <v>30</v>
      </c>
      <c r="C682">
        <v>1</v>
      </c>
      <c r="D682">
        <v>1446</v>
      </c>
      <c r="E682">
        <v>0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60</v>
      </c>
      <c r="B683" t="s">
        <v>30</v>
      </c>
      <c r="C683">
        <v>1</v>
      </c>
      <c r="D683">
        <v>891</v>
      </c>
      <c r="E683">
        <v>2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60</v>
      </c>
      <c r="B684" t="s">
        <v>30</v>
      </c>
      <c r="C684">
        <v>1</v>
      </c>
      <c r="D684">
        <v>1724</v>
      </c>
      <c r="E684">
        <v>1</v>
      </c>
      <c r="I684">
        <v>2128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60</v>
      </c>
      <c r="B685" t="s">
        <v>30</v>
      </c>
      <c r="C685">
        <v>1</v>
      </c>
      <c r="D685">
        <v>1612</v>
      </c>
      <c r="E685">
        <v>1</v>
      </c>
      <c r="I685">
        <v>1824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60</v>
      </c>
      <c r="B686" t="s">
        <v>30</v>
      </c>
      <c r="C686">
        <v>1</v>
      </c>
      <c r="D686">
        <v>1367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60</v>
      </c>
      <c r="B687" t="s">
        <v>30</v>
      </c>
      <c r="C687">
        <v>1</v>
      </c>
      <c r="D687">
        <v>1529</v>
      </c>
      <c r="E687">
        <v>0</v>
      </c>
      <c r="I687">
        <v>2937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s="10" t="s">
        <v>36</v>
      </c>
      <c r="B688" t="s">
        <v>9</v>
      </c>
      <c r="C688">
        <v>7</v>
      </c>
      <c r="D688">
        <v>2489</v>
      </c>
      <c r="E688">
        <v>0</v>
      </c>
      <c r="F688" t="s">
        <v>34</v>
      </c>
      <c r="G688">
        <v>4</v>
      </c>
      <c r="H688" t="s">
        <v>17</v>
      </c>
      <c r="I688">
        <v>0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3200</v>
      </c>
    </row>
    <row r="689" spans="1:12">
      <c r="A689" s="10" t="s">
        <v>36</v>
      </c>
      <c r="B689" t="s">
        <v>9</v>
      </c>
      <c r="C689">
        <v>7</v>
      </c>
      <c r="D689">
        <v>2683</v>
      </c>
      <c r="E689">
        <v>0</v>
      </c>
      <c r="F689" t="s">
        <v>252</v>
      </c>
      <c r="G689">
        <v>1</v>
      </c>
      <c r="H689" t="s">
        <v>292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0</v>
      </c>
    </row>
    <row r="690" spans="1:12">
      <c r="A690" s="10" t="s">
        <v>36</v>
      </c>
      <c r="B690" t="s">
        <v>9</v>
      </c>
      <c r="C690">
        <v>7</v>
      </c>
      <c r="D690">
        <v>2361</v>
      </c>
      <c r="E690">
        <v>3</v>
      </c>
      <c r="F690" t="s">
        <v>252</v>
      </c>
      <c r="G690">
        <v>1</v>
      </c>
      <c r="H690" t="s">
        <v>271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36</v>
      </c>
      <c r="B691" t="s">
        <v>9</v>
      </c>
      <c r="C691">
        <v>7</v>
      </c>
      <c r="D691">
        <v>2012</v>
      </c>
      <c r="E691">
        <v>1</v>
      </c>
      <c r="F691" t="s">
        <v>252</v>
      </c>
      <c r="G691">
        <v>1</v>
      </c>
      <c r="H691" t="s">
        <v>292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36</v>
      </c>
      <c r="B692" t="s">
        <v>9</v>
      </c>
      <c r="C692">
        <v>7</v>
      </c>
      <c r="D692">
        <v>2525</v>
      </c>
      <c r="E692">
        <v>0</v>
      </c>
      <c r="F692" t="s">
        <v>250</v>
      </c>
      <c r="G692">
        <v>1</v>
      </c>
      <c r="H692" t="s">
        <v>292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36</v>
      </c>
      <c r="B693" t="s">
        <v>9</v>
      </c>
      <c r="C693">
        <v>7</v>
      </c>
      <c r="D693">
        <v>2271</v>
      </c>
      <c r="E693">
        <v>0</v>
      </c>
      <c r="F693" t="s">
        <v>252</v>
      </c>
      <c r="G693">
        <v>4</v>
      </c>
      <c r="H693" t="s">
        <v>270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36</v>
      </c>
      <c r="B694" t="s">
        <v>9</v>
      </c>
      <c r="C694">
        <v>7</v>
      </c>
      <c r="D694">
        <v>2602</v>
      </c>
      <c r="E694">
        <v>1</v>
      </c>
      <c r="F694" t="s">
        <v>18</v>
      </c>
      <c r="G694">
        <v>1</v>
      </c>
      <c r="H694" t="s">
        <v>271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36</v>
      </c>
      <c r="B695" t="s">
        <v>9</v>
      </c>
      <c r="C695">
        <v>7</v>
      </c>
      <c r="D695">
        <v>2453</v>
      </c>
      <c r="E695">
        <v>0</v>
      </c>
      <c r="F695" t="s">
        <v>252</v>
      </c>
      <c r="G695">
        <v>1</v>
      </c>
      <c r="H695" t="s">
        <v>292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36</v>
      </c>
      <c r="B696" t="s">
        <v>9</v>
      </c>
      <c r="C696">
        <v>7</v>
      </c>
      <c r="D696">
        <v>2244</v>
      </c>
      <c r="E696">
        <v>0</v>
      </c>
      <c r="F696" t="s">
        <v>252</v>
      </c>
      <c r="G696">
        <v>5</v>
      </c>
      <c r="H696" t="s">
        <v>270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36</v>
      </c>
      <c r="B697" t="s">
        <v>9</v>
      </c>
      <c r="C697">
        <v>7</v>
      </c>
      <c r="D697">
        <v>2817</v>
      </c>
      <c r="E697">
        <v>0</v>
      </c>
      <c r="F697" t="s">
        <v>252</v>
      </c>
      <c r="G697">
        <v>1</v>
      </c>
      <c r="H697" t="s">
        <v>271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36</v>
      </c>
      <c r="B698" t="s">
        <v>9</v>
      </c>
      <c r="C698">
        <v>7</v>
      </c>
      <c r="D698">
        <v>2234</v>
      </c>
      <c r="E698">
        <v>1</v>
      </c>
      <c r="F698" t="s">
        <v>252</v>
      </c>
      <c r="G698">
        <v>3</v>
      </c>
      <c r="H698" t="s">
        <v>270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36</v>
      </c>
      <c r="B699" t="s">
        <v>9</v>
      </c>
      <c r="C699">
        <v>7</v>
      </c>
      <c r="D699">
        <v>2463</v>
      </c>
      <c r="E699">
        <v>0</v>
      </c>
      <c r="F699" t="s">
        <v>34</v>
      </c>
      <c r="G699">
        <v>4</v>
      </c>
      <c r="H699" t="s">
        <v>17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3200</v>
      </c>
    </row>
    <row r="700" spans="1:12">
      <c r="A700" s="10" t="s">
        <v>36</v>
      </c>
      <c r="B700" t="s">
        <v>9</v>
      </c>
      <c r="C700">
        <v>7</v>
      </c>
      <c r="D700">
        <v>2474</v>
      </c>
      <c r="E700">
        <v>0</v>
      </c>
      <c r="F700" t="s">
        <v>252</v>
      </c>
      <c r="G700">
        <v>5</v>
      </c>
      <c r="H700" t="s">
        <v>270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0</v>
      </c>
    </row>
    <row r="701" spans="1:12">
      <c r="A701" s="10" t="s">
        <v>36</v>
      </c>
      <c r="B701" t="s">
        <v>9</v>
      </c>
      <c r="C701">
        <v>7</v>
      </c>
      <c r="D701">
        <v>2455</v>
      </c>
      <c r="E701">
        <v>0</v>
      </c>
      <c r="F701" t="s">
        <v>252</v>
      </c>
      <c r="G701">
        <v>1</v>
      </c>
      <c r="H701" t="s">
        <v>292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36</v>
      </c>
      <c r="B702" t="s">
        <v>9</v>
      </c>
      <c r="C702">
        <v>7</v>
      </c>
      <c r="D702">
        <v>2373</v>
      </c>
      <c r="E702">
        <v>1</v>
      </c>
      <c r="F702" t="s">
        <v>252</v>
      </c>
      <c r="G702">
        <v>1</v>
      </c>
      <c r="H702" t="s">
        <v>271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36</v>
      </c>
      <c r="B703" t="s">
        <v>9</v>
      </c>
      <c r="C703">
        <v>7</v>
      </c>
      <c r="D703">
        <v>2131</v>
      </c>
      <c r="E703">
        <v>1</v>
      </c>
      <c r="F703" t="s">
        <v>252</v>
      </c>
      <c r="G703">
        <v>1</v>
      </c>
      <c r="H703" t="s">
        <v>292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36</v>
      </c>
      <c r="B704" t="s">
        <v>9</v>
      </c>
      <c r="C704">
        <v>7</v>
      </c>
      <c r="D704">
        <v>2300</v>
      </c>
      <c r="E704">
        <v>0</v>
      </c>
      <c r="F704" t="s">
        <v>34</v>
      </c>
      <c r="G704">
        <v>4</v>
      </c>
      <c r="H704" t="s">
        <v>17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3200</v>
      </c>
    </row>
    <row r="705" spans="1:12">
      <c r="A705" s="10" t="s">
        <v>36</v>
      </c>
      <c r="B705" t="s">
        <v>9</v>
      </c>
      <c r="C705">
        <v>7</v>
      </c>
      <c r="D705">
        <v>2089</v>
      </c>
      <c r="E705">
        <v>0</v>
      </c>
      <c r="F705" t="s">
        <v>252</v>
      </c>
      <c r="G705">
        <v>3</v>
      </c>
      <c r="H705" t="s">
        <v>270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0</v>
      </c>
    </row>
    <row r="706" spans="1:12">
      <c r="A706" s="10" t="s">
        <v>36</v>
      </c>
      <c r="B706" t="s">
        <v>9</v>
      </c>
      <c r="C706">
        <v>7</v>
      </c>
      <c r="D706">
        <v>2291</v>
      </c>
      <c r="E706">
        <v>1</v>
      </c>
      <c r="F706" t="s">
        <v>252</v>
      </c>
      <c r="G706">
        <v>4</v>
      </c>
      <c r="H706" t="s">
        <v>270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t="s">
        <v>173</v>
      </c>
      <c r="B707" t="s">
        <v>9</v>
      </c>
      <c r="C707">
        <v>7</v>
      </c>
      <c r="D707">
        <v>2217</v>
      </c>
      <c r="E707">
        <v>0</v>
      </c>
      <c r="F707" t="s">
        <v>251</v>
      </c>
      <c r="G707">
        <v>2</v>
      </c>
      <c r="H707" t="s">
        <v>292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173</v>
      </c>
      <c r="B708" t="s">
        <v>9</v>
      </c>
      <c r="C708">
        <v>8</v>
      </c>
      <c r="D708">
        <v>2635</v>
      </c>
      <c r="E708">
        <v>0</v>
      </c>
      <c r="F708" t="s">
        <v>34</v>
      </c>
      <c r="G708">
        <v>5</v>
      </c>
      <c r="H708" t="s">
        <v>17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4000</v>
      </c>
    </row>
    <row r="709" spans="1:12">
      <c r="A709" t="s">
        <v>173</v>
      </c>
      <c r="B709" t="s">
        <v>9</v>
      </c>
      <c r="C709">
        <v>8</v>
      </c>
      <c r="D709">
        <v>2286</v>
      </c>
      <c r="E709">
        <v>0</v>
      </c>
      <c r="F709" t="s">
        <v>251</v>
      </c>
      <c r="G709">
        <v>2</v>
      </c>
      <c r="H709" t="s">
        <v>292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0</v>
      </c>
    </row>
    <row r="710" spans="1:12">
      <c r="A710" t="s">
        <v>173</v>
      </c>
      <c r="B710" t="s">
        <v>9</v>
      </c>
      <c r="C710">
        <v>8</v>
      </c>
      <c r="D710">
        <v>2828</v>
      </c>
      <c r="E710">
        <v>0</v>
      </c>
      <c r="F710" t="s">
        <v>251</v>
      </c>
      <c r="G710">
        <v>1</v>
      </c>
      <c r="H710" t="s">
        <v>292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173</v>
      </c>
      <c r="B711" t="s">
        <v>9</v>
      </c>
      <c r="C711">
        <v>9</v>
      </c>
      <c r="D711">
        <v>2917</v>
      </c>
      <c r="E711">
        <v>2</v>
      </c>
      <c r="F711" t="s">
        <v>251</v>
      </c>
      <c r="G711">
        <v>3</v>
      </c>
      <c r="H711" t="s">
        <v>292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173</v>
      </c>
      <c r="B712" t="s">
        <v>9</v>
      </c>
      <c r="C712">
        <v>10</v>
      </c>
      <c r="D712">
        <v>2771</v>
      </c>
      <c r="E712">
        <v>0</v>
      </c>
      <c r="F712" t="s">
        <v>251</v>
      </c>
      <c r="G712">
        <v>1</v>
      </c>
      <c r="H712" t="s">
        <v>292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173</v>
      </c>
      <c r="B713" t="s">
        <v>9</v>
      </c>
      <c r="C713">
        <v>10</v>
      </c>
      <c r="D713">
        <v>3158</v>
      </c>
      <c r="E713">
        <v>1</v>
      </c>
      <c r="F713" t="s">
        <v>251</v>
      </c>
      <c r="G713">
        <v>3</v>
      </c>
      <c r="H713" t="s">
        <v>271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173</v>
      </c>
      <c r="B714" t="s">
        <v>9</v>
      </c>
      <c r="C714">
        <v>10</v>
      </c>
      <c r="D714">
        <v>3080</v>
      </c>
      <c r="E714">
        <v>0</v>
      </c>
      <c r="F714" t="s">
        <v>251</v>
      </c>
      <c r="G714">
        <v>5</v>
      </c>
      <c r="H714" t="s">
        <v>270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173</v>
      </c>
      <c r="B715" t="s">
        <v>9</v>
      </c>
      <c r="C715">
        <v>10</v>
      </c>
      <c r="D715">
        <v>3091</v>
      </c>
      <c r="E715">
        <v>2</v>
      </c>
      <c r="F715" t="s">
        <v>251</v>
      </c>
      <c r="G715">
        <v>5</v>
      </c>
      <c r="H715" t="s">
        <v>270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36</v>
      </c>
      <c r="B716" t="s">
        <v>9</v>
      </c>
      <c r="C716">
        <v>9</v>
      </c>
      <c r="D716">
        <v>2945</v>
      </c>
      <c r="E716">
        <v>1</v>
      </c>
      <c r="F716" t="s">
        <v>252</v>
      </c>
      <c r="G716">
        <v>2</v>
      </c>
      <c r="H716" t="s">
        <v>271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36</v>
      </c>
      <c r="B717" t="s">
        <v>9</v>
      </c>
      <c r="C717">
        <v>9</v>
      </c>
      <c r="D717">
        <v>2556</v>
      </c>
      <c r="E717">
        <v>1</v>
      </c>
      <c r="F717" t="s">
        <v>252</v>
      </c>
      <c r="G717">
        <v>1</v>
      </c>
      <c r="H717" t="s">
        <v>292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36</v>
      </c>
      <c r="B718" t="s">
        <v>9</v>
      </c>
      <c r="C718">
        <v>9</v>
      </c>
      <c r="D718">
        <v>2925</v>
      </c>
      <c r="E718">
        <v>0</v>
      </c>
      <c r="F718" t="s">
        <v>252</v>
      </c>
      <c r="G718">
        <v>5</v>
      </c>
      <c r="H718" t="s">
        <v>270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36</v>
      </c>
      <c r="B719" t="s">
        <v>9</v>
      </c>
      <c r="C719">
        <v>9</v>
      </c>
      <c r="D719">
        <v>2776</v>
      </c>
      <c r="E719">
        <v>1</v>
      </c>
      <c r="F719" t="s">
        <v>252</v>
      </c>
      <c r="G719">
        <v>5</v>
      </c>
      <c r="H719" t="s">
        <v>270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36</v>
      </c>
      <c r="B720" t="s">
        <v>9</v>
      </c>
      <c r="C720">
        <v>9</v>
      </c>
      <c r="D720">
        <v>2669</v>
      </c>
      <c r="E720">
        <v>0</v>
      </c>
      <c r="F720" t="s">
        <v>252</v>
      </c>
      <c r="G720">
        <v>1</v>
      </c>
      <c r="H720" t="s">
        <v>292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36</v>
      </c>
      <c r="B721" t="s">
        <v>9</v>
      </c>
      <c r="C721">
        <v>9</v>
      </c>
      <c r="D721">
        <v>2813</v>
      </c>
      <c r="E721">
        <v>1</v>
      </c>
      <c r="F721" t="s">
        <v>252</v>
      </c>
      <c r="G721">
        <v>5</v>
      </c>
      <c r="H721" t="s">
        <v>270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36</v>
      </c>
      <c r="B722" t="s">
        <v>9</v>
      </c>
      <c r="C722">
        <v>9</v>
      </c>
      <c r="D722">
        <v>2871</v>
      </c>
      <c r="E722">
        <v>0</v>
      </c>
      <c r="F722" t="s">
        <v>252</v>
      </c>
      <c r="G722">
        <v>2</v>
      </c>
      <c r="H722" t="s">
        <v>292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36</v>
      </c>
      <c r="B723" t="s">
        <v>9</v>
      </c>
      <c r="C723">
        <v>9</v>
      </c>
      <c r="D723">
        <v>2829</v>
      </c>
      <c r="E723">
        <v>0</v>
      </c>
      <c r="F723" t="s">
        <v>252</v>
      </c>
      <c r="G723">
        <v>3</v>
      </c>
      <c r="H723" t="s">
        <v>270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36</v>
      </c>
      <c r="B724" t="s">
        <v>9</v>
      </c>
      <c r="C724">
        <v>9</v>
      </c>
      <c r="D724">
        <v>2312</v>
      </c>
      <c r="E724">
        <v>1</v>
      </c>
      <c r="F724" t="s">
        <v>58</v>
      </c>
      <c r="G724">
        <v>1</v>
      </c>
      <c r="H724" t="s">
        <v>12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11500</v>
      </c>
      <c r="L724" s="43">
        <f>IFERROR(SUMIFS(Tabela10[Exp Gain only 2*+],Tabela10[Drop],DropAnalityka[[#This Row],[Drop]],Tabela10[Grade],DropAnalityka[[#This Row],[Grade]])*DropAnalityka[[#This Row],[Quality/Quantity]],0)</f>
        <v>35822</v>
      </c>
    </row>
    <row r="725" spans="1:13">
      <c r="A725" t="s">
        <v>172</v>
      </c>
      <c r="B725" t="s">
        <v>9</v>
      </c>
      <c r="C725">
        <v>8</v>
      </c>
      <c r="D725">
        <v>3502</v>
      </c>
      <c r="E725">
        <v>1</v>
      </c>
      <c r="F725" t="s">
        <v>258</v>
      </c>
      <c r="G725">
        <v>1</v>
      </c>
      <c r="H725" t="s">
        <v>28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36</v>
      </c>
      <c r="B726" t="s">
        <v>9</v>
      </c>
      <c r="C726">
        <v>9</v>
      </c>
      <c r="D726">
        <v>0</v>
      </c>
      <c r="E726">
        <v>0</v>
      </c>
      <c r="G726">
        <v>0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  <c r="M726" t="s">
        <v>204</v>
      </c>
    </row>
    <row r="727" spans="1:13">
      <c r="A727" t="s">
        <v>36</v>
      </c>
      <c r="B727" t="s">
        <v>9</v>
      </c>
      <c r="C727">
        <v>9</v>
      </c>
      <c r="D727">
        <v>2382</v>
      </c>
      <c r="E727">
        <v>0</v>
      </c>
      <c r="F727" t="s">
        <v>252</v>
      </c>
      <c r="G727">
        <v>1</v>
      </c>
      <c r="H727" t="s">
        <v>271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</row>
    <row r="728" spans="1:13">
      <c r="A728" t="s">
        <v>36</v>
      </c>
      <c r="B728" t="s">
        <v>9</v>
      </c>
      <c r="C728">
        <v>9</v>
      </c>
      <c r="D728">
        <v>2958</v>
      </c>
      <c r="E728">
        <v>0</v>
      </c>
      <c r="F728" t="s">
        <v>58</v>
      </c>
      <c r="G728">
        <v>1</v>
      </c>
      <c r="H728" t="s">
        <v>12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11500</v>
      </c>
      <c r="L728" s="43">
        <f>IFERROR(SUMIFS(Tabela10[Exp Gain only 2*+],Tabela10[Drop],DropAnalityka[[#This Row],[Drop]],Tabela10[Grade],DropAnalityka[[#This Row],[Grade]])*DropAnalityka[[#This Row],[Quality/Quantity]],0)</f>
        <v>35822</v>
      </c>
    </row>
    <row r="729" spans="1:13">
      <c r="A729" t="s">
        <v>36</v>
      </c>
      <c r="B729" t="s">
        <v>9</v>
      </c>
      <c r="C729">
        <v>9</v>
      </c>
      <c r="D729">
        <v>2545</v>
      </c>
      <c r="E729">
        <v>2</v>
      </c>
      <c r="F729" t="s">
        <v>252</v>
      </c>
      <c r="G729">
        <v>3</v>
      </c>
      <c r="H729" t="s">
        <v>292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36</v>
      </c>
      <c r="B730" t="s">
        <v>9</v>
      </c>
      <c r="C730">
        <v>9</v>
      </c>
      <c r="D730">
        <v>2649</v>
      </c>
      <c r="E730">
        <v>3</v>
      </c>
      <c r="F730" t="s">
        <v>249</v>
      </c>
      <c r="G730">
        <v>2</v>
      </c>
      <c r="H730" t="s">
        <v>292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36</v>
      </c>
      <c r="B731" t="s">
        <v>9</v>
      </c>
      <c r="C731">
        <v>9</v>
      </c>
      <c r="D731">
        <v>2432</v>
      </c>
      <c r="E731">
        <v>0</v>
      </c>
      <c r="F731" t="s">
        <v>249</v>
      </c>
      <c r="G731">
        <v>4</v>
      </c>
      <c r="H731" t="s">
        <v>270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36</v>
      </c>
      <c r="B732" t="s">
        <v>9</v>
      </c>
      <c r="C732">
        <v>9</v>
      </c>
      <c r="D732">
        <v>2881</v>
      </c>
      <c r="E732">
        <v>0</v>
      </c>
      <c r="F732" t="s">
        <v>252</v>
      </c>
      <c r="G732">
        <v>1</v>
      </c>
      <c r="H732" t="s">
        <v>271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31</v>
      </c>
      <c r="B733" t="s">
        <v>30</v>
      </c>
      <c r="C733">
        <v>11</v>
      </c>
      <c r="D733">
        <v>1977</v>
      </c>
      <c r="E733">
        <v>0</v>
      </c>
      <c r="F733" t="s">
        <v>57</v>
      </c>
      <c r="G733">
        <v>1</v>
      </c>
      <c r="H733" t="s">
        <v>26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34500</v>
      </c>
      <c r="L733" s="43">
        <f>IFERROR(SUMIFS(Tabela10[Exp Gain only 2*+],Tabela10[Drop],DropAnalityka[[#This Row],[Drop]],Tabela10[Grade],DropAnalityka[[#This Row],[Grade]])*DropAnalityka[[#This Row],[Quality/Quantity]],0)</f>
        <v>35822</v>
      </c>
    </row>
    <row r="734" spans="1:13">
      <c r="A734" t="s">
        <v>31</v>
      </c>
      <c r="B734" t="s">
        <v>30</v>
      </c>
      <c r="C734">
        <v>11</v>
      </c>
      <c r="D734">
        <v>1544</v>
      </c>
      <c r="E734">
        <v>0</v>
      </c>
      <c r="I734">
        <v>1824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4" s="43">
        <f>IFERROR(SUMIFS(Tabela10[Fod Worth],Tabela10[Drop],DropAnalityka[[#This Row],[Drop]],Tabela10[Grade],DropAnalityka[[#This Row],[Grade]])*DropAnalityka[[#This Row],[Quality/Quantity]],0)</f>
        <v>0</v>
      </c>
      <c r="L734" s="43">
        <f>IFERROR(SUMIFS(Tabela10[Exp Gain only 2*+],Tabela10[Drop],DropAnalityka[[#This Row],[Drop]],Tabela10[Grade],DropAnalityka[[#This Row],[Grade]])*DropAnalityka[[#This Row],[Quality/Quantity]],0)</f>
        <v>0</v>
      </c>
    </row>
    <row r="735" spans="1:13">
      <c r="A735" t="s">
        <v>31</v>
      </c>
      <c r="B735" t="s">
        <v>30</v>
      </c>
      <c r="C735">
        <v>11</v>
      </c>
      <c r="D735">
        <v>1273</v>
      </c>
      <c r="E735">
        <v>1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1536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1739</v>
      </c>
      <c r="E737">
        <v>0</v>
      </c>
      <c r="F737" t="s">
        <v>34</v>
      </c>
      <c r="G737">
        <v>2</v>
      </c>
      <c r="H737" t="s">
        <v>17</v>
      </c>
      <c r="I737">
        <v>0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1600</v>
      </c>
    </row>
    <row r="738" spans="1:13">
      <c r="A738" t="s">
        <v>31</v>
      </c>
      <c r="B738" t="s">
        <v>30</v>
      </c>
      <c r="C738">
        <v>11</v>
      </c>
      <c r="D738" s="6">
        <v>620</v>
      </c>
      <c r="E738" s="6">
        <v>1</v>
      </c>
      <c r="F738" s="6"/>
      <c r="G738" s="6"/>
      <c r="H738" s="6"/>
      <c r="I738" s="6">
        <v>2937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0</v>
      </c>
    </row>
    <row r="739" spans="1:13">
      <c r="A739" t="s">
        <v>31</v>
      </c>
      <c r="B739" t="s">
        <v>30</v>
      </c>
      <c r="C739">
        <v>11</v>
      </c>
      <c r="D739">
        <v>1447</v>
      </c>
      <c r="E739">
        <v>4</v>
      </c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1494</v>
      </c>
      <c r="E740">
        <v>1</v>
      </c>
      <c r="I740">
        <v>1824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1163</v>
      </c>
      <c r="E741">
        <v>1</v>
      </c>
      <c r="I741">
        <v>2937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1028</v>
      </c>
      <c r="E742">
        <v>0</v>
      </c>
      <c r="I742">
        <v>1824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60</v>
      </c>
      <c r="B743" t="s">
        <v>30</v>
      </c>
      <c r="C743">
        <v>11</v>
      </c>
      <c r="D743">
        <v>1925</v>
      </c>
      <c r="E743">
        <v>1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60</v>
      </c>
      <c r="B744" t="s">
        <v>30</v>
      </c>
      <c r="C744">
        <v>11</v>
      </c>
      <c r="D744">
        <v>2937</v>
      </c>
      <c r="E744">
        <v>0</v>
      </c>
      <c r="F744" t="s">
        <v>58</v>
      </c>
      <c r="G744">
        <v>1</v>
      </c>
      <c r="H744" t="s">
        <v>12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4" s="43">
        <f>IFERROR(SUMIFS(Tabela10[Fod Worth],Tabela10[Drop],DropAnalityka[[#This Row],[Drop]],Tabela10[Grade],DropAnalityka[[#This Row],[Grade]])*DropAnalityka[[#This Row],[Quality/Quantity]],0)</f>
        <v>11500</v>
      </c>
      <c r="L744" s="43">
        <f>IFERROR(SUMIFS(Tabela10[Exp Gain only 2*+],Tabela10[Drop],DropAnalityka[[#This Row],[Drop]],Tabela10[Grade],DropAnalityka[[#This Row],[Grade]])*DropAnalityka[[#This Row],[Quality/Quantity]],0)</f>
        <v>35822</v>
      </c>
    </row>
    <row r="745" spans="1:13">
      <c r="A745" t="s">
        <v>60</v>
      </c>
      <c r="B745" t="s">
        <v>30</v>
      </c>
      <c r="C745">
        <v>11</v>
      </c>
      <c r="D745">
        <v>1819</v>
      </c>
      <c r="E745">
        <v>0</v>
      </c>
      <c r="F745" t="s">
        <v>57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60</v>
      </c>
      <c r="B746" t="s">
        <v>30</v>
      </c>
      <c r="C746">
        <v>11</v>
      </c>
      <c r="D746">
        <v>1020</v>
      </c>
      <c r="E746">
        <v>0</v>
      </c>
      <c r="I746">
        <v>2937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6" s="43">
        <f>IFERROR(SUMIFS(Tabela10[Fod Worth],Tabela10[Drop],DropAnalityka[[#This Row],[Drop]],Tabela10[Grade],DropAnalityka[[#This Row],[Grade]])*DropAnalityka[[#This Row],[Quality/Quantity]],0)</f>
        <v>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60</v>
      </c>
      <c r="B747" t="s">
        <v>30</v>
      </c>
      <c r="C747">
        <v>11</v>
      </c>
      <c r="D747">
        <v>968</v>
      </c>
      <c r="E747">
        <v>1</v>
      </c>
      <c r="I747">
        <v>2280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60</v>
      </c>
      <c r="B748" t="s">
        <v>30</v>
      </c>
      <c r="C748">
        <v>11</v>
      </c>
      <c r="D748">
        <v>2391</v>
      </c>
      <c r="E748">
        <v>1</v>
      </c>
      <c r="I748">
        <v>2937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60</v>
      </c>
      <c r="B749" t="s">
        <v>30</v>
      </c>
      <c r="C749">
        <v>11</v>
      </c>
      <c r="D749">
        <v>1248</v>
      </c>
      <c r="E749">
        <v>1</v>
      </c>
      <c r="I749">
        <v>1824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60</v>
      </c>
      <c r="B750" t="s">
        <v>30</v>
      </c>
      <c r="C750">
        <v>11</v>
      </c>
      <c r="D750">
        <v>616</v>
      </c>
      <c r="E750">
        <v>0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60</v>
      </c>
      <c r="B751" t="s">
        <v>30</v>
      </c>
      <c r="C751">
        <v>11</v>
      </c>
      <c r="D751" s="6">
        <v>864</v>
      </c>
      <c r="E751" s="6">
        <v>0</v>
      </c>
      <c r="F751" s="6"/>
      <c r="G751" s="6"/>
      <c r="H751" s="6"/>
      <c r="I751" s="6">
        <v>2937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1" s="69">
        <f>IFERROR(SUMIFS(Tabela10[Fod Worth],Tabela10[Drop],DropAnalityka[[#This Row],[Drop]],Tabela10[Grade],DropAnalityka[[#This Row],[Grade]])*DropAnalityka[[#This Row],[Quality/Quantity]],0)</f>
        <v>0</v>
      </c>
      <c r="L751" s="69">
        <f>IFERROR(SUMIFS(Tabela10[Exp Gain only 2*+],Tabela10[Drop],DropAnalityka[[#This Row],[Drop]],Tabela10[Grade],DropAnalityka[[#This Row],[Grade]])*DropAnalityka[[#This Row],[Quality/Quantity]],0)</f>
        <v>0</v>
      </c>
      <c r="M751" s="6"/>
    </row>
    <row r="752" spans="1:13">
      <c r="A752" t="s">
        <v>31</v>
      </c>
      <c r="B752" t="s">
        <v>30</v>
      </c>
      <c r="C752">
        <v>11</v>
      </c>
      <c r="D752">
        <v>1402</v>
      </c>
      <c r="E752">
        <v>1</v>
      </c>
      <c r="I752">
        <v>1824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2" s="43">
        <f>IFERROR(SUMIFS(Tabela10[Fod Worth],Tabela10[Drop],DropAnalityka[[#This Row],[Drop]],Tabela10[Grade],DropAnalityka[[#This Row],[Grade]])*DropAnalityka[[#This Row],[Quality/Quantity]],0)</f>
        <v>0</v>
      </c>
      <c r="L752" s="43">
        <f>IFERROR(SUMIFS(Tabela10[Exp Gain only 2*+],Tabela10[Drop],DropAnalityka[[#This Row],[Drop]],Tabela10[Grade],DropAnalityka[[#This Row],[Grade]])*DropAnalityka[[#This Row],[Quality/Quantity]],0)</f>
        <v>0</v>
      </c>
    </row>
    <row r="753" spans="1:13">
      <c r="A753" t="s">
        <v>31</v>
      </c>
      <c r="B753" t="s">
        <v>30</v>
      </c>
      <c r="C753">
        <v>11</v>
      </c>
      <c r="D753">
        <v>1500</v>
      </c>
      <c r="E753">
        <v>0</v>
      </c>
      <c r="I753">
        <v>2937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172</v>
      </c>
      <c r="B754" t="s">
        <v>9</v>
      </c>
      <c r="C754">
        <v>8</v>
      </c>
      <c r="D754">
        <v>3665</v>
      </c>
      <c r="E754">
        <v>1</v>
      </c>
      <c r="F754" t="s">
        <v>258</v>
      </c>
      <c r="G754">
        <v>1</v>
      </c>
      <c r="H754" t="s">
        <v>27</v>
      </c>
      <c r="I754">
        <v>3307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36</v>
      </c>
      <c r="B755" t="s">
        <v>9</v>
      </c>
      <c r="C755">
        <v>9</v>
      </c>
      <c r="D755">
        <v>2824</v>
      </c>
      <c r="E755">
        <v>1</v>
      </c>
      <c r="F755" t="s">
        <v>252</v>
      </c>
      <c r="G755">
        <v>1</v>
      </c>
      <c r="H755" t="s">
        <v>292</v>
      </c>
      <c r="I755">
        <v>0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36</v>
      </c>
      <c r="B756" t="s">
        <v>9</v>
      </c>
      <c r="C756">
        <v>9</v>
      </c>
      <c r="D756">
        <v>2951</v>
      </c>
      <c r="E756">
        <v>3</v>
      </c>
      <c r="F756" t="s">
        <v>252</v>
      </c>
      <c r="G756">
        <v>2</v>
      </c>
      <c r="H756" t="s">
        <v>292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36</v>
      </c>
      <c r="B757" t="s">
        <v>9</v>
      </c>
      <c r="C757">
        <v>9</v>
      </c>
      <c r="D757">
        <v>2543</v>
      </c>
      <c r="E757">
        <v>1</v>
      </c>
      <c r="F757" t="s">
        <v>252</v>
      </c>
      <c r="G757">
        <v>4</v>
      </c>
      <c r="H757" t="s">
        <v>270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36</v>
      </c>
      <c r="B758" t="s">
        <v>9</v>
      </c>
      <c r="C758">
        <v>9</v>
      </c>
      <c r="D758">
        <v>2872</v>
      </c>
      <c r="E758">
        <v>1</v>
      </c>
      <c r="F758" t="s">
        <v>252</v>
      </c>
      <c r="G758">
        <v>1</v>
      </c>
      <c r="H758" t="s">
        <v>271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36</v>
      </c>
      <c r="B759" t="s">
        <v>9</v>
      </c>
      <c r="C759">
        <v>9</v>
      </c>
      <c r="D759">
        <v>2837</v>
      </c>
      <c r="E759">
        <v>1</v>
      </c>
      <c r="F759" t="s">
        <v>34</v>
      </c>
      <c r="G759">
        <v>4</v>
      </c>
      <c r="H759" t="s">
        <v>17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3200</v>
      </c>
    </row>
    <row r="760" spans="1:13">
      <c r="A760" t="s">
        <v>262</v>
      </c>
      <c r="B760" t="s">
        <v>9</v>
      </c>
      <c r="C760">
        <v>9</v>
      </c>
      <c r="D760">
        <v>2891</v>
      </c>
      <c r="E760">
        <v>0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262</v>
      </c>
      <c r="B761" t="s">
        <v>9</v>
      </c>
      <c r="C761">
        <v>9</v>
      </c>
      <c r="D761">
        <v>2801</v>
      </c>
      <c r="E761">
        <v>0</v>
      </c>
      <c r="F761" t="s">
        <v>18</v>
      </c>
      <c r="G761">
        <v>4</v>
      </c>
      <c r="H761" t="s">
        <v>270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0</v>
      </c>
    </row>
    <row r="762" spans="1:13">
      <c r="A762" t="s">
        <v>262</v>
      </c>
      <c r="B762" t="s">
        <v>9</v>
      </c>
      <c r="C762">
        <v>9</v>
      </c>
      <c r="D762">
        <v>2407</v>
      </c>
      <c r="E762">
        <v>0</v>
      </c>
      <c r="F762" t="s">
        <v>18</v>
      </c>
      <c r="G762">
        <v>1</v>
      </c>
      <c r="H762" t="s">
        <v>292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262</v>
      </c>
      <c r="B763" t="s">
        <v>9</v>
      </c>
      <c r="C763">
        <v>9</v>
      </c>
      <c r="D763">
        <v>2748</v>
      </c>
      <c r="E763">
        <v>0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262</v>
      </c>
      <c r="B764" t="s">
        <v>9</v>
      </c>
      <c r="C764">
        <v>9</v>
      </c>
      <c r="D764">
        <v>2679</v>
      </c>
      <c r="E764">
        <v>1</v>
      </c>
      <c r="F764" t="s">
        <v>58</v>
      </c>
      <c r="G764">
        <v>1</v>
      </c>
      <c r="H764" t="s">
        <v>12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11500</v>
      </c>
      <c r="L764" s="43">
        <f>IFERROR(SUMIFS(Tabela10[Exp Gain only 2*+],Tabela10[Drop],DropAnalityka[[#This Row],[Drop]],Tabela10[Grade],DropAnalityka[[#This Row],[Grade]])*DropAnalityka[[#This Row],[Quality/Quantity]],0)</f>
        <v>35822</v>
      </c>
    </row>
    <row r="765" spans="1:13">
      <c r="A765" t="s">
        <v>262</v>
      </c>
      <c r="B765" t="s">
        <v>9</v>
      </c>
      <c r="C765">
        <v>10</v>
      </c>
      <c r="D765">
        <v>2720</v>
      </c>
      <c r="E765">
        <v>0</v>
      </c>
      <c r="F765" t="s">
        <v>18</v>
      </c>
      <c r="G765">
        <v>1</v>
      </c>
      <c r="H765" t="s">
        <v>292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262</v>
      </c>
      <c r="B766" t="s">
        <v>9</v>
      </c>
      <c r="C766">
        <v>10</v>
      </c>
      <c r="D766">
        <v>0</v>
      </c>
      <c r="E766">
        <v>0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  <c r="M766" t="s">
        <v>204</v>
      </c>
    </row>
    <row r="767" spans="1:13">
      <c r="A767" t="s">
        <v>262</v>
      </c>
      <c r="B767" t="s">
        <v>9</v>
      </c>
      <c r="C767">
        <v>9</v>
      </c>
      <c r="D767">
        <v>2875</v>
      </c>
      <c r="E767">
        <v>0</v>
      </c>
      <c r="F767" t="s">
        <v>206</v>
      </c>
      <c r="G767">
        <v>1</v>
      </c>
      <c r="H767" t="s">
        <v>17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</row>
    <row r="768" spans="1:13">
      <c r="A768" t="s">
        <v>262</v>
      </c>
      <c r="B768" t="s">
        <v>9</v>
      </c>
      <c r="C768">
        <v>9</v>
      </c>
      <c r="D768">
        <v>2734</v>
      </c>
      <c r="E768">
        <v>0</v>
      </c>
      <c r="F768" t="s">
        <v>18</v>
      </c>
      <c r="G768">
        <v>3</v>
      </c>
      <c r="H768" t="s">
        <v>271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3">
      <c r="A769" t="s">
        <v>262</v>
      </c>
      <c r="B769" t="s">
        <v>9</v>
      </c>
      <c r="C769">
        <v>9</v>
      </c>
      <c r="D769">
        <v>3073</v>
      </c>
      <c r="E769">
        <v>0</v>
      </c>
      <c r="F769" t="s">
        <v>18</v>
      </c>
      <c r="G769">
        <v>2</v>
      </c>
      <c r="H769" t="s">
        <v>292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3">
      <c r="A770" t="s">
        <v>262</v>
      </c>
      <c r="B770" t="s">
        <v>9</v>
      </c>
      <c r="C770">
        <v>9</v>
      </c>
      <c r="D770">
        <v>2813</v>
      </c>
      <c r="E770">
        <v>0</v>
      </c>
      <c r="F770" t="s">
        <v>18</v>
      </c>
      <c r="G770">
        <v>2</v>
      </c>
      <c r="H770" t="s">
        <v>292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3">
      <c r="A771" t="s">
        <v>262</v>
      </c>
      <c r="B771" t="s">
        <v>9</v>
      </c>
      <c r="C771">
        <v>9</v>
      </c>
      <c r="D771">
        <v>2758</v>
      </c>
      <c r="E771">
        <v>0</v>
      </c>
      <c r="F771" t="s">
        <v>264</v>
      </c>
      <c r="G771">
        <v>3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3">
      <c r="A772" t="s">
        <v>262</v>
      </c>
      <c r="B772" t="s">
        <v>9</v>
      </c>
      <c r="C772">
        <v>9</v>
      </c>
      <c r="D772">
        <v>2313</v>
      </c>
      <c r="E772">
        <v>1</v>
      </c>
      <c r="F772" t="s">
        <v>18</v>
      </c>
      <c r="G772">
        <v>3</v>
      </c>
      <c r="H772" t="s">
        <v>292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3">
      <c r="A773" t="s">
        <v>262</v>
      </c>
      <c r="B773" t="s">
        <v>9</v>
      </c>
      <c r="C773">
        <v>9</v>
      </c>
      <c r="D773">
        <v>2625</v>
      </c>
      <c r="E773">
        <v>1</v>
      </c>
      <c r="F773" t="s">
        <v>18</v>
      </c>
      <c r="G773">
        <v>3</v>
      </c>
      <c r="H773" t="s">
        <v>292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3">
      <c r="A774" t="s">
        <v>262</v>
      </c>
      <c r="B774" t="s">
        <v>9</v>
      </c>
      <c r="C774">
        <v>9</v>
      </c>
      <c r="D774">
        <v>2515</v>
      </c>
      <c r="E774">
        <v>0</v>
      </c>
      <c r="F774" t="s">
        <v>18</v>
      </c>
      <c r="G774">
        <v>1</v>
      </c>
      <c r="H774" t="s">
        <v>271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3">
      <c r="A775" t="s">
        <v>262</v>
      </c>
      <c r="B775" t="s">
        <v>9</v>
      </c>
      <c r="C775">
        <v>9</v>
      </c>
      <c r="D775">
        <v>2516</v>
      </c>
      <c r="E775">
        <v>1</v>
      </c>
      <c r="F775" t="s">
        <v>264</v>
      </c>
      <c r="G775">
        <v>1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3">
      <c r="A776" t="s">
        <v>262</v>
      </c>
      <c r="B776" t="s">
        <v>9</v>
      </c>
      <c r="C776">
        <v>9</v>
      </c>
      <c r="D776">
        <v>2850</v>
      </c>
      <c r="E776">
        <v>2</v>
      </c>
      <c r="F776" t="s">
        <v>263</v>
      </c>
      <c r="G776">
        <v>3</v>
      </c>
      <c r="H776" t="s">
        <v>270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3">
      <c r="A777" t="s">
        <v>36</v>
      </c>
      <c r="B777" t="s">
        <v>9</v>
      </c>
      <c r="C777">
        <v>9</v>
      </c>
      <c r="D777">
        <v>2559</v>
      </c>
      <c r="E777">
        <v>3</v>
      </c>
      <c r="F777" t="s">
        <v>252</v>
      </c>
      <c r="G777">
        <v>3</v>
      </c>
      <c r="H777" t="s">
        <v>292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3">
      <c r="A778" t="s">
        <v>172</v>
      </c>
      <c r="B778" t="s">
        <v>9</v>
      </c>
      <c r="C778">
        <v>8</v>
      </c>
      <c r="D778">
        <v>3425</v>
      </c>
      <c r="E778">
        <v>0</v>
      </c>
      <c r="F778" t="s">
        <v>265</v>
      </c>
      <c r="G778">
        <v>1</v>
      </c>
      <c r="H778" t="s">
        <v>27</v>
      </c>
      <c r="I778">
        <v>3445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3">
      <c r="A779" t="s">
        <v>262</v>
      </c>
      <c r="B779" t="s">
        <v>9</v>
      </c>
      <c r="C779">
        <v>9</v>
      </c>
      <c r="D779">
        <v>2517</v>
      </c>
      <c r="E779">
        <v>0</v>
      </c>
      <c r="F779" t="s">
        <v>264</v>
      </c>
      <c r="G779">
        <v>2</v>
      </c>
      <c r="I779">
        <v>0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3">
      <c r="A780" t="s">
        <v>262</v>
      </c>
      <c r="B780" t="s">
        <v>9</v>
      </c>
      <c r="C780">
        <v>9</v>
      </c>
      <c r="D780">
        <v>2615</v>
      </c>
      <c r="E780">
        <v>2</v>
      </c>
      <c r="F780" t="s">
        <v>18</v>
      </c>
      <c r="G780">
        <v>2</v>
      </c>
      <c r="H780" t="s">
        <v>271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3">
      <c r="A781" t="s">
        <v>262</v>
      </c>
      <c r="B781" t="s">
        <v>9</v>
      </c>
      <c r="C781">
        <v>9</v>
      </c>
      <c r="D781">
        <v>2798</v>
      </c>
      <c r="E781">
        <v>2</v>
      </c>
      <c r="F781" t="s">
        <v>58</v>
      </c>
      <c r="G781">
        <v>1</v>
      </c>
      <c r="H781" t="s">
        <v>12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11500</v>
      </c>
      <c r="L781" s="43">
        <f>IFERROR(SUMIFS(Tabela10[Exp Gain only 2*+],Tabela10[Drop],DropAnalityka[[#This Row],[Drop]],Tabela10[Grade],DropAnalityka[[#This Row],[Grade]])*DropAnalityka[[#This Row],[Quality/Quantity]],0)</f>
        <v>35822</v>
      </c>
    </row>
    <row r="782" spans="1:13">
      <c r="A782" t="s">
        <v>262</v>
      </c>
      <c r="B782" t="s">
        <v>9</v>
      </c>
      <c r="C782">
        <v>9</v>
      </c>
      <c r="D782">
        <v>2602</v>
      </c>
      <c r="E782">
        <v>0</v>
      </c>
      <c r="F782" t="s">
        <v>18</v>
      </c>
      <c r="G782">
        <v>3</v>
      </c>
      <c r="H782" t="s">
        <v>292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3">
      <c r="A783" t="s">
        <v>262</v>
      </c>
      <c r="B783" t="s">
        <v>9</v>
      </c>
      <c r="C783">
        <v>9</v>
      </c>
      <c r="D783">
        <v>2901</v>
      </c>
      <c r="E783">
        <v>1</v>
      </c>
      <c r="F783" t="s">
        <v>18</v>
      </c>
      <c r="G783">
        <v>1</v>
      </c>
      <c r="H783" t="s">
        <v>292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3">
      <c r="A784" t="s">
        <v>262</v>
      </c>
      <c r="B784" t="s">
        <v>9</v>
      </c>
      <c r="C784">
        <v>9</v>
      </c>
      <c r="D784">
        <v>540</v>
      </c>
      <c r="E784">
        <v>0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  <c r="M784" t="s">
        <v>204</v>
      </c>
    </row>
    <row r="785" spans="1:12">
      <c r="A785" t="s">
        <v>262</v>
      </c>
      <c r="B785" t="s">
        <v>9</v>
      </c>
      <c r="C785">
        <v>9</v>
      </c>
      <c r="D785">
        <v>3199</v>
      </c>
      <c r="E785">
        <v>0</v>
      </c>
      <c r="F785" t="s">
        <v>18</v>
      </c>
      <c r="G785">
        <v>1</v>
      </c>
      <c r="H785" t="s">
        <v>292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</row>
    <row r="786" spans="1:12">
      <c r="A786" t="s">
        <v>262</v>
      </c>
      <c r="B786" t="s">
        <v>9</v>
      </c>
      <c r="C786">
        <v>9</v>
      </c>
      <c r="D786">
        <v>2926</v>
      </c>
      <c r="E786">
        <v>1</v>
      </c>
      <c r="F786" t="s">
        <v>18</v>
      </c>
      <c r="G786">
        <v>1</v>
      </c>
      <c r="H786" t="s">
        <v>292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2">
      <c r="A787" t="s">
        <v>262</v>
      </c>
      <c r="B787" t="s">
        <v>9</v>
      </c>
      <c r="C787">
        <v>9</v>
      </c>
      <c r="D787">
        <v>2560</v>
      </c>
      <c r="E787">
        <v>1</v>
      </c>
      <c r="F787" t="s">
        <v>18</v>
      </c>
      <c r="G787">
        <v>4</v>
      </c>
      <c r="H787" t="s">
        <v>270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2">
      <c r="A788" t="s">
        <v>262</v>
      </c>
      <c r="B788" t="s">
        <v>9</v>
      </c>
      <c r="C788">
        <v>9</v>
      </c>
      <c r="D788">
        <v>2313</v>
      </c>
      <c r="E788">
        <v>1</v>
      </c>
      <c r="F788" t="s">
        <v>18</v>
      </c>
      <c r="G788">
        <v>4</v>
      </c>
      <c r="H788" t="s">
        <v>270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2">
      <c r="A789" t="s">
        <v>262</v>
      </c>
      <c r="B789" t="s">
        <v>9</v>
      </c>
      <c r="C789">
        <v>9</v>
      </c>
      <c r="D789">
        <v>3329</v>
      </c>
      <c r="E789">
        <v>2</v>
      </c>
      <c r="F789" t="s">
        <v>18</v>
      </c>
      <c r="G789">
        <v>3</v>
      </c>
      <c r="H789" t="s">
        <v>270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2">
      <c r="A790" t="s">
        <v>31</v>
      </c>
      <c r="B790" t="s">
        <v>30</v>
      </c>
      <c r="C790">
        <v>11</v>
      </c>
      <c r="D790">
        <v>1441</v>
      </c>
      <c r="E790">
        <v>1</v>
      </c>
      <c r="I790">
        <v>1824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2">
      <c r="A791" t="s">
        <v>31</v>
      </c>
      <c r="B791" t="s">
        <v>30</v>
      </c>
      <c r="C791">
        <v>11</v>
      </c>
      <c r="D791">
        <v>1339</v>
      </c>
      <c r="E791">
        <v>0</v>
      </c>
      <c r="I791">
        <v>2937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2">
      <c r="A792" t="s">
        <v>31</v>
      </c>
      <c r="B792" t="s">
        <v>30</v>
      </c>
      <c r="C792">
        <v>11</v>
      </c>
      <c r="D792">
        <v>1126</v>
      </c>
      <c r="E792">
        <v>0</v>
      </c>
      <c r="F792" t="s">
        <v>34</v>
      </c>
      <c r="G792">
        <v>2</v>
      </c>
      <c r="H792" t="s">
        <v>17</v>
      </c>
      <c r="I792">
        <v>0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1600</v>
      </c>
    </row>
    <row r="793" spans="1:12">
      <c r="A793" t="s">
        <v>31</v>
      </c>
      <c r="B793" t="s">
        <v>30</v>
      </c>
      <c r="C793">
        <v>11</v>
      </c>
      <c r="D793">
        <v>1647</v>
      </c>
      <c r="E793">
        <v>1</v>
      </c>
      <c r="I793">
        <v>2128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0</v>
      </c>
    </row>
    <row r="794" spans="1:12">
      <c r="A794" t="s">
        <v>31</v>
      </c>
      <c r="B794" t="s">
        <v>30</v>
      </c>
      <c r="C794">
        <v>11</v>
      </c>
      <c r="D794">
        <v>1802</v>
      </c>
      <c r="E794">
        <v>2</v>
      </c>
      <c r="I794">
        <v>1824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2">
      <c r="A795" t="s">
        <v>31</v>
      </c>
      <c r="B795" t="s">
        <v>30</v>
      </c>
      <c r="C795">
        <v>11</v>
      </c>
      <c r="D795">
        <v>1433</v>
      </c>
      <c r="E795">
        <v>1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2">
      <c r="A796" t="s">
        <v>31</v>
      </c>
      <c r="B796" t="s">
        <v>30</v>
      </c>
      <c r="C796">
        <v>11</v>
      </c>
      <c r="D796">
        <v>977</v>
      </c>
      <c r="E796">
        <v>1</v>
      </c>
      <c r="I796">
        <v>0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2">
      <c r="A797" t="s">
        <v>31</v>
      </c>
      <c r="B797" t="s">
        <v>30</v>
      </c>
      <c r="C797">
        <v>11</v>
      </c>
      <c r="D797">
        <v>1909</v>
      </c>
      <c r="E797">
        <v>2</v>
      </c>
      <c r="F797" t="s">
        <v>264</v>
      </c>
      <c r="G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2">
      <c r="A798" t="s">
        <v>31</v>
      </c>
      <c r="B798" t="s">
        <v>30</v>
      </c>
      <c r="C798">
        <v>11</v>
      </c>
      <c r="D798">
        <v>1110</v>
      </c>
      <c r="E798">
        <v>2</v>
      </c>
      <c r="F798" t="s">
        <v>34</v>
      </c>
      <c r="G798">
        <v>2</v>
      </c>
      <c r="H798" t="s">
        <v>17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1600</v>
      </c>
    </row>
    <row r="799" spans="1:12">
      <c r="A799" t="s">
        <v>31</v>
      </c>
      <c r="B799" t="s">
        <v>30</v>
      </c>
      <c r="C799">
        <v>11</v>
      </c>
      <c r="D799">
        <v>2608</v>
      </c>
      <c r="E799">
        <v>1</v>
      </c>
      <c r="I799">
        <v>1824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0</v>
      </c>
    </row>
    <row r="800" spans="1:12">
      <c r="A800" t="s">
        <v>31</v>
      </c>
      <c r="B800" t="s">
        <v>30</v>
      </c>
      <c r="C800">
        <v>11</v>
      </c>
      <c r="D800">
        <v>1725</v>
      </c>
      <c r="E800">
        <v>3</v>
      </c>
      <c r="F800" t="s">
        <v>34</v>
      </c>
      <c r="G800">
        <v>2</v>
      </c>
      <c r="H800" t="s">
        <v>17</v>
      </c>
      <c r="I800">
        <v>0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1600</v>
      </c>
    </row>
    <row r="801" spans="1:13">
      <c r="A801" t="s">
        <v>31</v>
      </c>
      <c r="B801" t="s">
        <v>30</v>
      </c>
      <c r="C801">
        <v>11</v>
      </c>
      <c r="D801" s="6">
        <v>2220</v>
      </c>
      <c r="E801" s="6">
        <v>2</v>
      </c>
      <c r="F801" s="6"/>
      <c r="G801" s="6"/>
      <c r="H801" s="6"/>
      <c r="I801" s="6">
        <v>3427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1" s="69">
        <f>IFERROR(SUMIFS(Tabela10[Fod Worth],Tabela10[Drop],DropAnalityka[[#This Row],[Drop]],Tabela10[Grade],DropAnalityka[[#This Row],[Grade]])*DropAnalityka[[#This Row],[Quality/Quantity]],0)</f>
        <v>0</v>
      </c>
      <c r="L801" s="69">
        <f>IFERROR(SUMIFS(Tabela10[Exp Gain only 2*+],Tabela10[Drop],DropAnalityka[[#This Row],[Drop]],Tabela10[Grade],DropAnalityka[[#This Row],[Grade]])*DropAnalityka[[#This Row],[Quality/Quantity]],0)</f>
        <v>0</v>
      </c>
      <c r="M801" s="6"/>
    </row>
    <row r="802" spans="1:13">
      <c r="A802" t="s">
        <v>60</v>
      </c>
      <c r="B802" t="s">
        <v>30</v>
      </c>
      <c r="C802">
        <v>11</v>
      </c>
      <c r="D802">
        <v>1644</v>
      </c>
      <c r="E802">
        <v>0</v>
      </c>
      <c r="I802">
        <v>2128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2" s="43">
        <f>IFERROR(SUMIFS(Tabela10[Fod Worth],Tabela10[Drop],DropAnalityka[[#This Row],[Drop]],Tabela10[Grade],DropAnalityka[[#This Row],[Grade]])*DropAnalityka[[#This Row],[Quality/Quantity]],0)</f>
        <v>0</v>
      </c>
      <c r="L802" s="43">
        <f>IFERROR(SUMIFS(Tabela10[Exp Gain only 2*+],Tabela10[Drop],DropAnalityka[[#This Row],[Drop]],Tabela10[Grade],DropAnalityka[[#This Row],[Grade]])*DropAnalityka[[#This Row],[Quality/Quantity]],0)</f>
        <v>0</v>
      </c>
    </row>
    <row r="803" spans="1:13">
      <c r="A803" t="s">
        <v>60</v>
      </c>
      <c r="B803" t="s">
        <v>30</v>
      </c>
      <c r="C803">
        <v>11</v>
      </c>
      <c r="D803">
        <v>1132</v>
      </c>
      <c r="E803">
        <v>0</v>
      </c>
      <c r="I803">
        <v>2937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60</v>
      </c>
      <c r="B804" t="s">
        <v>30</v>
      </c>
      <c r="C804">
        <v>11</v>
      </c>
      <c r="D804">
        <v>1791</v>
      </c>
      <c r="E804">
        <v>1</v>
      </c>
      <c r="I804">
        <v>2128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60</v>
      </c>
      <c r="B805" t="s">
        <v>30</v>
      </c>
      <c r="C805">
        <v>11</v>
      </c>
      <c r="D805">
        <v>1710</v>
      </c>
      <c r="E805">
        <v>3</v>
      </c>
      <c r="I805">
        <v>2937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60</v>
      </c>
      <c r="B806" t="s">
        <v>30</v>
      </c>
      <c r="C806">
        <v>11</v>
      </c>
      <c r="D806">
        <v>2253</v>
      </c>
      <c r="E806">
        <v>1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60</v>
      </c>
      <c r="B807" t="s">
        <v>30</v>
      </c>
      <c r="C807">
        <v>11</v>
      </c>
      <c r="D807">
        <v>1001</v>
      </c>
      <c r="E807">
        <v>0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60</v>
      </c>
      <c r="B808" t="s">
        <v>30</v>
      </c>
      <c r="C808">
        <v>11</v>
      </c>
      <c r="D808">
        <v>1203</v>
      </c>
      <c r="E808">
        <v>1</v>
      </c>
      <c r="F808" t="s">
        <v>34</v>
      </c>
      <c r="G808">
        <v>2</v>
      </c>
      <c r="H808" t="s">
        <v>17</v>
      </c>
      <c r="I808">
        <v>0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1600</v>
      </c>
    </row>
    <row r="809" spans="1:13">
      <c r="A809" t="s">
        <v>60</v>
      </c>
      <c r="B809" t="s">
        <v>30</v>
      </c>
      <c r="C809">
        <v>11</v>
      </c>
      <c r="D809">
        <v>1620</v>
      </c>
      <c r="E809">
        <v>2</v>
      </c>
      <c r="I809">
        <v>1824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0</v>
      </c>
    </row>
    <row r="810" spans="1:13">
      <c r="A810" t="s">
        <v>60</v>
      </c>
      <c r="B810" t="s">
        <v>30</v>
      </c>
      <c r="C810">
        <v>11</v>
      </c>
      <c r="D810">
        <v>1772</v>
      </c>
      <c r="E810">
        <v>1</v>
      </c>
      <c r="F810" t="s">
        <v>34</v>
      </c>
      <c r="G810">
        <v>2</v>
      </c>
      <c r="H810" t="s">
        <v>17</v>
      </c>
      <c r="I810">
        <v>0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1600</v>
      </c>
    </row>
    <row r="811" spans="1:13">
      <c r="A811" t="s">
        <v>262</v>
      </c>
      <c r="B811" t="s">
        <v>9</v>
      </c>
      <c r="C811">
        <v>9</v>
      </c>
      <c r="D811">
        <v>2634</v>
      </c>
      <c r="E811">
        <v>1</v>
      </c>
      <c r="F811" t="s">
        <v>18</v>
      </c>
      <c r="G811">
        <v>1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0</v>
      </c>
    </row>
    <row r="812" spans="1:13">
      <c r="A812" t="s">
        <v>172</v>
      </c>
      <c r="B812" t="s">
        <v>9</v>
      </c>
      <c r="C812">
        <v>8</v>
      </c>
      <c r="D812">
        <v>3118</v>
      </c>
      <c r="E812">
        <v>0</v>
      </c>
      <c r="F812" t="s">
        <v>258</v>
      </c>
      <c r="G812">
        <v>1</v>
      </c>
      <c r="H812" t="s">
        <v>28</v>
      </c>
      <c r="I812">
        <v>8500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172</v>
      </c>
      <c r="B813" t="s">
        <v>9</v>
      </c>
      <c r="C813">
        <v>8</v>
      </c>
      <c r="D813">
        <v>3166</v>
      </c>
      <c r="E813">
        <v>3</v>
      </c>
      <c r="F813" t="s">
        <v>34</v>
      </c>
      <c r="G813">
        <v>5</v>
      </c>
      <c r="H813" t="s">
        <v>17</v>
      </c>
      <c r="I813">
        <v>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4000</v>
      </c>
    </row>
    <row r="814" spans="1:13">
      <c r="A814" t="s">
        <v>172</v>
      </c>
      <c r="B814" t="s">
        <v>9</v>
      </c>
      <c r="C814">
        <v>8</v>
      </c>
      <c r="D814">
        <v>3825</v>
      </c>
      <c r="E814">
        <v>1</v>
      </c>
      <c r="F814" t="s">
        <v>264</v>
      </c>
      <c r="G814">
        <v>1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0</v>
      </c>
    </row>
    <row r="815" spans="1:13">
      <c r="A815" t="s">
        <v>172</v>
      </c>
      <c r="B815" t="s">
        <v>9</v>
      </c>
      <c r="C815">
        <v>8</v>
      </c>
      <c r="D815">
        <v>3553</v>
      </c>
      <c r="E815">
        <v>0</v>
      </c>
      <c r="F815" t="s">
        <v>258</v>
      </c>
      <c r="G815">
        <v>1</v>
      </c>
      <c r="H815" t="s">
        <v>28</v>
      </c>
      <c r="I815">
        <v>8500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172</v>
      </c>
      <c r="B816" t="s">
        <v>9</v>
      </c>
      <c r="C816">
        <v>8</v>
      </c>
      <c r="D816">
        <v>3574</v>
      </c>
      <c r="E816">
        <v>1</v>
      </c>
      <c r="F816" t="s">
        <v>266</v>
      </c>
      <c r="G816">
        <v>1</v>
      </c>
      <c r="H816" t="s">
        <v>27</v>
      </c>
      <c r="I816">
        <v>4134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172</v>
      </c>
      <c r="B817" t="s">
        <v>9</v>
      </c>
      <c r="C817">
        <v>8</v>
      </c>
      <c r="D817">
        <v>3456</v>
      </c>
      <c r="E817">
        <v>3</v>
      </c>
      <c r="F817" t="s">
        <v>258</v>
      </c>
      <c r="G817">
        <v>1</v>
      </c>
      <c r="H817" t="s">
        <v>27</v>
      </c>
      <c r="I817">
        <v>2411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172</v>
      </c>
      <c r="B818" t="s">
        <v>9</v>
      </c>
      <c r="C818">
        <v>8</v>
      </c>
      <c r="D818">
        <v>3185</v>
      </c>
      <c r="E818">
        <v>0</v>
      </c>
      <c r="F818" t="s">
        <v>258</v>
      </c>
      <c r="G818">
        <v>1</v>
      </c>
      <c r="H818" t="s">
        <v>28</v>
      </c>
      <c r="I818">
        <v>6502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172</v>
      </c>
      <c r="B819" t="s">
        <v>9</v>
      </c>
      <c r="C819">
        <v>8</v>
      </c>
      <c r="D819">
        <v>3742</v>
      </c>
      <c r="E819">
        <v>4</v>
      </c>
      <c r="F819" t="s">
        <v>258</v>
      </c>
      <c r="G819">
        <v>1</v>
      </c>
      <c r="H819" t="s">
        <v>27</v>
      </c>
      <c r="I819">
        <v>4593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207</v>
      </c>
      <c r="B820" t="s">
        <v>9</v>
      </c>
      <c r="C820">
        <v>9</v>
      </c>
      <c r="D820">
        <v>2924</v>
      </c>
      <c r="E820">
        <v>1</v>
      </c>
      <c r="F820" t="s">
        <v>249</v>
      </c>
      <c r="G820">
        <v>1</v>
      </c>
      <c r="H820" t="s">
        <v>292</v>
      </c>
      <c r="I820">
        <v>0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207</v>
      </c>
      <c r="B821" t="s">
        <v>9</v>
      </c>
      <c r="C821">
        <v>9</v>
      </c>
      <c r="D821">
        <v>3192</v>
      </c>
      <c r="E821">
        <v>2</v>
      </c>
      <c r="F821" t="s">
        <v>249</v>
      </c>
      <c r="G821">
        <v>2</v>
      </c>
      <c r="H821" t="s">
        <v>292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207</v>
      </c>
      <c r="B822" t="s">
        <v>9</v>
      </c>
      <c r="C822">
        <v>9</v>
      </c>
      <c r="D822">
        <v>2967</v>
      </c>
      <c r="E822">
        <v>1</v>
      </c>
      <c r="F822" t="s">
        <v>249</v>
      </c>
      <c r="G822">
        <v>2</v>
      </c>
      <c r="H822" t="s">
        <v>292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207</v>
      </c>
      <c r="B823" t="s">
        <v>9</v>
      </c>
      <c r="C823">
        <v>9</v>
      </c>
      <c r="D823">
        <v>2926</v>
      </c>
      <c r="E823">
        <v>0</v>
      </c>
      <c r="F823" t="s">
        <v>249</v>
      </c>
      <c r="G823">
        <v>3</v>
      </c>
      <c r="H823" t="s">
        <v>270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207</v>
      </c>
      <c r="B824" t="s">
        <v>9</v>
      </c>
      <c r="C824">
        <v>9</v>
      </c>
      <c r="D824">
        <v>2801</v>
      </c>
      <c r="E824">
        <v>1</v>
      </c>
      <c r="F824" t="s">
        <v>249</v>
      </c>
      <c r="G824">
        <v>3</v>
      </c>
      <c r="H824" t="s">
        <v>270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207</v>
      </c>
      <c r="B825" t="s">
        <v>9</v>
      </c>
      <c r="C825">
        <v>9</v>
      </c>
      <c r="D825">
        <v>2800</v>
      </c>
      <c r="E825">
        <v>0</v>
      </c>
      <c r="F825" t="s">
        <v>223</v>
      </c>
      <c r="G825" t="s">
        <v>267</v>
      </c>
      <c r="H825" t="s">
        <v>12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207</v>
      </c>
      <c r="B826" t="s">
        <v>9</v>
      </c>
      <c r="C826">
        <v>9</v>
      </c>
      <c r="D826">
        <v>2913</v>
      </c>
      <c r="E826">
        <v>0</v>
      </c>
      <c r="F826" t="s">
        <v>249</v>
      </c>
      <c r="G826">
        <v>1</v>
      </c>
      <c r="H826" t="s">
        <v>271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207</v>
      </c>
      <c r="B827" t="s">
        <v>9</v>
      </c>
      <c r="C827">
        <v>9</v>
      </c>
      <c r="D827">
        <v>2812</v>
      </c>
      <c r="E827">
        <v>1</v>
      </c>
      <c r="F827" t="s">
        <v>249</v>
      </c>
      <c r="G827">
        <v>1</v>
      </c>
      <c r="H827" t="s">
        <v>292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207</v>
      </c>
      <c r="B828" t="s">
        <v>9</v>
      </c>
      <c r="C828">
        <v>9</v>
      </c>
      <c r="D828">
        <v>2449</v>
      </c>
      <c r="E828">
        <v>0</v>
      </c>
      <c r="F828" t="s">
        <v>58</v>
      </c>
      <c r="G828">
        <v>1</v>
      </c>
      <c r="H828" t="s">
        <v>12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11500</v>
      </c>
      <c r="L828" s="43">
        <f>IFERROR(SUMIFS(Tabela10[Exp Gain only 2*+],Tabela10[Drop],DropAnalityka[[#This Row],[Drop]],Tabela10[Grade],DropAnalityka[[#This Row],[Grade]])*DropAnalityka[[#This Row],[Quality/Quantity]],0)</f>
        <v>35822</v>
      </c>
    </row>
    <row r="829" spans="1:12">
      <c r="A829" t="s">
        <v>207</v>
      </c>
      <c r="B829" t="s">
        <v>9</v>
      </c>
      <c r="C829">
        <v>9</v>
      </c>
      <c r="D829">
        <v>2754</v>
      </c>
      <c r="E829">
        <v>1</v>
      </c>
      <c r="F829" t="s">
        <v>288</v>
      </c>
      <c r="G829">
        <v>1</v>
      </c>
      <c r="H829" t="s">
        <v>17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29" s="43">
        <f>IFERROR(SUMIFS(Tabela10[Fod Worth],Tabela10[Drop],DropAnalityka[[#This Row],[Drop]],Tabela10[Grade],DropAnalityka[[#This Row],[Grade]])*DropAnalityka[[#This Row],[Quality/Quantity]],0)</f>
        <v>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207</v>
      </c>
      <c r="B830" t="s">
        <v>9</v>
      </c>
      <c r="C830">
        <v>9</v>
      </c>
      <c r="D830">
        <v>2824</v>
      </c>
      <c r="E830">
        <v>1</v>
      </c>
      <c r="F830" t="s">
        <v>223</v>
      </c>
      <c r="G830" t="s">
        <v>268</v>
      </c>
      <c r="H830" t="s">
        <v>12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207</v>
      </c>
      <c r="B831" t="s">
        <v>9</v>
      </c>
      <c r="C831">
        <v>9</v>
      </c>
      <c r="D831">
        <v>2980</v>
      </c>
      <c r="E831">
        <v>0</v>
      </c>
      <c r="F831" t="s">
        <v>249</v>
      </c>
      <c r="G831">
        <v>1</v>
      </c>
      <c r="H831" t="s">
        <v>292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207</v>
      </c>
      <c r="B832" t="s">
        <v>9</v>
      </c>
      <c r="C832">
        <v>9</v>
      </c>
      <c r="D832">
        <v>2957</v>
      </c>
      <c r="E832">
        <v>0</v>
      </c>
      <c r="F832" t="s">
        <v>206</v>
      </c>
      <c r="G832">
        <v>1</v>
      </c>
      <c r="H832" t="s">
        <v>17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207</v>
      </c>
      <c r="B833" t="s">
        <v>9</v>
      </c>
      <c r="C833">
        <v>9</v>
      </c>
      <c r="D833">
        <v>2417</v>
      </c>
      <c r="E833">
        <v>0</v>
      </c>
      <c r="F833" t="s">
        <v>34</v>
      </c>
      <c r="G833">
        <v>4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3200</v>
      </c>
    </row>
    <row r="834" spans="1:12">
      <c r="A834" t="s">
        <v>207</v>
      </c>
      <c r="B834" t="s">
        <v>9</v>
      </c>
      <c r="C834">
        <v>9</v>
      </c>
      <c r="D834">
        <v>2671</v>
      </c>
      <c r="E834">
        <v>0</v>
      </c>
      <c r="F834" t="s">
        <v>249</v>
      </c>
      <c r="G834">
        <v>5</v>
      </c>
      <c r="H834" t="s">
        <v>270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0</v>
      </c>
    </row>
    <row r="835" spans="1:12">
      <c r="A835" t="s">
        <v>207</v>
      </c>
      <c r="B835" t="s">
        <v>9</v>
      </c>
      <c r="C835">
        <v>9</v>
      </c>
      <c r="D835">
        <v>2947</v>
      </c>
      <c r="E835">
        <v>1</v>
      </c>
      <c r="F835" t="s">
        <v>249</v>
      </c>
      <c r="G835">
        <v>1</v>
      </c>
      <c r="H835" t="s">
        <v>271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207</v>
      </c>
      <c r="B836" t="s">
        <v>9</v>
      </c>
      <c r="C836">
        <v>9</v>
      </c>
      <c r="D836">
        <v>3358</v>
      </c>
      <c r="E836">
        <v>1</v>
      </c>
      <c r="F836" t="s">
        <v>34</v>
      </c>
      <c r="G836">
        <v>4</v>
      </c>
      <c r="H836" t="s">
        <v>17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3200</v>
      </c>
    </row>
    <row r="837" spans="1:12">
      <c r="A837" t="s">
        <v>207</v>
      </c>
      <c r="B837" t="s">
        <v>9</v>
      </c>
      <c r="C837">
        <v>9</v>
      </c>
      <c r="D837">
        <v>2184</v>
      </c>
      <c r="E837">
        <v>0</v>
      </c>
      <c r="F837" t="s">
        <v>249</v>
      </c>
      <c r="G837">
        <v>4</v>
      </c>
      <c r="H837" t="s">
        <v>270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0</v>
      </c>
    </row>
    <row r="838" spans="1:12">
      <c r="A838" t="s">
        <v>207</v>
      </c>
      <c r="B838" t="s">
        <v>9</v>
      </c>
      <c r="C838">
        <v>9</v>
      </c>
      <c r="D838">
        <v>2654</v>
      </c>
      <c r="E838">
        <v>3</v>
      </c>
      <c r="F838" t="s">
        <v>249</v>
      </c>
      <c r="G838">
        <v>1</v>
      </c>
      <c r="H838" t="s">
        <v>292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207</v>
      </c>
      <c r="B839" t="s">
        <v>9</v>
      </c>
      <c r="C839">
        <v>9</v>
      </c>
      <c r="D839">
        <v>2592</v>
      </c>
      <c r="E839">
        <v>1</v>
      </c>
      <c r="F839" t="s">
        <v>249</v>
      </c>
      <c r="G839">
        <v>1</v>
      </c>
      <c r="H839" t="s">
        <v>292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207</v>
      </c>
      <c r="B840" t="s">
        <v>9</v>
      </c>
      <c r="C840">
        <v>9</v>
      </c>
      <c r="D840">
        <v>2625</v>
      </c>
      <c r="E840">
        <v>0</v>
      </c>
      <c r="F840" t="s">
        <v>249</v>
      </c>
      <c r="G840">
        <v>1</v>
      </c>
      <c r="H840" t="s">
        <v>271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207</v>
      </c>
      <c r="B841" t="s">
        <v>9</v>
      </c>
      <c r="C841">
        <v>9</v>
      </c>
      <c r="D841">
        <v>3029</v>
      </c>
      <c r="E841">
        <v>0</v>
      </c>
      <c r="F841" t="s">
        <v>249</v>
      </c>
      <c r="G841">
        <v>1</v>
      </c>
      <c r="H841" t="s">
        <v>292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207</v>
      </c>
      <c r="B842" t="s">
        <v>9</v>
      </c>
      <c r="C842">
        <v>9</v>
      </c>
      <c r="D842">
        <v>2865</v>
      </c>
      <c r="E842">
        <v>1</v>
      </c>
      <c r="F842" t="s">
        <v>249</v>
      </c>
      <c r="G842">
        <v>1</v>
      </c>
      <c r="H842" t="s">
        <v>292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207</v>
      </c>
      <c r="B843" t="s">
        <v>9</v>
      </c>
      <c r="C843">
        <v>9</v>
      </c>
      <c r="D843">
        <v>3075</v>
      </c>
      <c r="E843">
        <v>3</v>
      </c>
      <c r="F843" t="s">
        <v>249</v>
      </c>
      <c r="G843">
        <v>5</v>
      </c>
      <c r="H843" t="s">
        <v>270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207</v>
      </c>
      <c r="B844" t="s">
        <v>9</v>
      </c>
      <c r="C844">
        <v>9</v>
      </c>
      <c r="D844">
        <v>3767</v>
      </c>
      <c r="E844">
        <v>2</v>
      </c>
      <c r="F844" t="s">
        <v>249</v>
      </c>
      <c r="G844">
        <v>4</v>
      </c>
      <c r="H844" t="s">
        <v>270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207</v>
      </c>
      <c r="B845" t="s">
        <v>9</v>
      </c>
      <c r="C845">
        <v>9</v>
      </c>
      <c r="D845">
        <v>3007</v>
      </c>
      <c r="E845">
        <v>2</v>
      </c>
      <c r="F845" t="s">
        <v>249</v>
      </c>
      <c r="G845">
        <v>3</v>
      </c>
      <c r="H845" t="s">
        <v>292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207</v>
      </c>
      <c r="B846" t="s">
        <v>9</v>
      </c>
      <c r="C846">
        <v>9</v>
      </c>
      <c r="D846">
        <v>2942</v>
      </c>
      <c r="E846">
        <v>0</v>
      </c>
      <c r="F846" t="s">
        <v>249</v>
      </c>
      <c r="G846">
        <v>1</v>
      </c>
      <c r="H846" t="s">
        <v>292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207</v>
      </c>
      <c r="B847" t="s">
        <v>9</v>
      </c>
      <c r="C847">
        <v>9</v>
      </c>
      <c r="D847">
        <v>2701</v>
      </c>
      <c r="E847">
        <v>0</v>
      </c>
      <c r="F847" t="s">
        <v>249</v>
      </c>
      <c r="G847">
        <v>5</v>
      </c>
      <c r="H847" t="s">
        <v>270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207</v>
      </c>
      <c r="B848" t="s">
        <v>9</v>
      </c>
      <c r="C848">
        <v>9</v>
      </c>
      <c r="D848">
        <v>3320</v>
      </c>
      <c r="E848">
        <v>0</v>
      </c>
      <c r="F848" t="s">
        <v>249</v>
      </c>
      <c r="G848">
        <v>3</v>
      </c>
      <c r="H848" t="s">
        <v>271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207</v>
      </c>
      <c r="B849" t="s">
        <v>9</v>
      </c>
      <c r="C849">
        <v>9</v>
      </c>
      <c r="D849">
        <v>2890</v>
      </c>
      <c r="E849">
        <v>2</v>
      </c>
      <c r="F849" t="s">
        <v>249</v>
      </c>
      <c r="G849">
        <v>3</v>
      </c>
      <c r="H849" t="s">
        <v>270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207</v>
      </c>
      <c r="B850" t="s">
        <v>9</v>
      </c>
      <c r="C850">
        <v>9</v>
      </c>
      <c r="D850">
        <v>3274</v>
      </c>
      <c r="E850">
        <v>1</v>
      </c>
      <c r="F850" t="s">
        <v>249</v>
      </c>
      <c r="G850">
        <v>2</v>
      </c>
      <c r="H850" t="s">
        <v>271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207</v>
      </c>
      <c r="B851" t="s">
        <v>9</v>
      </c>
      <c r="C851">
        <v>9</v>
      </c>
      <c r="D851">
        <v>2847</v>
      </c>
      <c r="E851">
        <v>1</v>
      </c>
      <c r="F851" t="s">
        <v>249</v>
      </c>
      <c r="G851">
        <v>1</v>
      </c>
      <c r="H851" t="s">
        <v>271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207</v>
      </c>
      <c r="B852" t="s">
        <v>9</v>
      </c>
      <c r="C852">
        <v>9</v>
      </c>
      <c r="D852">
        <v>2602</v>
      </c>
      <c r="E852">
        <v>0</v>
      </c>
      <c r="F852" t="s">
        <v>249</v>
      </c>
      <c r="G852">
        <v>4</v>
      </c>
      <c r="H852" t="s">
        <v>270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207</v>
      </c>
      <c r="B853" t="s">
        <v>9</v>
      </c>
      <c r="C853">
        <v>9</v>
      </c>
      <c r="D853">
        <v>2901</v>
      </c>
      <c r="E853">
        <v>1</v>
      </c>
      <c r="F853" t="s">
        <v>223</v>
      </c>
      <c r="G853" t="s">
        <v>283</v>
      </c>
      <c r="H853" t="s">
        <v>26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207</v>
      </c>
      <c r="B854" t="s">
        <v>9</v>
      </c>
      <c r="C854">
        <v>9</v>
      </c>
      <c r="D854">
        <v>2768</v>
      </c>
      <c r="E854">
        <v>0</v>
      </c>
      <c r="F854" t="s">
        <v>249</v>
      </c>
      <c r="G854">
        <v>5</v>
      </c>
      <c r="H854" t="s">
        <v>270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207</v>
      </c>
      <c r="B855" t="s">
        <v>9</v>
      </c>
      <c r="C855">
        <v>9</v>
      </c>
      <c r="D855">
        <v>2401</v>
      </c>
      <c r="E855">
        <v>1</v>
      </c>
      <c r="F855" t="s">
        <v>249</v>
      </c>
      <c r="G855">
        <v>1</v>
      </c>
      <c r="H855" t="s">
        <v>292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207</v>
      </c>
      <c r="B856" t="s">
        <v>9</v>
      </c>
      <c r="C856">
        <v>9</v>
      </c>
      <c r="D856">
        <v>2915</v>
      </c>
      <c r="E856">
        <v>0</v>
      </c>
      <c r="F856" t="s">
        <v>205</v>
      </c>
      <c r="G856">
        <v>3</v>
      </c>
      <c r="H856" t="s">
        <v>26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2587.5</v>
      </c>
      <c r="L85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7" spans="1:12">
      <c r="A857" t="s">
        <v>207</v>
      </c>
      <c r="B857" t="s">
        <v>9</v>
      </c>
      <c r="C857">
        <v>9</v>
      </c>
      <c r="D857">
        <v>2978</v>
      </c>
      <c r="E857">
        <v>0</v>
      </c>
      <c r="F857" t="s">
        <v>249</v>
      </c>
      <c r="G857">
        <v>4</v>
      </c>
      <c r="H857" t="s">
        <v>270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0</v>
      </c>
      <c r="L857" s="43">
        <f>IFERROR(SUMIFS(Tabela10[Exp Gain only 2*+],Tabela10[Drop],DropAnalityka[[#This Row],[Drop]],Tabela10[Grade],DropAnalityka[[#This Row],[Grade]])*DropAnalityka[[#This Row],[Quality/Quantity]],0)</f>
        <v>0</v>
      </c>
    </row>
    <row r="858" spans="1:12">
      <c r="A858" t="s">
        <v>207</v>
      </c>
      <c r="B858" t="s">
        <v>9</v>
      </c>
      <c r="C858">
        <v>9</v>
      </c>
      <c r="D858">
        <v>2956</v>
      </c>
      <c r="E858">
        <v>0</v>
      </c>
      <c r="F858" t="s">
        <v>249</v>
      </c>
      <c r="G858">
        <v>5</v>
      </c>
      <c r="H858" t="s">
        <v>270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207</v>
      </c>
      <c r="B859" t="s">
        <v>9</v>
      </c>
      <c r="C859">
        <v>9</v>
      </c>
      <c r="D859">
        <v>2657</v>
      </c>
      <c r="E859">
        <v>1</v>
      </c>
      <c r="F859" t="s">
        <v>249</v>
      </c>
      <c r="G859">
        <v>5</v>
      </c>
      <c r="H859" t="s">
        <v>270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207</v>
      </c>
      <c r="B860" t="s">
        <v>9</v>
      </c>
      <c r="C860">
        <v>9</v>
      </c>
      <c r="D860">
        <v>2789</v>
      </c>
      <c r="E860">
        <v>0</v>
      </c>
      <c r="F860" t="s">
        <v>206</v>
      </c>
      <c r="G860">
        <v>1</v>
      </c>
      <c r="H860" t="s">
        <v>17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207</v>
      </c>
      <c r="B861" t="s">
        <v>9</v>
      </c>
      <c r="C861">
        <v>9</v>
      </c>
      <c r="D861">
        <v>2793</v>
      </c>
      <c r="E861">
        <v>1</v>
      </c>
      <c r="F861" t="s">
        <v>249</v>
      </c>
      <c r="G861">
        <v>5</v>
      </c>
      <c r="H861" t="s">
        <v>270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207</v>
      </c>
      <c r="B862" t="s">
        <v>9</v>
      </c>
      <c r="C862">
        <v>9</v>
      </c>
      <c r="D862">
        <v>2869</v>
      </c>
      <c r="E862">
        <v>2</v>
      </c>
      <c r="F862" t="s">
        <v>249</v>
      </c>
      <c r="G862">
        <v>4</v>
      </c>
      <c r="H862" t="s">
        <v>270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207</v>
      </c>
      <c r="B863" t="s">
        <v>9</v>
      </c>
      <c r="C863">
        <v>9</v>
      </c>
      <c r="D863">
        <v>2638</v>
      </c>
      <c r="E863">
        <v>1</v>
      </c>
      <c r="F863" t="s">
        <v>206</v>
      </c>
      <c r="G863">
        <v>1</v>
      </c>
      <c r="H863" t="s">
        <v>17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207</v>
      </c>
      <c r="B864" t="s">
        <v>9</v>
      </c>
      <c r="C864">
        <v>9</v>
      </c>
      <c r="D864">
        <v>2929</v>
      </c>
      <c r="E864">
        <v>1</v>
      </c>
      <c r="F864" t="s">
        <v>249</v>
      </c>
      <c r="G864">
        <v>1</v>
      </c>
      <c r="H864" t="s">
        <v>292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207</v>
      </c>
      <c r="B865" t="s">
        <v>9</v>
      </c>
      <c r="C865">
        <v>9</v>
      </c>
      <c r="D865">
        <v>2423</v>
      </c>
      <c r="E865">
        <v>1</v>
      </c>
      <c r="F865" t="s">
        <v>249</v>
      </c>
      <c r="G865">
        <v>3</v>
      </c>
      <c r="H865" t="s">
        <v>270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207</v>
      </c>
      <c r="B866" t="s">
        <v>9</v>
      </c>
      <c r="C866">
        <v>9</v>
      </c>
      <c r="D866">
        <v>2881</v>
      </c>
      <c r="E866">
        <v>0</v>
      </c>
      <c r="F866" t="s">
        <v>249</v>
      </c>
      <c r="G866">
        <v>5</v>
      </c>
      <c r="H866" t="s">
        <v>270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207</v>
      </c>
      <c r="B867" t="s">
        <v>9</v>
      </c>
      <c r="C867">
        <v>9</v>
      </c>
      <c r="D867">
        <v>3128</v>
      </c>
      <c r="E867">
        <v>1</v>
      </c>
      <c r="F867" t="s">
        <v>249</v>
      </c>
      <c r="G867">
        <v>4</v>
      </c>
      <c r="H867" t="s">
        <v>270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207</v>
      </c>
      <c r="B868" t="s">
        <v>9</v>
      </c>
      <c r="C868">
        <v>9</v>
      </c>
      <c r="D868">
        <v>3042</v>
      </c>
      <c r="E868">
        <v>0</v>
      </c>
      <c r="F868" t="s">
        <v>249</v>
      </c>
      <c r="G868">
        <v>3</v>
      </c>
      <c r="H868" t="s">
        <v>271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207</v>
      </c>
      <c r="B869" t="s">
        <v>9</v>
      </c>
      <c r="C869">
        <v>9</v>
      </c>
      <c r="D869">
        <v>2846</v>
      </c>
      <c r="E869">
        <v>1</v>
      </c>
      <c r="F869" t="s">
        <v>249</v>
      </c>
      <c r="G869">
        <v>1</v>
      </c>
      <c r="H869" t="s">
        <v>271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207</v>
      </c>
      <c r="B870" t="s">
        <v>9</v>
      </c>
      <c r="C870">
        <v>9</v>
      </c>
      <c r="D870">
        <v>3112</v>
      </c>
      <c r="E870">
        <v>1</v>
      </c>
      <c r="F870" t="s">
        <v>249</v>
      </c>
      <c r="G870">
        <v>1</v>
      </c>
      <c r="H870" t="s">
        <v>271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207</v>
      </c>
      <c r="B871" t="s">
        <v>9</v>
      </c>
      <c r="C871">
        <v>9</v>
      </c>
      <c r="D871">
        <v>2928</v>
      </c>
      <c r="E871">
        <v>1</v>
      </c>
      <c r="F871" t="s">
        <v>249</v>
      </c>
      <c r="G871">
        <v>4</v>
      </c>
      <c r="H871" t="s">
        <v>270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207</v>
      </c>
      <c r="B872" t="s">
        <v>9</v>
      </c>
      <c r="C872">
        <v>9</v>
      </c>
      <c r="D872">
        <v>2702</v>
      </c>
      <c r="E872">
        <v>1</v>
      </c>
      <c r="F872" t="s">
        <v>249</v>
      </c>
      <c r="G872">
        <v>2</v>
      </c>
      <c r="H872" t="s">
        <v>292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223</v>
      </c>
      <c r="B873" t="s">
        <v>9</v>
      </c>
      <c r="C873" t="s">
        <v>26</v>
      </c>
      <c r="D873">
        <v>6071</v>
      </c>
      <c r="E873">
        <v>0</v>
      </c>
      <c r="F873" t="s">
        <v>205</v>
      </c>
      <c r="G873">
        <v>4</v>
      </c>
      <c r="H873" t="s">
        <v>26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3450</v>
      </c>
      <c r="L873" s="43">
        <f>IFERROR(SUMIFS(Tabela10[Exp Gain only 2*+],Tabela10[Drop],DropAnalityka[[#This Row],[Drop]],Tabela10[Grade],DropAnalityka[[#This Row],[Grade]])*DropAnalityka[[#This Row],[Quality/Quantity]],0)</f>
        <v>3582.2</v>
      </c>
    </row>
    <row r="874" spans="1:12">
      <c r="A874" t="s">
        <v>223</v>
      </c>
      <c r="B874" t="s">
        <v>9</v>
      </c>
      <c r="C874" t="s">
        <v>26</v>
      </c>
      <c r="D874">
        <v>5719</v>
      </c>
      <c r="E874">
        <v>0</v>
      </c>
      <c r="F874" t="s">
        <v>205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223</v>
      </c>
      <c r="B875" t="s">
        <v>9</v>
      </c>
      <c r="C875" t="s">
        <v>26</v>
      </c>
      <c r="D875">
        <v>5444</v>
      </c>
      <c r="E875">
        <v>0</v>
      </c>
      <c r="F875" t="s">
        <v>205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223</v>
      </c>
      <c r="B876" t="s">
        <v>9</v>
      </c>
      <c r="C876" t="s">
        <v>26</v>
      </c>
      <c r="D876">
        <v>5741</v>
      </c>
      <c r="E876">
        <v>0</v>
      </c>
      <c r="F876" t="s">
        <v>205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223</v>
      </c>
      <c r="B877" t="s">
        <v>9</v>
      </c>
      <c r="C877" t="s">
        <v>26</v>
      </c>
      <c r="D877">
        <v>6031</v>
      </c>
      <c r="E877">
        <v>0</v>
      </c>
      <c r="F877" t="s">
        <v>205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223</v>
      </c>
      <c r="B878" t="s">
        <v>9</v>
      </c>
      <c r="C878" t="s">
        <v>26</v>
      </c>
      <c r="D878">
        <v>5574</v>
      </c>
      <c r="E878">
        <v>0</v>
      </c>
      <c r="F878" t="s">
        <v>205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223</v>
      </c>
      <c r="B879" t="s">
        <v>9</v>
      </c>
      <c r="C879" t="s">
        <v>26</v>
      </c>
      <c r="D879">
        <v>6065</v>
      </c>
      <c r="E879">
        <v>0</v>
      </c>
      <c r="F879" t="s">
        <v>205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223</v>
      </c>
      <c r="B880" t="s">
        <v>9</v>
      </c>
      <c r="C880" t="s">
        <v>26</v>
      </c>
      <c r="D880">
        <v>5631</v>
      </c>
      <c r="E880">
        <v>0</v>
      </c>
      <c r="F880" t="s">
        <v>205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207</v>
      </c>
      <c r="B881" t="s">
        <v>9</v>
      </c>
      <c r="C881">
        <v>9</v>
      </c>
      <c r="D881">
        <v>2671</v>
      </c>
      <c r="E881">
        <v>0</v>
      </c>
      <c r="F881" t="s">
        <v>249</v>
      </c>
      <c r="G881">
        <v>1</v>
      </c>
      <c r="H881" t="s">
        <v>292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0</v>
      </c>
      <c r="L881" s="43">
        <f>IFERROR(SUMIFS(Tabela10[Exp Gain only 2*+],Tabela10[Drop],DropAnalityka[[#This Row],[Drop]],Tabela10[Grade],DropAnalityka[[#This Row],[Grade]])*DropAnalityka[[#This Row],[Quality/Quantity]],0)</f>
        <v>0</v>
      </c>
    </row>
    <row r="882" spans="1:12">
      <c r="A882" t="s">
        <v>207</v>
      </c>
      <c r="B882" t="s">
        <v>9</v>
      </c>
      <c r="C882">
        <v>9</v>
      </c>
      <c r="D882">
        <v>2940</v>
      </c>
      <c r="E882">
        <v>0</v>
      </c>
      <c r="F882" t="s">
        <v>249</v>
      </c>
      <c r="G882">
        <v>1</v>
      </c>
      <c r="H882" t="s">
        <v>271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207</v>
      </c>
      <c r="B883" t="s">
        <v>9</v>
      </c>
      <c r="C883">
        <v>9</v>
      </c>
      <c r="D883">
        <v>2643</v>
      </c>
      <c r="E883">
        <v>2</v>
      </c>
      <c r="F883" t="s">
        <v>249</v>
      </c>
      <c r="G883">
        <v>1</v>
      </c>
      <c r="H883" t="s">
        <v>271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207</v>
      </c>
      <c r="B884" t="s">
        <v>9</v>
      </c>
      <c r="C884">
        <v>9</v>
      </c>
      <c r="D884">
        <v>2968</v>
      </c>
      <c r="E884">
        <v>0</v>
      </c>
      <c r="F884" t="s">
        <v>249</v>
      </c>
      <c r="G884">
        <v>3</v>
      </c>
      <c r="H884" t="s">
        <v>292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207</v>
      </c>
      <c r="B885" t="s">
        <v>9</v>
      </c>
      <c r="C885">
        <v>9</v>
      </c>
      <c r="D885">
        <v>2502</v>
      </c>
      <c r="E885">
        <v>2</v>
      </c>
      <c r="F885" t="s">
        <v>249</v>
      </c>
      <c r="G885">
        <v>2</v>
      </c>
      <c r="H885" t="s">
        <v>292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207</v>
      </c>
      <c r="B886" t="s">
        <v>9</v>
      </c>
      <c r="C886">
        <v>9</v>
      </c>
      <c r="D886">
        <v>2719</v>
      </c>
      <c r="E886">
        <v>3</v>
      </c>
      <c r="F886" t="s">
        <v>223</v>
      </c>
      <c r="G886" t="s">
        <v>284</v>
      </c>
      <c r="H886" t="s">
        <v>26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207</v>
      </c>
      <c r="B887" t="s">
        <v>9</v>
      </c>
      <c r="C887">
        <v>9</v>
      </c>
      <c r="D887">
        <v>2733</v>
      </c>
      <c r="E887">
        <v>1</v>
      </c>
      <c r="F887" t="s">
        <v>249</v>
      </c>
      <c r="G887">
        <v>1</v>
      </c>
      <c r="H887" t="s">
        <v>292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207</v>
      </c>
      <c r="B888" t="s">
        <v>9</v>
      </c>
      <c r="C888">
        <v>9</v>
      </c>
      <c r="D888">
        <v>2917</v>
      </c>
      <c r="E888">
        <v>1</v>
      </c>
      <c r="F888" t="s">
        <v>249</v>
      </c>
      <c r="G888">
        <v>1</v>
      </c>
      <c r="H888" t="s">
        <v>292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207</v>
      </c>
      <c r="B889" t="s">
        <v>9</v>
      </c>
      <c r="C889">
        <v>9</v>
      </c>
      <c r="D889">
        <v>2662</v>
      </c>
      <c r="E889">
        <v>0</v>
      </c>
      <c r="F889" t="s">
        <v>249</v>
      </c>
      <c r="G889">
        <v>3</v>
      </c>
      <c r="H889" t="s">
        <v>271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207</v>
      </c>
      <c r="B890" t="s">
        <v>9</v>
      </c>
      <c r="C890">
        <v>9</v>
      </c>
      <c r="D890">
        <v>2980</v>
      </c>
      <c r="E890">
        <v>1</v>
      </c>
      <c r="F890" t="s">
        <v>249</v>
      </c>
      <c r="G890">
        <v>2</v>
      </c>
      <c r="H890" t="s">
        <v>292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207</v>
      </c>
      <c r="B891" t="s">
        <v>9</v>
      </c>
      <c r="C891">
        <v>9</v>
      </c>
      <c r="D891">
        <v>2778</v>
      </c>
      <c r="E891">
        <v>0</v>
      </c>
      <c r="F891" t="s">
        <v>58</v>
      </c>
      <c r="G891">
        <v>1</v>
      </c>
      <c r="H891" t="s">
        <v>26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34500</v>
      </c>
      <c r="L891" s="43">
        <f>IFERROR(SUMIFS(Tabela10[Exp Gain only 2*+],Tabela10[Drop],DropAnalityka[[#This Row],[Drop]],Tabela10[Grade],DropAnalityka[[#This Row],[Grade]])*DropAnalityka[[#This Row],[Quality/Quantity]],0)</f>
        <v>118004</v>
      </c>
    </row>
    <row r="892" spans="1:12">
      <c r="A892" t="s">
        <v>207</v>
      </c>
      <c r="B892" t="s">
        <v>9</v>
      </c>
      <c r="C892">
        <v>9</v>
      </c>
      <c r="D892">
        <v>2383</v>
      </c>
      <c r="E892">
        <v>0</v>
      </c>
      <c r="F892" t="s">
        <v>34</v>
      </c>
      <c r="G892">
        <v>5</v>
      </c>
      <c r="H892" t="s">
        <v>17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2" s="43">
        <f>IFERROR(SUMIFS(Tabela10[Fod Worth],Tabela10[Drop],DropAnalityka[[#This Row],[Drop]],Tabela10[Grade],DropAnalityka[[#This Row],[Grade]])*DropAnalityka[[#This Row],[Quality/Quantity]],0)</f>
        <v>0</v>
      </c>
      <c r="L892" s="43">
        <f>IFERROR(SUMIFS(Tabela10[Exp Gain only 2*+],Tabela10[Drop],DropAnalityka[[#This Row],[Drop]],Tabela10[Grade],DropAnalityka[[#This Row],[Grade]])*DropAnalityka[[#This Row],[Quality/Quantity]],0)</f>
        <v>4000</v>
      </c>
    </row>
    <row r="893" spans="1:12">
      <c r="A893" t="s">
        <v>207</v>
      </c>
      <c r="B893" t="s">
        <v>9</v>
      </c>
      <c r="C893">
        <v>9</v>
      </c>
      <c r="D893">
        <v>2705</v>
      </c>
      <c r="E893">
        <v>1</v>
      </c>
      <c r="F893" t="s">
        <v>249</v>
      </c>
      <c r="G893">
        <v>1</v>
      </c>
      <c r="H893" t="s">
        <v>271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0</v>
      </c>
    </row>
    <row r="894" spans="1:12">
      <c r="A894" t="s">
        <v>207</v>
      </c>
      <c r="B894" t="s">
        <v>9</v>
      </c>
      <c r="C894">
        <v>9</v>
      </c>
      <c r="D894">
        <v>2769</v>
      </c>
      <c r="E894">
        <v>1</v>
      </c>
      <c r="F894" t="s">
        <v>249</v>
      </c>
      <c r="G894">
        <v>1</v>
      </c>
      <c r="H894" t="s">
        <v>271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36</v>
      </c>
      <c r="B895" t="s">
        <v>9</v>
      </c>
      <c r="C895">
        <v>9</v>
      </c>
      <c r="D895">
        <v>2432</v>
      </c>
      <c r="E895">
        <v>1</v>
      </c>
      <c r="F895" t="s">
        <v>252</v>
      </c>
      <c r="G895">
        <v>5</v>
      </c>
      <c r="H895" t="s">
        <v>270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285</v>
      </c>
      <c r="B896" t="s">
        <v>9</v>
      </c>
      <c r="C896">
        <v>9</v>
      </c>
      <c r="D896">
        <v>2838</v>
      </c>
      <c r="E896">
        <v>0</v>
      </c>
      <c r="F896" t="s">
        <v>250</v>
      </c>
      <c r="G896">
        <v>4</v>
      </c>
      <c r="H896" t="s">
        <v>270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285</v>
      </c>
      <c r="B897" t="s">
        <v>9</v>
      </c>
      <c r="C897">
        <v>9</v>
      </c>
      <c r="D897">
        <v>2427</v>
      </c>
      <c r="E897">
        <v>1</v>
      </c>
      <c r="F897" t="s">
        <v>264</v>
      </c>
      <c r="G897">
        <v>3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285</v>
      </c>
      <c r="B898" t="s">
        <v>9</v>
      </c>
      <c r="C898">
        <v>9</v>
      </c>
      <c r="D898">
        <v>3047</v>
      </c>
      <c r="E898">
        <v>2</v>
      </c>
      <c r="F898" t="s">
        <v>250</v>
      </c>
      <c r="G898">
        <v>1</v>
      </c>
      <c r="H898" t="s">
        <v>292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285</v>
      </c>
      <c r="B899" t="s">
        <v>9</v>
      </c>
      <c r="C899">
        <v>9</v>
      </c>
      <c r="D899">
        <v>2866</v>
      </c>
      <c r="E899">
        <v>1</v>
      </c>
      <c r="F899" t="s">
        <v>206</v>
      </c>
      <c r="G899">
        <v>1</v>
      </c>
      <c r="H899" t="s">
        <v>17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285</v>
      </c>
      <c r="B900" t="s">
        <v>9</v>
      </c>
      <c r="C900">
        <v>9</v>
      </c>
      <c r="D900">
        <v>2763</v>
      </c>
      <c r="E900">
        <v>0</v>
      </c>
      <c r="F900" t="s">
        <v>264</v>
      </c>
      <c r="G900">
        <v>2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285</v>
      </c>
      <c r="B901" t="s">
        <v>9</v>
      </c>
      <c r="C901">
        <v>9</v>
      </c>
      <c r="D901">
        <v>3056</v>
      </c>
      <c r="E901">
        <v>1</v>
      </c>
      <c r="F901" t="s">
        <v>264</v>
      </c>
      <c r="G901">
        <v>1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285</v>
      </c>
      <c r="B902" t="s">
        <v>9</v>
      </c>
      <c r="C902">
        <v>9</v>
      </c>
      <c r="D902">
        <v>2719</v>
      </c>
      <c r="E902">
        <v>0</v>
      </c>
      <c r="F902" t="s">
        <v>250</v>
      </c>
      <c r="G902">
        <v>5</v>
      </c>
      <c r="H902" t="s">
        <v>270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285</v>
      </c>
      <c r="B903" t="s">
        <v>9</v>
      </c>
      <c r="C903">
        <v>9</v>
      </c>
      <c r="D903">
        <v>2911</v>
      </c>
      <c r="E903">
        <v>1</v>
      </c>
      <c r="F903" t="s">
        <v>250</v>
      </c>
      <c r="G903">
        <v>5</v>
      </c>
      <c r="H903" t="s">
        <v>270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285</v>
      </c>
      <c r="B904" t="s">
        <v>9</v>
      </c>
      <c r="C904">
        <v>9</v>
      </c>
      <c r="D904">
        <v>2858</v>
      </c>
      <c r="E904">
        <v>0</v>
      </c>
      <c r="F904" t="s">
        <v>250</v>
      </c>
      <c r="G904">
        <v>1</v>
      </c>
      <c r="H904" t="s">
        <v>292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285</v>
      </c>
      <c r="B905" t="s">
        <v>9</v>
      </c>
      <c r="C905">
        <v>9</v>
      </c>
      <c r="D905">
        <v>2965</v>
      </c>
      <c r="E905">
        <v>1</v>
      </c>
      <c r="F905" t="s">
        <v>250</v>
      </c>
      <c r="G905">
        <v>3</v>
      </c>
      <c r="H905" t="s">
        <v>292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285</v>
      </c>
      <c r="B906" t="s">
        <v>9</v>
      </c>
      <c r="C906">
        <v>9</v>
      </c>
      <c r="D906">
        <v>3486</v>
      </c>
      <c r="E906">
        <v>1</v>
      </c>
      <c r="F906" t="s">
        <v>206</v>
      </c>
      <c r="G906">
        <v>1</v>
      </c>
      <c r="H906" t="s">
        <v>17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285</v>
      </c>
      <c r="B907" t="s">
        <v>9</v>
      </c>
      <c r="C907">
        <v>9</v>
      </c>
      <c r="D907">
        <v>2992</v>
      </c>
      <c r="E907">
        <v>0</v>
      </c>
      <c r="F907" t="s">
        <v>58</v>
      </c>
      <c r="G907">
        <v>1</v>
      </c>
      <c r="H907" t="s">
        <v>26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34500</v>
      </c>
      <c r="L907" s="43">
        <f>IFERROR(SUMIFS(Tabela10[Exp Gain only 2*+],Tabela10[Drop],DropAnalityka[[#This Row],[Drop]],Tabela10[Grade],DropAnalityka[[#This Row],[Grade]])*DropAnalityka[[#This Row],[Quality/Quantity]],0)</f>
        <v>118004</v>
      </c>
    </row>
    <row r="908" spans="1:12">
      <c r="A908" t="s">
        <v>285</v>
      </c>
      <c r="B908" t="s">
        <v>9</v>
      </c>
      <c r="C908">
        <v>9</v>
      </c>
      <c r="D908">
        <v>2961</v>
      </c>
      <c r="E908">
        <v>1</v>
      </c>
      <c r="F908" t="s">
        <v>34</v>
      </c>
      <c r="G908">
        <v>5</v>
      </c>
      <c r="H908" t="s">
        <v>17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8" s="43">
        <f>IFERROR(SUMIFS(Tabela10[Fod Worth],Tabela10[Drop],DropAnalityka[[#This Row],[Drop]],Tabela10[Grade],DropAnalityka[[#This Row],[Grade]])*DropAnalityka[[#This Row],[Quality/Quantity]],0)</f>
        <v>0</v>
      </c>
      <c r="L908" s="43">
        <f>IFERROR(SUMIFS(Tabela10[Exp Gain only 2*+],Tabela10[Drop],DropAnalityka[[#This Row],[Drop]],Tabela10[Grade],DropAnalityka[[#This Row],[Grade]])*DropAnalityka[[#This Row],[Quality/Quantity]],0)</f>
        <v>4000</v>
      </c>
    </row>
    <row r="909" spans="1:12">
      <c r="A909" t="s">
        <v>285</v>
      </c>
      <c r="B909" t="s">
        <v>9</v>
      </c>
      <c r="C909">
        <v>9</v>
      </c>
      <c r="D909">
        <v>2744</v>
      </c>
      <c r="E909">
        <v>1</v>
      </c>
      <c r="F909" t="s">
        <v>250</v>
      </c>
      <c r="G909">
        <v>1</v>
      </c>
      <c r="H909" t="s">
        <v>271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0</v>
      </c>
    </row>
    <row r="910" spans="1:12">
      <c r="A910" t="s">
        <v>285</v>
      </c>
      <c r="B910" t="s">
        <v>9</v>
      </c>
      <c r="C910">
        <v>9</v>
      </c>
      <c r="D910">
        <v>2564</v>
      </c>
      <c r="E910">
        <v>0</v>
      </c>
      <c r="F910" t="s">
        <v>250</v>
      </c>
      <c r="G910">
        <v>5</v>
      </c>
      <c r="H910" t="s">
        <v>270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285</v>
      </c>
      <c r="B911" t="s">
        <v>9</v>
      </c>
      <c r="C911">
        <v>9</v>
      </c>
      <c r="D911">
        <v>2876</v>
      </c>
      <c r="E911">
        <v>2</v>
      </c>
      <c r="F911" t="s">
        <v>58</v>
      </c>
      <c r="G911">
        <v>1</v>
      </c>
      <c r="H911" t="s">
        <v>26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34500</v>
      </c>
      <c r="L911" s="43">
        <f>IFERROR(SUMIFS(Tabela10[Exp Gain only 2*+],Tabela10[Drop],DropAnalityka[[#This Row],[Drop]],Tabela10[Grade],DropAnalityka[[#This Row],[Grade]])*DropAnalityka[[#This Row],[Quality/Quantity]],0)</f>
        <v>118004</v>
      </c>
    </row>
    <row r="912" spans="1:12">
      <c r="A912" t="s">
        <v>285</v>
      </c>
      <c r="B912" t="s">
        <v>9</v>
      </c>
      <c r="C912">
        <v>9</v>
      </c>
      <c r="D912">
        <v>2779</v>
      </c>
      <c r="E912">
        <v>0</v>
      </c>
      <c r="F912" t="s">
        <v>264</v>
      </c>
      <c r="G912">
        <v>2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0</v>
      </c>
      <c r="L912" s="43">
        <f>IFERROR(SUMIFS(Tabela10[Exp Gain only 2*+],Tabela10[Drop],DropAnalityka[[#This Row],[Drop]],Tabela10[Grade],DropAnalityka[[#This Row],[Grade]])*DropAnalityka[[#This Row],[Quality/Quantity]],0)</f>
        <v>0</v>
      </c>
    </row>
    <row r="913" spans="1:12">
      <c r="A913" t="s">
        <v>36</v>
      </c>
      <c r="B913" t="s">
        <v>9</v>
      </c>
      <c r="C913">
        <v>9</v>
      </c>
      <c r="D913">
        <v>3024</v>
      </c>
      <c r="E913">
        <v>1</v>
      </c>
      <c r="F913" t="s">
        <v>252</v>
      </c>
      <c r="G913">
        <v>3</v>
      </c>
      <c r="H913" t="s">
        <v>292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285</v>
      </c>
      <c r="B914" t="s">
        <v>9</v>
      </c>
      <c r="C914">
        <v>9</v>
      </c>
      <c r="D914">
        <v>3032</v>
      </c>
      <c r="E914">
        <v>0</v>
      </c>
      <c r="F914" t="s">
        <v>250</v>
      </c>
      <c r="G914">
        <v>5</v>
      </c>
      <c r="H914" t="s">
        <v>270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285</v>
      </c>
      <c r="B915" t="s">
        <v>9</v>
      </c>
      <c r="C915">
        <v>9</v>
      </c>
      <c r="D915">
        <v>2865</v>
      </c>
      <c r="E915">
        <v>1</v>
      </c>
      <c r="F915" t="s">
        <v>58</v>
      </c>
      <c r="G915">
        <v>1</v>
      </c>
      <c r="H915" t="s">
        <v>26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34500</v>
      </c>
      <c r="L915" s="43">
        <f>IFERROR(SUMIFS(Tabela10[Exp Gain only 2*+],Tabela10[Drop],DropAnalityka[[#This Row],[Drop]],Tabela10[Grade],DropAnalityka[[#This Row],[Grade]])*DropAnalityka[[#This Row],[Quality/Quantity]],0)</f>
        <v>118004</v>
      </c>
    </row>
    <row r="916" spans="1:12">
      <c r="A916" t="s">
        <v>285</v>
      </c>
      <c r="B916" t="s">
        <v>9</v>
      </c>
      <c r="C916">
        <v>9</v>
      </c>
      <c r="D916">
        <v>2891</v>
      </c>
      <c r="E916">
        <v>2</v>
      </c>
      <c r="F916" t="s">
        <v>250</v>
      </c>
      <c r="G916">
        <v>1</v>
      </c>
      <c r="H916" t="s">
        <v>292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0</v>
      </c>
      <c r="L916" s="43">
        <f>IFERROR(SUMIFS(Tabela10[Exp Gain only 2*+],Tabela10[Drop],DropAnalityka[[#This Row],[Drop]],Tabela10[Grade],DropAnalityka[[#This Row],[Grade]])*DropAnalityka[[#This Row],[Quality/Quantity]],0)</f>
        <v>0</v>
      </c>
    </row>
    <row r="917" spans="1:12">
      <c r="A917" t="s">
        <v>285</v>
      </c>
      <c r="B917" t="s">
        <v>9</v>
      </c>
      <c r="C917">
        <v>9</v>
      </c>
      <c r="D917">
        <v>2799</v>
      </c>
      <c r="E917">
        <v>0</v>
      </c>
      <c r="F917" t="s">
        <v>250</v>
      </c>
      <c r="G917">
        <v>2</v>
      </c>
      <c r="H917" t="s">
        <v>292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285</v>
      </c>
      <c r="B918" t="s">
        <v>9</v>
      </c>
      <c r="C918">
        <v>9</v>
      </c>
      <c r="D918">
        <v>3197</v>
      </c>
      <c r="E918">
        <v>1</v>
      </c>
      <c r="F918" t="s">
        <v>250</v>
      </c>
      <c r="G918">
        <v>2</v>
      </c>
      <c r="H918" t="s">
        <v>292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285</v>
      </c>
      <c r="B919" t="s">
        <v>9</v>
      </c>
      <c r="C919">
        <v>9</v>
      </c>
      <c r="D919">
        <v>3013</v>
      </c>
      <c r="E919">
        <v>0</v>
      </c>
      <c r="F919" t="s">
        <v>250</v>
      </c>
      <c r="G919">
        <v>4</v>
      </c>
      <c r="H919" t="s">
        <v>270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285</v>
      </c>
      <c r="B920" t="s">
        <v>9</v>
      </c>
      <c r="C920">
        <v>9</v>
      </c>
      <c r="D920">
        <v>3393</v>
      </c>
      <c r="E920">
        <v>1</v>
      </c>
      <c r="F920" t="s">
        <v>250</v>
      </c>
      <c r="G920">
        <v>4</v>
      </c>
      <c r="H920" t="s">
        <v>270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285</v>
      </c>
      <c r="B921" t="s">
        <v>9</v>
      </c>
      <c r="C921">
        <v>9</v>
      </c>
      <c r="D921">
        <v>3290</v>
      </c>
      <c r="E921">
        <v>0</v>
      </c>
      <c r="F921" t="s">
        <v>288</v>
      </c>
      <c r="G921">
        <v>1</v>
      </c>
      <c r="H921" t="s">
        <v>17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286</v>
      </c>
      <c r="B922" t="s">
        <v>32</v>
      </c>
      <c r="C922">
        <v>5</v>
      </c>
      <c r="D922">
        <v>1311</v>
      </c>
      <c r="E922">
        <v>0</v>
      </c>
      <c r="I922">
        <v>1236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285</v>
      </c>
      <c r="B923" t="s">
        <v>9</v>
      </c>
      <c r="C923">
        <v>9</v>
      </c>
      <c r="D923">
        <v>2551</v>
      </c>
      <c r="E923">
        <v>1</v>
      </c>
      <c r="F923" t="s">
        <v>223</v>
      </c>
      <c r="G923" t="s">
        <v>287</v>
      </c>
      <c r="H923" t="s">
        <v>12</v>
      </c>
      <c r="I923">
        <v>0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285</v>
      </c>
      <c r="B924" t="s">
        <v>9</v>
      </c>
      <c r="C924">
        <v>9</v>
      </c>
      <c r="D924">
        <v>2856</v>
      </c>
      <c r="E924">
        <v>0</v>
      </c>
      <c r="F924" t="s">
        <v>250</v>
      </c>
      <c r="G924">
        <v>1</v>
      </c>
      <c r="H924" t="s">
        <v>271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285</v>
      </c>
      <c r="B925" t="s">
        <v>9</v>
      </c>
      <c r="C925">
        <v>9</v>
      </c>
      <c r="D925">
        <v>2488</v>
      </c>
      <c r="E925">
        <v>1</v>
      </c>
      <c r="F925" t="s">
        <v>250</v>
      </c>
      <c r="G925">
        <v>3</v>
      </c>
      <c r="H925" t="s">
        <v>292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285</v>
      </c>
      <c r="B926" t="s">
        <v>9</v>
      </c>
      <c r="C926">
        <v>9</v>
      </c>
      <c r="D926">
        <v>2583</v>
      </c>
      <c r="E926">
        <v>0</v>
      </c>
      <c r="F926" t="s">
        <v>250</v>
      </c>
      <c r="G926">
        <v>5</v>
      </c>
      <c r="H926" t="s">
        <v>270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285</v>
      </c>
      <c r="B927" t="s">
        <v>9</v>
      </c>
      <c r="C927">
        <v>9</v>
      </c>
      <c r="D927">
        <v>2394</v>
      </c>
      <c r="E927">
        <v>0</v>
      </c>
      <c r="F927" t="s">
        <v>250</v>
      </c>
      <c r="G927">
        <v>4</v>
      </c>
      <c r="H927" t="s">
        <v>270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285</v>
      </c>
      <c r="B928" t="s">
        <v>9</v>
      </c>
      <c r="C928">
        <v>9</v>
      </c>
      <c r="D928">
        <v>2703</v>
      </c>
      <c r="E928">
        <v>0</v>
      </c>
      <c r="F928" t="s">
        <v>250</v>
      </c>
      <c r="G928">
        <v>1</v>
      </c>
      <c r="H928" t="s">
        <v>271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285</v>
      </c>
      <c r="B929" t="s">
        <v>9</v>
      </c>
      <c r="C929">
        <v>9</v>
      </c>
      <c r="D929">
        <v>2880</v>
      </c>
      <c r="E929">
        <v>1</v>
      </c>
      <c r="F929" t="s">
        <v>250</v>
      </c>
      <c r="G929">
        <v>4</v>
      </c>
      <c r="H929" t="s">
        <v>270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285</v>
      </c>
      <c r="B930" t="s">
        <v>9</v>
      </c>
      <c r="C930">
        <v>9</v>
      </c>
      <c r="D930">
        <v>2802</v>
      </c>
      <c r="E930">
        <v>0</v>
      </c>
      <c r="F930" t="s">
        <v>250</v>
      </c>
      <c r="G930">
        <v>3</v>
      </c>
      <c r="H930" t="s">
        <v>292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285</v>
      </c>
      <c r="B931" t="s">
        <v>9</v>
      </c>
      <c r="C931">
        <v>9</v>
      </c>
      <c r="D931">
        <v>2784</v>
      </c>
      <c r="E931">
        <v>2</v>
      </c>
      <c r="F931" t="s">
        <v>264</v>
      </c>
      <c r="G931">
        <v>2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285</v>
      </c>
      <c r="B932" t="s">
        <v>9</v>
      </c>
      <c r="C932">
        <v>9</v>
      </c>
      <c r="D932">
        <v>2856</v>
      </c>
      <c r="E932">
        <v>0</v>
      </c>
      <c r="F932" t="s">
        <v>250</v>
      </c>
      <c r="G932">
        <v>3</v>
      </c>
      <c r="H932" t="s">
        <v>292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285</v>
      </c>
      <c r="B933" t="s">
        <v>9</v>
      </c>
      <c r="C933">
        <v>9</v>
      </c>
      <c r="D933">
        <v>3481</v>
      </c>
      <c r="E933">
        <v>0</v>
      </c>
      <c r="F933" t="s">
        <v>250</v>
      </c>
      <c r="G933">
        <v>4</v>
      </c>
      <c r="H933" t="s">
        <v>270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285</v>
      </c>
      <c r="B934" t="s">
        <v>9</v>
      </c>
      <c r="C934">
        <v>9</v>
      </c>
      <c r="D934">
        <v>2701</v>
      </c>
      <c r="E934">
        <v>0</v>
      </c>
      <c r="F934" t="s">
        <v>58</v>
      </c>
      <c r="G934" t="s">
        <v>12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285</v>
      </c>
      <c r="B935" t="s">
        <v>9</v>
      </c>
      <c r="C935">
        <v>9</v>
      </c>
      <c r="D935">
        <v>2809</v>
      </c>
      <c r="E935">
        <v>1</v>
      </c>
      <c r="F935" t="s">
        <v>206</v>
      </c>
      <c r="G935" t="s">
        <v>17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285</v>
      </c>
      <c r="B936" t="s">
        <v>9</v>
      </c>
      <c r="C936">
        <v>9</v>
      </c>
      <c r="D936">
        <v>2999</v>
      </c>
      <c r="E936">
        <v>0</v>
      </c>
      <c r="F936" t="s">
        <v>250</v>
      </c>
      <c r="G936">
        <v>5</v>
      </c>
      <c r="H936" t="s">
        <v>270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285</v>
      </c>
      <c r="B937" t="s">
        <v>9</v>
      </c>
      <c r="C937">
        <v>9</v>
      </c>
      <c r="D937">
        <v>2639</v>
      </c>
      <c r="E937">
        <v>1</v>
      </c>
      <c r="F937" t="s">
        <v>250</v>
      </c>
      <c r="G937">
        <v>2</v>
      </c>
      <c r="H937" t="s">
        <v>292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285</v>
      </c>
      <c r="B938" t="s">
        <v>9</v>
      </c>
      <c r="C938">
        <v>9</v>
      </c>
      <c r="D938">
        <v>2853</v>
      </c>
      <c r="E938">
        <v>0</v>
      </c>
      <c r="F938" t="s">
        <v>250</v>
      </c>
      <c r="G938">
        <v>2</v>
      </c>
      <c r="H938" t="s">
        <v>271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285</v>
      </c>
      <c r="B939" t="s">
        <v>9</v>
      </c>
      <c r="C939">
        <v>9</v>
      </c>
      <c r="D939">
        <v>3206</v>
      </c>
      <c r="E939">
        <v>1</v>
      </c>
      <c r="F939" t="s">
        <v>250</v>
      </c>
      <c r="G939">
        <v>4</v>
      </c>
      <c r="H939" t="s">
        <v>270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285</v>
      </c>
      <c r="B940" t="s">
        <v>9</v>
      </c>
      <c r="C940">
        <v>9</v>
      </c>
      <c r="D940">
        <v>3218</v>
      </c>
      <c r="E940">
        <v>0</v>
      </c>
      <c r="F940" t="s">
        <v>250</v>
      </c>
      <c r="G940">
        <v>3</v>
      </c>
      <c r="H940" t="s">
        <v>292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285</v>
      </c>
      <c r="B941" t="s">
        <v>9</v>
      </c>
      <c r="C941">
        <v>9</v>
      </c>
      <c r="D941">
        <v>2853</v>
      </c>
      <c r="E941">
        <v>2</v>
      </c>
      <c r="F941" t="s">
        <v>250</v>
      </c>
      <c r="G941">
        <v>3</v>
      </c>
      <c r="H941" t="s">
        <v>271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285</v>
      </c>
      <c r="B942" t="s">
        <v>9</v>
      </c>
      <c r="C942">
        <v>9</v>
      </c>
      <c r="D942">
        <v>2921</v>
      </c>
      <c r="E942">
        <v>0</v>
      </c>
      <c r="F942" t="s">
        <v>250</v>
      </c>
      <c r="G942">
        <v>1</v>
      </c>
      <c r="H942" t="s">
        <v>271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285</v>
      </c>
      <c r="B943" t="s">
        <v>9</v>
      </c>
      <c r="C943">
        <v>9</v>
      </c>
      <c r="D943">
        <v>2840</v>
      </c>
      <c r="E943">
        <v>0</v>
      </c>
      <c r="F943" t="s">
        <v>206</v>
      </c>
      <c r="G943" t="s">
        <v>17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285</v>
      </c>
      <c r="B944" t="s">
        <v>9</v>
      </c>
      <c r="C944">
        <v>9</v>
      </c>
      <c r="D944">
        <v>3444</v>
      </c>
      <c r="E944">
        <v>0</v>
      </c>
      <c r="F944" t="s">
        <v>264</v>
      </c>
      <c r="G944">
        <v>1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285</v>
      </c>
      <c r="B945" t="s">
        <v>9</v>
      </c>
      <c r="C945">
        <v>9</v>
      </c>
      <c r="D945">
        <v>2844</v>
      </c>
      <c r="E945">
        <v>0</v>
      </c>
      <c r="F945" t="s">
        <v>250</v>
      </c>
      <c r="G945">
        <v>2</v>
      </c>
      <c r="H945" t="s">
        <v>292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285</v>
      </c>
      <c r="B946" t="s">
        <v>9</v>
      </c>
      <c r="C946">
        <v>9</v>
      </c>
      <c r="D946">
        <v>2720</v>
      </c>
      <c r="E946">
        <v>0</v>
      </c>
      <c r="F946" t="s">
        <v>250</v>
      </c>
      <c r="G946">
        <v>4</v>
      </c>
      <c r="H946" t="s">
        <v>270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285</v>
      </c>
      <c r="B947" t="s">
        <v>9</v>
      </c>
      <c r="C947">
        <v>9</v>
      </c>
      <c r="D947">
        <v>2990</v>
      </c>
      <c r="E947">
        <v>1</v>
      </c>
      <c r="F947" t="s">
        <v>250</v>
      </c>
      <c r="G947">
        <v>4</v>
      </c>
      <c r="H947" t="s">
        <v>270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285</v>
      </c>
      <c r="B948" t="s">
        <v>9</v>
      </c>
      <c r="C948">
        <v>9</v>
      </c>
      <c r="D948">
        <v>2846</v>
      </c>
      <c r="E948">
        <v>4</v>
      </c>
      <c r="F948" t="s">
        <v>250</v>
      </c>
      <c r="G948">
        <v>1</v>
      </c>
      <c r="H948" t="s">
        <v>292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285</v>
      </c>
      <c r="B949" t="s">
        <v>9</v>
      </c>
      <c r="C949">
        <v>9</v>
      </c>
      <c r="D949">
        <v>2740</v>
      </c>
      <c r="E949">
        <v>1</v>
      </c>
      <c r="F949" t="s">
        <v>264</v>
      </c>
      <c r="G949">
        <v>1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285</v>
      </c>
      <c r="B950" t="s">
        <v>9</v>
      </c>
      <c r="C950">
        <v>9</v>
      </c>
      <c r="D950">
        <v>2619</v>
      </c>
      <c r="E950">
        <v>2</v>
      </c>
      <c r="F950" t="s">
        <v>250</v>
      </c>
      <c r="G950">
        <v>1</v>
      </c>
      <c r="H950" t="s">
        <v>292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285</v>
      </c>
      <c r="B951" t="s">
        <v>9</v>
      </c>
      <c r="C951">
        <v>9</v>
      </c>
      <c r="D951">
        <v>3000</v>
      </c>
      <c r="E951">
        <v>1</v>
      </c>
      <c r="F951" t="s">
        <v>250</v>
      </c>
      <c r="G951">
        <v>2</v>
      </c>
      <c r="H951" t="s">
        <v>292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285</v>
      </c>
      <c r="B952" t="s">
        <v>9</v>
      </c>
      <c r="C952">
        <v>9</v>
      </c>
      <c r="D952">
        <v>2846</v>
      </c>
      <c r="E952">
        <v>3</v>
      </c>
      <c r="F952" t="s">
        <v>250</v>
      </c>
      <c r="G952">
        <v>4</v>
      </c>
      <c r="H952" t="s">
        <v>270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285</v>
      </c>
      <c r="B953" t="s">
        <v>9</v>
      </c>
      <c r="C953">
        <v>9</v>
      </c>
      <c r="D953">
        <v>2824</v>
      </c>
      <c r="E953">
        <v>2</v>
      </c>
      <c r="F953" t="s">
        <v>264</v>
      </c>
      <c r="G953">
        <v>3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285</v>
      </c>
      <c r="B954" t="s">
        <v>9</v>
      </c>
      <c r="C954">
        <v>9</v>
      </c>
      <c r="D954">
        <v>3201</v>
      </c>
      <c r="E954">
        <v>0</v>
      </c>
      <c r="F954" t="s">
        <v>250</v>
      </c>
      <c r="G954">
        <v>5</v>
      </c>
      <c r="H954" t="s">
        <v>270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285</v>
      </c>
      <c r="B955" t="s">
        <v>9</v>
      </c>
      <c r="C955">
        <v>9</v>
      </c>
      <c r="D955">
        <v>2638</v>
      </c>
      <c r="E955">
        <v>0</v>
      </c>
      <c r="F955" t="s">
        <v>250</v>
      </c>
      <c r="G955">
        <v>3</v>
      </c>
      <c r="H955" t="s">
        <v>270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285</v>
      </c>
      <c r="B956" t="s">
        <v>9</v>
      </c>
      <c r="C956">
        <v>9</v>
      </c>
      <c r="D956">
        <v>2887</v>
      </c>
      <c r="E956">
        <v>1</v>
      </c>
      <c r="F956" t="s">
        <v>34</v>
      </c>
      <c r="G956">
        <v>4</v>
      </c>
      <c r="H956" t="s">
        <v>17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3200</v>
      </c>
    </row>
    <row r="957" spans="1:12">
      <c r="A957" t="s">
        <v>285</v>
      </c>
      <c r="B957" t="s">
        <v>9</v>
      </c>
      <c r="C957">
        <v>9</v>
      </c>
      <c r="D957">
        <v>2399</v>
      </c>
      <c r="E957">
        <v>0</v>
      </c>
      <c r="F957" t="s">
        <v>250</v>
      </c>
      <c r="G957">
        <v>3</v>
      </c>
      <c r="H957" t="s">
        <v>271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0</v>
      </c>
    </row>
    <row r="958" spans="1:12">
      <c r="A958" t="s">
        <v>285</v>
      </c>
      <c r="B958" t="s">
        <v>9</v>
      </c>
      <c r="C958">
        <v>9</v>
      </c>
      <c r="D958">
        <v>3055</v>
      </c>
      <c r="E958">
        <v>1</v>
      </c>
      <c r="F958" t="s">
        <v>250</v>
      </c>
      <c r="G958">
        <v>1</v>
      </c>
      <c r="H958" t="s">
        <v>292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285</v>
      </c>
      <c r="B959" t="s">
        <v>9</v>
      </c>
      <c r="C959">
        <v>9</v>
      </c>
      <c r="D959">
        <v>2841</v>
      </c>
      <c r="E959">
        <v>0</v>
      </c>
      <c r="F959" t="s">
        <v>250</v>
      </c>
      <c r="G959">
        <v>5</v>
      </c>
      <c r="H959" t="s">
        <v>270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285</v>
      </c>
      <c r="B960" t="s">
        <v>9</v>
      </c>
      <c r="C960">
        <v>9</v>
      </c>
      <c r="D960">
        <v>2937</v>
      </c>
      <c r="E960">
        <v>0</v>
      </c>
      <c r="F960" t="s">
        <v>223</v>
      </c>
      <c r="G960" t="s">
        <v>12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285</v>
      </c>
      <c r="B961" t="s">
        <v>9</v>
      </c>
      <c r="C961">
        <v>9</v>
      </c>
      <c r="D961">
        <v>2426</v>
      </c>
      <c r="E961">
        <v>0</v>
      </c>
      <c r="F961" t="s">
        <v>250</v>
      </c>
      <c r="G961">
        <v>1</v>
      </c>
      <c r="H961" t="s">
        <v>271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285</v>
      </c>
      <c r="B962" t="s">
        <v>9</v>
      </c>
      <c r="C962">
        <v>9</v>
      </c>
      <c r="D962">
        <v>2552</v>
      </c>
      <c r="E962">
        <v>1</v>
      </c>
      <c r="F962" t="s">
        <v>250</v>
      </c>
      <c r="G962">
        <v>3</v>
      </c>
      <c r="H962" t="s">
        <v>292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285</v>
      </c>
      <c r="B963" t="s">
        <v>9</v>
      </c>
      <c r="C963">
        <v>9</v>
      </c>
      <c r="D963">
        <v>2771</v>
      </c>
      <c r="E963">
        <v>2</v>
      </c>
      <c r="F963" t="s">
        <v>250</v>
      </c>
      <c r="G963">
        <v>1</v>
      </c>
      <c r="H963" t="s">
        <v>292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285</v>
      </c>
      <c r="B964" t="s">
        <v>9</v>
      </c>
      <c r="C964">
        <v>9</v>
      </c>
      <c r="D964">
        <v>2652</v>
      </c>
      <c r="E964">
        <v>2</v>
      </c>
      <c r="F964" t="s">
        <v>250</v>
      </c>
      <c r="G964">
        <v>4</v>
      </c>
      <c r="H964" t="s">
        <v>270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285</v>
      </c>
      <c r="B965" t="s">
        <v>9</v>
      </c>
      <c r="C965">
        <v>9</v>
      </c>
      <c r="D965">
        <v>2708</v>
      </c>
      <c r="E965">
        <v>0</v>
      </c>
      <c r="F965" t="s">
        <v>250</v>
      </c>
      <c r="G965">
        <v>1</v>
      </c>
      <c r="H965" t="s">
        <v>271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285</v>
      </c>
      <c r="B966" t="s">
        <v>9</v>
      </c>
      <c r="C966">
        <v>9</v>
      </c>
      <c r="D966">
        <v>2684</v>
      </c>
      <c r="E966">
        <v>1</v>
      </c>
      <c r="F966" t="s">
        <v>250</v>
      </c>
      <c r="G966">
        <v>1</v>
      </c>
      <c r="H966" t="s">
        <v>271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285</v>
      </c>
      <c r="B967" t="s">
        <v>9</v>
      </c>
      <c r="C967">
        <v>9</v>
      </c>
      <c r="D967">
        <v>3108</v>
      </c>
      <c r="E967">
        <v>3</v>
      </c>
      <c r="F967" t="s">
        <v>250</v>
      </c>
      <c r="G967">
        <v>4</v>
      </c>
      <c r="H967" t="s">
        <v>270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285</v>
      </c>
      <c r="B968" t="s">
        <v>9</v>
      </c>
      <c r="C968">
        <v>9</v>
      </c>
      <c r="D968">
        <v>2839</v>
      </c>
      <c r="E968">
        <v>1</v>
      </c>
      <c r="F968" t="s">
        <v>250</v>
      </c>
      <c r="G968">
        <v>1</v>
      </c>
      <c r="H968" t="s">
        <v>271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60</v>
      </c>
      <c r="B969" t="s">
        <v>30</v>
      </c>
      <c r="C969">
        <v>11</v>
      </c>
      <c r="D969">
        <v>1670</v>
      </c>
      <c r="E969">
        <v>1</v>
      </c>
      <c r="I969">
        <v>1976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60</v>
      </c>
      <c r="B970" t="s">
        <v>30</v>
      </c>
      <c r="C970">
        <v>11</v>
      </c>
      <c r="D970">
        <v>2097</v>
      </c>
      <c r="E970">
        <v>1</v>
      </c>
      <c r="I970">
        <v>1824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60</v>
      </c>
      <c r="B971" t="s">
        <v>30</v>
      </c>
      <c r="C971">
        <v>11</v>
      </c>
      <c r="D971">
        <v>2652</v>
      </c>
      <c r="E971">
        <v>0</v>
      </c>
      <c r="I971">
        <v>1976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60</v>
      </c>
      <c r="B972" t="s">
        <v>30</v>
      </c>
      <c r="C972">
        <v>11</v>
      </c>
      <c r="D972">
        <v>1719</v>
      </c>
      <c r="E972">
        <v>2</v>
      </c>
      <c r="I972">
        <v>1824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60</v>
      </c>
      <c r="B973" t="s">
        <v>30</v>
      </c>
      <c r="C973">
        <v>11</v>
      </c>
      <c r="D973">
        <v>1304</v>
      </c>
      <c r="E973">
        <v>1</v>
      </c>
      <c r="F973" t="s">
        <v>34</v>
      </c>
      <c r="G973">
        <v>2</v>
      </c>
      <c r="H973" t="s">
        <v>17</v>
      </c>
      <c r="I973">
        <v>0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1600</v>
      </c>
    </row>
    <row r="974" spans="1:12">
      <c r="A974" t="s">
        <v>60</v>
      </c>
      <c r="B974" t="s">
        <v>30</v>
      </c>
      <c r="C974">
        <v>11</v>
      </c>
      <c r="D974">
        <v>1662</v>
      </c>
      <c r="E974">
        <v>2</v>
      </c>
      <c r="I974">
        <v>1976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0</v>
      </c>
    </row>
    <row r="975" spans="1:12">
      <c r="A975" t="s">
        <v>60</v>
      </c>
      <c r="B975" t="s">
        <v>30</v>
      </c>
      <c r="C975">
        <v>11</v>
      </c>
      <c r="D975">
        <v>1385</v>
      </c>
      <c r="E975">
        <v>0</v>
      </c>
      <c r="I975">
        <v>2937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60</v>
      </c>
      <c r="B976" t="s">
        <v>30</v>
      </c>
      <c r="C976">
        <v>11</v>
      </c>
      <c r="D976">
        <v>1707</v>
      </c>
      <c r="E976">
        <v>1</v>
      </c>
      <c r="I976">
        <v>1824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60</v>
      </c>
      <c r="B977" t="s">
        <v>30</v>
      </c>
      <c r="C977">
        <v>11</v>
      </c>
      <c r="D977">
        <v>1589</v>
      </c>
      <c r="E977">
        <v>1</v>
      </c>
      <c r="F977" t="s">
        <v>34</v>
      </c>
      <c r="G977">
        <v>2</v>
      </c>
      <c r="H977" t="s">
        <v>17</v>
      </c>
      <c r="I977">
        <v>0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1600</v>
      </c>
    </row>
    <row r="978" spans="1:12">
      <c r="A978" t="s">
        <v>60</v>
      </c>
      <c r="B978" t="s">
        <v>30</v>
      </c>
      <c r="C978">
        <v>11</v>
      </c>
      <c r="D978">
        <v>1796</v>
      </c>
      <c r="E978">
        <v>2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31</v>
      </c>
      <c r="B979" t="s">
        <v>30</v>
      </c>
      <c r="C979">
        <v>11</v>
      </c>
      <c r="D979">
        <v>2028</v>
      </c>
      <c r="E979">
        <v>0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1671</v>
      </c>
      <c r="E980">
        <v>0</v>
      </c>
      <c r="I980">
        <v>1824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0</v>
      </c>
    </row>
    <row r="981" spans="1:12">
      <c r="A981" t="s">
        <v>31</v>
      </c>
      <c r="B981" t="s">
        <v>30</v>
      </c>
      <c r="C981">
        <v>11</v>
      </c>
      <c r="D981">
        <v>777</v>
      </c>
      <c r="E981">
        <v>3</v>
      </c>
      <c r="I981">
        <v>2128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2328</v>
      </c>
      <c r="E982">
        <v>1</v>
      </c>
      <c r="F982" t="s">
        <v>34</v>
      </c>
      <c r="G982">
        <v>2</v>
      </c>
      <c r="H982" t="s">
        <v>17</v>
      </c>
      <c r="I982">
        <v>0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1600</v>
      </c>
    </row>
    <row r="983" spans="1:12">
      <c r="A983" t="s">
        <v>31</v>
      </c>
      <c r="B983" t="s">
        <v>30</v>
      </c>
      <c r="C983">
        <v>11</v>
      </c>
      <c r="D983">
        <v>1762</v>
      </c>
      <c r="E983">
        <v>2</v>
      </c>
      <c r="I983">
        <v>1976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0</v>
      </c>
    </row>
    <row r="984" spans="1:12">
      <c r="A984" t="s">
        <v>31</v>
      </c>
      <c r="B984" t="s">
        <v>30</v>
      </c>
      <c r="C984">
        <v>11</v>
      </c>
      <c r="D984">
        <v>1553</v>
      </c>
      <c r="E984">
        <v>1</v>
      </c>
      <c r="I984">
        <v>2937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1066</v>
      </c>
      <c r="E985">
        <v>1</v>
      </c>
      <c r="F985" t="s">
        <v>34</v>
      </c>
      <c r="G985">
        <v>2</v>
      </c>
      <c r="H985" t="s">
        <v>17</v>
      </c>
      <c r="I985">
        <v>0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1600</v>
      </c>
    </row>
    <row r="986" spans="1:12">
      <c r="A986" t="s">
        <v>31</v>
      </c>
      <c r="B986" t="s">
        <v>30</v>
      </c>
      <c r="C986">
        <v>11</v>
      </c>
      <c r="D986">
        <v>1654</v>
      </c>
      <c r="E986">
        <v>0</v>
      </c>
      <c r="I986">
        <v>2937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0</v>
      </c>
    </row>
    <row r="987" spans="1:12">
      <c r="A987" t="s">
        <v>60</v>
      </c>
      <c r="B987" t="s">
        <v>30</v>
      </c>
      <c r="C987">
        <v>11</v>
      </c>
      <c r="D987">
        <v>2758</v>
      </c>
      <c r="E987">
        <v>0</v>
      </c>
      <c r="F987" t="s">
        <v>34</v>
      </c>
      <c r="G987">
        <v>2</v>
      </c>
      <c r="H987" t="s">
        <v>17</v>
      </c>
      <c r="I987">
        <v>0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1600</v>
      </c>
    </row>
    <row r="988" spans="1:12">
      <c r="A988" t="s">
        <v>36</v>
      </c>
      <c r="B988" t="s">
        <v>9</v>
      </c>
      <c r="C988">
        <v>9</v>
      </c>
      <c r="D988">
        <v>3008</v>
      </c>
      <c r="E988">
        <v>1</v>
      </c>
      <c r="F988" t="s">
        <v>252</v>
      </c>
      <c r="G988">
        <v>5</v>
      </c>
      <c r="H988" t="s">
        <v>270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0</v>
      </c>
    </row>
    <row r="989" spans="1:12">
      <c r="A989" t="s">
        <v>172</v>
      </c>
      <c r="B989" t="s">
        <v>9</v>
      </c>
      <c r="C989">
        <v>7</v>
      </c>
      <c r="D989">
        <v>2997</v>
      </c>
      <c r="E989">
        <v>0</v>
      </c>
      <c r="F989" t="s">
        <v>34</v>
      </c>
      <c r="G989">
        <v>4</v>
      </c>
      <c r="H989" t="s">
        <v>17</v>
      </c>
      <c r="I989">
        <v>0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3200</v>
      </c>
    </row>
    <row r="990" spans="1:12">
      <c r="A990" t="s">
        <v>172</v>
      </c>
      <c r="B990" t="s">
        <v>9</v>
      </c>
      <c r="C990">
        <v>7</v>
      </c>
      <c r="D990">
        <v>3403</v>
      </c>
      <c r="E990">
        <v>3</v>
      </c>
      <c r="F990" t="s">
        <v>258</v>
      </c>
      <c r="G990">
        <v>1</v>
      </c>
      <c r="H990" t="s">
        <v>27</v>
      </c>
      <c r="I990">
        <v>3307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0</v>
      </c>
    </row>
    <row r="991" spans="1:12">
      <c r="A991" t="s">
        <v>172</v>
      </c>
      <c r="B991" t="s">
        <v>9</v>
      </c>
      <c r="C991">
        <v>7</v>
      </c>
      <c r="D991">
        <v>3941</v>
      </c>
      <c r="E991">
        <v>1</v>
      </c>
      <c r="F991" t="s">
        <v>34</v>
      </c>
      <c r="G991">
        <v>3</v>
      </c>
      <c r="H991" t="s">
        <v>17</v>
      </c>
      <c r="I991">
        <v>0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2400</v>
      </c>
    </row>
    <row r="992" spans="1:12">
      <c r="A992" t="s">
        <v>172</v>
      </c>
      <c r="B992" t="s">
        <v>9</v>
      </c>
      <c r="C992">
        <v>7</v>
      </c>
      <c r="D992">
        <v>2787</v>
      </c>
      <c r="E992">
        <v>1</v>
      </c>
      <c r="F992" t="s">
        <v>258</v>
      </c>
      <c r="G992">
        <v>1</v>
      </c>
      <c r="H992" t="s">
        <v>27</v>
      </c>
      <c r="I992">
        <v>5512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0</v>
      </c>
    </row>
    <row r="993" spans="1:12">
      <c r="A993" t="s">
        <v>172</v>
      </c>
      <c r="B993" t="s">
        <v>9</v>
      </c>
      <c r="C993">
        <v>7</v>
      </c>
      <c r="D993">
        <v>3709</v>
      </c>
      <c r="E993">
        <v>1</v>
      </c>
      <c r="F993" t="s">
        <v>34</v>
      </c>
      <c r="G993">
        <v>3</v>
      </c>
      <c r="H993" t="s">
        <v>17</v>
      </c>
      <c r="I993">
        <v>0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2400</v>
      </c>
    </row>
    <row r="994" spans="1:12">
      <c r="A994" t="s">
        <v>172</v>
      </c>
      <c r="B994" t="s">
        <v>9</v>
      </c>
      <c r="C994">
        <v>7</v>
      </c>
      <c r="D994">
        <v>3276</v>
      </c>
      <c r="E994">
        <v>4</v>
      </c>
      <c r="F994" t="s">
        <v>258</v>
      </c>
      <c r="G994">
        <v>1</v>
      </c>
      <c r="H994" t="s">
        <v>27</v>
      </c>
      <c r="I994">
        <v>2411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0</v>
      </c>
    </row>
    <row r="995" spans="1:12">
      <c r="A995" t="s">
        <v>172</v>
      </c>
      <c r="B995" t="s">
        <v>9</v>
      </c>
      <c r="C995">
        <v>7</v>
      </c>
      <c r="D995">
        <v>2942</v>
      </c>
      <c r="E995">
        <v>1</v>
      </c>
      <c r="F995" t="s">
        <v>34</v>
      </c>
      <c r="G995">
        <v>4</v>
      </c>
      <c r="H995" t="s">
        <v>17</v>
      </c>
      <c r="I995">
        <v>0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3200</v>
      </c>
    </row>
    <row r="996" spans="1:12">
      <c r="A996" t="s">
        <v>172</v>
      </c>
      <c r="B996" t="s">
        <v>9</v>
      </c>
      <c r="C996">
        <v>7</v>
      </c>
      <c r="D996">
        <v>3049</v>
      </c>
      <c r="E996">
        <v>1</v>
      </c>
      <c r="F996" t="s">
        <v>258</v>
      </c>
      <c r="G996">
        <v>1</v>
      </c>
      <c r="H996" t="s">
        <v>27</v>
      </c>
      <c r="I996">
        <v>3927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0</v>
      </c>
    </row>
    <row r="997" spans="1:12">
      <c r="A997" t="s">
        <v>172</v>
      </c>
      <c r="B997" t="s">
        <v>9</v>
      </c>
      <c r="C997">
        <v>7</v>
      </c>
      <c r="D997">
        <v>2793</v>
      </c>
      <c r="E997">
        <v>0</v>
      </c>
      <c r="F997" t="s">
        <v>291</v>
      </c>
      <c r="G997">
        <v>1</v>
      </c>
      <c r="H997" t="s">
        <v>26</v>
      </c>
      <c r="I997">
        <v>1971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172</v>
      </c>
      <c r="B998" t="s">
        <v>9</v>
      </c>
      <c r="C998">
        <v>7</v>
      </c>
      <c r="D998">
        <v>3111</v>
      </c>
      <c r="E998">
        <v>1</v>
      </c>
      <c r="F998" t="s">
        <v>291</v>
      </c>
      <c r="G998">
        <v>1</v>
      </c>
      <c r="H998" t="s">
        <v>27</v>
      </c>
      <c r="I998">
        <v>3720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172</v>
      </c>
      <c r="B999" t="s">
        <v>9</v>
      </c>
      <c r="C999">
        <v>7</v>
      </c>
      <c r="D999">
        <v>2990</v>
      </c>
      <c r="E999">
        <v>0</v>
      </c>
      <c r="F999" t="s">
        <v>258</v>
      </c>
      <c r="G999">
        <v>1</v>
      </c>
      <c r="H999" t="s">
        <v>27</v>
      </c>
      <c r="I999">
        <v>4134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172</v>
      </c>
      <c r="B1000" t="s">
        <v>9</v>
      </c>
      <c r="C1000">
        <v>7</v>
      </c>
      <c r="D1000">
        <v>3378</v>
      </c>
      <c r="E1000">
        <v>1</v>
      </c>
      <c r="F1000" t="s">
        <v>258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172</v>
      </c>
      <c r="B1001" t="s">
        <v>9</v>
      </c>
      <c r="C1001">
        <v>7</v>
      </c>
      <c r="D1001">
        <v>2940</v>
      </c>
      <c r="E1001">
        <v>3</v>
      </c>
      <c r="F1001" t="s">
        <v>291</v>
      </c>
      <c r="G1001">
        <v>1</v>
      </c>
      <c r="H1001" t="s">
        <v>27</v>
      </c>
      <c r="I1001">
        <v>4042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172</v>
      </c>
      <c r="B1002" t="s">
        <v>9</v>
      </c>
      <c r="C1002">
        <v>7</v>
      </c>
      <c r="D1002">
        <v>3698</v>
      </c>
      <c r="E1002">
        <v>3</v>
      </c>
      <c r="F1002" t="s">
        <v>258</v>
      </c>
      <c r="G1002">
        <v>1</v>
      </c>
      <c r="H1002" t="s">
        <v>28</v>
      </c>
      <c r="I1002">
        <v>8500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172</v>
      </c>
      <c r="B1003" t="s">
        <v>9</v>
      </c>
      <c r="C1003">
        <v>7</v>
      </c>
      <c r="D1003">
        <v>3224</v>
      </c>
      <c r="E1003">
        <v>0</v>
      </c>
      <c r="F1003" t="s">
        <v>34</v>
      </c>
      <c r="G1003">
        <v>3</v>
      </c>
      <c r="H1003" t="s">
        <v>17</v>
      </c>
      <c r="I1003">
        <v>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2400</v>
      </c>
    </row>
    <row r="1004" spans="1:12">
      <c r="A1004" t="s">
        <v>172</v>
      </c>
      <c r="B1004" t="s">
        <v>9</v>
      </c>
      <c r="C1004">
        <v>7</v>
      </c>
      <c r="D1004">
        <v>2991</v>
      </c>
      <c r="E1004">
        <v>3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172</v>
      </c>
      <c r="B1005" t="s">
        <v>9</v>
      </c>
      <c r="C1005">
        <v>7</v>
      </c>
      <c r="D1005">
        <v>3535</v>
      </c>
      <c r="E1005">
        <v>2</v>
      </c>
      <c r="F1005" t="s">
        <v>258</v>
      </c>
      <c r="G1005">
        <v>1</v>
      </c>
      <c r="H1005" t="s">
        <v>28</v>
      </c>
      <c r="I1005">
        <v>5057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0</v>
      </c>
    </row>
    <row r="1006" spans="1:12">
      <c r="A1006" t="s">
        <v>172</v>
      </c>
      <c r="B1006" t="s">
        <v>9</v>
      </c>
      <c r="C1006">
        <v>7</v>
      </c>
      <c r="D1006">
        <v>3010</v>
      </c>
      <c r="E1006">
        <v>1</v>
      </c>
      <c r="F1006" t="s">
        <v>258</v>
      </c>
      <c r="G1006">
        <v>1</v>
      </c>
      <c r="H1006" t="s">
        <v>28</v>
      </c>
      <c r="I1006">
        <v>6800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172</v>
      </c>
      <c r="B1007" t="s">
        <v>9</v>
      </c>
      <c r="C1007">
        <v>7</v>
      </c>
      <c r="D1007">
        <v>3005</v>
      </c>
      <c r="E1007">
        <v>2</v>
      </c>
      <c r="F1007" t="s">
        <v>258</v>
      </c>
      <c r="G1007">
        <v>1</v>
      </c>
      <c r="H1007" t="s">
        <v>27</v>
      </c>
      <c r="I1007">
        <v>7028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172</v>
      </c>
      <c r="B1008" t="s">
        <v>9</v>
      </c>
      <c r="C1008">
        <v>7</v>
      </c>
      <c r="D1008">
        <v>2684</v>
      </c>
      <c r="E1008">
        <v>1</v>
      </c>
      <c r="F1008" t="s">
        <v>34</v>
      </c>
      <c r="G1008">
        <v>4</v>
      </c>
      <c r="H1008" t="s">
        <v>17</v>
      </c>
      <c r="I1008">
        <v>0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3200</v>
      </c>
    </row>
    <row r="1009" spans="1:12">
      <c r="A1009" t="s">
        <v>172</v>
      </c>
      <c r="B1009" t="s">
        <v>9</v>
      </c>
      <c r="C1009">
        <v>7</v>
      </c>
      <c r="D1009">
        <v>3225</v>
      </c>
      <c r="E1009">
        <v>0</v>
      </c>
      <c r="F1009" t="s">
        <v>291</v>
      </c>
      <c r="G1009">
        <v>1</v>
      </c>
      <c r="H1009" t="s">
        <v>27</v>
      </c>
      <c r="I1009">
        <v>4295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0</v>
      </c>
    </row>
    <row r="1010" spans="1:12">
      <c r="A1010" t="s">
        <v>172</v>
      </c>
      <c r="B1010" t="s">
        <v>9</v>
      </c>
      <c r="C1010">
        <v>7</v>
      </c>
      <c r="D1010">
        <v>3020</v>
      </c>
      <c r="E1010">
        <v>1</v>
      </c>
      <c r="F1010" t="s">
        <v>258</v>
      </c>
      <c r="G1010">
        <v>1</v>
      </c>
      <c r="H1010" t="s">
        <v>27</v>
      </c>
      <c r="I1010">
        <v>4134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172</v>
      </c>
      <c r="B1011" t="s">
        <v>9</v>
      </c>
      <c r="C1011">
        <v>7</v>
      </c>
      <c r="D1011">
        <v>2530</v>
      </c>
      <c r="E1011">
        <v>1</v>
      </c>
      <c r="F1011" t="s">
        <v>258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172</v>
      </c>
      <c r="B1012" t="s">
        <v>9</v>
      </c>
      <c r="C1012">
        <v>7</v>
      </c>
      <c r="D1012">
        <v>3259</v>
      </c>
      <c r="E1012">
        <v>1</v>
      </c>
      <c r="F1012" t="s">
        <v>291</v>
      </c>
      <c r="G1012">
        <v>1</v>
      </c>
      <c r="H1012" t="s">
        <v>27</v>
      </c>
      <c r="I1012">
        <v>3675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172</v>
      </c>
      <c r="B1013" t="s">
        <v>9</v>
      </c>
      <c r="C1013">
        <v>7</v>
      </c>
      <c r="D1013">
        <v>2913</v>
      </c>
      <c r="E1013">
        <v>1</v>
      </c>
      <c r="F1013" t="s">
        <v>291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172</v>
      </c>
      <c r="B1014" t="s">
        <v>9</v>
      </c>
      <c r="C1014">
        <v>7</v>
      </c>
      <c r="D1014">
        <v>2901</v>
      </c>
      <c r="E1014">
        <v>0</v>
      </c>
      <c r="F1014" t="s">
        <v>291</v>
      </c>
      <c r="G1014">
        <v>1</v>
      </c>
      <c r="H1014" t="s">
        <v>26</v>
      </c>
      <c r="I1014">
        <v>2319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172</v>
      </c>
      <c r="B1015" t="s">
        <v>9</v>
      </c>
      <c r="C1015">
        <v>7</v>
      </c>
      <c r="D1015">
        <v>3437</v>
      </c>
      <c r="E1015">
        <v>2</v>
      </c>
      <c r="F1015" t="s">
        <v>258</v>
      </c>
      <c r="G1015">
        <v>1</v>
      </c>
      <c r="H1015" t="s">
        <v>27</v>
      </c>
      <c r="I1015">
        <v>2411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172</v>
      </c>
      <c r="B1016" t="s">
        <v>9</v>
      </c>
      <c r="C1016">
        <v>7</v>
      </c>
      <c r="D1016">
        <v>2966</v>
      </c>
      <c r="E1016">
        <v>2</v>
      </c>
      <c r="F1016" t="s">
        <v>205</v>
      </c>
      <c r="G1016">
        <v>2</v>
      </c>
      <c r="H1016" t="s">
        <v>26</v>
      </c>
      <c r="I1016">
        <v>0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6" s="43">
        <f>IFERROR(SUMIFS(Tabela10[Fod Worth],Tabela10[Drop],DropAnalityka[[#This Row],[Drop]],Tabela10[Grade],DropAnalityka[[#This Row],[Grade]])*DropAnalityka[[#This Row],[Quality/Quantity]],0)</f>
        <v>1725</v>
      </c>
      <c r="L1016" s="43">
        <f>IFERROR(SUMIFS(Tabela10[Exp Gain only 2*+],Tabela10[Drop],DropAnalityka[[#This Row],[Drop]],Tabela10[Grade],DropAnalityka[[#This Row],[Grade]])*DropAnalityka[[#This Row],[Quality/Quantity]],0)</f>
        <v>1791.1</v>
      </c>
    </row>
    <row r="1017" spans="1:12">
      <c r="A1017" t="s">
        <v>172</v>
      </c>
      <c r="B1017" t="s">
        <v>9</v>
      </c>
      <c r="C1017">
        <v>7</v>
      </c>
      <c r="D1017">
        <v>3352</v>
      </c>
      <c r="E1017">
        <v>1</v>
      </c>
      <c r="F1017" t="s">
        <v>291</v>
      </c>
      <c r="G1017">
        <v>1</v>
      </c>
      <c r="H1017" t="s">
        <v>27</v>
      </c>
      <c r="I1017">
        <v>6615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7" s="43">
        <f>IFERROR(SUMIFS(Tabela10[Fod Worth],Tabela10[Drop],DropAnalityka[[#This Row],[Drop]],Tabela10[Grade],DropAnalityka[[#This Row],[Grade]])*DropAnalityka[[#This Row],[Quality/Quantity]],0)</f>
        <v>0</v>
      </c>
      <c r="L1017" s="43">
        <f>IFERROR(SUMIFS(Tabela10[Exp Gain only 2*+],Tabela10[Drop],DropAnalityka[[#This Row],[Drop]],Tabela10[Grade],DropAnalityka[[#This Row],[Grade]])*DropAnalityka[[#This Row],[Quality/Quantity]],0)</f>
        <v>0</v>
      </c>
    </row>
    <row r="1018" spans="1:12">
      <c r="A1018" t="s">
        <v>172</v>
      </c>
      <c r="B1018" t="s">
        <v>9</v>
      </c>
      <c r="C1018">
        <v>7</v>
      </c>
      <c r="D1018">
        <v>2869</v>
      </c>
      <c r="E1018">
        <v>1</v>
      </c>
      <c r="F1018" t="s">
        <v>34</v>
      </c>
      <c r="G1018">
        <v>4</v>
      </c>
      <c r="H1018" t="s">
        <v>17</v>
      </c>
      <c r="I1018">
        <v>0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3200</v>
      </c>
    </row>
    <row r="1019" spans="1:12">
      <c r="A1019" t="s">
        <v>172</v>
      </c>
      <c r="B1019" t="s">
        <v>9</v>
      </c>
      <c r="C1019">
        <v>7</v>
      </c>
      <c r="D1019">
        <v>2535</v>
      </c>
      <c r="E1019">
        <v>1</v>
      </c>
      <c r="F1019" t="s">
        <v>258</v>
      </c>
      <c r="G1019">
        <v>1</v>
      </c>
      <c r="H1019" t="s">
        <v>27</v>
      </c>
      <c r="I1019">
        <v>3307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0</v>
      </c>
    </row>
    <row r="1020" spans="1:12">
      <c r="A1020" t="s">
        <v>172</v>
      </c>
      <c r="B1020" t="s">
        <v>9</v>
      </c>
      <c r="C1020">
        <v>7</v>
      </c>
      <c r="D1020">
        <v>3507</v>
      </c>
      <c r="E1020">
        <v>0</v>
      </c>
      <c r="F1020" t="s">
        <v>58</v>
      </c>
      <c r="G1020">
        <v>1</v>
      </c>
      <c r="H1020" t="s">
        <v>12</v>
      </c>
      <c r="I1020">
        <v>0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0" s="43">
        <f>IFERROR(SUMIFS(Tabela10[Fod Worth],Tabela10[Drop],DropAnalityka[[#This Row],[Drop]],Tabela10[Grade],DropAnalityka[[#This Row],[Grade]])*DropAnalityka[[#This Row],[Quality/Quantity]],0)</f>
        <v>11500</v>
      </c>
      <c r="L1020" s="43">
        <f>IFERROR(SUMIFS(Tabela10[Exp Gain only 2*+],Tabela10[Drop],DropAnalityka[[#This Row],[Drop]],Tabela10[Grade],DropAnalityka[[#This Row],[Grade]])*DropAnalityka[[#This Row],[Quality/Quantity]],0)</f>
        <v>35822</v>
      </c>
    </row>
    <row r="1021" spans="1:12">
      <c r="A1021" t="s">
        <v>172</v>
      </c>
      <c r="B1021" t="s">
        <v>9</v>
      </c>
      <c r="C1021">
        <v>7</v>
      </c>
      <c r="D1021">
        <v>2571</v>
      </c>
      <c r="E1021">
        <v>0</v>
      </c>
      <c r="F1021" t="s">
        <v>34</v>
      </c>
      <c r="G1021">
        <v>3</v>
      </c>
      <c r="H1021" t="s">
        <v>17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1" s="43">
        <f>IFERROR(SUMIFS(Tabela10[Fod Worth],Tabela10[Drop],DropAnalityka[[#This Row],[Drop]],Tabela10[Grade],DropAnalityka[[#This Row],[Grade]])*DropAnalityka[[#This Row],[Quality/Quantity]],0)</f>
        <v>0</v>
      </c>
      <c r="L1021" s="43">
        <f>IFERROR(SUMIFS(Tabela10[Exp Gain only 2*+],Tabela10[Drop],DropAnalityka[[#This Row],[Drop]],Tabela10[Grade],DropAnalityka[[#This Row],[Grade]])*DropAnalityka[[#This Row],[Quality/Quantity]],0)</f>
        <v>2400</v>
      </c>
    </row>
    <row r="1022" spans="1:12">
      <c r="A1022" t="s">
        <v>172</v>
      </c>
      <c r="B1022" t="s">
        <v>9</v>
      </c>
      <c r="C1022">
        <v>7</v>
      </c>
      <c r="D1022">
        <v>3364</v>
      </c>
      <c r="E1022">
        <v>1</v>
      </c>
      <c r="F1022" t="s">
        <v>258</v>
      </c>
      <c r="G1022">
        <v>1</v>
      </c>
      <c r="H1022" t="s">
        <v>27</v>
      </c>
      <c r="I1022">
        <v>2205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0</v>
      </c>
    </row>
    <row r="1023" spans="1:12">
      <c r="A1023" t="s">
        <v>172</v>
      </c>
      <c r="B1023" t="s">
        <v>9</v>
      </c>
      <c r="C1023">
        <v>7</v>
      </c>
      <c r="D1023">
        <v>3190</v>
      </c>
      <c r="E1023">
        <v>1</v>
      </c>
      <c r="F1023" t="s">
        <v>34</v>
      </c>
      <c r="G1023">
        <v>3</v>
      </c>
      <c r="H1023" t="s">
        <v>17</v>
      </c>
      <c r="I1023">
        <v>0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2400</v>
      </c>
    </row>
    <row r="1024" spans="1:12">
      <c r="A1024" t="s">
        <v>172</v>
      </c>
      <c r="B1024" t="s">
        <v>9</v>
      </c>
      <c r="C1024">
        <v>7</v>
      </c>
      <c r="D1024">
        <v>3129</v>
      </c>
      <c r="E1024">
        <v>0</v>
      </c>
      <c r="F1024" t="s">
        <v>34</v>
      </c>
      <c r="G1024">
        <v>4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3200</v>
      </c>
    </row>
    <row r="1025" spans="1:13">
      <c r="A1025" t="s">
        <v>172</v>
      </c>
      <c r="B1025" t="s">
        <v>9</v>
      </c>
      <c r="C1025">
        <v>7</v>
      </c>
      <c r="D1025">
        <v>3416</v>
      </c>
      <c r="E1025">
        <v>0</v>
      </c>
      <c r="F1025" t="s">
        <v>258</v>
      </c>
      <c r="G1025">
        <v>1</v>
      </c>
      <c r="H1025" t="s">
        <v>27</v>
      </c>
      <c r="I1025">
        <v>2894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0</v>
      </c>
    </row>
    <row r="1026" spans="1:13">
      <c r="A1026" t="s">
        <v>172</v>
      </c>
      <c r="B1026" t="s">
        <v>9</v>
      </c>
      <c r="C1026">
        <v>7</v>
      </c>
      <c r="D1026">
        <v>2949</v>
      </c>
      <c r="E1026">
        <v>2</v>
      </c>
      <c r="F1026" t="s">
        <v>258</v>
      </c>
      <c r="G1026">
        <v>1</v>
      </c>
      <c r="H1026" t="s">
        <v>28</v>
      </c>
      <c r="I1026">
        <v>5355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172</v>
      </c>
      <c r="B1027" t="s">
        <v>9</v>
      </c>
      <c r="C1027">
        <v>7</v>
      </c>
      <c r="D1027">
        <v>2714</v>
      </c>
      <c r="E1027">
        <v>2</v>
      </c>
      <c r="F1027" t="s">
        <v>34</v>
      </c>
      <c r="G1027">
        <v>3</v>
      </c>
      <c r="H1027" t="s">
        <v>17</v>
      </c>
      <c r="I1027">
        <v>0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2400</v>
      </c>
    </row>
    <row r="1028" spans="1:13">
      <c r="A1028" t="s">
        <v>172</v>
      </c>
      <c r="B1028" t="s">
        <v>9</v>
      </c>
      <c r="C1028">
        <v>7</v>
      </c>
      <c r="D1028">
        <v>2949</v>
      </c>
      <c r="E1028">
        <v>1</v>
      </c>
      <c r="F1028" t="s">
        <v>34</v>
      </c>
      <c r="G1028">
        <v>4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3200</v>
      </c>
    </row>
    <row r="1029" spans="1:13">
      <c r="A1029" t="s">
        <v>172</v>
      </c>
      <c r="B1029" t="s">
        <v>9</v>
      </c>
      <c r="C1029">
        <v>7</v>
      </c>
      <c r="D1029">
        <v>3175</v>
      </c>
      <c r="E1029">
        <v>0</v>
      </c>
      <c r="F1029" t="s">
        <v>34</v>
      </c>
      <c r="G1029">
        <v>3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2400</v>
      </c>
    </row>
    <row r="1030" spans="1:13">
      <c r="A1030" t="s">
        <v>172</v>
      </c>
      <c r="B1030" t="s">
        <v>9</v>
      </c>
      <c r="C1030">
        <v>7</v>
      </c>
      <c r="D1030">
        <v>3045</v>
      </c>
      <c r="E1030">
        <v>0</v>
      </c>
      <c r="F1030" t="s">
        <v>258</v>
      </c>
      <c r="G1030">
        <v>1</v>
      </c>
      <c r="H1030" t="s">
        <v>27</v>
      </c>
      <c r="I1030">
        <v>3514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0</v>
      </c>
    </row>
    <row r="1031" spans="1:13">
      <c r="A1031" t="s">
        <v>172</v>
      </c>
      <c r="B1031" t="s">
        <v>9</v>
      </c>
      <c r="C1031">
        <v>7</v>
      </c>
      <c r="D1031">
        <v>3609</v>
      </c>
      <c r="E1031">
        <v>1</v>
      </c>
      <c r="F1031" t="s">
        <v>34</v>
      </c>
      <c r="G1031">
        <v>3</v>
      </c>
      <c r="H1031" t="s">
        <v>17</v>
      </c>
      <c r="I1031">
        <v>0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2400</v>
      </c>
    </row>
    <row r="1032" spans="1:13">
      <c r="A1032" t="s">
        <v>172</v>
      </c>
      <c r="B1032" t="s">
        <v>9</v>
      </c>
      <c r="C1032">
        <v>7</v>
      </c>
      <c r="D1032">
        <v>2795</v>
      </c>
      <c r="E1032">
        <v>1</v>
      </c>
      <c r="F1032" t="s">
        <v>258</v>
      </c>
      <c r="G1032">
        <v>1</v>
      </c>
      <c r="H1032" t="s">
        <v>27</v>
      </c>
      <c r="I1032">
        <v>3675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0</v>
      </c>
    </row>
    <row r="1033" spans="1:13">
      <c r="A1033" t="s">
        <v>172</v>
      </c>
      <c r="B1033" t="s">
        <v>9</v>
      </c>
      <c r="C1033">
        <v>7</v>
      </c>
      <c r="D1033">
        <v>3324</v>
      </c>
      <c r="E1033">
        <v>0</v>
      </c>
      <c r="F1033" t="s">
        <v>258</v>
      </c>
      <c r="G1033">
        <v>1</v>
      </c>
      <c r="H1033" t="s">
        <v>27</v>
      </c>
      <c r="I1033">
        <v>2205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172</v>
      </c>
      <c r="B1034" t="s">
        <v>9</v>
      </c>
      <c r="C1034">
        <v>7</v>
      </c>
      <c r="D1034">
        <v>2600</v>
      </c>
      <c r="E1034">
        <v>0</v>
      </c>
      <c r="F1034" t="s">
        <v>34</v>
      </c>
      <c r="G1034">
        <v>3</v>
      </c>
      <c r="H1034" t="s">
        <v>17</v>
      </c>
      <c r="I1034">
        <v>0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2400</v>
      </c>
    </row>
    <row r="1035" spans="1:13">
      <c r="A1035" t="s">
        <v>172</v>
      </c>
      <c r="B1035" t="s">
        <v>9</v>
      </c>
      <c r="C1035">
        <v>7</v>
      </c>
      <c r="D1035">
        <v>2789</v>
      </c>
      <c r="E1035">
        <v>1</v>
      </c>
      <c r="F1035" t="s">
        <v>291</v>
      </c>
      <c r="G1035">
        <v>1</v>
      </c>
      <c r="H1035" t="s">
        <v>27</v>
      </c>
      <c r="I1035">
        <v>3675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0</v>
      </c>
    </row>
    <row r="1036" spans="1:13">
      <c r="A1036" t="s">
        <v>172</v>
      </c>
      <c r="B1036" t="s">
        <v>9</v>
      </c>
      <c r="C1036">
        <v>7</v>
      </c>
      <c r="D1036">
        <v>3263</v>
      </c>
      <c r="E1036">
        <v>1</v>
      </c>
      <c r="F1036" t="s">
        <v>291</v>
      </c>
      <c r="G1036">
        <v>1</v>
      </c>
      <c r="H1036" t="s">
        <v>28</v>
      </c>
      <c r="I1036">
        <v>13005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172</v>
      </c>
      <c r="B1037" t="s">
        <v>9</v>
      </c>
      <c r="C1037">
        <v>7</v>
      </c>
      <c r="D1037">
        <v>3037</v>
      </c>
      <c r="E1037">
        <v>2</v>
      </c>
      <c r="F1037" t="s">
        <v>34</v>
      </c>
      <c r="G1037">
        <v>3</v>
      </c>
      <c r="H1037" t="s">
        <v>17</v>
      </c>
      <c r="I1037">
        <v>0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2400</v>
      </c>
    </row>
    <row r="1038" spans="1:13">
      <c r="A1038" t="s">
        <v>172</v>
      </c>
      <c r="B1038" t="s">
        <v>9</v>
      </c>
      <c r="C1038">
        <v>7</v>
      </c>
      <c r="D1038">
        <v>1028</v>
      </c>
      <c r="E1038">
        <v>2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0</v>
      </c>
      <c r="M1038" t="s">
        <v>204</v>
      </c>
    </row>
    <row r="1039" spans="1:13">
      <c r="A1039" t="s">
        <v>172</v>
      </c>
      <c r="B1039" t="s">
        <v>9</v>
      </c>
      <c r="C1039">
        <v>8</v>
      </c>
      <c r="D1039">
        <v>3555</v>
      </c>
      <c r="E1039">
        <v>0</v>
      </c>
      <c r="F1039" t="s">
        <v>34</v>
      </c>
      <c r="G1039">
        <v>5</v>
      </c>
      <c r="H1039" t="s">
        <v>17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4000</v>
      </c>
    </row>
    <row r="1040" spans="1:13">
      <c r="A1040" t="s">
        <v>172</v>
      </c>
      <c r="B1040" t="s">
        <v>9</v>
      </c>
      <c r="C1040">
        <v>8</v>
      </c>
      <c r="D1040">
        <v>3633</v>
      </c>
      <c r="E1040">
        <v>0</v>
      </c>
      <c r="F1040" t="s">
        <v>34</v>
      </c>
      <c r="G1040">
        <v>4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3200</v>
      </c>
    </row>
    <row r="1041" spans="1:12">
      <c r="A1041" t="s">
        <v>172</v>
      </c>
      <c r="B1041" t="s">
        <v>9</v>
      </c>
      <c r="C1041">
        <v>8</v>
      </c>
      <c r="D1041">
        <v>3251</v>
      </c>
      <c r="E1041">
        <v>1</v>
      </c>
      <c r="F1041" t="s">
        <v>291</v>
      </c>
      <c r="G1041">
        <v>1</v>
      </c>
      <c r="H1041" t="s">
        <v>27</v>
      </c>
      <c r="I1041">
        <v>4134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0</v>
      </c>
    </row>
    <row r="1042" spans="1:12">
      <c r="A1042" t="s">
        <v>172</v>
      </c>
      <c r="B1042" t="s">
        <v>9</v>
      </c>
      <c r="C1042">
        <v>8</v>
      </c>
      <c r="D1042">
        <v>3614</v>
      </c>
      <c r="E1042">
        <v>1</v>
      </c>
      <c r="F1042" t="s">
        <v>291</v>
      </c>
      <c r="G1042">
        <v>1</v>
      </c>
      <c r="H1042" t="s">
        <v>28</v>
      </c>
      <c r="I1042">
        <v>7947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172</v>
      </c>
      <c r="B1043" t="s">
        <v>9</v>
      </c>
      <c r="C1043">
        <v>8</v>
      </c>
      <c r="D1043">
        <v>3238</v>
      </c>
      <c r="E1043">
        <v>1</v>
      </c>
      <c r="F1043" t="s">
        <v>258</v>
      </c>
      <c r="G1043">
        <v>1</v>
      </c>
      <c r="H1043" t="s">
        <v>27</v>
      </c>
      <c r="I1043">
        <v>4134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172</v>
      </c>
      <c r="B1044" t="s">
        <v>9</v>
      </c>
      <c r="C1044">
        <v>8</v>
      </c>
      <c r="D1044">
        <v>3097</v>
      </c>
      <c r="E1044">
        <v>0</v>
      </c>
      <c r="F1044" t="s">
        <v>258</v>
      </c>
      <c r="G1044">
        <v>1</v>
      </c>
      <c r="H1044" t="s">
        <v>27</v>
      </c>
      <c r="I1044">
        <v>3054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172</v>
      </c>
      <c r="B1045" t="s">
        <v>9</v>
      </c>
      <c r="C1045">
        <v>8</v>
      </c>
      <c r="D1045">
        <v>2801</v>
      </c>
      <c r="E1045">
        <v>0</v>
      </c>
      <c r="F1045" t="s">
        <v>258</v>
      </c>
      <c r="G1045">
        <v>1</v>
      </c>
      <c r="H1045" t="s">
        <v>27</v>
      </c>
      <c r="I1045">
        <v>2618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172</v>
      </c>
      <c r="B1046" t="s">
        <v>9</v>
      </c>
      <c r="C1046">
        <v>8</v>
      </c>
      <c r="D1046">
        <v>3150</v>
      </c>
      <c r="E1046">
        <v>0</v>
      </c>
      <c r="F1046" t="s">
        <v>258</v>
      </c>
      <c r="G1046">
        <v>1</v>
      </c>
      <c r="H1046" t="s">
        <v>28</v>
      </c>
      <c r="I1046">
        <v>5440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172</v>
      </c>
      <c r="B1047" t="s">
        <v>9</v>
      </c>
      <c r="C1047">
        <v>8</v>
      </c>
      <c r="D1047">
        <v>3588</v>
      </c>
      <c r="E1047">
        <v>1</v>
      </c>
      <c r="F1047" t="s">
        <v>258</v>
      </c>
      <c r="G1047">
        <v>1</v>
      </c>
      <c r="H1047" t="s">
        <v>28</v>
      </c>
      <c r="I1047">
        <v>6800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172</v>
      </c>
      <c r="B1048" t="s">
        <v>9</v>
      </c>
      <c r="C1048">
        <v>8</v>
      </c>
      <c r="D1048">
        <v>3318</v>
      </c>
      <c r="E1048">
        <v>1</v>
      </c>
      <c r="F1048" t="s">
        <v>34</v>
      </c>
      <c r="G1048">
        <v>1</v>
      </c>
      <c r="H1048" t="s">
        <v>27</v>
      </c>
      <c r="I1048">
        <v>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172</v>
      </c>
      <c r="B1049" t="s">
        <v>9</v>
      </c>
      <c r="C1049">
        <v>8</v>
      </c>
      <c r="D1049">
        <v>3137</v>
      </c>
      <c r="E1049">
        <v>0</v>
      </c>
      <c r="F1049" t="s">
        <v>291</v>
      </c>
      <c r="G1049">
        <v>1</v>
      </c>
      <c r="H1049" t="s">
        <v>27</v>
      </c>
      <c r="I1049">
        <v>3491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172</v>
      </c>
      <c r="B1050" t="s">
        <v>9</v>
      </c>
      <c r="C1050">
        <v>8</v>
      </c>
      <c r="D1050">
        <v>3409</v>
      </c>
      <c r="E1050">
        <v>0</v>
      </c>
      <c r="F1050" t="s">
        <v>34</v>
      </c>
      <c r="G1050">
        <v>5</v>
      </c>
      <c r="H1050" t="s">
        <v>17</v>
      </c>
      <c r="I1050">
        <v>0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4000</v>
      </c>
    </row>
    <row r="1051" spans="1:12">
      <c r="A1051" t="s">
        <v>172</v>
      </c>
      <c r="B1051" t="s">
        <v>9</v>
      </c>
      <c r="C1051">
        <v>8</v>
      </c>
      <c r="D1051">
        <v>3479</v>
      </c>
      <c r="E1051">
        <v>1</v>
      </c>
      <c r="F1051" t="s">
        <v>258</v>
      </c>
      <c r="G1051">
        <v>1</v>
      </c>
      <c r="H1051" t="s">
        <v>27</v>
      </c>
      <c r="I1051">
        <v>2411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0</v>
      </c>
    </row>
    <row r="1052" spans="1:12">
      <c r="A1052" t="s">
        <v>172</v>
      </c>
      <c r="B1052" t="s">
        <v>9</v>
      </c>
      <c r="C1052">
        <v>8</v>
      </c>
      <c r="D1052">
        <v>3505</v>
      </c>
      <c r="E1052">
        <v>2</v>
      </c>
      <c r="F1052" t="s">
        <v>291</v>
      </c>
      <c r="G1052">
        <v>1</v>
      </c>
      <c r="H1052" t="s">
        <v>28</v>
      </c>
      <c r="I1052">
        <v>7650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172</v>
      </c>
      <c r="B1053" t="s">
        <v>9</v>
      </c>
      <c r="C1053">
        <v>8</v>
      </c>
      <c r="D1053">
        <v>3378</v>
      </c>
      <c r="E1053">
        <v>1</v>
      </c>
      <c r="F1053" t="s">
        <v>258</v>
      </c>
      <c r="G1053">
        <v>1</v>
      </c>
      <c r="H1053" t="s">
        <v>27</v>
      </c>
      <c r="I1053">
        <v>3675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172</v>
      </c>
      <c r="B1054" t="s">
        <v>9</v>
      </c>
      <c r="C1054">
        <v>8</v>
      </c>
      <c r="D1054">
        <v>3978</v>
      </c>
      <c r="E1054">
        <v>2</v>
      </c>
      <c r="F1054" t="s">
        <v>34</v>
      </c>
      <c r="G1054">
        <v>5</v>
      </c>
      <c r="H1054" t="s">
        <v>17</v>
      </c>
      <c r="I1054">
        <v>0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4000</v>
      </c>
    </row>
    <row r="1055" spans="1:12">
      <c r="A1055" t="s">
        <v>172</v>
      </c>
      <c r="B1055" t="s">
        <v>9</v>
      </c>
      <c r="C1055">
        <v>8</v>
      </c>
      <c r="D1055">
        <v>4035</v>
      </c>
      <c r="E1055">
        <v>0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172</v>
      </c>
      <c r="B1056" t="s">
        <v>9</v>
      </c>
      <c r="C1056">
        <v>8</v>
      </c>
      <c r="D1056">
        <v>3616</v>
      </c>
      <c r="E1056">
        <v>1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172</v>
      </c>
      <c r="B1057" t="s">
        <v>9</v>
      </c>
      <c r="C1057">
        <v>8</v>
      </c>
      <c r="D1057">
        <v>3217</v>
      </c>
      <c r="E1057">
        <v>0</v>
      </c>
      <c r="F1057" t="s">
        <v>258</v>
      </c>
      <c r="G1057">
        <v>1</v>
      </c>
      <c r="H1057" t="s">
        <v>28</v>
      </c>
      <c r="I1057">
        <v>5440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0</v>
      </c>
    </row>
    <row r="1058" spans="1:12">
      <c r="A1058" t="s">
        <v>172</v>
      </c>
      <c r="B1058" t="s">
        <v>9</v>
      </c>
      <c r="C1058">
        <v>8</v>
      </c>
      <c r="D1058">
        <v>3453</v>
      </c>
      <c r="E1058">
        <v>0</v>
      </c>
      <c r="F1058" t="s">
        <v>258</v>
      </c>
      <c r="G1058">
        <v>1</v>
      </c>
      <c r="H1058" t="s">
        <v>28</v>
      </c>
      <c r="I1058">
        <v>4080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172</v>
      </c>
      <c r="B1059" t="s">
        <v>9</v>
      </c>
      <c r="C1059">
        <v>8</v>
      </c>
      <c r="D1059">
        <v>3773</v>
      </c>
      <c r="E1059">
        <v>1</v>
      </c>
      <c r="F1059" t="s">
        <v>291</v>
      </c>
      <c r="G1059">
        <v>1</v>
      </c>
      <c r="H1059" t="s">
        <v>27</v>
      </c>
      <c r="I1059">
        <v>4547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172</v>
      </c>
      <c r="B1060" t="s">
        <v>9</v>
      </c>
      <c r="C1060">
        <v>8</v>
      </c>
      <c r="D1060">
        <v>3152</v>
      </c>
      <c r="E1060">
        <v>2</v>
      </c>
      <c r="F1060" t="s">
        <v>258</v>
      </c>
      <c r="G1060">
        <v>1</v>
      </c>
      <c r="H1060" t="s">
        <v>27</v>
      </c>
      <c r="I1060">
        <v>3100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172</v>
      </c>
      <c r="B1061" t="s">
        <v>9</v>
      </c>
      <c r="C1061">
        <v>8</v>
      </c>
      <c r="D1061">
        <v>3199</v>
      </c>
      <c r="E1061">
        <v>2</v>
      </c>
      <c r="F1061" t="s">
        <v>34</v>
      </c>
      <c r="G1061">
        <v>4</v>
      </c>
      <c r="H1061" t="s">
        <v>17</v>
      </c>
      <c r="I1061">
        <v>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3200</v>
      </c>
    </row>
    <row r="1062" spans="1:12">
      <c r="A1062" t="s">
        <v>172</v>
      </c>
      <c r="B1062" t="s">
        <v>9</v>
      </c>
      <c r="C1062">
        <v>8</v>
      </c>
      <c r="D1062">
        <v>3391</v>
      </c>
      <c r="E1062">
        <v>1</v>
      </c>
      <c r="F1062" t="s">
        <v>318</v>
      </c>
      <c r="G1062">
        <v>1</v>
      </c>
      <c r="H1062" t="s">
        <v>27</v>
      </c>
      <c r="I1062">
        <v>5512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0</v>
      </c>
    </row>
    <row r="1063" spans="1:12">
      <c r="A1063" t="s">
        <v>172</v>
      </c>
      <c r="B1063" t="s">
        <v>9</v>
      </c>
      <c r="C1063">
        <v>8</v>
      </c>
      <c r="D1063">
        <v>3826</v>
      </c>
      <c r="E1063">
        <v>0</v>
      </c>
      <c r="F1063" t="s">
        <v>258</v>
      </c>
      <c r="G1063">
        <v>1</v>
      </c>
      <c r="H1063" t="s">
        <v>28</v>
      </c>
      <c r="I1063">
        <v>6885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286</v>
      </c>
      <c r="B1064" t="s">
        <v>32</v>
      </c>
      <c r="C1064">
        <v>5</v>
      </c>
      <c r="D1064">
        <v>2208</v>
      </c>
      <c r="E1064">
        <v>2</v>
      </c>
      <c r="I1064">
        <v>1236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286</v>
      </c>
      <c r="B1065" t="s">
        <v>32</v>
      </c>
      <c r="C1065">
        <v>5</v>
      </c>
      <c r="D1065">
        <v>2585</v>
      </c>
      <c r="E1065">
        <v>2</v>
      </c>
      <c r="I1065">
        <v>2205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286</v>
      </c>
      <c r="B1066" t="s">
        <v>32</v>
      </c>
      <c r="C1066">
        <v>5</v>
      </c>
      <c r="D1066">
        <v>2501</v>
      </c>
      <c r="E1066">
        <v>0</v>
      </c>
      <c r="I1066">
        <v>1236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286</v>
      </c>
      <c r="B1067" t="s">
        <v>32</v>
      </c>
      <c r="C1067">
        <v>5</v>
      </c>
      <c r="D1067">
        <v>1564</v>
      </c>
      <c r="E1067">
        <v>1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286</v>
      </c>
      <c r="B1068" t="s">
        <v>32</v>
      </c>
      <c r="C1068">
        <v>5</v>
      </c>
      <c r="D1068">
        <v>1352</v>
      </c>
      <c r="E1068">
        <v>0</v>
      </c>
      <c r="I1068">
        <v>2205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286</v>
      </c>
      <c r="B1069" t="s">
        <v>32</v>
      </c>
      <c r="C1069">
        <v>5</v>
      </c>
      <c r="D1069">
        <v>828</v>
      </c>
      <c r="E1069">
        <v>0</v>
      </c>
      <c r="I1069">
        <v>1236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286</v>
      </c>
      <c r="B1070" t="s">
        <v>32</v>
      </c>
      <c r="C1070">
        <v>5</v>
      </c>
      <c r="D1070">
        <v>1020</v>
      </c>
      <c r="E1070">
        <v>1</v>
      </c>
      <c r="F1070" t="s">
        <v>264</v>
      </c>
      <c r="G1070">
        <v>2</v>
      </c>
      <c r="I1070">
        <v>0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286</v>
      </c>
      <c r="B1071" t="s">
        <v>32</v>
      </c>
      <c r="C1071">
        <v>5</v>
      </c>
      <c r="D1071">
        <v>1937</v>
      </c>
      <c r="E1071">
        <v>1</v>
      </c>
      <c r="F1071" t="s">
        <v>264</v>
      </c>
      <c r="G1071">
        <v>3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286</v>
      </c>
      <c r="B1072" t="s">
        <v>32</v>
      </c>
      <c r="C1072">
        <v>5</v>
      </c>
      <c r="D1072">
        <v>2126</v>
      </c>
      <c r="E1072">
        <v>1</v>
      </c>
      <c r="I1072">
        <v>1443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286</v>
      </c>
      <c r="B1073" t="s">
        <v>32</v>
      </c>
      <c r="C1073">
        <v>5</v>
      </c>
      <c r="D1073">
        <v>1860</v>
      </c>
      <c r="E1073">
        <v>1</v>
      </c>
      <c r="I1073">
        <v>1236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286</v>
      </c>
      <c r="B1074" t="s">
        <v>32</v>
      </c>
      <c r="C1074">
        <v>5</v>
      </c>
      <c r="D1074">
        <v>1824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286</v>
      </c>
      <c r="B1075" t="s">
        <v>32</v>
      </c>
      <c r="C1075">
        <v>5</v>
      </c>
      <c r="D1075">
        <v>1625</v>
      </c>
      <c r="E1075">
        <v>2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31</v>
      </c>
      <c r="B1076" t="s">
        <v>30</v>
      </c>
      <c r="C1076">
        <v>11</v>
      </c>
      <c r="D1076">
        <v>1233</v>
      </c>
      <c r="E1076">
        <v>2</v>
      </c>
      <c r="I1076">
        <v>1824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910</v>
      </c>
      <c r="E1077">
        <v>1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2073</v>
      </c>
      <c r="E1078">
        <v>0</v>
      </c>
      <c r="I1078">
        <v>1976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1466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1067</v>
      </c>
      <c r="E1080">
        <v>3</v>
      </c>
      <c r="F1080" t="s">
        <v>57</v>
      </c>
      <c r="G1080">
        <v>1</v>
      </c>
      <c r="H1080" t="s">
        <v>12</v>
      </c>
      <c r="I1080">
        <v>0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3">
        <f>IFERROR(SUMIFS(Tabela10[Fod Worth],Tabela10[Drop],DropAnalityka[[#This Row],[Drop]],Tabela10[Grade],DropAnalityka[[#This Row],[Grade]])*DropAnalityka[[#This Row],[Quality/Quantity]],0)</f>
        <v>11500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1973</v>
      </c>
      <c r="E1081">
        <v>1</v>
      </c>
      <c r="I1081">
        <v>2937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1" s="43">
        <f>IFERROR(SUMIFS(Tabela10[Fod Worth],Tabela10[Drop],DropAnalityka[[#This Row],[Drop]],Tabela10[Grade],DropAnalityka[[#This Row],[Grade]])*DropAnalityka[[#This Row],[Quality/Quantity]],0)</f>
        <v>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319</v>
      </c>
      <c r="B1082" t="s">
        <v>30</v>
      </c>
      <c r="C1082">
        <v>1</v>
      </c>
      <c r="D1082">
        <v>1544</v>
      </c>
      <c r="E1082">
        <v>0</v>
      </c>
      <c r="I1082">
        <v>1824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319</v>
      </c>
      <c r="B1083" t="s">
        <v>30</v>
      </c>
      <c r="C1083">
        <v>1</v>
      </c>
      <c r="D1083">
        <v>1180</v>
      </c>
      <c r="E1083">
        <v>0</v>
      </c>
      <c r="I1083">
        <v>1976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319</v>
      </c>
      <c r="B1084" t="s">
        <v>30</v>
      </c>
      <c r="C1084">
        <v>1</v>
      </c>
      <c r="D1084">
        <v>1734</v>
      </c>
      <c r="E1084">
        <v>4</v>
      </c>
      <c r="I1084">
        <v>1824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319</v>
      </c>
      <c r="B1085" t="s">
        <v>30</v>
      </c>
      <c r="C1085">
        <v>1</v>
      </c>
      <c r="D1085">
        <v>1594</v>
      </c>
      <c r="E1085">
        <v>0</v>
      </c>
      <c r="I1085">
        <v>2128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319</v>
      </c>
      <c r="B1086" t="s">
        <v>30</v>
      </c>
      <c r="C1086">
        <v>1</v>
      </c>
      <c r="D1086">
        <v>1672</v>
      </c>
      <c r="E1086">
        <v>0</v>
      </c>
      <c r="I1086">
        <v>1824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319</v>
      </c>
      <c r="B1087" t="s">
        <v>30</v>
      </c>
      <c r="C1087">
        <v>1</v>
      </c>
      <c r="D1087">
        <v>1879</v>
      </c>
      <c r="E1087">
        <v>1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319</v>
      </c>
      <c r="B1088" t="s">
        <v>30</v>
      </c>
      <c r="C1088">
        <v>1</v>
      </c>
      <c r="D1088">
        <v>1455</v>
      </c>
      <c r="E1088">
        <v>1</v>
      </c>
      <c r="I1088">
        <v>2280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319</v>
      </c>
      <c r="B1089" t="s">
        <v>30</v>
      </c>
      <c r="C1089">
        <v>1</v>
      </c>
      <c r="D1089">
        <v>1898</v>
      </c>
      <c r="E1089">
        <v>1</v>
      </c>
      <c r="I1089">
        <v>1824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286</v>
      </c>
      <c r="B1090" t="s">
        <v>32</v>
      </c>
      <c r="C1090">
        <v>5</v>
      </c>
      <c r="D1090">
        <v>1959</v>
      </c>
      <c r="E1090">
        <v>1</v>
      </c>
      <c r="I1090">
        <v>2205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286</v>
      </c>
      <c r="B1091" t="s">
        <v>32</v>
      </c>
      <c r="C1091">
        <v>5</v>
      </c>
      <c r="D1091">
        <v>1626</v>
      </c>
      <c r="E1091">
        <v>0</v>
      </c>
      <c r="I1091">
        <v>1236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286</v>
      </c>
      <c r="B1092" t="s">
        <v>32</v>
      </c>
      <c r="C1092">
        <v>5</v>
      </c>
      <c r="D1092">
        <v>2155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286</v>
      </c>
      <c r="B1093" t="s">
        <v>32</v>
      </c>
      <c r="C1093">
        <v>5</v>
      </c>
      <c r="D1093">
        <v>1844</v>
      </c>
      <c r="E1093">
        <v>1</v>
      </c>
      <c r="I1093">
        <v>2205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286</v>
      </c>
      <c r="B1094" t="s">
        <v>32</v>
      </c>
      <c r="C1094">
        <v>5</v>
      </c>
      <c r="D1094">
        <v>645</v>
      </c>
      <c r="E1094">
        <v>2</v>
      </c>
      <c r="F1094" t="s">
        <v>34</v>
      </c>
      <c r="G1094">
        <v>3</v>
      </c>
      <c r="I1094">
        <v>0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286</v>
      </c>
      <c r="B1095" t="s">
        <v>32</v>
      </c>
      <c r="C1095">
        <v>5</v>
      </c>
      <c r="D1095">
        <v>623</v>
      </c>
      <c r="E1095">
        <v>1</v>
      </c>
      <c r="I1095">
        <v>2205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286</v>
      </c>
      <c r="B1096" t="s">
        <v>32</v>
      </c>
      <c r="C1096">
        <v>5</v>
      </c>
      <c r="D1096">
        <v>1484</v>
      </c>
      <c r="E1096">
        <v>2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286</v>
      </c>
      <c r="B1097" t="s">
        <v>32</v>
      </c>
      <c r="C1097">
        <v>5</v>
      </c>
      <c r="D1097">
        <v>1281</v>
      </c>
      <c r="E1097">
        <v>0</v>
      </c>
      <c r="I1097">
        <v>2572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286</v>
      </c>
      <c r="B1098" t="s">
        <v>32</v>
      </c>
      <c r="C1098">
        <v>5</v>
      </c>
      <c r="D1098">
        <v>839</v>
      </c>
      <c r="E1098">
        <v>1</v>
      </c>
      <c r="I1098">
        <v>2940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286</v>
      </c>
      <c r="B1099" t="s">
        <v>32</v>
      </c>
      <c r="C1099">
        <v>5</v>
      </c>
      <c r="D1099">
        <v>1785</v>
      </c>
      <c r="E1099">
        <v>2</v>
      </c>
      <c r="I1099">
        <v>1824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286</v>
      </c>
      <c r="B1100" t="s">
        <v>32</v>
      </c>
      <c r="C1100">
        <v>5</v>
      </c>
      <c r="D1100">
        <v>1214</v>
      </c>
      <c r="E1100">
        <v>0</v>
      </c>
      <c r="I1100">
        <v>1236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286</v>
      </c>
      <c r="B1101" t="s">
        <v>32</v>
      </c>
      <c r="C1101">
        <v>5</v>
      </c>
      <c r="D1101">
        <v>1200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286</v>
      </c>
      <c r="B1102" t="s">
        <v>32</v>
      </c>
      <c r="C1102">
        <v>5</v>
      </c>
      <c r="D1102">
        <v>1357</v>
      </c>
      <c r="E1102">
        <v>2</v>
      </c>
      <c r="F1102" t="s">
        <v>57</v>
      </c>
      <c r="G1102">
        <v>1</v>
      </c>
      <c r="H1102" t="s">
        <v>17</v>
      </c>
      <c r="I1102">
        <v>0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286</v>
      </c>
      <c r="B1103" t="s">
        <v>32</v>
      </c>
      <c r="C1103">
        <v>5</v>
      </c>
      <c r="D1103">
        <v>2917</v>
      </c>
      <c r="E1103">
        <v>0</v>
      </c>
      <c r="I1103">
        <v>1236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60</v>
      </c>
      <c r="B1104" t="s">
        <v>30</v>
      </c>
      <c r="C1104">
        <v>11</v>
      </c>
      <c r="D1104">
        <v>1467</v>
      </c>
      <c r="E1104">
        <v>0</v>
      </c>
      <c r="F1104" t="s">
        <v>34</v>
      </c>
      <c r="G1104">
        <v>2</v>
      </c>
      <c r="H1104" t="s">
        <v>17</v>
      </c>
      <c r="I1104">
        <v>0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1600</v>
      </c>
    </row>
    <row r="1105" spans="1:12">
      <c r="A1105" t="s">
        <v>60</v>
      </c>
      <c r="B1105" t="s">
        <v>30</v>
      </c>
      <c r="C1105">
        <v>11</v>
      </c>
      <c r="D1105">
        <v>1868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60</v>
      </c>
      <c r="B1106" t="s">
        <v>30</v>
      </c>
      <c r="C1106">
        <v>11</v>
      </c>
      <c r="D1106">
        <v>1204</v>
      </c>
      <c r="E1106">
        <v>1</v>
      </c>
      <c r="I1106">
        <v>1824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:12">
      <c r="A1107" t="s">
        <v>172</v>
      </c>
      <c r="B1107" t="s">
        <v>9</v>
      </c>
      <c r="C1107">
        <v>10</v>
      </c>
      <c r="D1107">
        <v>3766</v>
      </c>
      <c r="E1107">
        <v>0</v>
      </c>
      <c r="F1107" t="s">
        <v>258</v>
      </c>
      <c r="G1107">
        <v>1</v>
      </c>
      <c r="H1107" t="s">
        <v>28</v>
      </c>
      <c r="I1107">
        <v>10144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172</v>
      </c>
      <c r="B1108" t="s">
        <v>9</v>
      </c>
      <c r="C1108">
        <v>10</v>
      </c>
      <c r="D1108">
        <v>4343</v>
      </c>
      <c r="E1108">
        <v>0</v>
      </c>
      <c r="F1108" t="s">
        <v>291</v>
      </c>
      <c r="G1108">
        <v>1</v>
      </c>
      <c r="H1108" t="s">
        <v>27</v>
      </c>
      <c r="I1108">
        <v>3904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172</v>
      </c>
      <c r="B1109" t="s">
        <v>9</v>
      </c>
      <c r="C1109">
        <v>10</v>
      </c>
      <c r="D1109">
        <v>3715</v>
      </c>
      <c r="E1109">
        <v>1</v>
      </c>
      <c r="F1109" t="s">
        <v>34</v>
      </c>
      <c r="G1109">
        <v>4</v>
      </c>
      <c r="H1109" t="s">
        <v>17</v>
      </c>
      <c r="I1109">
        <v>0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3200</v>
      </c>
    </row>
    <row r="1110" spans="1:12">
      <c r="A1110" t="s">
        <v>172</v>
      </c>
      <c r="B1110" t="s">
        <v>9</v>
      </c>
      <c r="C1110">
        <v>10</v>
      </c>
      <c r="D1110">
        <v>3985</v>
      </c>
      <c r="E1110">
        <v>1</v>
      </c>
      <c r="F1110" t="s">
        <v>258</v>
      </c>
      <c r="G1110">
        <v>1</v>
      </c>
      <c r="H1110" t="s">
        <v>29</v>
      </c>
      <c r="I1110">
        <v>25677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:12">
      <c r="A1111" t="s">
        <v>172</v>
      </c>
      <c r="B1111" t="s">
        <v>9</v>
      </c>
      <c r="C1111">
        <v>10</v>
      </c>
      <c r="D1111">
        <v>4284</v>
      </c>
      <c r="E1111">
        <v>0</v>
      </c>
      <c r="F1111" t="s">
        <v>34</v>
      </c>
      <c r="G1111">
        <v>5</v>
      </c>
      <c r="H1111" t="s">
        <v>17</v>
      </c>
      <c r="I1111">
        <v>0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4000</v>
      </c>
    </row>
    <row r="1112" spans="1:12">
      <c r="A1112" t="s">
        <v>172</v>
      </c>
      <c r="B1112" t="s">
        <v>9</v>
      </c>
      <c r="C1112">
        <v>10</v>
      </c>
      <c r="D1112">
        <v>4613</v>
      </c>
      <c r="E1112">
        <v>0</v>
      </c>
      <c r="F1112" t="s">
        <v>258</v>
      </c>
      <c r="G1112">
        <v>1</v>
      </c>
      <c r="H1112" t="s">
        <v>28</v>
      </c>
      <c r="I1112">
        <v>5440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:12">
      <c r="A1113" t="s">
        <v>172</v>
      </c>
      <c r="B1113" t="s">
        <v>9</v>
      </c>
      <c r="C1113">
        <v>10</v>
      </c>
      <c r="D1113">
        <v>4512</v>
      </c>
      <c r="E1113">
        <v>0</v>
      </c>
      <c r="F1113" t="s">
        <v>258</v>
      </c>
      <c r="G1113">
        <v>1</v>
      </c>
      <c r="H1113" t="s">
        <v>28</v>
      </c>
      <c r="I1113">
        <v>6800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172</v>
      </c>
      <c r="B1114" t="s">
        <v>9</v>
      </c>
      <c r="C1114">
        <v>10</v>
      </c>
      <c r="D1114">
        <v>4000</v>
      </c>
      <c r="E1114">
        <v>1</v>
      </c>
      <c r="F1114" t="s">
        <v>58</v>
      </c>
      <c r="G1114">
        <v>1</v>
      </c>
      <c r="H1114" t="s">
        <v>26</v>
      </c>
      <c r="I1114">
        <v>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34500</v>
      </c>
      <c r="L1114" s="43">
        <f>IFERROR(SUMIFS(Tabela10[Exp Gain only 2*+],Tabela10[Drop],DropAnalityka[[#This Row],[Drop]],Tabela10[Grade],DropAnalityka[[#This Row],[Grade]])*DropAnalityka[[#This Row],[Quality/Quantity]],0)</f>
        <v>118004</v>
      </c>
    </row>
    <row r="1115" spans="1:12">
      <c r="A1115" t="s">
        <v>172</v>
      </c>
      <c r="B1115" t="s">
        <v>9</v>
      </c>
      <c r="C1115">
        <v>10</v>
      </c>
      <c r="D1115">
        <v>4361</v>
      </c>
      <c r="E1115">
        <v>0</v>
      </c>
      <c r="F1115" t="s">
        <v>34</v>
      </c>
      <c r="G1115">
        <v>5</v>
      </c>
      <c r="H1115" t="s">
        <v>17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4000</v>
      </c>
    </row>
    <row r="1116" spans="1:12">
      <c r="A1116" t="s">
        <v>172</v>
      </c>
      <c r="B1116" t="s">
        <v>9</v>
      </c>
      <c r="C1116">
        <v>10</v>
      </c>
      <c r="D1116">
        <v>4527</v>
      </c>
      <c r="E1116">
        <v>0</v>
      </c>
      <c r="F1116" t="s">
        <v>258</v>
      </c>
      <c r="G1116">
        <v>1</v>
      </c>
      <c r="H1116" t="s">
        <v>28</v>
      </c>
      <c r="I1116">
        <v>5440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:12">
      <c r="A1117" t="s">
        <v>172</v>
      </c>
      <c r="B1117" t="s">
        <v>9</v>
      </c>
      <c r="C1117">
        <v>10</v>
      </c>
      <c r="D1117">
        <v>3817</v>
      </c>
      <c r="E1117">
        <v>1</v>
      </c>
      <c r="F1117" t="s">
        <v>258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172</v>
      </c>
      <c r="B1118" t="s">
        <v>9</v>
      </c>
      <c r="C1118">
        <v>10</v>
      </c>
      <c r="D1118">
        <v>3935</v>
      </c>
      <c r="E1118">
        <v>2</v>
      </c>
      <c r="F1118" t="s">
        <v>291</v>
      </c>
      <c r="G1118">
        <v>1</v>
      </c>
      <c r="H1118" t="s">
        <v>28</v>
      </c>
      <c r="I1118">
        <v>6800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172</v>
      </c>
      <c r="B1119" t="s">
        <v>9</v>
      </c>
      <c r="C1119">
        <v>10</v>
      </c>
      <c r="D1119">
        <v>4040</v>
      </c>
      <c r="E1119">
        <v>1</v>
      </c>
      <c r="F1119" t="s">
        <v>258</v>
      </c>
      <c r="G1119">
        <v>1</v>
      </c>
      <c r="H1119" t="s">
        <v>28</v>
      </c>
      <c r="I1119">
        <v>5440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172</v>
      </c>
      <c r="B1120" t="s">
        <v>9</v>
      </c>
      <c r="C1120">
        <v>10</v>
      </c>
      <c r="D1120">
        <v>3601</v>
      </c>
      <c r="E1120">
        <v>1</v>
      </c>
      <c r="F1120" t="s">
        <v>34</v>
      </c>
      <c r="G1120">
        <v>4</v>
      </c>
      <c r="H1120" t="s">
        <v>17</v>
      </c>
      <c r="I1120">
        <v>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3200</v>
      </c>
    </row>
    <row r="1121" spans="1:12">
      <c r="A1121" t="s">
        <v>172</v>
      </c>
      <c r="B1121" t="s">
        <v>9</v>
      </c>
      <c r="C1121">
        <v>10</v>
      </c>
      <c r="D1121">
        <v>3976</v>
      </c>
      <c r="E1121">
        <v>0</v>
      </c>
      <c r="F1121" t="s">
        <v>291</v>
      </c>
      <c r="G1121">
        <v>1</v>
      </c>
      <c r="H1121" t="s">
        <v>28</v>
      </c>
      <c r="I1121">
        <v>5440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:12">
      <c r="A1122" t="s">
        <v>172</v>
      </c>
      <c r="B1122" t="s">
        <v>9</v>
      </c>
      <c r="C1122">
        <v>10</v>
      </c>
      <c r="D1122">
        <v>3824</v>
      </c>
      <c r="E1122">
        <v>0</v>
      </c>
      <c r="F1122" t="s">
        <v>258</v>
      </c>
      <c r="G1122">
        <v>1</v>
      </c>
      <c r="H1122" t="s">
        <v>27</v>
      </c>
      <c r="I1122">
        <v>3491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172</v>
      </c>
      <c r="B1123" t="s">
        <v>9</v>
      </c>
      <c r="C1123">
        <v>10</v>
      </c>
      <c r="D1123">
        <v>3303</v>
      </c>
      <c r="E1123">
        <v>0</v>
      </c>
      <c r="F1123" t="s">
        <v>258</v>
      </c>
      <c r="G1123">
        <v>1</v>
      </c>
      <c r="H1123" t="s">
        <v>27</v>
      </c>
      <c r="I1123">
        <v>3445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172</v>
      </c>
      <c r="B1124" t="s">
        <v>9</v>
      </c>
      <c r="C1124">
        <v>10</v>
      </c>
      <c r="D1124">
        <v>4601</v>
      </c>
      <c r="E1124">
        <v>1</v>
      </c>
      <c r="F1124" t="s">
        <v>34</v>
      </c>
      <c r="G1124">
        <v>4</v>
      </c>
      <c r="H1124" t="s">
        <v>17</v>
      </c>
      <c r="I1124">
        <v>0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3200</v>
      </c>
    </row>
    <row r="1125" spans="1:12">
      <c r="A1125" t="s">
        <v>172</v>
      </c>
      <c r="B1125" t="s">
        <v>9</v>
      </c>
      <c r="C1125">
        <v>10</v>
      </c>
      <c r="D1125">
        <v>4076</v>
      </c>
      <c r="E1125">
        <v>1</v>
      </c>
      <c r="F1125" t="s">
        <v>258</v>
      </c>
      <c r="G1125">
        <v>1</v>
      </c>
      <c r="H1125" t="s">
        <v>27</v>
      </c>
      <c r="I1125">
        <v>5057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:12">
      <c r="A1126" t="s">
        <v>172</v>
      </c>
      <c r="B1126" t="s">
        <v>9</v>
      </c>
      <c r="C1126">
        <v>10</v>
      </c>
      <c r="D1126">
        <v>3735</v>
      </c>
      <c r="E1126">
        <v>1</v>
      </c>
      <c r="F1126" t="s">
        <v>258</v>
      </c>
      <c r="G1126">
        <v>1</v>
      </c>
      <c r="H1126" t="s">
        <v>28</v>
      </c>
      <c r="I1126">
        <v>6502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172</v>
      </c>
      <c r="B1127" t="s">
        <v>9</v>
      </c>
      <c r="C1127">
        <v>10</v>
      </c>
      <c r="D1127">
        <v>3968</v>
      </c>
      <c r="E1127">
        <v>1</v>
      </c>
      <c r="F1127" t="s">
        <v>258</v>
      </c>
      <c r="G1127">
        <v>1</v>
      </c>
      <c r="H1127" t="s">
        <v>28</v>
      </c>
      <c r="I1127">
        <v>3825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172</v>
      </c>
      <c r="B1128" t="s">
        <v>9</v>
      </c>
      <c r="C1128">
        <v>10</v>
      </c>
      <c r="D1128">
        <v>4409</v>
      </c>
      <c r="E1128">
        <v>0</v>
      </c>
      <c r="F1128" t="s">
        <v>258</v>
      </c>
      <c r="G1128">
        <v>1</v>
      </c>
      <c r="H1128" t="s">
        <v>28</v>
      </c>
      <c r="I1128">
        <v>7650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172</v>
      </c>
      <c r="B1129" t="s">
        <v>9</v>
      </c>
      <c r="C1129">
        <v>10</v>
      </c>
      <c r="D1129">
        <v>4316</v>
      </c>
      <c r="E1129">
        <v>0</v>
      </c>
      <c r="F1129" t="s">
        <v>258</v>
      </c>
      <c r="G1129">
        <v>1</v>
      </c>
      <c r="H1129" t="s">
        <v>28</v>
      </c>
      <c r="I1129">
        <v>5780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172</v>
      </c>
      <c r="B1130" t="s">
        <v>9</v>
      </c>
      <c r="C1130">
        <v>10</v>
      </c>
      <c r="D1130">
        <v>4350</v>
      </c>
      <c r="E1130">
        <v>3</v>
      </c>
      <c r="F1130" t="s">
        <v>258</v>
      </c>
      <c r="G1130">
        <v>1</v>
      </c>
      <c r="H1130" t="s">
        <v>28</v>
      </c>
      <c r="I1130">
        <v>5950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172</v>
      </c>
      <c r="B1131" t="s">
        <v>9</v>
      </c>
      <c r="C1131">
        <v>10</v>
      </c>
      <c r="D1131">
        <v>4027</v>
      </c>
      <c r="E1131">
        <v>1</v>
      </c>
      <c r="F1131" t="s">
        <v>258</v>
      </c>
      <c r="G1131">
        <v>1</v>
      </c>
      <c r="H1131" t="s">
        <v>28</v>
      </c>
      <c r="I1131">
        <v>5100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172</v>
      </c>
      <c r="B1132" t="s">
        <v>9</v>
      </c>
      <c r="C1132">
        <v>10</v>
      </c>
      <c r="D1132">
        <v>4582</v>
      </c>
      <c r="E1132">
        <v>1</v>
      </c>
      <c r="F1132" t="s">
        <v>318</v>
      </c>
      <c r="G1132">
        <v>1</v>
      </c>
      <c r="H1132" t="s">
        <v>28</v>
      </c>
      <c r="I1132">
        <v>10444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172</v>
      </c>
      <c r="B1133" t="s">
        <v>9</v>
      </c>
      <c r="C1133">
        <v>10</v>
      </c>
      <c r="D1133">
        <v>4490</v>
      </c>
      <c r="E1133">
        <v>0</v>
      </c>
      <c r="F1133" t="s">
        <v>258</v>
      </c>
      <c r="G1133">
        <v>1</v>
      </c>
      <c r="H1133" t="s">
        <v>27</v>
      </c>
      <c r="I1133">
        <v>4364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172</v>
      </c>
      <c r="B1134" t="s">
        <v>9</v>
      </c>
      <c r="C1134">
        <v>10</v>
      </c>
      <c r="D1134">
        <v>4382</v>
      </c>
      <c r="E1134">
        <v>0</v>
      </c>
      <c r="F1134" t="s">
        <v>258</v>
      </c>
      <c r="G1134">
        <v>1</v>
      </c>
      <c r="H1134" t="s">
        <v>27</v>
      </c>
      <c r="I1134">
        <v>2940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172</v>
      </c>
      <c r="B1135" t="s">
        <v>9</v>
      </c>
      <c r="C1135">
        <v>10</v>
      </c>
      <c r="D1135">
        <v>3808</v>
      </c>
      <c r="E1135">
        <v>0</v>
      </c>
      <c r="F1135" t="s">
        <v>34</v>
      </c>
      <c r="G1135">
        <v>5</v>
      </c>
      <c r="H1135" t="s">
        <v>17</v>
      </c>
      <c r="I1135">
        <v>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4000</v>
      </c>
    </row>
    <row r="1136" spans="1:12">
      <c r="A1136" t="s">
        <v>172</v>
      </c>
      <c r="B1136" t="s">
        <v>9</v>
      </c>
      <c r="C1136">
        <v>10</v>
      </c>
      <c r="D1136">
        <v>3873</v>
      </c>
      <c r="E1136">
        <v>2</v>
      </c>
      <c r="F1136" t="s">
        <v>258</v>
      </c>
      <c r="G1136">
        <v>1</v>
      </c>
      <c r="H1136" t="s">
        <v>27</v>
      </c>
      <c r="I1136">
        <v>3307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:12">
      <c r="A1137" t="s">
        <v>172</v>
      </c>
      <c r="B1137" t="s">
        <v>9</v>
      </c>
      <c r="C1137">
        <v>10</v>
      </c>
      <c r="D1137">
        <v>4165</v>
      </c>
      <c r="E1137">
        <v>1</v>
      </c>
      <c r="F1137" t="s">
        <v>291</v>
      </c>
      <c r="G1137">
        <v>1</v>
      </c>
      <c r="H1137" t="s">
        <v>27</v>
      </c>
      <c r="I1137">
        <v>3927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172</v>
      </c>
      <c r="B1138" t="s">
        <v>9</v>
      </c>
      <c r="C1138">
        <v>10</v>
      </c>
      <c r="D1138">
        <v>3918</v>
      </c>
      <c r="E1138">
        <v>1</v>
      </c>
      <c r="F1138" t="s">
        <v>291</v>
      </c>
      <c r="G1138">
        <v>1</v>
      </c>
      <c r="H1138" t="s">
        <v>28</v>
      </c>
      <c r="I1138">
        <v>5440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172</v>
      </c>
      <c r="B1139" t="s">
        <v>9</v>
      </c>
      <c r="C1139">
        <v>10</v>
      </c>
      <c r="D1139">
        <v>3837</v>
      </c>
      <c r="E1139">
        <v>4</v>
      </c>
      <c r="F1139" t="s">
        <v>258</v>
      </c>
      <c r="G1139">
        <v>1</v>
      </c>
      <c r="H1139" t="s">
        <v>27</v>
      </c>
      <c r="I1139">
        <v>3100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172</v>
      </c>
      <c r="B1140" t="s">
        <v>9</v>
      </c>
      <c r="C1140">
        <v>10</v>
      </c>
      <c r="D1140">
        <v>3909</v>
      </c>
      <c r="E1140">
        <v>0</v>
      </c>
      <c r="F1140" t="s">
        <v>258</v>
      </c>
      <c r="G1140">
        <v>1</v>
      </c>
      <c r="H1140" t="s">
        <v>28</v>
      </c>
      <c r="I1140">
        <v>6460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172</v>
      </c>
      <c r="B1141" t="s">
        <v>9</v>
      </c>
      <c r="C1141">
        <v>10</v>
      </c>
      <c r="D1141">
        <v>4302</v>
      </c>
      <c r="E1141">
        <v>2</v>
      </c>
      <c r="F1141" t="s">
        <v>291</v>
      </c>
      <c r="G1141">
        <v>1</v>
      </c>
      <c r="H1141" t="s">
        <v>28</v>
      </c>
      <c r="I1141">
        <v>8075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172</v>
      </c>
      <c r="B1142" t="s">
        <v>9</v>
      </c>
      <c r="C1142">
        <v>10</v>
      </c>
      <c r="D1142">
        <v>4644</v>
      </c>
      <c r="E1142">
        <v>1</v>
      </c>
      <c r="F1142" t="s">
        <v>288</v>
      </c>
      <c r="G1142">
        <v>1</v>
      </c>
      <c r="H1142" t="s">
        <v>17</v>
      </c>
      <c r="I1142">
        <v>0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172</v>
      </c>
      <c r="B1143" t="s">
        <v>9</v>
      </c>
      <c r="C1143">
        <v>10</v>
      </c>
      <c r="D1143">
        <v>3772</v>
      </c>
      <c r="E1143">
        <v>0</v>
      </c>
      <c r="F1143" t="s">
        <v>258</v>
      </c>
      <c r="G1143">
        <v>1</v>
      </c>
      <c r="H1143" t="s">
        <v>28</v>
      </c>
      <c r="I1143">
        <v>5780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172</v>
      </c>
      <c r="B1144" t="s">
        <v>9</v>
      </c>
      <c r="C1144">
        <v>10</v>
      </c>
      <c r="D1144">
        <v>3838</v>
      </c>
      <c r="E1144">
        <v>1</v>
      </c>
      <c r="F1144" t="s">
        <v>258</v>
      </c>
      <c r="G1144">
        <v>1</v>
      </c>
      <c r="H1144" t="s">
        <v>28</v>
      </c>
      <c r="I1144">
        <v>6460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172</v>
      </c>
      <c r="B1145" t="s">
        <v>9</v>
      </c>
      <c r="C1145">
        <v>10</v>
      </c>
      <c r="D1145">
        <v>3618</v>
      </c>
      <c r="E1145">
        <v>1</v>
      </c>
      <c r="F1145" t="s">
        <v>318</v>
      </c>
      <c r="G1145">
        <v>1</v>
      </c>
      <c r="H1145" t="s">
        <v>28</v>
      </c>
      <c r="I1145">
        <v>11560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172</v>
      </c>
      <c r="B1146" t="s">
        <v>9</v>
      </c>
      <c r="C1146">
        <v>10</v>
      </c>
      <c r="D1146">
        <v>3622</v>
      </c>
      <c r="E1146">
        <v>2</v>
      </c>
      <c r="F1146" t="s">
        <v>318</v>
      </c>
      <c r="G1146">
        <v>1</v>
      </c>
      <c r="H1146" t="s">
        <v>28</v>
      </c>
      <c r="I1146">
        <v>16320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172</v>
      </c>
      <c r="B1147" t="s">
        <v>9</v>
      </c>
      <c r="C1147">
        <v>10</v>
      </c>
      <c r="D1147">
        <v>4131</v>
      </c>
      <c r="E1147">
        <v>2</v>
      </c>
      <c r="F1147" t="s">
        <v>34</v>
      </c>
      <c r="G1147">
        <v>5</v>
      </c>
      <c r="H1147" t="s">
        <v>17</v>
      </c>
      <c r="I1147">
        <v>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4000</v>
      </c>
    </row>
    <row r="1148" spans="1:12">
      <c r="A1148" t="s">
        <v>172</v>
      </c>
      <c r="B1148" t="s">
        <v>9</v>
      </c>
      <c r="C1148">
        <v>10</v>
      </c>
      <c r="D1148">
        <v>3935</v>
      </c>
      <c r="E1148">
        <v>0</v>
      </c>
      <c r="F1148" t="s">
        <v>58</v>
      </c>
      <c r="G1148">
        <v>1</v>
      </c>
      <c r="H1148" t="s">
        <v>12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11500</v>
      </c>
      <c r="L1148" s="43">
        <f>IFERROR(SUMIFS(Tabela10[Exp Gain only 2*+],Tabela10[Drop],DropAnalityka[[#This Row],[Drop]],Tabela10[Grade],DropAnalityka[[#This Row],[Grade]])*DropAnalityka[[#This Row],[Quality/Quantity]],0)</f>
        <v>35822</v>
      </c>
    </row>
    <row r="1149" spans="1:12">
      <c r="A1149" t="s">
        <v>172</v>
      </c>
      <c r="B1149" t="s">
        <v>9</v>
      </c>
      <c r="C1149">
        <v>10</v>
      </c>
      <c r="D1149">
        <v>3786</v>
      </c>
      <c r="E1149">
        <v>1</v>
      </c>
      <c r="F1149" t="s">
        <v>291</v>
      </c>
      <c r="G1149">
        <v>1</v>
      </c>
      <c r="H1149" t="s">
        <v>27</v>
      </c>
      <c r="I1149">
        <v>3904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:12">
      <c r="A1150" t="s">
        <v>172</v>
      </c>
      <c r="B1150" t="s">
        <v>9</v>
      </c>
      <c r="C1150">
        <v>10</v>
      </c>
      <c r="D1150">
        <v>3725</v>
      </c>
      <c r="E1150">
        <v>0</v>
      </c>
      <c r="F1150" t="s">
        <v>34</v>
      </c>
      <c r="G1150">
        <v>4</v>
      </c>
      <c r="H1150" t="s">
        <v>17</v>
      </c>
      <c r="I1150">
        <v>0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3200</v>
      </c>
    </row>
    <row r="1151" spans="1:12">
      <c r="A1151" t="s">
        <v>172</v>
      </c>
      <c r="B1151" t="s">
        <v>9</v>
      </c>
      <c r="C1151">
        <v>10</v>
      </c>
      <c r="D1151">
        <v>3617</v>
      </c>
      <c r="E1151">
        <v>1</v>
      </c>
      <c r="F1151" t="s">
        <v>258</v>
      </c>
      <c r="G1151">
        <v>1</v>
      </c>
      <c r="H1151" t="s">
        <v>28</v>
      </c>
      <c r="I1151">
        <v>6800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:12">
      <c r="A1152" t="s">
        <v>172</v>
      </c>
      <c r="B1152" t="s">
        <v>9</v>
      </c>
      <c r="C1152">
        <v>10</v>
      </c>
      <c r="D1152">
        <v>3937</v>
      </c>
      <c r="E1152">
        <v>1</v>
      </c>
      <c r="F1152" t="s">
        <v>291</v>
      </c>
      <c r="G1152">
        <v>1</v>
      </c>
      <c r="H1152" t="s">
        <v>29</v>
      </c>
      <c r="I1152">
        <v>13472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172</v>
      </c>
      <c r="B1153" t="s">
        <v>9</v>
      </c>
      <c r="C1153">
        <v>10</v>
      </c>
      <c r="D1153">
        <v>3918</v>
      </c>
      <c r="E1153">
        <v>1</v>
      </c>
      <c r="F1153" t="s">
        <v>258</v>
      </c>
      <c r="G1153">
        <v>1</v>
      </c>
      <c r="H1153" t="s">
        <v>29</v>
      </c>
      <c r="I1153">
        <v>9510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172</v>
      </c>
      <c r="B1154" t="s">
        <v>9</v>
      </c>
      <c r="C1154">
        <v>10</v>
      </c>
      <c r="D1154">
        <v>4078</v>
      </c>
      <c r="E1154">
        <v>3</v>
      </c>
      <c r="F1154" t="s">
        <v>58</v>
      </c>
      <c r="G1154">
        <v>1</v>
      </c>
      <c r="H1154" t="s">
        <v>12</v>
      </c>
      <c r="I1154">
        <v>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11500</v>
      </c>
      <c r="L1154" s="43">
        <f>IFERROR(SUMIFS(Tabela10[Exp Gain only 2*+],Tabela10[Drop],DropAnalityka[[#This Row],[Drop]],Tabela10[Grade],DropAnalityka[[#This Row],[Grade]])*DropAnalityka[[#This Row],[Quality/Quantity]],0)</f>
        <v>35822</v>
      </c>
    </row>
    <row r="1155" spans="1:12">
      <c r="A1155" t="s">
        <v>172</v>
      </c>
      <c r="B1155" t="s">
        <v>9</v>
      </c>
      <c r="C1155">
        <v>10</v>
      </c>
      <c r="D1155">
        <v>4022</v>
      </c>
      <c r="E1155">
        <v>2</v>
      </c>
      <c r="F1155" t="s">
        <v>258</v>
      </c>
      <c r="G1155">
        <v>1</v>
      </c>
      <c r="H1155" t="s">
        <v>28</v>
      </c>
      <c r="I1155">
        <v>13005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:12">
      <c r="A1156" t="s">
        <v>172</v>
      </c>
      <c r="B1156" t="s">
        <v>9</v>
      </c>
      <c r="C1156">
        <v>10</v>
      </c>
      <c r="D1156">
        <v>3677</v>
      </c>
      <c r="E1156">
        <v>0</v>
      </c>
      <c r="F1156" t="s">
        <v>34</v>
      </c>
      <c r="G1156">
        <v>5</v>
      </c>
      <c r="H1156" t="s">
        <v>17</v>
      </c>
      <c r="I1156">
        <v>0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4000</v>
      </c>
    </row>
    <row r="1157" spans="1:12">
      <c r="A1157" t="s">
        <v>172</v>
      </c>
      <c r="B1157" t="s">
        <v>9</v>
      </c>
      <c r="C1157">
        <v>10</v>
      </c>
      <c r="D1157">
        <v>4011</v>
      </c>
      <c r="E1157">
        <v>0</v>
      </c>
      <c r="F1157" t="s">
        <v>318</v>
      </c>
      <c r="G1157">
        <v>1</v>
      </c>
      <c r="H1157" t="s">
        <v>27</v>
      </c>
      <c r="I1157">
        <v>7350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:12">
      <c r="A1158" t="s">
        <v>172</v>
      </c>
      <c r="B1158" t="s">
        <v>9</v>
      </c>
      <c r="C1158">
        <v>10</v>
      </c>
      <c r="D1158">
        <v>4195</v>
      </c>
      <c r="E1158">
        <v>1</v>
      </c>
      <c r="F1158" t="s">
        <v>258</v>
      </c>
      <c r="G1158">
        <v>1</v>
      </c>
      <c r="H1158" t="s">
        <v>27</v>
      </c>
      <c r="I1158">
        <v>3491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172</v>
      </c>
      <c r="B1159" t="s">
        <v>9</v>
      </c>
      <c r="C1159">
        <v>10</v>
      </c>
      <c r="D1159">
        <v>4001</v>
      </c>
      <c r="E1159">
        <v>0</v>
      </c>
      <c r="F1159" t="s">
        <v>258</v>
      </c>
      <c r="G1159">
        <v>1</v>
      </c>
      <c r="H1159" t="s">
        <v>28</v>
      </c>
      <c r="I1159">
        <v>4590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A1160" t="s">
        <v>172</v>
      </c>
      <c r="B1160" t="s">
        <v>9</v>
      </c>
      <c r="C1160">
        <v>10</v>
      </c>
      <c r="D1160">
        <v>3836</v>
      </c>
      <c r="E1160">
        <v>0</v>
      </c>
      <c r="F1160" t="s">
        <v>258</v>
      </c>
      <c r="G1160">
        <v>1</v>
      </c>
      <c r="H1160" t="s">
        <v>28</v>
      </c>
      <c r="I1160">
        <v>5780</v>
      </c>
      <c r="J116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A1161" t="s">
        <v>172</v>
      </c>
      <c r="B1161" t="s">
        <v>9</v>
      </c>
      <c r="C1161">
        <v>10</v>
      </c>
      <c r="D1161">
        <v>3830</v>
      </c>
      <c r="E1161">
        <v>0</v>
      </c>
      <c r="F1161" t="s">
        <v>258</v>
      </c>
      <c r="G1161">
        <v>1</v>
      </c>
      <c r="H1161" t="s">
        <v>28</v>
      </c>
      <c r="I1161">
        <v>5100</v>
      </c>
      <c r="J116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A1162" t="s">
        <v>172</v>
      </c>
      <c r="B1162" t="s">
        <v>9</v>
      </c>
      <c r="C1162">
        <v>10</v>
      </c>
      <c r="D1162">
        <v>4098</v>
      </c>
      <c r="E1162">
        <v>0</v>
      </c>
      <c r="F1162" t="s">
        <v>291</v>
      </c>
      <c r="G1162">
        <v>1</v>
      </c>
      <c r="H1162" t="s">
        <v>27</v>
      </c>
      <c r="I1162">
        <v>4800</v>
      </c>
      <c r="J1162">
        <f>DropAnalityka[[#This Row],[Sell Drop]]+IFERROR(SUMIFS(Tabela10[Drop Worth],Tabela10[Drop],DropAnalityka[[#This Row],[Drop]],Tabela10[Grade],DropAnalityka[[#This Row],[Grade]])*DropAnalityka[[#This Row],[Quality/Quantity]],0)</f>
        <v>4800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A1163" t="s">
        <v>172</v>
      </c>
      <c r="B1163" t="s">
        <v>9</v>
      </c>
      <c r="C1163">
        <v>10</v>
      </c>
      <c r="D1163">
        <v>4211</v>
      </c>
      <c r="E1163">
        <v>0</v>
      </c>
      <c r="F1163" t="s">
        <v>58</v>
      </c>
      <c r="G1163">
        <v>1</v>
      </c>
      <c r="H1163" t="s">
        <v>12</v>
      </c>
      <c r="I1163">
        <v>0</v>
      </c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11500</v>
      </c>
      <c r="L1163" s="43">
        <f>IFERROR(SUMIFS(Tabela10[Exp Gain only 2*+],Tabela10[Drop],DropAnalityka[[#This Row],[Drop]],Tabela10[Grade],DropAnalityka[[#This Row],[Grade]])*DropAnalityka[[#This Row],[Quality/Quantity]],0)</f>
        <v>35822</v>
      </c>
    </row>
    <row r="1164" spans="1:12">
      <c r="A1164" t="s">
        <v>172</v>
      </c>
      <c r="B1164" t="s">
        <v>9</v>
      </c>
      <c r="C1164">
        <v>10</v>
      </c>
      <c r="D1164">
        <v>4024</v>
      </c>
      <c r="E1164">
        <v>1</v>
      </c>
      <c r="F1164" t="s">
        <v>258</v>
      </c>
      <c r="G1164">
        <v>1</v>
      </c>
      <c r="H1164" t="s">
        <v>27</v>
      </c>
      <c r="I1164">
        <v>2572</v>
      </c>
      <c r="J1164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:12">
      <c r="A1165" t="s">
        <v>172</v>
      </c>
      <c r="B1165" t="s">
        <v>9</v>
      </c>
      <c r="C1165">
        <v>10</v>
      </c>
      <c r="D1165">
        <v>4051</v>
      </c>
      <c r="E1165">
        <v>0</v>
      </c>
      <c r="F1165" t="s">
        <v>291</v>
      </c>
      <c r="G1165">
        <v>1</v>
      </c>
      <c r="H1165" t="s">
        <v>28</v>
      </c>
      <c r="I1165">
        <v>8075</v>
      </c>
      <c r="J116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A1166" t="s">
        <v>172</v>
      </c>
      <c r="B1166" t="s">
        <v>9</v>
      </c>
      <c r="C1166">
        <v>10</v>
      </c>
      <c r="D1166">
        <v>3981</v>
      </c>
      <c r="E1166">
        <v>2</v>
      </c>
      <c r="F1166" t="s">
        <v>58</v>
      </c>
      <c r="G1166">
        <v>1</v>
      </c>
      <c r="H1166" t="s">
        <v>12</v>
      </c>
      <c r="I1166">
        <v>0</v>
      </c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11500</v>
      </c>
      <c r="L1166" s="43">
        <f>IFERROR(SUMIFS(Tabela10[Exp Gain only 2*+],Tabela10[Drop],DropAnalityka[[#This Row],[Drop]],Tabela10[Grade],DropAnalityka[[#This Row],[Grade]])*DropAnalityka[[#This Row],[Quality/Quantity]],0)</f>
        <v>35822</v>
      </c>
    </row>
    <row r="1167" spans="1:12">
      <c r="A1167" t="s">
        <v>172</v>
      </c>
      <c r="B1167" t="s">
        <v>9</v>
      </c>
      <c r="C1167">
        <v>10</v>
      </c>
      <c r="D1167">
        <v>3667</v>
      </c>
      <c r="E1167">
        <v>3</v>
      </c>
      <c r="F1167" t="s">
        <v>258</v>
      </c>
      <c r="G1167">
        <v>1</v>
      </c>
      <c r="H1167" t="s">
        <v>28</v>
      </c>
      <c r="I1167">
        <v>5440</v>
      </c>
      <c r="J116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:12">
      <c r="A1168" t="s">
        <v>172</v>
      </c>
      <c r="B1168" t="s">
        <v>9</v>
      </c>
      <c r="C1168">
        <v>10</v>
      </c>
      <c r="D1168">
        <v>4500</v>
      </c>
      <c r="E1168">
        <v>2</v>
      </c>
      <c r="F1168" t="s">
        <v>291</v>
      </c>
      <c r="G1168">
        <v>1</v>
      </c>
      <c r="H1168" t="s">
        <v>28</v>
      </c>
      <c r="I1168">
        <v>9350</v>
      </c>
      <c r="J1168">
        <f>DropAnalityka[[#This Row],[Sell Drop]]+IFERROR(SUMIFS(Tabela10[Drop Worth],Tabela10[Drop],DropAnalityka[[#This Row],[Drop]],Tabela10[Grade],DropAnalityka[[#This Row],[Grade]])*DropAnalityka[[#This Row],[Quality/Quantity]],0)</f>
        <v>9350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:12">
      <c r="A1169" t="s">
        <v>172</v>
      </c>
      <c r="B1169" t="s">
        <v>9</v>
      </c>
      <c r="C1169">
        <v>10</v>
      </c>
      <c r="D1169">
        <v>4090</v>
      </c>
      <c r="E1169">
        <v>1</v>
      </c>
      <c r="F1169" t="s">
        <v>258</v>
      </c>
      <c r="G1169">
        <v>1</v>
      </c>
      <c r="H1169" t="s">
        <v>28</v>
      </c>
      <c r="I1169">
        <v>5780</v>
      </c>
      <c r="J116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:12">
      <c r="A1170" t="s">
        <v>172</v>
      </c>
      <c r="B1170" t="s">
        <v>9</v>
      </c>
      <c r="C1170">
        <v>10</v>
      </c>
      <c r="D1170">
        <v>3757</v>
      </c>
      <c r="E1170">
        <v>0</v>
      </c>
      <c r="F1170" t="s">
        <v>58</v>
      </c>
      <c r="G1170">
        <v>1</v>
      </c>
      <c r="H1170" t="s">
        <v>12</v>
      </c>
      <c r="I1170">
        <v>0</v>
      </c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11500</v>
      </c>
      <c r="L1170" s="43">
        <f>IFERROR(SUMIFS(Tabela10[Exp Gain only 2*+],Tabela10[Drop],DropAnalityka[[#This Row],[Drop]],Tabela10[Grade],DropAnalityka[[#This Row],[Grade]])*DropAnalityka[[#This Row],[Quality/Quantity]],0)</f>
        <v>35822</v>
      </c>
    </row>
    <row r="1171" spans="1:12">
      <c r="A1171" t="s">
        <v>172</v>
      </c>
      <c r="B1171" t="s">
        <v>9</v>
      </c>
      <c r="C1171">
        <v>10</v>
      </c>
      <c r="D1171">
        <v>3889</v>
      </c>
      <c r="E1171">
        <v>0</v>
      </c>
      <c r="F1171" t="s">
        <v>291</v>
      </c>
      <c r="G1171">
        <v>1</v>
      </c>
      <c r="H1171" t="s">
        <v>28</v>
      </c>
      <c r="I1171">
        <v>10200</v>
      </c>
      <c r="J1171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:12">
      <c r="A1172" t="s">
        <v>172</v>
      </c>
      <c r="B1172" t="s">
        <v>9</v>
      </c>
      <c r="C1172">
        <v>10</v>
      </c>
      <c r="D1172">
        <v>3813</v>
      </c>
      <c r="E1172">
        <v>1</v>
      </c>
      <c r="F1172" t="s">
        <v>258</v>
      </c>
      <c r="G1172">
        <v>1</v>
      </c>
      <c r="H1172" t="s">
        <v>28</v>
      </c>
      <c r="I1172">
        <v>5355</v>
      </c>
      <c r="J1172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:12">
      <c r="A1173" t="s">
        <v>172</v>
      </c>
      <c r="B1173" t="s">
        <v>9</v>
      </c>
      <c r="C1173">
        <v>10</v>
      </c>
      <c r="D1173">
        <v>3859</v>
      </c>
      <c r="E1173">
        <v>1</v>
      </c>
      <c r="F1173" t="s">
        <v>34</v>
      </c>
      <c r="G1173">
        <v>5</v>
      </c>
      <c r="H1173" t="s">
        <v>17</v>
      </c>
      <c r="I1173">
        <v>0</v>
      </c>
      <c r="J117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4000</v>
      </c>
    </row>
    <row r="1174" spans="1:12">
      <c r="A1174" t="s">
        <v>172</v>
      </c>
      <c r="B1174" t="s">
        <v>9</v>
      </c>
      <c r="C1174">
        <v>10</v>
      </c>
      <c r="D1174">
        <v>3967</v>
      </c>
      <c r="E1174">
        <v>2</v>
      </c>
      <c r="F1174" t="s">
        <v>258</v>
      </c>
      <c r="G1174">
        <v>1</v>
      </c>
      <c r="H1174" t="s">
        <v>29</v>
      </c>
      <c r="I1174">
        <v>12046</v>
      </c>
      <c r="J1174">
        <f>DropAnalityka[[#This Row],[Sell Drop]]+IFERROR(SUMIFS(Tabela10[Drop Worth],Tabela10[Drop],DropAnalityka[[#This Row],[Drop]],Tabela10[Grade],DropAnalityka[[#This Row],[Grade]])*DropAnalityka[[#This Row],[Quality/Quantity]],0)</f>
        <v>12046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:12">
      <c r="A1175" t="s">
        <v>172</v>
      </c>
      <c r="B1175" t="s">
        <v>9</v>
      </c>
      <c r="C1175">
        <v>10</v>
      </c>
      <c r="D1175">
        <v>4276</v>
      </c>
      <c r="E1175">
        <v>0</v>
      </c>
      <c r="F1175" t="s">
        <v>34</v>
      </c>
      <c r="G1175">
        <v>5</v>
      </c>
      <c r="H1175" t="s">
        <v>17</v>
      </c>
      <c r="I1175">
        <v>0</v>
      </c>
      <c r="J117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4000</v>
      </c>
    </row>
    <row r="1176" spans="1:12">
      <c r="A1176" t="s">
        <v>172</v>
      </c>
      <c r="B1176" t="s">
        <v>9</v>
      </c>
      <c r="C1176">
        <v>10</v>
      </c>
      <c r="D1176">
        <v>3898</v>
      </c>
      <c r="E1176">
        <v>0</v>
      </c>
      <c r="F1176" t="s">
        <v>291</v>
      </c>
      <c r="G1176">
        <v>1</v>
      </c>
      <c r="H1176" t="s">
        <v>28</v>
      </c>
      <c r="I1176">
        <v>6502</v>
      </c>
      <c r="J117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:12">
      <c r="A1177" t="s">
        <v>172</v>
      </c>
      <c r="B1177" t="s">
        <v>9</v>
      </c>
      <c r="C1177">
        <v>10</v>
      </c>
      <c r="D1177">
        <v>3992</v>
      </c>
      <c r="E1177">
        <v>3</v>
      </c>
      <c r="F1177" t="s">
        <v>291</v>
      </c>
      <c r="G1177">
        <v>1</v>
      </c>
      <c r="H1177" t="s">
        <v>28</v>
      </c>
      <c r="I1177">
        <v>7225</v>
      </c>
      <c r="J1177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:12">
      <c r="A1178" t="s">
        <v>172</v>
      </c>
      <c r="B1178" t="s">
        <v>9</v>
      </c>
      <c r="C1178">
        <v>10</v>
      </c>
      <c r="D1178">
        <v>3871</v>
      </c>
      <c r="E1178">
        <v>1</v>
      </c>
      <c r="F1178" t="s">
        <v>258</v>
      </c>
      <c r="G1178">
        <v>1</v>
      </c>
      <c r="H1178" t="s">
        <v>28</v>
      </c>
      <c r="I1178">
        <v>5737</v>
      </c>
      <c r="J1178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:12">
      <c r="A1179" t="s">
        <v>172</v>
      </c>
      <c r="B1179" t="s">
        <v>9</v>
      </c>
      <c r="C1179">
        <v>10</v>
      </c>
      <c r="D1179">
        <v>3832</v>
      </c>
      <c r="E1179">
        <v>0</v>
      </c>
      <c r="F1179" t="s">
        <v>291</v>
      </c>
      <c r="G1179">
        <v>1</v>
      </c>
      <c r="H1179" t="s">
        <v>28</v>
      </c>
      <c r="I1179">
        <v>8670</v>
      </c>
      <c r="J1179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:12">
      <c r="A1180" t="s">
        <v>172</v>
      </c>
      <c r="B1180" t="s">
        <v>9</v>
      </c>
      <c r="C1180">
        <v>10</v>
      </c>
      <c r="D1180">
        <v>3887</v>
      </c>
      <c r="E1180">
        <v>0</v>
      </c>
      <c r="F1180" t="s">
        <v>258</v>
      </c>
      <c r="G1180">
        <v>1</v>
      </c>
      <c r="H1180" t="s">
        <v>28</v>
      </c>
      <c r="I1180">
        <v>13770</v>
      </c>
      <c r="J1180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:12">
      <c r="A1181" t="s">
        <v>172</v>
      </c>
      <c r="B1181" t="s">
        <v>9</v>
      </c>
      <c r="C1181">
        <v>10</v>
      </c>
      <c r="D1181">
        <v>4114</v>
      </c>
      <c r="E1181">
        <v>3</v>
      </c>
      <c r="F1181" t="s">
        <v>258</v>
      </c>
      <c r="G1181">
        <v>1</v>
      </c>
      <c r="H1181" t="s">
        <v>28</v>
      </c>
      <c r="I1181">
        <v>6460</v>
      </c>
      <c r="J118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:12">
      <c r="A1182" t="s">
        <v>172</v>
      </c>
      <c r="B1182" t="s">
        <v>9</v>
      </c>
      <c r="C1182">
        <v>10</v>
      </c>
      <c r="D1182">
        <v>4755</v>
      </c>
      <c r="E1182">
        <v>0</v>
      </c>
      <c r="F1182" t="s">
        <v>258</v>
      </c>
      <c r="G1182">
        <v>1</v>
      </c>
      <c r="H1182" t="s">
        <v>29</v>
      </c>
      <c r="I1182">
        <v>27103</v>
      </c>
      <c r="J1182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:12">
      <c r="A1183" t="s">
        <v>172</v>
      </c>
      <c r="B1183" t="s">
        <v>9</v>
      </c>
      <c r="C1183">
        <v>10</v>
      </c>
      <c r="D1183">
        <v>4329</v>
      </c>
      <c r="E1183">
        <v>2</v>
      </c>
      <c r="F1183" t="s">
        <v>258</v>
      </c>
      <c r="G1183">
        <v>1</v>
      </c>
      <c r="H1183" t="s">
        <v>28</v>
      </c>
      <c r="I1183">
        <v>6800</v>
      </c>
      <c r="J118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:12">
      <c r="A1184" t="s">
        <v>172</v>
      </c>
      <c r="B1184" t="s">
        <v>9</v>
      </c>
      <c r="C1184">
        <v>10</v>
      </c>
      <c r="D1184">
        <v>4139</v>
      </c>
      <c r="E1184">
        <v>0</v>
      </c>
      <c r="F1184" t="s">
        <v>258</v>
      </c>
      <c r="G1184">
        <v>1</v>
      </c>
      <c r="H1184" t="s">
        <v>27</v>
      </c>
      <c r="I1184">
        <v>2067</v>
      </c>
      <c r="J118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:12">
      <c r="A1185" t="s">
        <v>172</v>
      </c>
      <c r="B1185" t="s">
        <v>9</v>
      </c>
      <c r="C1185">
        <v>10</v>
      </c>
      <c r="D1185">
        <v>3838</v>
      </c>
      <c r="E1185">
        <v>0</v>
      </c>
      <c r="F1185" t="s">
        <v>258</v>
      </c>
      <c r="G1185">
        <v>1</v>
      </c>
      <c r="H1185" t="s">
        <v>28</v>
      </c>
      <c r="I1185">
        <v>5737</v>
      </c>
      <c r="J1185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:12">
      <c r="A1186" t="s">
        <v>172</v>
      </c>
      <c r="B1186" t="s">
        <v>9</v>
      </c>
      <c r="C1186">
        <v>10</v>
      </c>
      <c r="D1186">
        <v>4090</v>
      </c>
      <c r="E1186">
        <v>2</v>
      </c>
      <c r="F1186" t="s">
        <v>34</v>
      </c>
      <c r="G1186">
        <v>4</v>
      </c>
      <c r="H1186" t="s">
        <v>17</v>
      </c>
      <c r="I1186">
        <v>0</v>
      </c>
      <c r="J118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3200</v>
      </c>
    </row>
    <row r="1187" spans="1:12">
      <c r="A1187" t="s">
        <v>172</v>
      </c>
      <c r="B1187" t="s">
        <v>9</v>
      </c>
      <c r="C1187">
        <v>10</v>
      </c>
      <c r="D1187">
        <v>4048</v>
      </c>
      <c r="E1187">
        <v>0</v>
      </c>
      <c r="F1187" t="s">
        <v>291</v>
      </c>
      <c r="G1187">
        <v>1</v>
      </c>
      <c r="H1187" t="s">
        <v>28</v>
      </c>
      <c r="I1187">
        <v>8075</v>
      </c>
      <c r="J1187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:12">
      <c r="A1188" t="s">
        <v>172</v>
      </c>
      <c r="B1188" t="s">
        <v>9</v>
      </c>
      <c r="C1188">
        <v>10</v>
      </c>
      <c r="D1188">
        <v>4066</v>
      </c>
      <c r="E1188">
        <v>1</v>
      </c>
      <c r="F1188" t="s">
        <v>258</v>
      </c>
      <c r="G1188">
        <v>1</v>
      </c>
      <c r="H1188" t="s">
        <v>27</v>
      </c>
      <c r="I1188">
        <v>8268</v>
      </c>
      <c r="J1188">
        <f>DropAnalityka[[#This Row],[Sell Drop]]+IFERROR(SUMIFS(Tabela10[Drop Worth],Tabela10[Drop],DropAnalityka[[#This Row],[Drop]],Tabela10[Grade],DropAnalityka[[#This Row],[Grade]])*DropAnalityka[[#This Row],[Quality/Quantity]],0)</f>
        <v>8268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:12">
      <c r="A1189" t="s">
        <v>172</v>
      </c>
      <c r="B1189" t="s">
        <v>9</v>
      </c>
      <c r="C1189">
        <v>10</v>
      </c>
      <c r="D1189">
        <v>4202</v>
      </c>
      <c r="E1189">
        <v>2</v>
      </c>
      <c r="F1189" t="s">
        <v>258</v>
      </c>
      <c r="G1189">
        <v>1</v>
      </c>
      <c r="H1189" t="s">
        <v>28</v>
      </c>
      <c r="I1189">
        <v>4590</v>
      </c>
      <c r="J118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:12">
      <c r="A1190" t="s">
        <v>172</v>
      </c>
      <c r="B1190" t="s">
        <v>9</v>
      </c>
      <c r="C1190">
        <v>10</v>
      </c>
      <c r="D1190">
        <v>4359</v>
      </c>
      <c r="E1190">
        <v>1</v>
      </c>
      <c r="F1190" t="s">
        <v>291</v>
      </c>
      <c r="G1190">
        <v>1</v>
      </c>
      <c r="H1190" t="s">
        <v>28</v>
      </c>
      <c r="I1190">
        <v>9180</v>
      </c>
      <c r="J1190">
        <f>DropAnalityka[[#This Row],[Sell Drop]]+IFERROR(SUMIFS(Tabela10[Drop Worth],Tabela10[Drop],DropAnalityka[[#This Row],[Drop]],Tabela10[Grade],DropAnalityka[[#This Row],[Grade]])*DropAnalityka[[#This Row],[Quality/Quantity]],0)</f>
        <v>9180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:12">
      <c r="A1191" t="s">
        <v>172</v>
      </c>
      <c r="B1191" t="s">
        <v>9</v>
      </c>
      <c r="C1191">
        <v>10</v>
      </c>
      <c r="D1191">
        <v>3858</v>
      </c>
      <c r="E1191">
        <v>0</v>
      </c>
      <c r="F1191" t="s">
        <v>258</v>
      </c>
      <c r="G1191">
        <v>1</v>
      </c>
      <c r="H1191" t="s">
        <v>28</v>
      </c>
      <c r="I1191">
        <v>5100</v>
      </c>
      <c r="J119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:12">
      <c r="A1192" t="s">
        <v>172</v>
      </c>
      <c r="B1192" t="s">
        <v>9</v>
      </c>
      <c r="C1192">
        <v>10</v>
      </c>
      <c r="D1192">
        <v>3946</v>
      </c>
      <c r="E1192">
        <v>0</v>
      </c>
      <c r="F1192" t="s">
        <v>291</v>
      </c>
      <c r="G1192">
        <v>1</v>
      </c>
      <c r="H1192" t="s">
        <v>29</v>
      </c>
      <c r="I1192">
        <v>14265</v>
      </c>
      <c r="J1192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:12">
      <c r="A1193" t="s">
        <v>172</v>
      </c>
      <c r="B1193" t="s">
        <v>9</v>
      </c>
      <c r="C1193">
        <v>10</v>
      </c>
      <c r="D1193">
        <v>4023</v>
      </c>
      <c r="E1193">
        <v>0</v>
      </c>
      <c r="F1193" t="s">
        <v>291</v>
      </c>
      <c r="G1193">
        <v>1</v>
      </c>
      <c r="H1193" t="s">
        <v>28</v>
      </c>
      <c r="I1193">
        <v>15300</v>
      </c>
      <c r="J1193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:12">
      <c r="A1194" t="s">
        <v>172</v>
      </c>
      <c r="B1194" t="s">
        <v>9</v>
      </c>
      <c r="C1194">
        <v>10</v>
      </c>
      <c r="D1194">
        <v>4021</v>
      </c>
      <c r="E1194">
        <v>0</v>
      </c>
      <c r="F1194" t="s">
        <v>288</v>
      </c>
      <c r="G1194">
        <v>1</v>
      </c>
      <c r="H1194" t="s">
        <v>17</v>
      </c>
      <c r="I1194">
        <v>0</v>
      </c>
      <c r="J1194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:12">
      <c r="A1195" t="s">
        <v>178</v>
      </c>
      <c r="B1195" t="s">
        <v>9</v>
      </c>
      <c r="C1195">
        <v>9</v>
      </c>
      <c r="D1195">
        <v>3980</v>
      </c>
      <c r="E1195">
        <v>0</v>
      </c>
      <c r="F1195" t="s">
        <v>291</v>
      </c>
      <c r="G1195">
        <v>1</v>
      </c>
      <c r="H1195" t="s">
        <v>28</v>
      </c>
      <c r="I1195">
        <v>8160</v>
      </c>
      <c r="J1195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:12">
      <c r="A1196" t="s">
        <v>178</v>
      </c>
      <c r="B1196" t="s">
        <v>9</v>
      </c>
      <c r="C1196">
        <v>9</v>
      </c>
      <c r="D1196">
        <v>4393</v>
      </c>
      <c r="E1196">
        <v>0</v>
      </c>
      <c r="F1196" t="s">
        <v>258</v>
      </c>
      <c r="G1196">
        <v>1</v>
      </c>
      <c r="H1196" t="s">
        <v>28</v>
      </c>
      <c r="I1196">
        <v>10200</v>
      </c>
      <c r="J119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:12">
      <c r="A1197" t="s">
        <v>178</v>
      </c>
      <c r="B1197" t="s">
        <v>9</v>
      </c>
      <c r="C1197">
        <v>9</v>
      </c>
      <c r="D1197">
        <v>4309</v>
      </c>
      <c r="E1197">
        <v>1</v>
      </c>
      <c r="F1197" t="s">
        <v>258</v>
      </c>
      <c r="G1197">
        <v>1</v>
      </c>
      <c r="H1197" t="s">
        <v>28</v>
      </c>
      <c r="I1197">
        <v>7650</v>
      </c>
      <c r="J1197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:12">
      <c r="A1198" t="s">
        <v>178</v>
      </c>
      <c r="B1198" t="s">
        <v>9</v>
      </c>
      <c r="C1198">
        <v>9</v>
      </c>
      <c r="D1198">
        <v>4290</v>
      </c>
      <c r="E1198">
        <v>1</v>
      </c>
      <c r="F1198" t="s">
        <v>34</v>
      </c>
      <c r="G1198">
        <v>5</v>
      </c>
      <c r="H1198" t="s">
        <v>17</v>
      </c>
      <c r="I1198">
        <v>0</v>
      </c>
      <c r="J119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4000</v>
      </c>
    </row>
    <row r="1199" spans="1:12">
      <c r="A1199" t="s">
        <v>172</v>
      </c>
      <c r="B1199" t="s">
        <v>9</v>
      </c>
      <c r="C1199">
        <v>10</v>
      </c>
      <c r="D1199">
        <v>4144</v>
      </c>
      <c r="E1199">
        <v>1</v>
      </c>
      <c r="F1199" t="s">
        <v>258</v>
      </c>
      <c r="G1199">
        <v>1</v>
      </c>
      <c r="H1199" t="s">
        <v>28</v>
      </c>
      <c r="I1199">
        <v>5057</v>
      </c>
      <c r="J1199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:12">
      <c r="A1200" t="s">
        <v>172</v>
      </c>
      <c r="B1200" t="s">
        <v>9</v>
      </c>
      <c r="C1200">
        <v>10</v>
      </c>
      <c r="D1200">
        <v>4074</v>
      </c>
      <c r="E1200">
        <v>0</v>
      </c>
      <c r="F1200" t="s">
        <v>34</v>
      </c>
      <c r="G1200">
        <v>4</v>
      </c>
      <c r="H1200" t="s">
        <v>17</v>
      </c>
      <c r="I1200">
        <v>0</v>
      </c>
      <c r="J12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3200</v>
      </c>
    </row>
    <row r="1201" spans="1:12">
      <c r="A1201" t="s">
        <v>172</v>
      </c>
      <c r="B1201" t="s">
        <v>9</v>
      </c>
      <c r="C1201">
        <v>10</v>
      </c>
      <c r="D1201">
        <v>4032</v>
      </c>
      <c r="E1201">
        <v>0</v>
      </c>
      <c r="F1201" t="s">
        <v>34</v>
      </c>
      <c r="G1201">
        <v>4</v>
      </c>
      <c r="H1201" t="s">
        <v>17</v>
      </c>
      <c r="I1201">
        <v>0</v>
      </c>
      <c r="J120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3200</v>
      </c>
    </row>
    <row r="1202" spans="1:12">
      <c r="A1202" t="s">
        <v>172</v>
      </c>
      <c r="B1202" t="s">
        <v>9</v>
      </c>
      <c r="C1202">
        <v>10</v>
      </c>
      <c r="D1202">
        <v>4157</v>
      </c>
      <c r="E1202">
        <v>3</v>
      </c>
      <c r="F1202" t="s">
        <v>258</v>
      </c>
      <c r="G1202">
        <v>1</v>
      </c>
      <c r="H1202" t="s">
        <v>28</v>
      </c>
      <c r="I1202">
        <v>5652</v>
      </c>
      <c r="J1202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:12">
      <c r="A1203" t="s">
        <v>172</v>
      </c>
      <c r="B1203" t="s">
        <v>9</v>
      </c>
      <c r="C1203">
        <v>10</v>
      </c>
      <c r="D1203">
        <v>4353</v>
      </c>
      <c r="E1203">
        <v>1</v>
      </c>
      <c r="F1203" t="s">
        <v>58</v>
      </c>
      <c r="G1203">
        <v>1</v>
      </c>
      <c r="H1203" t="s">
        <v>12</v>
      </c>
      <c r="I1203">
        <v>0</v>
      </c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11500</v>
      </c>
      <c r="L1203" s="43">
        <f>IFERROR(SUMIFS(Tabela10[Exp Gain only 2*+],Tabela10[Drop],DropAnalityka[[#This Row],[Drop]],Tabela10[Grade],DropAnalityka[[#This Row],[Grade]])*DropAnalityka[[#This Row],[Quality/Quantity]],0)</f>
        <v>35822</v>
      </c>
    </row>
    <row r="1204" spans="1:12">
      <c r="A1204" t="s">
        <v>172</v>
      </c>
      <c r="B1204" t="s">
        <v>9</v>
      </c>
      <c r="C1204">
        <v>10</v>
      </c>
      <c r="D1204">
        <v>4047</v>
      </c>
      <c r="E1204">
        <v>1</v>
      </c>
      <c r="F1204" t="s">
        <v>258</v>
      </c>
      <c r="G1204">
        <v>1</v>
      </c>
      <c r="H1204" t="s">
        <v>28</v>
      </c>
      <c r="I1204">
        <v>5100</v>
      </c>
      <c r="J1204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:12">
      <c r="A1205" t="s">
        <v>172</v>
      </c>
      <c r="B1205" t="s">
        <v>9</v>
      </c>
      <c r="C1205">
        <v>10</v>
      </c>
      <c r="D1205">
        <v>3847</v>
      </c>
      <c r="E1205">
        <v>0</v>
      </c>
      <c r="F1205" t="s">
        <v>258</v>
      </c>
      <c r="G1205">
        <v>1</v>
      </c>
      <c r="H1205" t="s">
        <v>27</v>
      </c>
      <c r="I1205">
        <v>5880</v>
      </c>
      <c r="J1205">
        <f>DropAnalityka[[#This Row],[Sell Drop]]+IFERROR(SUMIFS(Tabela10[Drop Worth],Tabela10[Drop],DropAnalityka[[#This Row],[Drop]],Tabela10[Grade],DropAnalityka[[#This Row],[Grade]])*DropAnalityka[[#This Row],[Quality/Quantity]],0)</f>
        <v>5880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:12">
      <c r="A1206" t="s">
        <v>172</v>
      </c>
      <c r="B1206" t="s">
        <v>9</v>
      </c>
      <c r="C1206">
        <v>10</v>
      </c>
      <c r="D1206">
        <v>3857</v>
      </c>
      <c r="E1206">
        <v>2</v>
      </c>
      <c r="F1206" t="s">
        <v>258</v>
      </c>
      <c r="G1206">
        <v>1</v>
      </c>
      <c r="H1206" t="s">
        <v>28</v>
      </c>
      <c r="I1206">
        <v>5100</v>
      </c>
      <c r="J120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:12">
      <c r="A1207" t="s">
        <v>172</v>
      </c>
      <c r="B1207" t="s">
        <v>9</v>
      </c>
      <c r="C1207">
        <v>10</v>
      </c>
      <c r="D1207">
        <v>3902</v>
      </c>
      <c r="E1207">
        <v>0</v>
      </c>
      <c r="F1207" t="s">
        <v>258</v>
      </c>
      <c r="G1207">
        <v>1</v>
      </c>
      <c r="H1207" t="s">
        <v>27</v>
      </c>
      <c r="I1207">
        <v>2756</v>
      </c>
      <c r="J1207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:12">
      <c r="A1208" t="s">
        <v>172</v>
      </c>
      <c r="B1208" t="s">
        <v>9</v>
      </c>
      <c r="C1208">
        <v>10</v>
      </c>
      <c r="D1208">
        <v>3922</v>
      </c>
      <c r="E1208">
        <v>3</v>
      </c>
      <c r="F1208" t="s">
        <v>258</v>
      </c>
      <c r="G1208">
        <v>1</v>
      </c>
      <c r="H1208" t="s">
        <v>28</v>
      </c>
      <c r="I1208">
        <v>7267</v>
      </c>
      <c r="J1208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:12">
      <c r="A1209" t="s">
        <v>172</v>
      </c>
      <c r="B1209" t="s">
        <v>9</v>
      </c>
      <c r="C1209">
        <v>10</v>
      </c>
      <c r="D1209">
        <v>3822</v>
      </c>
      <c r="E1209">
        <v>0</v>
      </c>
      <c r="F1209" t="s">
        <v>258</v>
      </c>
      <c r="G1209">
        <v>1</v>
      </c>
      <c r="H1209" t="s">
        <v>28</v>
      </c>
      <c r="I1209">
        <v>5355</v>
      </c>
      <c r="J1209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:12">
      <c r="A1210" t="s">
        <v>172</v>
      </c>
      <c r="B1210" t="s">
        <v>9</v>
      </c>
      <c r="C1210">
        <v>10</v>
      </c>
      <c r="D1210">
        <v>4255</v>
      </c>
      <c r="E1210">
        <v>3</v>
      </c>
      <c r="F1210" t="s">
        <v>258</v>
      </c>
      <c r="G1210">
        <v>1</v>
      </c>
      <c r="H1210" t="s">
        <v>28</v>
      </c>
      <c r="I1210">
        <v>4760</v>
      </c>
      <c r="J1210">
        <f>DropAnalityka[[#This Row],[Sell Drop]]+IFERROR(SUMIFS(Tabela10[Drop Worth],Tabela10[Drop],DropAnalityka[[#This Row],[Drop]],Tabela10[Grade],DropAnalityka[[#This Row],[Grade]])*DropAnalityka[[#This Row],[Quality/Quantity]],0)</f>
        <v>4760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:12">
      <c r="A1211" t="s">
        <v>172</v>
      </c>
      <c r="B1211" t="s">
        <v>9</v>
      </c>
      <c r="C1211">
        <v>10</v>
      </c>
      <c r="D1211">
        <v>4271</v>
      </c>
      <c r="E1211">
        <v>0</v>
      </c>
      <c r="F1211" t="s">
        <v>258</v>
      </c>
      <c r="G1211">
        <v>1</v>
      </c>
      <c r="H1211" t="s">
        <v>27</v>
      </c>
      <c r="I1211">
        <v>2894</v>
      </c>
      <c r="J1211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:12">
      <c r="A1212" t="s">
        <v>172</v>
      </c>
      <c r="B1212" t="s">
        <v>9</v>
      </c>
      <c r="C1212">
        <v>10</v>
      </c>
      <c r="D1212">
        <v>4220</v>
      </c>
      <c r="E1212">
        <v>0</v>
      </c>
      <c r="F1212" t="s">
        <v>258</v>
      </c>
      <c r="G1212">
        <v>1</v>
      </c>
      <c r="H1212" t="s">
        <v>27</v>
      </c>
      <c r="I1212">
        <v>2756</v>
      </c>
      <c r="J121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:12">
      <c r="A1213" t="s">
        <v>172</v>
      </c>
      <c r="B1213" t="s">
        <v>9</v>
      </c>
      <c r="C1213">
        <v>10</v>
      </c>
      <c r="D1213">
        <v>4125</v>
      </c>
      <c r="E1213">
        <v>3</v>
      </c>
      <c r="F1213" t="s">
        <v>258</v>
      </c>
      <c r="G1213">
        <v>1</v>
      </c>
      <c r="H1213" t="s">
        <v>27</v>
      </c>
      <c r="I1213">
        <v>2480</v>
      </c>
      <c r="J1213">
        <f>DropAnalityka[[#This Row],[Sell Drop]]+IFERROR(SUMIFS(Tabela10[Drop Worth],Tabela10[Drop],DropAnalityka[[#This Row],[Drop]],Tabela10[Grade],DropAnalityka[[#This Row],[Grade]])*DropAnalityka[[#This Row],[Quality/Quantity]],0)</f>
        <v>2480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:12">
      <c r="A1214" t="s">
        <v>172</v>
      </c>
      <c r="B1214" t="s">
        <v>9</v>
      </c>
      <c r="C1214">
        <v>10</v>
      </c>
      <c r="D1214">
        <v>3847</v>
      </c>
      <c r="E1214">
        <v>0</v>
      </c>
      <c r="F1214" t="s">
        <v>58</v>
      </c>
      <c r="G1214">
        <v>1</v>
      </c>
      <c r="H1214" t="s">
        <v>12</v>
      </c>
      <c r="I1214">
        <v>0</v>
      </c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11500</v>
      </c>
      <c r="L1214" s="43">
        <f>IFERROR(SUMIFS(Tabela10[Exp Gain only 2*+],Tabela10[Drop],DropAnalityka[[#This Row],[Drop]],Tabela10[Grade],DropAnalityka[[#This Row],[Grade]])*DropAnalityka[[#This Row],[Quality/Quantity]],0)</f>
        <v>35822</v>
      </c>
    </row>
    <row r="1215" spans="1:12">
      <c r="A1215" t="s">
        <v>172</v>
      </c>
      <c r="B1215" t="s">
        <v>9</v>
      </c>
      <c r="C1215">
        <v>10</v>
      </c>
      <c r="D1215">
        <v>4181</v>
      </c>
      <c r="E1215">
        <v>1</v>
      </c>
      <c r="F1215" t="s">
        <v>258</v>
      </c>
      <c r="G1215">
        <v>1</v>
      </c>
      <c r="H1215" t="s">
        <v>28</v>
      </c>
      <c r="I1215">
        <v>5440</v>
      </c>
      <c r="J1215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:12">
      <c r="A1216" t="s">
        <v>172</v>
      </c>
      <c r="B1216" t="s">
        <v>9</v>
      </c>
      <c r="C1216">
        <v>10</v>
      </c>
      <c r="D1216">
        <v>3847</v>
      </c>
      <c r="E1216">
        <v>0</v>
      </c>
      <c r="F1216" t="s">
        <v>34</v>
      </c>
      <c r="G1216">
        <v>4</v>
      </c>
      <c r="H1216" t="s">
        <v>17</v>
      </c>
      <c r="I1216">
        <v>0</v>
      </c>
      <c r="J121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3200</v>
      </c>
    </row>
    <row r="1217" spans="1:12">
      <c r="A1217" t="s">
        <v>172</v>
      </c>
      <c r="B1217" t="s">
        <v>9</v>
      </c>
      <c r="C1217">
        <v>10</v>
      </c>
      <c r="D1217">
        <v>4162</v>
      </c>
      <c r="E1217">
        <v>2</v>
      </c>
      <c r="F1217" t="s">
        <v>258</v>
      </c>
      <c r="G1217">
        <v>1</v>
      </c>
      <c r="H1217" t="s">
        <v>28</v>
      </c>
      <c r="I1217">
        <v>4335</v>
      </c>
      <c r="J1217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:12">
      <c r="A1218" t="s">
        <v>172</v>
      </c>
      <c r="B1218" t="s">
        <v>9</v>
      </c>
      <c r="C1218">
        <v>10</v>
      </c>
      <c r="D1218">
        <v>3389</v>
      </c>
      <c r="E1218">
        <v>0</v>
      </c>
      <c r="F1218" t="s">
        <v>291</v>
      </c>
      <c r="G1218">
        <v>1</v>
      </c>
      <c r="H1218" t="s">
        <v>28</v>
      </c>
      <c r="I1218">
        <v>6075</v>
      </c>
      <c r="J1218">
        <f>DropAnalityka[[#This Row],[Sell Drop]]+IFERROR(SUMIFS(Tabela10[Drop Worth],Tabela10[Drop],DropAnalityka[[#This Row],[Drop]],Tabela10[Grade],DropAnalityka[[#This Row],[Grade]])*DropAnalityka[[#This Row],[Quality/Quantity]],0)</f>
        <v>6075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:12">
      <c r="A1219" t="s">
        <v>172</v>
      </c>
      <c r="B1219" t="s">
        <v>9</v>
      </c>
      <c r="C1219">
        <v>10</v>
      </c>
      <c r="D1219">
        <v>3666</v>
      </c>
      <c r="E1219">
        <v>1</v>
      </c>
      <c r="F1219" t="s">
        <v>258</v>
      </c>
      <c r="G1219">
        <v>1</v>
      </c>
      <c r="H1219" t="s">
        <v>27</v>
      </c>
      <c r="I1219">
        <v>2756</v>
      </c>
      <c r="J12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:12">
      <c r="A1220" t="s">
        <v>172</v>
      </c>
      <c r="B1220" t="s">
        <v>9</v>
      </c>
      <c r="C1220">
        <v>10</v>
      </c>
      <c r="D1220">
        <v>3605</v>
      </c>
      <c r="E1220">
        <v>1</v>
      </c>
      <c r="F1220" t="s">
        <v>291</v>
      </c>
      <c r="G1220">
        <v>1</v>
      </c>
      <c r="H1220" t="s">
        <v>28</v>
      </c>
      <c r="I1220">
        <v>5737</v>
      </c>
      <c r="J1220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:12">
      <c r="A1221" t="s">
        <v>172</v>
      </c>
      <c r="B1221" t="s">
        <v>9</v>
      </c>
      <c r="C1221">
        <v>10</v>
      </c>
      <c r="D1221">
        <v>3793</v>
      </c>
      <c r="E1221">
        <v>2</v>
      </c>
      <c r="F1221" t="s">
        <v>34</v>
      </c>
      <c r="G1221">
        <v>4</v>
      </c>
      <c r="H1221" t="s">
        <v>17</v>
      </c>
      <c r="I1221">
        <v>0</v>
      </c>
      <c r="J12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3200</v>
      </c>
    </row>
    <row r="1222" spans="1:12">
      <c r="A1222" t="s">
        <v>172</v>
      </c>
      <c r="B1222" t="s">
        <v>9</v>
      </c>
      <c r="C1222">
        <v>10</v>
      </c>
      <c r="D1222">
        <v>4423</v>
      </c>
      <c r="E1222">
        <v>0</v>
      </c>
      <c r="F1222" t="s">
        <v>258</v>
      </c>
      <c r="G1222">
        <v>1</v>
      </c>
      <c r="H1222" t="s">
        <v>28</v>
      </c>
      <c r="I1222">
        <v>8075</v>
      </c>
      <c r="J122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:12">
      <c r="A1223" t="s">
        <v>172</v>
      </c>
      <c r="B1223" t="s">
        <v>9</v>
      </c>
      <c r="C1223">
        <v>10</v>
      </c>
      <c r="D1223">
        <v>4020</v>
      </c>
      <c r="E1223">
        <v>1</v>
      </c>
      <c r="F1223" t="s">
        <v>205</v>
      </c>
      <c r="G1223">
        <v>3</v>
      </c>
      <c r="H1223" t="s">
        <v>26</v>
      </c>
      <c r="I1223">
        <v>0</v>
      </c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2587.5</v>
      </c>
      <c r="L1223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24" spans="1:12">
      <c r="A1224" t="s">
        <v>172</v>
      </c>
      <c r="B1224" t="s">
        <v>9</v>
      </c>
      <c r="C1224">
        <v>10</v>
      </c>
      <c r="D1224">
        <v>3900</v>
      </c>
      <c r="E1224">
        <v>1</v>
      </c>
      <c r="F1224" t="s">
        <v>291</v>
      </c>
      <c r="G1224">
        <v>1</v>
      </c>
      <c r="H1224" t="s">
        <v>27</v>
      </c>
      <c r="I1224">
        <v>3307</v>
      </c>
      <c r="J122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:12">
      <c r="A1225" t="s">
        <v>172</v>
      </c>
      <c r="B1225" t="s">
        <v>9</v>
      </c>
      <c r="C1225">
        <v>10</v>
      </c>
      <c r="D1225">
        <v>4316</v>
      </c>
      <c r="E1225">
        <v>1</v>
      </c>
      <c r="F1225" t="s">
        <v>258</v>
      </c>
      <c r="G1225">
        <v>1</v>
      </c>
      <c r="H1225" t="s">
        <v>28</v>
      </c>
      <c r="I1225">
        <v>14535</v>
      </c>
      <c r="J1225">
        <f>DropAnalityka[[#This Row],[Sell Drop]]+IFERROR(SUMIFS(Tabela10[Drop Worth],Tabela10[Drop],DropAnalityka[[#This Row],[Drop]],Tabela10[Grade],DropAnalityka[[#This Row],[Grade]])*DropAnalityka[[#This Row],[Quality/Quantity]],0)</f>
        <v>14535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:12">
      <c r="A1226" t="s">
        <v>172</v>
      </c>
      <c r="B1226" t="s">
        <v>9</v>
      </c>
      <c r="C1226">
        <v>10</v>
      </c>
      <c r="D1226">
        <v>3854</v>
      </c>
      <c r="E1226">
        <v>0</v>
      </c>
      <c r="F1226" t="s">
        <v>258</v>
      </c>
      <c r="G1226">
        <v>1</v>
      </c>
      <c r="H1226" t="s">
        <v>27</v>
      </c>
      <c r="I1226">
        <v>2940</v>
      </c>
      <c r="J122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:12">
      <c r="A1227" t="s">
        <v>172</v>
      </c>
      <c r="B1227" t="s">
        <v>9</v>
      </c>
      <c r="C1227">
        <v>10</v>
      </c>
      <c r="D1227">
        <v>4559</v>
      </c>
      <c r="E1227">
        <v>1</v>
      </c>
      <c r="F1227" t="s">
        <v>258</v>
      </c>
      <c r="G1227">
        <v>1</v>
      </c>
      <c r="H1227" t="s">
        <v>28</v>
      </c>
      <c r="I1227">
        <v>6120</v>
      </c>
      <c r="J122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:12">
      <c r="A1228" t="s">
        <v>172</v>
      </c>
      <c r="B1228" t="s">
        <v>9</v>
      </c>
      <c r="C1228">
        <v>10</v>
      </c>
      <c r="D1228">
        <v>4127</v>
      </c>
      <c r="E1228">
        <v>1</v>
      </c>
      <c r="F1228" t="s">
        <v>258</v>
      </c>
      <c r="G1228">
        <v>1</v>
      </c>
      <c r="H1228" t="s">
        <v>27</v>
      </c>
      <c r="I1228">
        <v>5512</v>
      </c>
      <c r="J122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:12">
      <c r="A1229" t="s">
        <v>172</v>
      </c>
      <c r="B1229" t="s">
        <v>9</v>
      </c>
      <c r="C1229">
        <v>10</v>
      </c>
      <c r="D1229">
        <v>4449</v>
      </c>
      <c r="E1229">
        <v>1</v>
      </c>
      <c r="F1229" t="s">
        <v>34</v>
      </c>
      <c r="G1229">
        <v>5</v>
      </c>
      <c r="H1229" t="s">
        <v>17</v>
      </c>
      <c r="I1229">
        <v>0</v>
      </c>
      <c r="J122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4000</v>
      </c>
    </row>
    <row r="1230" spans="1:12">
      <c r="A1230" t="s">
        <v>172</v>
      </c>
      <c r="B1230" t="s">
        <v>9</v>
      </c>
      <c r="C1230">
        <v>10</v>
      </c>
      <c r="D1230">
        <v>4660</v>
      </c>
      <c r="E1230">
        <v>3</v>
      </c>
      <c r="F1230" t="s">
        <v>258</v>
      </c>
      <c r="G1230">
        <v>1</v>
      </c>
      <c r="H1230" t="s">
        <v>28</v>
      </c>
      <c r="I1230">
        <v>6120</v>
      </c>
      <c r="J1230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:12">
      <c r="A1231" t="s">
        <v>172</v>
      </c>
      <c r="B1231" t="s">
        <v>9</v>
      </c>
      <c r="C1231">
        <v>10</v>
      </c>
      <c r="D1231">
        <v>4104</v>
      </c>
      <c r="E1231">
        <v>1</v>
      </c>
      <c r="F1231" t="s">
        <v>58</v>
      </c>
      <c r="G1231">
        <v>1</v>
      </c>
      <c r="H1231" t="s">
        <v>26</v>
      </c>
      <c r="I1231">
        <v>0</v>
      </c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34500</v>
      </c>
      <c r="L1231" s="43">
        <f>IFERROR(SUMIFS(Tabela10[Exp Gain only 2*+],Tabela10[Drop],DropAnalityka[[#This Row],[Drop]],Tabela10[Grade],DropAnalityka[[#This Row],[Grade]])*DropAnalityka[[#This Row],[Quality/Quantity]],0)</f>
        <v>118004</v>
      </c>
    </row>
    <row r="1232" spans="1:12">
      <c r="A1232" t="s">
        <v>172</v>
      </c>
      <c r="B1232" t="s">
        <v>9</v>
      </c>
      <c r="C1232">
        <v>10</v>
      </c>
      <c r="D1232">
        <v>4042</v>
      </c>
      <c r="E1232">
        <v>1</v>
      </c>
      <c r="F1232" t="s">
        <v>258</v>
      </c>
      <c r="G1232">
        <v>1</v>
      </c>
      <c r="H1232" t="s">
        <v>27</v>
      </c>
      <c r="I1232">
        <v>6615</v>
      </c>
      <c r="J123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:12">
      <c r="A1233" t="s">
        <v>172</v>
      </c>
      <c r="B1233" t="s">
        <v>9</v>
      </c>
      <c r="C1233">
        <v>10</v>
      </c>
      <c r="D1233">
        <v>3926</v>
      </c>
      <c r="E1233">
        <v>2</v>
      </c>
      <c r="F1233" t="s">
        <v>258</v>
      </c>
      <c r="G1233">
        <v>1</v>
      </c>
      <c r="H1233" t="s">
        <v>28</v>
      </c>
      <c r="I1233">
        <v>6502</v>
      </c>
      <c r="J1233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:12">
      <c r="A1234" t="s">
        <v>172</v>
      </c>
      <c r="B1234" t="s">
        <v>9</v>
      </c>
      <c r="C1234">
        <v>10</v>
      </c>
      <c r="D1234">
        <v>3945</v>
      </c>
      <c r="E1234">
        <v>2</v>
      </c>
      <c r="F1234" t="s">
        <v>34</v>
      </c>
      <c r="G1234">
        <v>4</v>
      </c>
      <c r="H1234" t="s">
        <v>17</v>
      </c>
      <c r="I1234">
        <v>0</v>
      </c>
      <c r="J12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3200</v>
      </c>
    </row>
    <row r="1235" spans="1:12">
      <c r="A1235" t="s">
        <v>172</v>
      </c>
      <c r="B1235" t="s">
        <v>9</v>
      </c>
      <c r="C1235">
        <v>10</v>
      </c>
      <c r="D1235">
        <v>4195</v>
      </c>
      <c r="E1235">
        <v>3</v>
      </c>
      <c r="F1235" t="s">
        <v>205</v>
      </c>
      <c r="G1235">
        <v>3</v>
      </c>
      <c r="H1235" t="s">
        <v>26</v>
      </c>
      <c r="I1235">
        <v>0</v>
      </c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2587.5</v>
      </c>
      <c r="L123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36" spans="1:12">
      <c r="A1236" t="s">
        <v>172</v>
      </c>
      <c r="B1236" t="s">
        <v>9</v>
      </c>
      <c r="C1236">
        <v>10</v>
      </c>
      <c r="D1236">
        <v>4313</v>
      </c>
      <c r="E1236">
        <v>3</v>
      </c>
      <c r="F1236" t="s">
        <v>291</v>
      </c>
      <c r="G1236">
        <v>1</v>
      </c>
      <c r="H1236" t="s">
        <v>27</v>
      </c>
      <c r="I1236">
        <v>4961</v>
      </c>
      <c r="J1236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:12">
      <c r="A1237" t="s">
        <v>172</v>
      </c>
      <c r="B1237" t="s">
        <v>9</v>
      </c>
      <c r="C1237">
        <v>10</v>
      </c>
      <c r="D1237">
        <v>3617</v>
      </c>
      <c r="E1237">
        <v>1</v>
      </c>
      <c r="F1237" t="s">
        <v>258</v>
      </c>
      <c r="G1237">
        <v>1</v>
      </c>
      <c r="H1237" t="s">
        <v>28</v>
      </c>
      <c r="I1237">
        <v>13770</v>
      </c>
      <c r="J1237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:12">
      <c r="A1238" t="s">
        <v>178</v>
      </c>
      <c r="B1238" t="s">
        <v>9</v>
      </c>
      <c r="C1238">
        <v>7</v>
      </c>
      <c r="D1238">
        <v>3713</v>
      </c>
      <c r="E1238">
        <v>1</v>
      </c>
      <c r="F1238" t="s">
        <v>258</v>
      </c>
      <c r="G1238">
        <v>1</v>
      </c>
      <c r="H1238" t="s">
        <v>27</v>
      </c>
      <c r="I1238">
        <v>7350</v>
      </c>
      <c r="J123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:12">
      <c r="A1239" t="s">
        <v>178</v>
      </c>
      <c r="B1239" t="s">
        <v>9</v>
      </c>
      <c r="C1239">
        <v>7</v>
      </c>
      <c r="D1239">
        <v>3997</v>
      </c>
      <c r="E1239">
        <v>1</v>
      </c>
      <c r="F1239" t="s">
        <v>258</v>
      </c>
      <c r="G1239">
        <v>1</v>
      </c>
      <c r="H1239" t="s">
        <v>27</v>
      </c>
      <c r="I1239">
        <v>3445</v>
      </c>
      <c r="J123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:12">
      <c r="A1240" t="s">
        <v>178</v>
      </c>
      <c r="B1240" t="s">
        <v>9</v>
      </c>
      <c r="C1240">
        <v>7</v>
      </c>
      <c r="D1240">
        <v>3898</v>
      </c>
      <c r="E1240">
        <v>0</v>
      </c>
      <c r="F1240" t="s">
        <v>258</v>
      </c>
      <c r="G1240">
        <v>1</v>
      </c>
      <c r="H1240" t="s">
        <v>27</v>
      </c>
      <c r="I1240">
        <v>3491</v>
      </c>
      <c r="J124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:12">
      <c r="A1241" t="s">
        <v>178</v>
      </c>
      <c r="B1241" t="s">
        <v>9</v>
      </c>
      <c r="C1241">
        <v>8</v>
      </c>
      <c r="D1241">
        <v>3967</v>
      </c>
      <c r="E1241">
        <v>1</v>
      </c>
      <c r="F1241" t="s">
        <v>34</v>
      </c>
      <c r="G1241">
        <v>4</v>
      </c>
      <c r="H1241" t="s">
        <v>17</v>
      </c>
      <c r="I1241">
        <v>0</v>
      </c>
      <c r="J12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3200</v>
      </c>
    </row>
    <row r="1242" spans="1:12">
      <c r="A1242" t="s">
        <v>178</v>
      </c>
      <c r="B1242" t="s">
        <v>9</v>
      </c>
      <c r="C1242">
        <v>8</v>
      </c>
      <c r="D1242">
        <v>3757</v>
      </c>
      <c r="E1242">
        <v>0</v>
      </c>
      <c r="F1242" t="s">
        <v>258</v>
      </c>
      <c r="G1242">
        <v>1</v>
      </c>
      <c r="H1242" t="s">
        <v>27</v>
      </c>
      <c r="I1242">
        <v>2940</v>
      </c>
      <c r="J1242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:12">
      <c r="A1243" t="s">
        <v>178</v>
      </c>
      <c r="B1243" t="s">
        <v>9</v>
      </c>
      <c r="C1243">
        <v>8</v>
      </c>
      <c r="D1243">
        <v>3610</v>
      </c>
      <c r="E1243">
        <v>2</v>
      </c>
      <c r="F1243" t="s">
        <v>34</v>
      </c>
      <c r="G1243">
        <v>5</v>
      </c>
      <c r="H1243" t="s">
        <v>17</v>
      </c>
      <c r="J124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4000</v>
      </c>
    </row>
    <row r="1244" spans="1:12">
      <c r="A1244" t="s">
        <v>178</v>
      </c>
      <c r="B1244" t="s">
        <v>9</v>
      </c>
      <c r="C1244">
        <v>8</v>
      </c>
      <c r="D1244">
        <v>4254</v>
      </c>
      <c r="E1244">
        <v>0</v>
      </c>
      <c r="F1244" t="s">
        <v>58</v>
      </c>
      <c r="G1244">
        <v>1</v>
      </c>
      <c r="H1244" t="s">
        <v>12</v>
      </c>
      <c r="I1244">
        <v>0</v>
      </c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11500</v>
      </c>
      <c r="L1244" s="43">
        <f>IFERROR(SUMIFS(Tabela10[Exp Gain only 2*+],Tabela10[Drop],DropAnalityka[[#This Row],[Drop]],Tabela10[Grade],DropAnalityka[[#This Row],[Grade]])*DropAnalityka[[#This Row],[Quality/Quantity]],0)</f>
        <v>35822</v>
      </c>
    </row>
    <row r="1245" spans="1:12">
      <c r="A1245" t="s">
        <v>178</v>
      </c>
      <c r="B1245" t="s">
        <v>9</v>
      </c>
      <c r="C1245">
        <v>8</v>
      </c>
      <c r="D1245">
        <v>3927</v>
      </c>
      <c r="E1245">
        <v>1</v>
      </c>
      <c r="F1245" t="s">
        <v>318</v>
      </c>
      <c r="G1245">
        <v>1</v>
      </c>
      <c r="H1245" t="s">
        <v>28</v>
      </c>
      <c r="I1245">
        <v>16150</v>
      </c>
      <c r="J1245">
        <f>DropAnalityka[[#This Row],[Sell Drop]]+IFERROR(SUMIFS(Tabela10[Drop Worth],Tabela10[Drop],DropAnalityka[[#This Row],[Drop]],Tabela10[Grade],DropAnalityka[[#This Row],[Grade]])*DropAnalityka[[#This Row],[Quality/Quantity]],0)</f>
        <v>16150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:12">
      <c r="A1246" t="s">
        <v>178</v>
      </c>
      <c r="B1246" t="s">
        <v>9</v>
      </c>
      <c r="C1246">
        <v>8</v>
      </c>
      <c r="D1246">
        <v>3878</v>
      </c>
      <c r="E1246">
        <v>0</v>
      </c>
      <c r="F1246" t="s">
        <v>258</v>
      </c>
      <c r="G1246">
        <v>1</v>
      </c>
      <c r="H1246" t="s">
        <v>28</v>
      </c>
      <c r="I1246">
        <v>7225</v>
      </c>
      <c r="J1246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:12">
      <c r="A1247" t="s">
        <v>178</v>
      </c>
      <c r="B1247" t="s">
        <v>9</v>
      </c>
      <c r="C1247">
        <v>8</v>
      </c>
      <c r="D1247">
        <v>3941</v>
      </c>
      <c r="E1247">
        <v>0</v>
      </c>
      <c r="F1247" t="s">
        <v>34</v>
      </c>
      <c r="G1247">
        <v>5</v>
      </c>
      <c r="H1247" t="s">
        <v>17</v>
      </c>
      <c r="I1247">
        <v>0</v>
      </c>
      <c r="J12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4000</v>
      </c>
    </row>
    <row r="1248" spans="1:12">
      <c r="A1248" t="s">
        <v>178</v>
      </c>
      <c r="B1248" t="s">
        <v>9</v>
      </c>
      <c r="C1248">
        <v>8</v>
      </c>
      <c r="D1248">
        <v>4409</v>
      </c>
      <c r="E1248">
        <v>0</v>
      </c>
      <c r="F1248" t="s">
        <v>258</v>
      </c>
      <c r="G1248">
        <v>1</v>
      </c>
      <c r="H1248" t="s">
        <v>27</v>
      </c>
      <c r="I1248">
        <v>4364</v>
      </c>
      <c r="J1248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:12">
      <c r="A1249" t="s">
        <v>178</v>
      </c>
      <c r="B1249" t="s">
        <v>9</v>
      </c>
      <c r="C1249">
        <v>8</v>
      </c>
      <c r="D1249">
        <v>4062</v>
      </c>
      <c r="E1249">
        <v>4</v>
      </c>
      <c r="F1249" t="s">
        <v>34</v>
      </c>
      <c r="G1249">
        <v>5</v>
      </c>
      <c r="H1249" t="s">
        <v>17</v>
      </c>
      <c r="I1249">
        <v>0</v>
      </c>
      <c r="J124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4000</v>
      </c>
    </row>
    <row r="1250" spans="1:12">
      <c r="A1250" t="s">
        <v>178</v>
      </c>
      <c r="B1250" t="s">
        <v>9</v>
      </c>
      <c r="C1250">
        <v>8</v>
      </c>
      <c r="D1250">
        <v>3764</v>
      </c>
      <c r="E1250">
        <v>0</v>
      </c>
      <c r="F1250" t="s">
        <v>258</v>
      </c>
      <c r="G1250">
        <v>1</v>
      </c>
      <c r="H1250" t="s">
        <v>28</v>
      </c>
      <c r="I1250">
        <v>12920</v>
      </c>
      <c r="J1250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:12">
      <c r="A1251" t="s">
        <v>178</v>
      </c>
      <c r="B1251" t="s">
        <v>9</v>
      </c>
      <c r="C1251">
        <v>8</v>
      </c>
      <c r="D1251">
        <v>3972</v>
      </c>
      <c r="E1251">
        <v>3</v>
      </c>
      <c r="F1251" t="s">
        <v>258</v>
      </c>
      <c r="G1251">
        <v>1</v>
      </c>
      <c r="H1251" t="s">
        <v>28</v>
      </c>
      <c r="I1251">
        <v>12920</v>
      </c>
      <c r="J1251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:12">
      <c r="A1252" t="s">
        <v>178</v>
      </c>
      <c r="B1252" t="s">
        <v>9</v>
      </c>
      <c r="C1252">
        <v>8</v>
      </c>
      <c r="D1252">
        <v>3793</v>
      </c>
      <c r="E1252">
        <v>1</v>
      </c>
      <c r="F1252" t="s">
        <v>258</v>
      </c>
      <c r="G1252">
        <v>1</v>
      </c>
      <c r="H1252" t="s">
        <v>27</v>
      </c>
      <c r="I1252">
        <v>6615</v>
      </c>
      <c r="J125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:12">
      <c r="A1253" t="s">
        <v>178</v>
      </c>
      <c r="B1253" t="s">
        <v>9</v>
      </c>
      <c r="C1253">
        <v>8</v>
      </c>
      <c r="D1253">
        <v>3869</v>
      </c>
      <c r="E1253">
        <v>0</v>
      </c>
      <c r="F1253" t="s">
        <v>34</v>
      </c>
      <c r="G1253">
        <v>4</v>
      </c>
      <c r="H1253" t="s">
        <v>17</v>
      </c>
      <c r="I1253">
        <v>0</v>
      </c>
      <c r="J12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3200</v>
      </c>
    </row>
    <row r="1254" spans="1:12">
      <c r="A1254" t="s">
        <v>178</v>
      </c>
      <c r="B1254" t="s">
        <v>9</v>
      </c>
      <c r="C1254">
        <v>8</v>
      </c>
      <c r="D1254">
        <v>3629</v>
      </c>
      <c r="E1254">
        <v>0</v>
      </c>
      <c r="F1254" t="s">
        <v>291</v>
      </c>
      <c r="G1254">
        <v>1</v>
      </c>
      <c r="H1254" t="s">
        <v>27</v>
      </c>
      <c r="I1254">
        <v>4134</v>
      </c>
      <c r="J125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:12">
      <c r="A1255" t="s">
        <v>172</v>
      </c>
      <c r="B1255" t="s">
        <v>9</v>
      </c>
      <c r="C1255">
        <v>10</v>
      </c>
      <c r="D1255">
        <v>4330</v>
      </c>
      <c r="E1255">
        <v>2</v>
      </c>
      <c r="F1255" t="s">
        <v>258</v>
      </c>
      <c r="G1255">
        <v>1</v>
      </c>
      <c r="H1255" t="s">
        <v>28</v>
      </c>
      <c r="I1255">
        <v>8500</v>
      </c>
      <c r="J125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:12">
      <c r="A1256" t="s">
        <v>172</v>
      </c>
      <c r="B1256" t="s">
        <v>9</v>
      </c>
      <c r="C1256">
        <v>10</v>
      </c>
      <c r="D1256">
        <v>3405</v>
      </c>
      <c r="E1256">
        <v>2</v>
      </c>
      <c r="F1256" t="s">
        <v>258</v>
      </c>
      <c r="G1256">
        <v>1</v>
      </c>
      <c r="H1256" t="s">
        <v>27</v>
      </c>
      <c r="I1256">
        <v>4134</v>
      </c>
      <c r="J125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:12">
      <c r="A1257" t="s">
        <v>172</v>
      </c>
      <c r="B1257" t="s">
        <v>9</v>
      </c>
      <c r="C1257">
        <v>10</v>
      </c>
      <c r="D1257">
        <v>4212</v>
      </c>
      <c r="E1257">
        <v>0</v>
      </c>
      <c r="F1257" t="s">
        <v>318</v>
      </c>
      <c r="G1257">
        <v>1</v>
      </c>
      <c r="H1257" t="s">
        <v>27</v>
      </c>
      <c r="I1257">
        <v>12154</v>
      </c>
      <c r="J1257">
        <f>DropAnalityka[[#This Row],[Sell Drop]]+IFERROR(SUMIFS(Tabela10[Drop Worth],Tabela10[Drop],DropAnalityka[[#This Row],[Drop]],Tabela10[Grade],DropAnalityka[[#This Row],[Grade]])*DropAnalityka[[#This Row],[Quality/Quantity]],0)</f>
        <v>12154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:12">
      <c r="A1258" t="s">
        <v>172</v>
      </c>
      <c r="B1258" t="s">
        <v>9</v>
      </c>
      <c r="C1258">
        <v>10</v>
      </c>
      <c r="D1258">
        <v>3954</v>
      </c>
      <c r="E1258">
        <v>1</v>
      </c>
      <c r="F1258" t="s">
        <v>258</v>
      </c>
      <c r="G1258">
        <v>1</v>
      </c>
      <c r="H1258" t="s">
        <v>28</v>
      </c>
      <c r="I1258">
        <v>8524</v>
      </c>
      <c r="J1258">
        <f>DropAnalityka[[#This Row],[Sell Drop]]+IFERROR(SUMIFS(Tabela10[Drop Worth],Tabela10[Drop],DropAnalityka[[#This Row],[Drop]],Tabela10[Grade],DropAnalityka[[#This Row],[Grade]])*DropAnalityka[[#This Row],[Quality/Quantity]],0)</f>
        <v>8524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:12">
      <c r="A1259" t="s">
        <v>172</v>
      </c>
      <c r="B1259" t="s">
        <v>9</v>
      </c>
      <c r="C1259">
        <v>10</v>
      </c>
      <c r="D1259">
        <v>4287</v>
      </c>
      <c r="E1259">
        <v>0</v>
      </c>
      <c r="F1259" t="s">
        <v>291</v>
      </c>
      <c r="G1259">
        <v>1</v>
      </c>
      <c r="H1259" t="s">
        <v>27</v>
      </c>
      <c r="I1259">
        <v>5512</v>
      </c>
      <c r="J1259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:12">
      <c r="A1260" t="s">
        <v>172</v>
      </c>
      <c r="B1260" t="s">
        <v>9</v>
      </c>
      <c r="C1260">
        <v>10</v>
      </c>
      <c r="D1260">
        <v>4017</v>
      </c>
      <c r="E1260">
        <v>0</v>
      </c>
      <c r="F1260" t="s">
        <v>291</v>
      </c>
      <c r="G1260">
        <v>1</v>
      </c>
      <c r="H1260" t="s">
        <v>28</v>
      </c>
      <c r="I1260">
        <v>8160</v>
      </c>
      <c r="J1260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:12">
      <c r="A1261" t="s">
        <v>178</v>
      </c>
      <c r="B1261" t="s">
        <v>9</v>
      </c>
      <c r="C1261">
        <v>8</v>
      </c>
      <c r="D1261">
        <v>3963</v>
      </c>
      <c r="E1261">
        <v>4</v>
      </c>
      <c r="F1261" t="s">
        <v>258</v>
      </c>
      <c r="G1261">
        <v>1</v>
      </c>
      <c r="H1261" t="s">
        <v>28</v>
      </c>
      <c r="I1261">
        <v>6375</v>
      </c>
      <c r="J1261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:12">
      <c r="A1262" t="s">
        <v>178</v>
      </c>
      <c r="B1262" t="s">
        <v>9</v>
      </c>
      <c r="C1262">
        <v>8</v>
      </c>
      <c r="D1262">
        <v>3833</v>
      </c>
      <c r="E1262">
        <v>0</v>
      </c>
      <c r="F1262" t="s">
        <v>34</v>
      </c>
      <c r="G1262">
        <v>4</v>
      </c>
      <c r="H1262" t="s">
        <v>17</v>
      </c>
      <c r="I1262">
        <v>0</v>
      </c>
      <c r="J126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3200</v>
      </c>
    </row>
    <row r="1263" spans="1:12">
      <c r="A1263" t="s">
        <v>178</v>
      </c>
      <c r="B1263" t="s">
        <v>9</v>
      </c>
      <c r="C1263">
        <v>8</v>
      </c>
      <c r="D1263">
        <v>3798</v>
      </c>
      <c r="E1263">
        <v>0</v>
      </c>
      <c r="F1263" t="s">
        <v>258</v>
      </c>
      <c r="G1263">
        <v>1</v>
      </c>
      <c r="H1263" t="s">
        <v>27</v>
      </c>
      <c r="I1263">
        <v>4134</v>
      </c>
      <c r="J126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:12">
      <c r="A1264" t="s">
        <v>178</v>
      </c>
      <c r="B1264" t="s">
        <v>9</v>
      </c>
      <c r="C1264">
        <v>8</v>
      </c>
      <c r="D1264">
        <v>3703</v>
      </c>
      <c r="E1264">
        <v>0</v>
      </c>
      <c r="F1264" t="s">
        <v>258</v>
      </c>
      <c r="G1264">
        <v>1</v>
      </c>
      <c r="H1264" t="s">
        <v>27</v>
      </c>
      <c r="I1264">
        <v>3123</v>
      </c>
      <c r="J1264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:12">
      <c r="A1265" t="s">
        <v>172</v>
      </c>
      <c r="B1265" t="s">
        <v>9</v>
      </c>
      <c r="C1265">
        <v>10</v>
      </c>
      <c r="D1265">
        <v>4015</v>
      </c>
      <c r="E1265">
        <v>3</v>
      </c>
      <c r="F1265" t="s">
        <v>34</v>
      </c>
      <c r="G1265">
        <v>5</v>
      </c>
      <c r="H1265" t="s">
        <v>17</v>
      </c>
      <c r="I1265">
        <v>0</v>
      </c>
      <c r="J126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4000</v>
      </c>
    </row>
    <row r="1266" spans="1:12">
      <c r="A1266" t="s">
        <v>172</v>
      </c>
      <c r="B1266" t="s">
        <v>9</v>
      </c>
      <c r="C1266">
        <v>10</v>
      </c>
      <c r="D1266">
        <v>3736</v>
      </c>
      <c r="E1266">
        <v>0</v>
      </c>
      <c r="F1266" t="s">
        <v>258</v>
      </c>
      <c r="G1266">
        <v>1</v>
      </c>
      <c r="H1266" t="s">
        <v>28</v>
      </c>
      <c r="I1266">
        <v>5100</v>
      </c>
      <c r="J126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:12">
      <c r="A1267" t="s">
        <v>172</v>
      </c>
      <c r="B1267" t="s">
        <v>9</v>
      </c>
      <c r="C1267">
        <v>10</v>
      </c>
      <c r="D1267">
        <v>3629</v>
      </c>
      <c r="E1267">
        <v>0</v>
      </c>
      <c r="F1267" t="s">
        <v>291</v>
      </c>
      <c r="G1267">
        <v>1</v>
      </c>
      <c r="H1267" t="s">
        <v>28</v>
      </c>
      <c r="I1267">
        <v>8160</v>
      </c>
      <c r="J1267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:12">
      <c r="A1268" t="s">
        <v>172</v>
      </c>
      <c r="B1268" t="s">
        <v>9</v>
      </c>
      <c r="C1268">
        <v>10</v>
      </c>
      <c r="D1268">
        <v>4069</v>
      </c>
      <c r="E1268">
        <v>0</v>
      </c>
      <c r="F1268" t="s">
        <v>258</v>
      </c>
      <c r="G1268">
        <v>1</v>
      </c>
      <c r="H1268" t="s">
        <v>28</v>
      </c>
      <c r="I1268">
        <v>8500</v>
      </c>
      <c r="J1268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:12">
      <c r="A1269" t="s">
        <v>172</v>
      </c>
      <c r="B1269" t="s">
        <v>9</v>
      </c>
      <c r="C1269">
        <v>10</v>
      </c>
      <c r="D1269">
        <v>3900</v>
      </c>
      <c r="E1269">
        <v>1</v>
      </c>
      <c r="F1269" t="s">
        <v>258</v>
      </c>
      <c r="G1269">
        <v>1</v>
      </c>
      <c r="H1269" t="s">
        <v>27</v>
      </c>
      <c r="I1269">
        <v>2411</v>
      </c>
      <c r="J126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:12">
      <c r="A1270" t="s">
        <v>172</v>
      </c>
      <c r="B1270" t="s">
        <v>9</v>
      </c>
      <c r="C1270">
        <v>10</v>
      </c>
      <c r="D1270">
        <v>3744</v>
      </c>
      <c r="E1270">
        <v>0</v>
      </c>
      <c r="F1270" t="s">
        <v>258</v>
      </c>
      <c r="G1270">
        <v>1</v>
      </c>
      <c r="H1270" t="s">
        <v>27</v>
      </c>
      <c r="I1270">
        <v>3215</v>
      </c>
      <c r="J1270">
        <f>DropAnalityka[[#This Row],[Sell Drop]]+IFERROR(SUMIFS(Tabela10[Drop Worth],Tabela10[Drop],DropAnalityka[[#This Row],[Drop]],Tabela10[Grade],DropAnalityka[[#This Row],[Grade]])*DropAnalityka[[#This Row],[Quality/Quantity]],0)</f>
        <v>3215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:12">
      <c r="A1271" t="s">
        <v>172</v>
      </c>
      <c r="B1271" t="s">
        <v>9</v>
      </c>
      <c r="C1271">
        <v>10</v>
      </c>
      <c r="D1271">
        <v>4648</v>
      </c>
      <c r="E1271">
        <v>1</v>
      </c>
      <c r="F1271" t="s">
        <v>58</v>
      </c>
      <c r="G1271">
        <v>1</v>
      </c>
      <c r="H1271" t="s">
        <v>12</v>
      </c>
      <c r="I1271">
        <v>0</v>
      </c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11500</v>
      </c>
      <c r="L1271" s="43">
        <f>IFERROR(SUMIFS(Tabela10[Exp Gain only 2*+],Tabela10[Drop],DropAnalityka[[#This Row],[Drop]],Tabela10[Grade],DropAnalityka[[#This Row],[Grade]])*DropAnalityka[[#This Row],[Quality/Quantity]],0)</f>
        <v>35822</v>
      </c>
    </row>
    <row r="1272" spans="1:12">
      <c r="A1272" t="s">
        <v>172</v>
      </c>
      <c r="B1272" t="s">
        <v>9</v>
      </c>
      <c r="C1272">
        <v>10</v>
      </c>
      <c r="D1272">
        <v>4164</v>
      </c>
      <c r="E1272">
        <v>0</v>
      </c>
      <c r="F1272" t="s">
        <v>34</v>
      </c>
      <c r="G1272">
        <v>5</v>
      </c>
      <c r="H1272" t="s">
        <v>17</v>
      </c>
      <c r="I1272">
        <v>0</v>
      </c>
      <c r="J127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4000</v>
      </c>
    </row>
    <row r="1273" spans="1:12">
      <c r="A1273" t="s">
        <v>172</v>
      </c>
      <c r="B1273" t="s">
        <v>9</v>
      </c>
      <c r="C1273">
        <v>10</v>
      </c>
      <c r="D1273">
        <v>3725</v>
      </c>
      <c r="E1273">
        <v>0</v>
      </c>
      <c r="F1273" t="s">
        <v>258</v>
      </c>
      <c r="G1273">
        <v>1</v>
      </c>
      <c r="H1273" t="s">
        <v>29</v>
      </c>
      <c r="I1273">
        <v>8876</v>
      </c>
      <c r="J1273">
        <f>DropAnalityka[[#This Row],[Sell Drop]]+IFERROR(SUMIFS(Tabela10[Drop Worth],Tabela10[Drop],DropAnalityka[[#This Row],[Drop]],Tabela10[Grade],DropAnalityka[[#This Row],[Grade]])*DropAnalityka[[#This Row],[Quality/Quantity]],0)</f>
        <v>8876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:12">
      <c r="A1274" t="s">
        <v>172</v>
      </c>
      <c r="B1274" t="s">
        <v>9</v>
      </c>
      <c r="C1274">
        <v>10</v>
      </c>
      <c r="D1274">
        <v>4116</v>
      </c>
      <c r="E1274">
        <v>1</v>
      </c>
      <c r="F1274" t="s">
        <v>258</v>
      </c>
      <c r="G1274">
        <v>1</v>
      </c>
      <c r="H1274" t="s">
        <v>27</v>
      </c>
      <c r="I1274">
        <v>2940</v>
      </c>
      <c r="J127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:12">
      <c r="A1275" t="s">
        <v>172</v>
      </c>
      <c r="B1275" t="s">
        <v>9</v>
      </c>
      <c r="C1275">
        <v>10</v>
      </c>
      <c r="D1275">
        <v>3438</v>
      </c>
      <c r="E1275">
        <v>0</v>
      </c>
      <c r="F1275" t="s">
        <v>258</v>
      </c>
      <c r="G1275">
        <v>1</v>
      </c>
      <c r="H1275" t="s">
        <v>28</v>
      </c>
      <c r="I1275">
        <v>3825</v>
      </c>
      <c r="J1275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:12">
      <c r="A1276" t="s">
        <v>172</v>
      </c>
      <c r="B1276" t="s">
        <v>9</v>
      </c>
      <c r="C1276">
        <v>10</v>
      </c>
      <c r="D1276">
        <v>4013</v>
      </c>
      <c r="E1276">
        <v>0</v>
      </c>
      <c r="F1276" t="s">
        <v>258</v>
      </c>
      <c r="G1276">
        <v>1</v>
      </c>
      <c r="H1276" t="s">
        <v>29</v>
      </c>
      <c r="I1276">
        <v>8321</v>
      </c>
      <c r="J1276">
        <f>DropAnalityka[[#This Row],[Sell Drop]]+IFERROR(SUMIFS(Tabela10[Drop Worth],Tabela10[Drop],DropAnalityka[[#This Row],[Drop]],Tabela10[Grade],DropAnalityka[[#This Row],[Grade]])*DropAnalityka[[#This Row],[Quality/Quantity]],0)</f>
        <v>8321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:12">
      <c r="A1277" t="s">
        <v>172</v>
      </c>
      <c r="B1277" t="s">
        <v>9</v>
      </c>
      <c r="C1277">
        <v>10</v>
      </c>
      <c r="D1277">
        <v>4287</v>
      </c>
      <c r="E1277">
        <v>1</v>
      </c>
      <c r="F1277" t="s">
        <v>318</v>
      </c>
      <c r="G1277">
        <v>1</v>
      </c>
      <c r="H1277" t="s">
        <v>27</v>
      </c>
      <c r="I1277">
        <v>5971</v>
      </c>
      <c r="J1277">
        <f>DropAnalityka[[#This Row],[Sell Drop]]+IFERROR(SUMIFS(Tabela10[Drop Worth],Tabela10[Drop],DropAnalityka[[#This Row],[Drop]],Tabela10[Grade],DropAnalityka[[#This Row],[Grade]])*DropAnalityka[[#This Row],[Quality/Quantity]],0)</f>
        <v>5971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:12">
      <c r="A1278" t="s">
        <v>172</v>
      </c>
      <c r="B1278" t="s">
        <v>9</v>
      </c>
      <c r="C1278">
        <v>10</v>
      </c>
      <c r="D1278">
        <v>3423</v>
      </c>
      <c r="E1278">
        <v>0</v>
      </c>
      <c r="F1278" t="s">
        <v>258</v>
      </c>
      <c r="G1278">
        <v>1</v>
      </c>
      <c r="H1278" t="s">
        <v>28</v>
      </c>
      <c r="I1278">
        <v>6502</v>
      </c>
      <c r="J127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:12">
      <c r="A1279" t="s">
        <v>172</v>
      </c>
      <c r="B1279" t="s">
        <v>9</v>
      </c>
      <c r="C1279">
        <v>10</v>
      </c>
      <c r="D1279">
        <v>3869</v>
      </c>
      <c r="E1279">
        <v>0</v>
      </c>
      <c r="F1279" t="s">
        <v>258</v>
      </c>
      <c r="G1279">
        <v>1</v>
      </c>
      <c r="H1279" t="s">
        <v>28</v>
      </c>
      <c r="I1279">
        <v>10880</v>
      </c>
      <c r="J127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:12">
      <c r="A1280" t="s">
        <v>172</v>
      </c>
      <c r="B1280" t="s">
        <v>9</v>
      </c>
      <c r="C1280">
        <v>10</v>
      </c>
      <c r="D1280">
        <v>4067</v>
      </c>
      <c r="E1280">
        <v>1</v>
      </c>
      <c r="F1280" t="s">
        <v>291</v>
      </c>
      <c r="G1280">
        <v>1</v>
      </c>
      <c r="H1280" t="s">
        <v>28</v>
      </c>
      <c r="I1280">
        <v>7267</v>
      </c>
      <c r="J1280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:13">
      <c r="A1281" t="s">
        <v>172</v>
      </c>
      <c r="B1281" t="s">
        <v>9</v>
      </c>
      <c r="C1281">
        <v>10</v>
      </c>
      <c r="D1281">
        <v>4317</v>
      </c>
      <c r="E1281">
        <v>1</v>
      </c>
      <c r="F1281" t="s">
        <v>258</v>
      </c>
      <c r="G1281">
        <v>1</v>
      </c>
      <c r="H1281" t="s">
        <v>27</v>
      </c>
      <c r="I1281">
        <v>2067</v>
      </c>
      <c r="J128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:13">
      <c r="A1282" t="s">
        <v>172</v>
      </c>
      <c r="B1282" t="s">
        <v>9</v>
      </c>
      <c r="C1282">
        <v>10</v>
      </c>
      <c r="D1282">
        <v>3502</v>
      </c>
      <c r="E1282">
        <v>1</v>
      </c>
      <c r="F1282" t="s">
        <v>258</v>
      </c>
      <c r="G1282">
        <v>1</v>
      </c>
      <c r="H1282" t="s">
        <v>27</v>
      </c>
      <c r="I1282">
        <v>2411</v>
      </c>
      <c r="J128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:13">
      <c r="A1283" t="s">
        <v>172</v>
      </c>
      <c r="B1283" t="s">
        <v>9</v>
      </c>
      <c r="C1283">
        <v>10</v>
      </c>
      <c r="D1283">
        <v>4182</v>
      </c>
      <c r="E1283">
        <v>0</v>
      </c>
      <c r="F1283" t="s">
        <v>34</v>
      </c>
      <c r="G1283">
        <v>4</v>
      </c>
      <c r="H1283" t="s">
        <v>17</v>
      </c>
      <c r="I1283">
        <v>0</v>
      </c>
      <c r="J128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3200</v>
      </c>
    </row>
    <row r="1284" spans="1:13">
      <c r="A1284" t="s">
        <v>172</v>
      </c>
      <c r="B1284" t="s">
        <v>9</v>
      </c>
      <c r="C1284">
        <v>10</v>
      </c>
      <c r="D1284">
        <v>3429</v>
      </c>
      <c r="E1284">
        <v>0</v>
      </c>
      <c r="F1284" t="s">
        <v>258</v>
      </c>
      <c r="G1284">
        <v>1</v>
      </c>
      <c r="H1284" t="s">
        <v>28</v>
      </c>
      <c r="I1284">
        <v>10880</v>
      </c>
      <c r="J1284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:13">
      <c r="A1285" t="s">
        <v>172</v>
      </c>
      <c r="B1285" t="s">
        <v>9</v>
      </c>
      <c r="C1285">
        <v>10</v>
      </c>
      <c r="D1285">
        <v>4311</v>
      </c>
      <c r="E1285">
        <v>1</v>
      </c>
      <c r="F1285" t="s">
        <v>258</v>
      </c>
      <c r="G1285">
        <v>1</v>
      </c>
      <c r="H1285" t="s">
        <v>28</v>
      </c>
      <c r="I1285">
        <v>8075</v>
      </c>
      <c r="J128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:13">
      <c r="A1286" t="s">
        <v>172</v>
      </c>
      <c r="B1286" t="s">
        <v>9</v>
      </c>
      <c r="C1286">
        <v>10</v>
      </c>
      <c r="D1286">
        <v>3883</v>
      </c>
      <c r="E1286">
        <v>0</v>
      </c>
      <c r="F1286" t="s">
        <v>291</v>
      </c>
      <c r="G1286">
        <v>1</v>
      </c>
      <c r="H1286" t="s">
        <v>28</v>
      </c>
      <c r="I1286">
        <v>6885</v>
      </c>
      <c r="J1286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:13">
      <c r="A1287" t="s">
        <v>172</v>
      </c>
      <c r="B1287" t="s">
        <v>9</v>
      </c>
      <c r="C1287">
        <v>10</v>
      </c>
      <c r="D1287">
        <v>961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  <c r="M1287" t="s">
        <v>204</v>
      </c>
    </row>
    <row r="1288" spans="1:13">
      <c r="A1288" t="s">
        <v>172</v>
      </c>
      <c r="B1288" t="s">
        <v>9</v>
      </c>
      <c r="C1288">
        <v>10</v>
      </c>
      <c r="D1288">
        <v>4397</v>
      </c>
      <c r="E1288">
        <v>3</v>
      </c>
      <c r="F1288" t="s">
        <v>258</v>
      </c>
      <c r="G1288">
        <v>1</v>
      </c>
      <c r="H1288" t="s">
        <v>27</v>
      </c>
      <c r="I1288">
        <v>3514</v>
      </c>
      <c r="J1288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:13">
      <c r="A1289" t="s">
        <v>172</v>
      </c>
      <c r="B1289" t="s">
        <v>9</v>
      </c>
      <c r="C1289">
        <v>10</v>
      </c>
      <c r="D1289">
        <v>3818</v>
      </c>
      <c r="E1289">
        <v>2</v>
      </c>
      <c r="F1289" t="s">
        <v>258</v>
      </c>
      <c r="G1289">
        <v>1</v>
      </c>
      <c r="H1289" t="s">
        <v>27</v>
      </c>
      <c r="I1289">
        <v>3675</v>
      </c>
      <c r="J1289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:13">
      <c r="A1290" t="s">
        <v>172</v>
      </c>
      <c r="B1290" t="s">
        <v>9</v>
      </c>
      <c r="C1290">
        <v>10</v>
      </c>
      <c r="D1290">
        <v>4006</v>
      </c>
      <c r="E1290">
        <v>2</v>
      </c>
      <c r="F1290" t="s">
        <v>258</v>
      </c>
      <c r="G1290">
        <v>1</v>
      </c>
      <c r="H1290" t="s">
        <v>29</v>
      </c>
      <c r="I1290">
        <v>12680</v>
      </c>
      <c r="J1290">
        <f>DropAnalityka[[#This Row],[Sell Drop]]+IFERROR(SUMIFS(Tabela10[Drop Worth],Tabela10[Drop],DropAnalityka[[#This Row],[Drop]],Tabela10[Grade],DropAnalityka[[#This Row],[Grade]])*DropAnalityka[[#This Row],[Quality/Quantity]],0)</f>
        <v>12680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:13">
      <c r="A1291" t="s">
        <v>172</v>
      </c>
      <c r="B1291" t="s">
        <v>9</v>
      </c>
      <c r="C1291">
        <v>10</v>
      </c>
      <c r="D1291">
        <v>4249</v>
      </c>
      <c r="E1291">
        <v>2</v>
      </c>
      <c r="F1291" t="s">
        <v>258</v>
      </c>
      <c r="G1291">
        <v>1</v>
      </c>
      <c r="H1291" t="s">
        <v>28</v>
      </c>
      <c r="I1291">
        <v>6120</v>
      </c>
      <c r="J1291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:13">
      <c r="A1292" t="s">
        <v>172</v>
      </c>
      <c r="B1292" t="s">
        <v>9</v>
      </c>
      <c r="C1292">
        <v>10</v>
      </c>
      <c r="D1292">
        <v>3495</v>
      </c>
      <c r="E1292">
        <v>1</v>
      </c>
      <c r="F1292" t="s">
        <v>258</v>
      </c>
      <c r="G1292">
        <v>1</v>
      </c>
      <c r="H1292" t="s">
        <v>28</v>
      </c>
      <c r="I1292">
        <v>3825</v>
      </c>
      <c r="J1292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:13">
      <c r="A1293" t="s">
        <v>172</v>
      </c>
      <c r="B1293" t="s">
        <v>9</v>
      </c>
      <c r="C1293">
        <v>10</v>
      </c>
      <c r="D1293">
        <v>4286</v>
      </c>
      <c r="E1293">
        <v>1</v>
      </c>
      <c r="F1293" t="s">
        <v>258</v>
      </c>
      <c r="G1293">
        <v>1</v>
      </c>
      <c r="H1293" t="s">
        <v>28</v>
      </c>
      <c r="I1293">
        <v>4335</v>
      </c>
      <c r="J1293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:13">
      <c r="A1294" t="s">
        <v>172</v>
      </c>
      <c r="B1294" t="s">
        <v>9</v>
      </c>
      <c r="C1294">
        <v>10</v>
      </c>
      <c r="D1294">
        <v>4231</v>
      </c>
      <c r="E1294">
        <v>0</v>
      </c>
      <c r="F1294" t="s">
        <v>258</v>
      </c>
      <c r="G1294">
        <v>1</v>
      </c>
      <c r="H1294" t="s">
        <v>27</v>
      </c>
      <c r="I1294">
        <v>6892</v>
      </c>
      <c r="J1294">
        <f>DropAnalityka[[#This Row],[Sell Drop]]+IFERROR(SUMIFS(Tabela10[Drop Worth],Tabela10[Drop],DropAnalityka[[#This Row],[Drop]],Tabela10[Grade],DropAnalityka[[#This Row],[Grade]])*DropAnalityka[[#This Row],[Quality/Quantity]],0)</f>
        <v>6892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:13">
      <c r="A1295" t="s">
        <v>172</v>
      </c>
      <c r="B1295" t="s">
        <v>9</v>
      </c>
      <c r="C1295">
        <v>10</v>
      </c>
      <c r="D1295">
        <v>4019</v>
      </c>
      <c r="E1295">
        <v>0</v>
      </c>
      <c r="F1295" t="s">
        <v>258</v>
      </c>
      <c r="G1295">
        <v>1</v>
      </c>
      <c r="H1295" t="s">
        <v>27</v>
      </c>
      <c r="I1295">
        <v>2756</v>
      </c>
      <c r="J129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:13">
      <c r="A1296" t="s">
        <v>172</v>
      </c>
      <c r="B1296" t="s">
        <v>9</v>
      </c>
      <c r="C1296">
        <v>10</v>
      </c>
      <c r="D1296">
        <v>4094</v>
      </c>
      <c r="E1296">
        <v>3</v>
      </c>
      <c r="F1296" t="s">
        <v>34</v>
      </c>
      <c r="G1296">
        <v>5</v>
      </c>
      <c r="H1296" t="s">
        <v>17</v>
      </c>
      <c r="I1296">
        <v>0</v>
      </c>
      <c r="J12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4000</v>
      </c>
    </row>
    <row r="1297" spans="1:12">
      <c r="A1297" t="s">
        <v>172</v>
      </c>
      <c r="B1297" t="s">
        <v>9</v>
      </c>
      <c r="C1297">
        <v>10</v>
      </c>
      <c r="D1297">
        <v>4074</v>
      </c>
      <c r="E1297">
        <v>1</v>
      </c>
      <c r="F1297" t="s">
        <v>291</v>
      </c>
      <c r="G1297">
        <v>1</v>
      </c>
      <c r="H1297" t="s">
        <v>27</v>
      </c>
      <c r="I1297">
        <v>2940</v>
      </c>
      <c r="J1297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:12">
      <c r="A1298" t="s">
        <v>172</v>
      </c>
      <c r="B1298" t="s">
        <v>9</v>
      </c>
      <c r="C1298">
        <v>10</v>
      </c>
      <c r="D1298">
        <v>4218</v>
      </c>
      <c r="E1298">
        <v>2</v>
      </c>
      <c r="F1298" t="s">
        <v>258</v>
      </c>
      <c r="G1298">
        <v>1</v>
      </c>
      <c r="H1298" t="s">
        <v>29</v>
      </c>
      <c r="I1298">
        <v>22824</v>
      </c>
      <c r="J1298">
        <f>DropAnalityka[[#This Row],[Sell Drop]]+IFERROR(SUMIFS(Tabela10[Drop Worth],Tabela10[Drop],DropAnalityka[[#This Row],[Drop]],Tabela10[Grade],DropAnalityka[[#This Row],[Grade]])*DropAnalityka[[#This Row],[Quality/Quantity]],0)</f>
        <v>22824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:12">
      <c r="A1299" t="s">
        <v>172</v>
      </c>
      <c r="B1299" t="s">
        <v>9</v>
      </c>
      <c r="C1299">
        <v>10</v>
      </c>
      <c r="D1299">
        <v>3925</v>
      </c>
      <c r="E1299">
        <v>1</v>
      </c>
      <c r="F1299" t="s">
        <v>291</v>
      </c>
      <c r="G1299">
        <v>1</v>
      </c>
      <c r="H1299" t="s">
        <v>28</v>
      </c>
      <c r="I1299">
        <v>15300</v>
      </c>
      <c r="J1299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:12">
      <c r="A1300" t="s">
        <v>172</v>
      </c>
      <c r="B1300" t="s">
        <v>9</v>
      </c>
      <c r="C1300">
        <v>10</v>
      </c>
      <c r="D1300">
        <v>4086</v>
      </c>
      <c r="E1300">
        <v>4</v>
      </c>
      <c r="F1300" t="s">
        <v>258</v>
      </c>
      <c r="G1300">
        <v>1</v>
      </c>
      <c r="H1300" t="s">
        <v>28</v>
      </c>
      <c r="I1300">
        <v>5652</v>
      </c>
      <c r="J1300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:12">
      <c r="A1301" t="s">
        <v>172</v>
      </c>
      <c r="B1301" t="s">
        <v>9</v>
      </c>
      <c r="C1301">
        <v>10</v>
      </c>
      <c r="D1301">
        <v>4019</v>
      </c>
      <c r="E1301">
        <v>1</v>
      </c>
      <c r="F1301" t="s">
        <v>258</v>
      </c>
      <c r="G1301">
        <v>1</v>
      </c>
      <c r="H1301" t="s">
        <v>29</v>
      </c>
      <c r="I1301">
        <v>8510</v>
      </c>
      <c r="J1301">
        <f>DropAnalityka[[#This Row],[Sell Drop]]+IFERROR(SUMIFS(Tabela10[Drop Worth],Tabela10[Drop],DropAnalityka[[#This Row],[Drop]],Tabela10[Grade],DropAnalityka[[#This Row],[Grade]])*DropAnalityka[[#This Row],[Quality/Quantity]],0)</f>
        <v>8510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:12">
      <c r="A1302" t="s">
        <v>172</v>
      </c>
      <c r="B1302" t="s">
        <v>9</v>
      </c>
      <c r="C1302">
        <v>10</v>
      </c>
      <c r="D1302">
        <v>4281</v>
      </c>
      <c r="E1302">
        <v>2</v>
      </c>
      <c r="F1302" t="s">
        <v>34</v>
      </c>
      <c r="G1302">
        <v>5</v>
      </c>
      <c r="H1302" t="s">
        <v>17</v>
      </c>
      <c r="I1302">
        <v>0</v>
      </c>
      <c r="J130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4000</v>
      </c>
    </row>
    <row r="1303" spans="1:12">
      <c r="A1303" t="s">
        <v>172</v>
      </c>
      <c r="B1303" t="s">
        <v>9</v>
      </c>
      <c r="C1303">
        <v>10</v>
      </c>
      <c r="D1303">
        <v>3978</v>
      </c>
      <c r="E1303">
        <v>1</v>
      </c>
      <c r="F1303" t="s">
        <v>258</v>
      </c>
      <c r="G1303">
        <v>1</v>
      </c>
      <c r="H1303" t="s">
        <v>28</v>
      </c>
      <c r="I1303">
        <v>5652</v>
      </c>
      <c r="J1303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:12">
      <c r="A1304" t="s">
        <v>172</v>
      </c>
      <c r="B1304" t="s">
        <v>9</v>
      </c>
      <c r="C1304">
        <v>10</v>
      </c>
      <c r="D1304">
        <v>4032</v>
      </c>
      <c r="E1304">
        <v>2</v>
      </c>
      <c r="F1304" t="s">
        <v>258</v>
      </c>
      <c r="G1304">
        <v>1</v>
      </c>
      <c r="H1304" t="s">
        <v>28</v>
      </c>
      <c r="I1304">
        <v>6120</v>
      </c>
      <c r="J1304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:12">
      <c r="A1305" t="s">
        <v>172</v>
      </c>
      <c r="B1305" t="s">
        <v>9</v>
      </c>
      <c r="C1305">
        <v>10</v>
      </c>
      <c r="D1305">
        <v>3957</v>
      </c>
      <c r="E1305">
        <v>0</v>
      </c>
      <c r="F1305" t="s">
        <v>291</v>
      </c>
      <c r="G1305">
        <v>1</v>
      </c>
      <c r="H1305" t="s">
        <v>28</v>
      </c>
      <c r="I1305">
        <v>6120</v>
      </c>
      <c r="J1305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:12">
      <c r="A1306" t="s">
        <v>172</v>
      </c>
      <c r="B1306" t="s">
        <v>9</v>
      </c>
      <c r="C1306">
        <v>10</v>
      </c>
      <c r="D1306">
        <v>3863</v>
      </c>
      <c r="E1306">
        <v>1</v>
      </c>
      <c r="F1306" t="s">
        <v>318</v>
      </c>
      <c r="G1306">
        <v>1</v>
      </c>
      <c r="H1306" t="s">
        <v>28</v>
      </c>
      <c r="I1306">
        <v>10200</v>
      </c>
      <c r="J130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:12">
      <c r="A1307" t="s">
        <v>172</v>
      </c>
      <c r="B1307" t="s">
        <v>9</v>
      </c>
      <c r="C1307">
        <v>10</v>
      </c>
      <c r="D1307">
        <v>3842</v>
      </c>
      <c r="E1307">
        <v>0</v>
      </c>
      <c r="F1307" t="s">
        <v>258</v>
      </c>
      <c r="G1307">
        <v>1</v>
      </c>
      <c r="H1307" t="s">
        <v>28</v>
      </c>
      <c r="I1307">
        <v>5737</v>
      </c>
      <c r="J1307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:12">
      <c r="A1308" t="s">
        <v>172</v>
      </c>
      <c r="B1308" t="s">
        <v>9</v>
      </c>
      <c r="C1308">
        <v>10</v>
      </c>
      <c r="D1308">
        <v>4207</v>
      </c>
      <c r="E1308">
        <v>3</v>
      </c>
      <c r="F1308" t="s">
        <v>291</v>
      </c>
      <c r="G1308">
        <v>1</v>
      </c>
      <c r="H1308" t="s">
        <v>29</v>
      </c>
      <c r="I1308">
        <v>27103</v>
      </c>
      <c r="J1308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:12">
      <c r="A1309" t="s">
        <v>172</v>
      </c>
      <c r="B1309" t="s">
        <v>9</v>
      </c>
      <c r="C1309">
        <v>10</v>
      </c>
      <c r="D1309">
        <v>3865</v>
      </c>
      <c r="E1309">
        <v>0</v>
      </c>
      <c r="F1309" t="s">
        <v>291</v>
      </c>
      <c r="G1309">
        <v>1</v>
      </c>
      <c r="H1309" t="s">
        <v>27</v>
      </c>
      <c r="I1309">
        <v>4295</v>
      </c>
      <c r="J13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:12">
      <c r="A1310" t="s">
        <v>172</v>
      </c>
      <c r="B1310" t="s">
        <v>9</v>
      </c>
      <c r="C1310">
        <v>10</v>
      </c>
      <c r="D1310">
        <v>4382</v>
      </c>
      <c r="E1310">
        <v>2</v>
      </c>
      <c r="F1310" t="s">
        <v>258</v>
      </c>
      <c r="G1310">
        <v>1</v>
      </c>
      <c r="H1310" t="s">
        <v>28</v>
      </c>
      <c r="I1310">
        <v>3825</v>
      </c>
      <c r="J1310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:12">
      <c r="A1311" t="s">
        <v>172</v>
      </c>
      <c r="B1311" t="s">
        <v>9</v>
      </c>
      <c r="C1311">
        <v>10</v>
      </c>
      <c r="D1311">
        <v>4218</v>
      </c>
      <c r="E1311">
        <v>2</v>
      </c>
      <c r="F1311" t="s">
        <v>291</v>
      </c>
      <c r="G1311">
        <v>1</v>
      </c>
      <c r="H1311" t="s">
        <v>28</v>
      </c>
      <c r="I1311">
        <v>3507</v>
      </c>
      <c r="J1311">
        <f>DropAnalityka[[#This Row],[Sell Drop]]+IFERROR(SUMIFS(Tabela10[Drop Worth],Tabela10[Drop],DropAnalityka[[#This Row],[Drop]],Tabela10[Grade],DropAnalityka[[#This Row],[Grade]])*DropAnalityka[[#This Row],[Quality/Quantity]],0)</f>
        <v>3507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:12">
      <c r="A1312" t="s">
        <v>172</v>
      </c>
      <c r="B1312" t="s">
        <v>9</v>
      </c>
      <c r="C1312">
        <v>10</v>
      </c>
      <c r="D1312">
        <v>3737</v>
      </c>
      <c r="E1312">
        <v>1</v>
      </c>
      <c r="F1312" t="s">
        <v>34</v>
      </c>
      <c r="G1312">
        <v>5</v>
      </c>
      <c r="H1312" t="s">
        <v>17</v>
      </c>
      <c r="I1312">
        <v>0</v>
      </c>
      <c r="J131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4000</v>
      </c>
    </row>
    <row r="1313" spans="1:12">
      <c r="A1313" t="s">
        <v>172</v>
      </c>
      <c r="B1313" t="s">
        <v>9</v>
      </c>
      <c r="C1313">
        <v>10</v>
      </c>
      <c r="D1313">
        <v>3979</v>
      </c>
      <c r="E1313">
        <v>2</v>
      </c>
      <c r="F1313" t="s">
        <v>291</v>
      </c>
      <c r="G1313">
        <v>1</v>
      </c>
      <c r="H1313" t="s">
        <v>27</v>
      </c>
      <c r="I1313">
        <v>4547</v>
      </c>
      <c r="J1313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:12">
      <c r="A1314" t="s">
        <v>172</v>
      </c>
      <c r="B1314" t="s">
        <v>9</v>
      </c>
      <c r="C1314">
        <v>10</v>
      </c>
      <c r="D1314">
        <v>3965</v>
      </c>
      <c r="E1314">
        <v>0</v>
      </c>
      <c r="F1314" t="s">
        <v>258</v>
      </c>
      <c r="G1314">
        <v>1</v>
      </c>
      <c r="H1314" t="s">
        <v>27</v>
      </c>
      <c r="I1314">
        <v>2573</v>
      </c>
      <c r="J1314">
        <f>DropAnalityka[[#This Row],[Sell Drop]]+IFERROR(SUMIFS(Tabela10[Drop Worth],Tabela10[Drop],DropAnalityka[[#This Row],[Drop]],Tabela10[Grade],DropAnalityka[[#This Row],[Grade]])*DropAnalityka[[#This Row],[Quality/Quantity]],0)</f>
        <v>2573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:12">
      <c r="A1315" t="s">
        <v>172</v>
      </c>
      <c r="B1315" t="s">
        <v>9</v>
      </c>
      <c r="C1315">
        <v>10</v>
      </c>
      <c r="D1315">
        <v>3790</v>
      </c>
      <c r="E1315">
        <v>1</v>
      </c>
      <c r="F1315" t="s">
        <v>34</v>
      </c>
      <c r="G1315">
        <v>4</v>
      </c>
      <c r="H1315" t="s">
        <v>17</v>
      </c>
      <c r="I1315">
        <v>0</v>
      </c>
      <c r="J131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3200</v>
      </c>
    </row>
    <row r="1316" spans="1:12">
      <c r="A1316" t="s">
        <v>172</v>
      </c>
      <c r="B1316" t="s">
        <v>9</v>
      </c>
      <c r="C1316">
        <v>10</v>
      </c>
      <c r="D1316">
        <v>4142</v>
      </c>
      <c r="E1316">
        <v>1</v>
      </c>
      <c r="F1316" t="s">
        <v>258</v>
      </c>
      <c r="G1316">
        <v>1</v>
      </c>
      <c r="H1316" t="s">
        <v>27</v>
      </c>
      <c r="I1316">
        <v>2411</v>
      </c>
      <c r="J13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:12">
      <c r="A1317" t="s">
        <v>172</v>
      </c>
      <c r="B1317" t="s">
        <v>9</v>
      </c>
      <c r="C1317">
        <v>10</v>
      </c>
      <c r="D1317">
        <v>3754</v>
      </c>
      <c r="E1317">
        <v>0</v>
      </c>
      <c r="F1317" t="s">
        <v>58</v>
      </c>
      <c r="G1317">
        <v>1</v>
      </c>
      <c r="H1317" t="s">
        <v>12</v>
      </c>
      <c r="I1317">
        <v>0</v>
      </c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11500</v>
      </c>
      <c r="L1317" s="43">
        <f>IFERROR(SUMIFS(Tabela10[Exp Gain only 2*+],Tabela10[Drop],DropAnalityka[[#This Row],[Drop]],Tabela10[Grade],DropAnalityka[[#This Row],[Grade]])*DropAnalityka[[#This Row],[Quality/Quantity]],0)</f>
        <v>35822</v>
      </c>
    </row>
    <row r="1318" spans="1:12">
      <c r="A1318" t="s">
        <v>172</v>
      </c>
      <c r="B1318" t="s">
        <v>9</v>
      </c>
      <c r="C1318">
        <v>10</v>
      </c>
      <c r="D1318">
        <v>4313</v>
      </c>
      <c r="E1318">
        <v>1</v>
      </c>
      <c r="F1318" t="s">
        <v>258</v>
      </c>
      <c r="G1318">
        <v>1</v>
      </c>
      <c r="H1318" t="s">
        <v>28</v>
      </c>
      <c r="I1318">
        <v>11560</v>
      </c>
      <c r="J1318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:12">
      <c r="A1319" t="s">
        <v>178</v>
      </c>
      <c r="B1319" t="s">
        <v>9</v>
      </c>
      <c r="C1319">
        <v>10</v>
      </c>
      <c r="D1319">
        <v>4211</v>
      </c>
      <c r="E1319">
        <v>0</v>
      </c>
      <c r="F1319" t="s">
        <v>318</v>
      </c>
      <c r="G1319">
        <v>1</v>
      </c>
      <c r="H1319" t="s">
        <v>28</v>
      </c>
      <c r="I1319">
        <v>10880</v>
      </c>
      <c r="J131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:12">
      <c r="A1320" t="s">
        <v>178</v>
      </c>
      <c r="B1320" t="s">
        <v>9</v>
      </c>
      <c r="C1320">
        <v>10</v>
      </c>
      <c r="D1320">
        <v>4311</v>
      </c>
      <c r="E1320">
        <v>0</v>
      </c>
      <c r="F1320" t="s">
        <v>34</v>
      </c>
      <c r="G1320">
        <v>5</v>
      </c>
      <c r="H1320" t="s">
        <v>17</v>
      </c>
      <c r="I1320">
        <v>0</v>
      </c>
      <c r="J132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4000</v>
      </c>
    </row>
    <row r="1321" spans="1:12">
      <c r="A1321" t="s">
        <v>178</v>
      </c>
      <c r="B1321" t="s">
        <v>9</v>
      </c>
      <c r="C1321">
        <v>10</v>
      </c>
      <c r="D1321">
        <v>4245</v>
      </c>
      <c r="E1321">
        <v>0</v>
      </c>
      <c r="F1321" t="s">
        <v>34</v>
      </c>
      <c r="G1321">
        <v>4</v>
      </c>
      <c r="H1321" t="s">
        <v>17</v>
      </c>
      <c r="I1321">
        <v>0</v>
      </c>
      <c r="J13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3200</v>
      </c>
    </row>
    <row r="1322" spans="1:12">
      <c r="A1322" t="s">
        <v>178</v>
      </c>
      <c r="B1322" t="s">
        <v>9</v>
      </c>
      <c r="C1322">
        <v>10</v>
      </c>
      <c r="D1322">
        <v>4436</v>
      </c>
      <c r="E1322">
        <v>1</v>
      </c>
      <c r="F1322" t="s">
        <v>258</v>
      </c>
      <c r="G1322">
        <v>1</v>
      </c>
      <c r="H1322" t="s">
        <v>28</v>
      </c>
      <c r="I1322">
        <v>8925</v>
      </c>
      <c r="J1322">
        <f>DropAnalityka[[#This Row],[Sell Drop]]+IFERROR(SUMIFS(Tabela10[Drop Worth],Tabela10[Drop],DropAnalityka[[#This Row],[Drop]],Tabela10[Grade],DropAnalityka[[#This Row],[Grade]])*DropAnalityka[[#This Row],[Quality/Quantity]],0)</f>
        <v>8925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:12">
      <c r="A1323" t="s">
        <v>178</v>
      </c>
      <c r="B1323" t="s">
        <v>9</v>
      </c>
      <c r="C1323">
        <v>10</v>
      </c>
      <c r="D1323">
        <v>4301</v>
      </c>
      <c r="E1323">
        <v>0</v>
      </c>
      <c r="F1323" t="s">
        <v>34</v>
      </c>
      <c r="G1323">
        <v>5</v>
      </c>
      <c r="H1323" t="s">
        <v>17</v>
      </c>
      <c r="I1323">
        <v>0</v>
      </c>
      <c r="J132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4000</v>
      </c>
    </row>
    <row r="1324" spans="1:12">
      <c r="A1324" t="s">
        <v>178</v>
      </c>
      <c r="B1324" t="s">
        <v>9</v>
      </c>
      <c r="C1324">
        <v>10</v>
      </c>
      <c r="D1324">
        <v>4084</v>
      </c>
      <c r="E1324">
        <v>0</v>
      </c>
      <c r="F1324" t="s">
        <v>34</v>
      </c>
      <c r="G1324">
        <v>4</v>
      </c>
      <c r="H1324" t="s">
        <v>17</v>
      </c>
      <c r="I1324">
        <v>0</v>
      </c>
      <c r="J13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3200</v>
      </c>
    </row>
    <row r="1325" spans="1:12">
      <c r="A1325" t="s">
        <v>178</v>
      </c>
      <c r="B1325" t="s">
        <v>9</v>
      </c>
      <c r="C1325">
        <v>10</v>
      </c>
      <c r="D1325">
        <v>4184</v>
      </c>
      <c r="E1325">
        <v>1</v>
      </c>
      <c r="F1325" t="s">
        <v>291</v>
      </c>
      <c r="G1325">
        <v>1</v>
      </c>
      <c r="H1325" t="s">
        <v>28</v>
      </c>
      <c r="I1325">
        <v>13580</v>
      </c>
      <c r="J1325">
        <f>DropAnalityka[[#This Row],[Sell Drop]]+IFERROR(SUMIFS(Tabela10[Drop Worth],Tabela10[Drop],DropAnalityka[[#This Row],[Drop]],Tabela10[Grade],DropAnalityka[[#This Row],[Grade]])*DropAnalityka[[#This Row],[Quality/Quantity]],0)</f>
        <v>13580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:12">
      <c r="A1326" t="s">
        <v>178</v>
      </c>
      <c r="B1326" t="s">
        <v>9</v>
      </c>
      <c r="C1326">
        <v>10</v>
      </c>
      <c r="D1326">
        <v>4874</v>
      </c>
      <c r="E1326">
        <v>1</v>
      </c>
      <c r="F1326" t="s">
        <v>58</v>
      </c>
      <c r="G1326">
        <v>1</v>
      </c>
      <c r="H1326" t="s">
        <v>12</v>
      </c>
      <c r="I1326">
        <v>0</v>
      </c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11500</v>
      </c>
      <c r="L1326" s="43">
        <f>IFERROR(SUMIFS(Tabela10[Exp Gain only 2*+],Tabela10[Drop],DropAnalityka[[#This Row],[Drop]],Tabela10[Grade],DropAnalityka[[#This Row],[Grade]])*DropAnalityka[[#This Row],[Quality/Quantity]],0)</f>
        <v>35822</v>
      </c>
    </row>
    <row r="1327" spans="1:12">
      <c r="A1327" t="s">
        <v>178</v>
      </c>
      <c r="B1327" t="s">
        <v>9</v>
      </c>
      <c r="C1327">
        <v>10</v>
      </c>
      <c r="D1327">
        <v>4504</v>
      </c>
      <c r="E1327">
        <v>3</v>
      </c>
      <c r="F1327" t="s">
        <v>205</v>
      </c>
      <c r="G1327">
        <v>3</v>
      </c>
      <c r="H1327" t="s">
        <v>26</v>
      </c>
      <c r="I1327">
        <v>0</v>
      </c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2587.5</v>
      </c>
      <c r="L132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28" spans="1:12">
      <c r="A1328" t="s">
        <v>178</v>
      </c>
      <c r="B1328" t="s">
        <v>9</v>
      </c>
      <c r="C1328">
        <v>10</v>
      </c>
      <c r="D1328">
        <v>4678</v>
      </c>
      <c r="E1328">
        <v>0</v>
      </c>
      <c r="F1328" t="s">
        <v>258</v>
      </c>
      <c r="G1328">
        <v>1</v>
      </c>
      <c r="H1328" t="s">
        <v>27</v>
      </c>
      <c r="I1328">
        <v>2940</v>
      </c>
      <c r="J132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:12">
      <c r="A1329" t="s">
        <v>178</v>
      </c>
      <c r="B1329" t="s">
        <v>9</v>
      </c>
      <c r="C1329">
        <v>10</v>
      </c>
      <c r="D1329">
        <v>4384</v>
      </c>
      <c r="E1329">
        <v>3</v>
      </c>
      <c r="F1329" t="s">
        <v>258</v>
      </c>
      <c r="G1329">
        <v>1</v>
      </c>
      <c r="H1329" t="s">
        <v>28</v>
      </c>
      <c r="I1329">
        <v>6120</v>
      </c>
      <c r="J132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:12">
      <c r="A1330" t="s">
        <v>178</v>
      </c>
      <c r="B1330" t="s">
        <v>9</v>
      </c>
      <c r="C1330">
        <v>10</v>
      </c>
      <c r="D1330">
        <v>4926</v>
      </c>
      <c r="E1330">
        <v>2</v>
      </c>
      <c r="F1330" t="s">
        <v>258</v>
      </c>
      <c r="G1330">
        <v>1</v>
      </c>
      <c r="H1330" t="s">
        <v>29</v>
      </c>
      <c r="I1330">
        <v>22190</v>
      </c>
      <c r="J1330">
        <f>DropAnalityka[[#This Row],[Sell Drop]]+IFERROR(SUMIFS(Tabela10[Drop Worth],Tabela10[Drop],DropAnalityka[[#This Row],[Drop]],Tabela10[Grade],DropAnalityka[[#This Row],[Grade]])*DropAnalityka[[#This Row],[Quality/Quantity]],0)</f>
        <v>22190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:12">
      <c r="A1331" t="s">
        <v>178</v>
      </c>
      <c r="B1331" t="s">
        <v>9</v>
      </c>
      <c r="C1331">
        <v>10</v>
      </c>
      <c r="D1331">
        <v>4473</v>
      </c>
      <c r="E1331">
        <v>4</v>
      </c>
      <c r="F1331" t="s">
        <v>34</v>
      </c>
      <c r="G1331">
        <v>4</v>
      </c>
      <c r="H1331" t="s">
        <v>17</v>
      </c>
      <c r="I1331">
        <v>0</v>
      </c>
      <c r="J13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3200</v>
      </c>
    </row>
    <row r="1332" spans="1:12">
      <c r="A1332" t="s">
        <v>178</v>
      </c>
      <c r="B1332" t="s">
        <v>9</v>
      </c>
      <c r="C1332">
        <v>10</v>
      </c>
      <c r="D1332">
        <v>4685</v>
      </c>
      <c r="E1332">
        <v>0</v>
      </c>
      <c r="F1332" t="s">
        <v>258</v>
      </c>
      <c r="G1332">
        <v>1</v>
      </c>
      <c r="H1332" t="s">
        <v>27</v>
      </c>
      <c r="I1332">
        <v>3904</v>
      </c>
      <c r="J133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:12">
      <c r="A1333" t="s">
        <v>178</v>
      </c>
      <c r="B1333" t="s">
        <v>9</v>
      </c>
      <c r="C1333">
        <v>10</v>
      </c>
      <c r="D1333">
        <v>5046</v>
      </c>
      <c r="E1333">
        <v>1</v>
      </c>
      <c r="F1333" t="s">
        <v>258</v>
      </c>
      <c r="G1333">
        <v>1</v>
      </c>
      <c r="H1333" t="s">
        <v>28</v>
      </c>
      <c r="I1333">
        <v>10710</v>
      </c>
      <c r="J1333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:12">
      <c r="A1334" t="s">
        <v>178</v>
      </c>
      <c r="B1334" t="s">
        <v>9</v>
      </c>
      <c r="C1334">
        <v>9</v>
      </c>
      <c r="D1334">
        <v>3976</v>
      </c>
      <c r="E1334">
        <v>1</v>
      </c>
      <c r="F1334" t="s">
        <v>34</v>
      </c>
      <c r="G1334">
        <v>4</v>
      </c>
      <c r="H1334" t="s">
        <v>17</v>
      </c>
      <c r="I1334">
        <v>0</v>
      </c>
      <c r="J13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3200</v>
      </c>
    </row>
    <row r="1335" spans="1:12">
      <c r="A1335" t="s">
        <v>178</v>
      </c>
      <c r="B1335" t="s">
        <v>9</v>
      </c>
      <c r="C1335">
        <v>9</v>
      </c>
      <c r="D1335">
        <v>3952</v>
      </c>
      <c r="E1335">
        <v>1</v>
      </c>
      <c r="F1335" t="s">
        <v>34</v>
      </c>
      <c r="G1335">
        <v>4</v>
      </c>
      <c r="H1335" t="s">
        <v>17</v>
      </c>
      <c r="I1335">
        <v>0</v>
      </c>
      <c r="J133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3200</v>
      </c>
    </row>
    <row r="1336" spans="1:12">
      <c r="A1336" t="s">
        <v>178</v>
      </c>
      <c r="B1336" t="s">
        <v>9</v>
      </c>
      <c r="C1336">
        <v>9</v>
      </c>
      <c r="D1336">
        <v>4003</v>
      </c>
      <c r="E1336">
        <v>1</v>
      </c>
      <c r="F1336" t="s">
        <v>258</v>
      </c>
      <c r="G1336">
        <v>1</v>
      </c>
      <c r="H1336" t="s">
        <v>27</v>
      </c>
      <c r="I1336">
        <v>6615</v>
      </c>
      <c r="J1336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:12">
      <c r="A1337" t="s">
        <v>178</v>
      </c>
      <c r="B1337" t="s">
        <v>9</v>
      </c>
      <c r="C1337">
        <v>9</v>
      </c>
      <c r="D1337">
        <v>4086</v>
      </c>
      <c r="E1337">
        <v>0</v>
      </c>
      <c r="F1337" t="s">
        <v>318</v>
      </c>
      <c r="G1337">
        <v>1</v>
      </c>
      <c r="H1337" t="s">
        <v>28</v>
      </c>
      <c r="I1337">
        <v>15300</v>
      </c>
      <c r="J1337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:12">
      <c r="A1338" t="s">
        <v>178</v>
      </c>
      <c r="B1338" t="s">
        <v>9</v>
      </c>
      <c r="C1338">
        <v>9</v>
      </c>
      <c r="D1338">
        <v>4099</v>
      </c>
      <c r="E1338">
        <v>0</v>
      </c>
      <c r="F1338" t="s">
        <v>258</v>
      </c>
      <c r="G1338">
        <v>1</v>
      </c>
      <c r="H1338" t="s">
        <v>27</v>
      </c>
      <c r="I1338">
        <v>6982</v>
      </c>
      <c r="J1338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:12">
      <c r="A1339" t="s">
        <v>178</v>
      </c>
      <c r="B1339" t="s">
        <v>9</v>
      </c>
      <c r="C1339">
        <v>9</v>
      </c>
      <c r="D1339">
        <v>3929</v>
      </c>
      <c r="E1339">
        <v>3</v>
      </c>
      <c r="F1339" t="s">
        <v>258</v>
      </c>
      <c r="G1339">
        <v>1</v>
      </c>
      <c r="H1339" t="s">
        <v>27</v>
      </c>
      <c r="I1339">
        <v>7028</v>
      </c>
      <c r="J1339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:12">
      <c r="A1340" t="s">
        <v>178</v>
      </c>
      <c r="B1340" t="s">
        <v>9</v>
      </c>
      <c r="C1340">
        <v>9</v>
      </c>
      <c r="D1340">
        <v>4239</v>
      </c>
      <c r="E1340">
        <v>1</v>
      </c>
      <c r="F1340" t="s">
        <v>258</v>
      </c>
      <c r="G1340">
        <v>1</v>
      </c>
      <c r="H1340" t="s">
        <v>27</v>
      </c>
      <c r="I1340">
        <v>7855</v>
      </c>
      <c r="J1340">
        <f>DropAnalityka[[#This Row],[Sell Drop]]+IFERROR(SUMIFS(Tabela10[Drop Worth],Tabela10[Drop],DropAnalityka[[#This Row],[Drop]],Tabela10[Grade],DropAnalityka[[#This Row],[Grade]])*DropAnalityka[[#This Row],[Quality/Quantity]],0)</f>
        <v>7855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:12">
      <c r="A1341" t="s">
        <v>178</v>
      </c>
      <c r="B1341" t="s">
        <v>9</v>
      </c>
      <c r="C1341">
        <v>9</v>
      </c>
      <c r="D1341">
        <v>3909</v>
      </c>
      <c r="E1341">
        <v>0</v>
      </c>
      <c r="F1341" t="s">
        <v>34</v>
      </c>
      <c r="G1341">
        <v>5</v>
      </c>
      <c r="H1341" t="s">
        <v>17</v>
      </c>
      <c r="I1341">
        <v>0</v>
      </c>
      <c r="J13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4000</v>
      </c>
    </row>
    <row r="1342" spans="1:12">
      <c r="A1342" t="s">
        <v>178</v>
      </c>
      <c r="B1342" t="s">
        <v>9</v>
      </c>
      <c r="C1342">
        <v>9</v>
      </c>
      <c r="D1342">
        <v>4064</v>
      </c>
      <c r="E1342">
        <v>1</v>
      </c>
      <c r="F1342" t="s">
        <v>34</v>
      </c>
      <c r="G1342">
        <v>5</v>
      </c>
      <c r="H1342" t="s">
        <v>17</v>
      </c>
      <c r="I1342">
        <v>0</v>
      </c>
      <c r="J134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4000</v>
      </c>
    </row>
    <row r="1343" spans="1:12">
      <c r="A1343" t="s">
        <v>178</v>
      </c>
      <c r="B1343" t="s">
        <v>9</v>
      </c>
      <c r="C1343">
        <v>9</v>
      </c>
      <c r="D1343">
        <v>4083</v>
      </c>
      <c r="E1343">
        <v>0</v>
      </c>
      <c r="F1343" t="s">
        <v>258</v>
      </c>
      <c r="G1343">
        <v>1</v>
      </c>
      <c r="H1343" t="s">
        <v>27</v>
      </c>
      <c r="I1343">
        <v>6615</v>
      </c>
      <c r="J1343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:12">
      <c r="A1344" t="s">
        <v>178</v>
      </c>
      <c r="B1344" t="s">
        <v>9</v>
      </c>
      <c r="C1344">
        <v>9</v>
      </c>
      <c r="D1344">
        <v>3906</v>
      </c>
      <c r="E1344">
        <v>1</v>
      </c>
      <c r="F1344" t="s">
        <v>258</v>
      </c>
      <c r="G1344">
        <v>1</v>
      </c>
      <c r="H1344" t="s">
        <v>28</v>
      </c>
      <c r="I1344">
        <v>13005</v>
      </c>
      <c r="J1344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:12">
      <c r="A1345" t="s">
        <v>178</v>
      </c>
      <c r="B1345" t="s">
        <v>9</v>
      </c>
      <c r="C1345">
        <v>9</v>
      </c>
      <c r="D1345">
        <v>4056</v>
      </c>
      <c r="E1345">
        <v>0</v>
      </c>
      <c r="F1345" t="s">
        <v>258</v>
      </c>
      <c r="G1345">
        <v>1</v>
      </c>
      <c r="H1345" t="s">
        <v>27</v>
      </c>
      <c r="I1345">
        <v>6615</v>
      </c>
      <c r="J134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:12">
      <c r="A1346" t="s">
        <v>178</v>
      </c>
      <c r="B1346" t="s">
        <v>9</v>
      </c>
      <c r="C1346">
        <v>9</v>
      </c>
      <c r="D1346">
        <v>4209</v>
      </c>
      <c r="E1346">
        <v>1</v>
      </c>
      <c r="F1346" t="s">
        <v>205</v>
      </c>
      <c r="G1346">
        <v>3</v>
      </c>
      <c r="H1346" t="s">
        <v>26</v>
      </c>
      <c r="I1346">
        <v>0</v>
      </c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2587.5</v>
      </c>
      <c r="L134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47" spans="1:12">
      <c r="A1347" t="s">
        <v>178</v>
      </c>
      <c r="B1347" t="s">
        <v>9</v>
      </c>
      <c r="C1347">
        <v>9</v>
      </c>
      <c r="D1347">
        <v>3820</v>
      </c>
      <c r="E1347">
        <v>1</v>
      </c>
      <c r="F1347" t="s">
        <v>258</v>
      </c>
      <c r="G1347">
        <v>1</v>
      </c>
      <c r="H1347" t="s">
        <v>27</v>
      </c>
      <c r="I1347">
        <v>3445</v>
      </c>
      <c r="J1347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:12">
      <c r="A1348" t="s">
        <v>178</v>
      </c>
      <c r="B1348" t="s">
        <v>9</v>
      </c>
      <c r="C1348">
        <v>9</v>
      </c>
      <c r="D1348">
        <v>3866</v>
      </c>
      <c r="E1348">
        <v>1</v>
      </c>
      <c r="F1348" t="s">
        <v>258</v>
      </c>
      <c r="G1348">
        <v>1</v>
      </c>
      <c r="H1348" t="s">
        <v>28</v>
      </c>
      <c r="I1348">
        <v>12340</v>
      </c>
      <c r="J1348">
        <f>DropAnalityka[[#This Row],[Sell Drop]]+IFERROR(SUMIFS(Tabela10[Drop Worth],Tabela10[Drop],DropAnalityka[[#This Row],[Drop]],Tabela10[Grade],DropAnalityka[[#This Row],[Grade]])*DropAnalityka[[#This Row],[Quality/Quantity]],0)</f>
        <v>12340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:12">
      <c r="A1349" t="s">
        <v>178</v>
      </c>
      <c r="B1349" t="s">
        <v>9</v>
      </c>
      <c r="C1349">
        <v>9</v>
      </c>
      <c r="D1349">
        <v>3662</v>
      </c>
      <c r="E1349">
        <v>2</v>
      </c>
      <c r="F1349" t="s">
        <v>34</v>
      </c>
      <c r="G1349">
        <v>4</v>
      </c>
      <c r="H1349" t="s">
        <v>17</v>
      </c>
      <c r="I1349">
        <v>0</v>
      </c>
      <c r="J134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3200</v>
      </c>
    </row>
    <row r="1350" spans="1:12">
      <c r="A1350" t="s">
        <v>178</v>
      </c>
      <c r="B1350" t="s">
        <v>9</v>
      </c>
      <c r="C1350">
        <v>9</v>
      </c>
      <c r="D1350">
        <v>4037</v>
      </c>
      <c r="E1350">
        <v>2</v>
      </c>
      <c r="F1350" t="s">
        <v>258</v>
      </c>
      <c r="G1350">
        <v>1</v>
      </c>
      <c r="H1350" t="s">
        <v>28</v>
      </c>
      <c r="I1350">
        <v>5440</v>
      </c>
      <c r="J135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:12">
      <c r="A1351" t="s">
        <v>178</v>
      </c>
      <c r="B1351" t="s">
        <v>9</v>
      </c>
      <c r="C1351">
        <v>9</v>
      </c>
      <c r="D1351">
        <v>4030</v>
      </c>
      <c r="E1351">
        <v>0</v>
      </c>
      <c r="F1351" t="s">
        <v>258</v>
      </c>
      <c r="G1351">
        <v>1</v>
      </c>
      <c r="H1351" t="s">
        <v>27</v>
      </c>
      <c r="I1351">
        <v>5788</v>
      </c>
      <c r="J1351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:12">
      <c r="A1352" t="s">
        <v>178</v>
      </c>
      <c r="B1352" t="s">
        <v>9</v>
      </c>
      <c r="C1352">
        <v>9</v>
      </c>
      <c r="D1352">
        <v>4230</v>
      </c>
      <c r="E1352">
        <v>0</v>
      </c>
      <c r="F1352" t="s">
        <v>34</v>
      </c>
      <c r="G1352">
        <v>5</v>
      </c>
      <c r="H1352" t="s">
        <v>17</v>
      </c>
      <c r="I1352">
        <v>0</v>
      </c>
      <c r="J135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4000</v>
      </c>
    </row>
    <row r="1353" spans="1:12">
      <c r="A1353" t="s">
        <v>178</v>
      </c>
      <c r="B1353" t="s">
        <v>9</v>
      </c>
      <c r="C1353">
        <v>9</v>
      </c>
      <c r="D1353">
        <v>4242</v>
      </c>
      <c r="E1353">
        <v>1</v>
      </c>
      <c r="F1353" t="s">
        <v>58</v>
      </c>
      <c r="G1353">
        <v>1</v>
      </c>
      <c r="H1353" t="s">
        <v>12</v>
      </c>
      <c r="I1353">
        <v>0</v>
      </c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11500</v>
      </c>
      <c r="L1353" s="43">
        <f>IFERROR(SUMIFS(Tabela10[Exp Gain only 2*+],Tabela10[Drop],DropAnalityka[[#This Row],[Drop]],Tabela10[Grade],DropAnalityka[[#This Row],[Grade]])*DropAnalityka[[#This Row],[Quality/Quantity]],0)</f>
        <v>35822</v>
      </c>
    </row>
    <row r="1354" spans="1:12">
      <c r="A1354" t="s">
        <v>178</v>
      </c>
      <c r="B1354" t="s">
        <v>9</v>
      </c>
      <c r="C1354">
        <v>9</v>
      </c>
      <c r="D1354">
        <v>3742</v>
      </c>
      <c r="E1354">
        <v>1</v>
      </c>
      <c r="F1354" t="s">
        <v>258</v>
      </c>
      <c r="G1354">
        <v>1</v>
      </c>
      <c r="H1354" t="s">
        <v>29</v>
      </c>
      <c r="I1354">
        <v>20288</v>
      </c>
      <c r="J1354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:12">
      <c r="A1355" t="s">
        <v>178</v>
      </c>
      <c r="B1355" t="s">
        <v>9</v>
      </c>
      <c r="C1355">
        <v>9</v>
      </c>
      <c r="D1355">
        <v>4004</v>
      </c>
      <c r="E1355">
        <v>1</v>
      </c>
      <c r="F1355" t="s">
        <v>258</v>
      </c>
      <c r="G1355">
        <v>1</v>
      </c>
      <c r="H1355" t="s">
        <v>27</v>
      </c>
      <c r="I1355">
        <v>3123</v>
      </c>
      <c r="J1355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:12">
      <c r="A1356" t="s">
        <v>178</v>
      </c>
      <c r="B1356" t="s">
        <v>9</v>
      </c>
      <c r="C1356">
        <v>9</v>
      </c>
      <c r="D1356">
        <v>3972</v>
      </c>
      <c r="E1356">
        <v>1</v>
      </c>
      <c r="F1356" t="s">
        <v>291</v>
      </c>
      <c r="G1356">
        <v>1</v>
      </c>
      <c r="H1356" t="s">
        <v>27</v>
      </c>
      <c r="I1356">
        <v>7809</v>
      </c>
      <c r="J1356">
        <f>DropAnalityka[[#This Row],[Sell Drop]]+IFERROR(SUMIFS(Tabela10[Drop Worth],Tabela10[Drop],DropAnalityka[[#This Row],[Drop]],Tabela10[Grade],DropAnalityka[[#This Row],[Grade]])*DropAnalityka[[#This Row],[Quality/Quantity]],0)</f>
        <v>7809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:12">
      <c r="A1357" t="s">
        <v>178</v>
      </c>
      <c r="B1357" t="s">
        <v>9</v>
      </c>
      <c r="C1357">
        <v>9</v>
      </c>
      <c r="D1357">
        <v>3789</v>
      </c>
      <c r="E1357">
        <v>3</v>
      </c>
      <c r="F1357" t="s">
        <v>258</v>
      </c>
      <c r="G1357">
        <v>1</v>
      </c>
      <c r="H1357" t="s">
        <v>28</v>
      </c>
      <c r="I1357">
        <v>12240</v>
      </c>
      <c r="J1357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:12">
      <c r="A1358" t="s">
        <v>178</v>
      </c>
      <c r="B1358" t="s">
        <v>9</v>
      </c>
      <c r="C1358">
        <v>9</v>
      </c>
      <c r="D1358">
        <v>3881</v>
      </c>
      <c r="E1358">
        <v>1</v>
      </c>
      <c r="F1358" t="s">
        <v>291</v>
      </c>
      <c r="G1358">
        <v>1</v>
      </c>
      <c r="H1358" t="s">
        <v>28</v>
      </c>
      <c r="I1358">
        <v>8160</v>
      </c>
      <c r="J1358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:12">
      <c r="A1359" t="s">
        <v>178</v>
      </c>
      <c r="B1359" t="s">
        <v>9</v>
      </c>
      <c r="C1359">
        <v>9</v>
      </c>
      <c r="D1359">
        <v>4062</v>
      </c>
      <c r="E1359">
        <v>1</v>
      </c>
      <c r="F1359" t="s">
        <v>291</v>
      </c>
      <c r="G1359">
        <v>1</v>
      </c>
      <c r="H1359" t="s">
        <v>27</v>
      </c>
      <c r="I1359">
        <v>4410</v>
      </c>
      <c r="J1359">
        <f>DropAnalityka[[#This Row],[Sell Drop]]+IFERROR(SUMIFS(Tabela10[Drop Worth],Tabela10[Drop],DropAnalityka[[#This Row],[Drop]],Tabela10[Grade],DropAnalityka[[#This Row],[Grade]])*DropAnalityka[[#This Row],[Quality/Quantity]],0)</f>
        <v>4410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:12">
      <c r="A1360" t="s">
        <v>178</v>
      </c>
      <c r="B1360" t="s">
        <v>9</v>
      </c>
      <c r="C1360">
        <v>9</v>
      </c>
      <c r="D1360">
        <v>3897</v>
      </c>
      <c r="E1360">
        <v>1</v>
      </c>
      <c r="F1360" t="s">
        <v>258</v>
      </c>
      <c r="G1360">
        <v>1</v>
      </c>
      <c r="H1360" t="s">
        <v>28</v>
      </c>
      <c r="I1360">
        <v>5100</v>
      </c>
      <c r="J136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:12">
      <c r="A1361" t="s">
        <v>178</v>
      </c>
      <c r="B1361" t="s">
        <v>9</v>
      </c>
      <c r="C1361">
        <v>9</v>
      </c>
      <c r="D1361">
        <v>4552</v>
      </c>
      <c r="E1361">
        <v>1</v>
      </c>
      <c r="F1361" t="s">
        <v>258</v>
      </c>
      <c r="G1361">
        <v>1</v>
      </c>
      <c r="H1361" t="s">
        <v>27</v>
      </c>
      <c r="I1361">
        <v>3491</v>
      </c>
      <c r="J1361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:12">
      <c r="A1362" t="s">
        <v>178</v>
      </c>
      <c r="B1362" t="s">
        <v>9</v>
      </c>
      <c r="C1362">
        <v>9</v>
      </c>
      <c r="D1362">
        <v>3972</v>
      </c>
      <c r="E1362">
        <v>0</v>
      </c>
      <c r="F1362" t="s">
        <v>34</v>
      </c>
      <c r="G1362">
        <v>5</v>
      </c>
      <c r="H1362" t="s">
        <v>17</v>
      </c>
      <c r="I1362">
        <v>0</v>
      </c>
      <c r="J136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4000</v>
      </c>
    </row>
    <row r="1363" spans="1:12">
      <c r="A1363" t="s">
        <v>178</v>
      </c>
      <c r="B1363" t="s">
        <v>9</v>
      </c>
      <c r="C1363">
        <v>9</v>
      </c>
      <c r="D1363">
        <v>3822</v>
      </c>
      <c r="E1363">
        <v>0</v>
      </c>
      <c r="F1363" t="s">
        <v>258</v>
      </c>
      <c r="G1363">
        <v>1</v>
      </c>
      <c r="H1363" t="s">
        <v>28</v>
      </c>
      <c r="I1363">
        <v>12240</v>
      </c>
      <c r="J1363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:12">
      <c r="A1364" t="s">
        <v>178</v>
      </c>
      <c r="B1364" t="s">
        <v>9</v>
      </c>
      <c r="C1364">
        <v>9</v>
      </c>
      <c r="D1364">
        <v>4179</v>
      </c>
      <c r="E1364">
        <v>2</v>
      </c>
      <c r="F1364" t="s">
        <v>258</v>
      </c>
      <c r="G1364">
        <v>1</v>
      </c>
      <c r="H1364" t="s">
        <v>29</v>
      </c>
      <c r="I1364">
        <v>14265</v>
      </c>
      <c r="J1364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:12">
      <c r="A1365" t="s">
        <v>178</v>
      </c>
      <c r="B1365" t="s">
        <v>9</v>
      </c>
      <c r="C1365">
        <v>9</v>
      </c>
      <c r="D1365">
        <v>4975</v>
      </c>
      <c r="E1365">
        <v>1</v>
      </c>
      <c r="F1365" t="s">
        <v>258</v>
      </c>
      <c r="G1365">
        <v>1</v>
      </c>
      <c r="H1365" t="s">
        <v>28</v>
      </c>
      <c r="I1365">
        <v>7650</v>
      </c>
      <c r="J1365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:12">
      <c r="A1366" t="s">
        <v>178</v>
      </c>
      <c r="B1366" t="s">
        <v>9</v>
      </c>
      <c r="C1366">
        <v>9</v>
      </c>
      <c r="D1366">
        <v>4786</v>
      </c>
      <c r="E1366">
        <v>0</v>
      </c>
      <c r="F1366" t="s">
        <v>318</v>
      </c>
      <c r="G1366">
        <v>1</v>
      </c>
      <c r="H1366" t="s">
        <v>28</v>
      </c>
      <c r="I1366">
        <v>12920</v>
      </c>
      <c r="J1366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:12">
      <c r="A1367" t="s">
        <v>178</v>
      </c>
      <c r="B1367" t="s">
        <v>9</v>
      </c>
      <c r="C1367">
        <v>9</v>
      </c>
      <c r="D1367">
        <v>3843</v>
      </c>
      <c r="E1367">
        <v>1</v>
      </c>
      <c r="F1367" t="s">
        <v>58</v>
      </c>
      <c r="G1367">
        <v>1</v>
      </c>
      <c r="H1367" t="s">
        <v>12</v>
      </c>
      <c r="I1367">
        <v>0</v>
      </c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11500</v>
      </c>
      <c r="L1367" s="43">
        <f>IFERROR(SUMIFS(Tabela10[Exp Gain only 2*+],Tabela10[Drop],DropAnalityka[[#This Row],[Drop]],Tabela10[Grade],DropAnalityka[[#This Row],[Grade]])*DropAnalityka[[#This Row],[Quality/Quantity]],0)</f>
        <v>35822</v>
      </c>
    </row>
    <row r="1368" spans="1:12">
      <c r="A1368" t="s">
        <v>178</v>
      </c>
      <c r="B1368" t="s">
        <v>9</v>
      </c>
      <c r="C1368">
        <v>9</v>
      </c>
      <c r="D1368">
        <v>4162</v>
      </c>
      <c r="E1368">
        <v>1</v>
      </c>
      <c r="F1368" t="s">
        <v>258</v>
      </c>
      <c r="G1368">
        <v>1</v>
      </c>
      <c r="H1368" t="s">
        <v>28</v>
      </c>
      <c r="I1368">
        <v>5780</v>
      </c>
      <c r="J1368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:12">
      <c r="A1369" t="s">
        <v>178</v>
      </c>
      <c r="B1369" t="s">
        <v>9</v>
      </c>
      <c r="C1369">
        <v>9</v>
      </c>
      <c r="D1369">
        <v>3879</v>
      </c>
      <c r="E1369">
        <v>1</v>
      </c>
      <c r="F1369" t="s">
        <v>258</v>
      </c>
      <c r="G1369">
        <v>1</v>
      </c>
      <c r="H1369" t="s">
        <v>27</v>
      </c>
      <c r="I1369">
        <v>7350</v>
      </c>
      <c r="J1369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:12">
      <c r="A1370" t="s">
        <v>178</v>
      </c>
      <c r="B1370" t="s">
        <v>9</v>
      </c>
      <c r="C1370">
        <v>9</v>
      </c>
      <c r="D1370">
        <v>3611</v>
      </c>
      <c r="E1370">
        <v>0</v>
      </c>
      <c r="F1370" t="s">
        <v>205</v>
      </c>
      <c r="G1370">
        <v>3</v>
      </c>
      <c r="H1370" t="s">
        <v>26</v>
      </c>
      <c r="I1370">
        <v>0</v>
      </c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2587.5</v>
      </c>
      <c r="L1370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71" spans="1:12">
      <c r="A1371" t="s">
        <v>178</v>
      </c>
      <c r="B1371" t="s">
        <v>9</v>
      </c>
      <c r="C1371">
        <v>9</v>
      </c>
      <c r="D1371">
        <v>4220</v>
      </c>
      <c r="E1371">
        <v>1</v>
      </c>
      <c r="F1371" t="s">
        <v>258</v>
      </c>
      <c r="G1371">
        <v>1</v>
      </c>
      <c r="H1371" t="s">
        <v>28</v>
      </c>
      <c r="I1371">
        <v>11560</v>
      </c>
      <c r="J1371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:12">
      <c r="A1372" t="s">
        <v>178</v>
      </c>
      <c r="B1372" t="s">
        <v>9</v>
      </c>
      <c r="C1372">
        <v>9</v>
      </c>
      <c r="D1372">
        <v>3765</v>
      </c>
      <c r="E1372">
        <v>0</v>
      </c>
      <c r="F1372" t="s">
        <v>258</v>
      </c>
      <c r="G1372">
        <v>1</v>
      </c>
      <c r="H1372" t="s">
        <v>27</v>
      </c>
      <c r="I1372">
        <v>3904</v>
      </c>
      <c r="J137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:12">
      <c r="A1373" t="s">
        <v>178</v>
      </c>
      <c r="B1373" t="s">
        <v>9</v>
      </c>
      <c r="C1373">
        <v>9</v>
      </c>
      <c r="D1373">
        <v>4073</v>
      </c>
      <c r="E1373">
        <v>3</v>
      </c>
      <c r="F1373" t="s">
        <v>34</v>
      </c>
      <c r="G1373">
        <v>4</v>
      </c>
      <c r="H1373" t="s">
        <v>17</v>
      </c>
      <c r="I1373">
        <v>0</v>
      </c>
      <c r="J137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3200</v>
      </c>
    </row>
    <row r="1374" spans="1:12">
      <c r="A1374" t="s">
        <v>178</v>
      </c>
      <c r="B1374" t="s">
        <v>9</v>
      </c>
      <c r="C1374">
        <v>9</v>
      </c>
      <c r="D1374">
        <v>3957</v>
      </c>
      <c r="E1374">
        <v>0</v>
      </c>
      <c r="F1374" t="s">
        <v>291</v>
      </c>
      <c r="G1374">
        <v>1</v>
      </c>
      <c r="H1374" t="s">
        <v>28</v>
      </c>
      <c r="I1374">
        <v>6375</v>
      </c>
      <c r="J1374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:12">
      <c r="A1375" t="s">
        <v>178</v>
      </c>
      <c r="B1375" t="s">
        <v>9</v>
      </c>
      <c r="C1375">
        <v>9</v>
      </c>
      <c r="D1375">
        <v>3704</v>
      </c>
      <c r="E1375">
        <v>2</v>
      </c>
      <c r="F1375" t="s">
        <v>258</v>
      </c>
      <c r="G1375">
        <v>1</v>
      </c>
      <c r="H1375" t="s">
        <v>28</v>
      </c>
      <c r="I1375">
        <v>11560</v>
      </c>
      <c r="J137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:12">
      <c r="A1376" t="s">
        <v>178</v>
      </c>
      <c r="B1376" t="s">
        <v>9</v>
      </c>
      <c r="C1376">
        <v>9</v>
      </c>
      <c r="D1376">
        <v>4168</v>
      </c>
      <c r="E1376">
        <v>1</v>
      </c>
      <c r="F1376" t="s">
        <v>58</v>
      </c>
      <c r="G1376">
        <v>1</v>
      </c>
      <c r="H1376" t="s">
        <v>12</v>
      </c>
      <c r="I1376">
        <v>0</v>
      </c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11500</v>
      </c>
      <c r="L1376" s="43">
        <f>IFERROR(SUMIFS(Tabela10[Exp Gain only 2*+],Tabela10[Drop],DropAnalityka[[#This Row],[Drop]],Tabela10[Grade],DropAnalityka[[#This Row],[Grade]])*DropAnalityka[[#This Row],[Quality/Quantity]],0)</f>
        <v>35822</v>
      </c>
    </row>
    <row r="1377" spans="1:12">
      <c r="A1377" t="s">
        <v>178</v>
      </c>
      <c r="B1377" t="s">
        <v>9</v>
      </c>
      <c r="C1377">
        <v>9</v>
      </c>
      <c r="D1377">
        <v>4443</v>
      </c>
      <c r="E1377">
        <v>2</v>
      </c>
      <c r="F1377" t="s">
        <v>258</v>
      </c>
      <c r="G1377">
        <v>1</v>
      </c>
      <c r="H1377" t="s">
        <v>28</v>
      </c>
      <c r="I1377">
        <v>11560</v>
      </c>
      <c r="J1377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:12">
      <c r="A1378" t="s">
        <v>178</v>
      </c>
      <c r="B1378" t="s">
        <v>9</v>
      </c>
      <c r="C1378">
        <v>9</v>
      </c>
      <c r="D1378">
        <v>4007</v>
      </c>
      <c r="E1378">
        <v>0</v>
      </c>
      <c r="F1378" t="s">
        <v>258</v>
      </c>
      <c r="G1378">
        <v>1</v>
      </c>
      <c r="H1378" t="s">
        <v>28</v>
      </c>
      <c r="I1378">
        <v>12240</v>
      </c>
      <c r="J1378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:12">
      <c r="A1379" t="s">
        <v>178</v>
      </c>
      <c r="B1379" t="s">
        <v>9</v>
      </c>
      <c r="C1379">
        <v>9</v>
      </c>
      <c r="D1379">
        <v>4304</v>
      </c>
      <c r="E1379">
        <v>2</v>
      </c>
      <c r="F1379" t="s">
        <v>258</v>
      </c>
      <c r="G1379">
        <v>1</v>
      </c>
      <c r="H1379" t="s">
        <v>29</v>
      </c>
      <c r="I1379">
        <v>20288</v>
      </c>
      <c r="J1379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:12">
      <c r="A1380" t="s">
        <v>178</v>
      </c>
      <c r="B1380" t="s">
        <v>9</v>
      </c>
      <c r="C1380">
        <v>9</v>
      </c>
      <c r="D1380">
        <v>3825</v>
      </c>
      <c r="E1380">
        <v>1</v>
      </c>
      <c r="F1380" t="s">
        <v>291</v>
      </c>
      <c r="G1380">
        <v>1</v>
      </c>
      <c r="H1380" t="s">
        <v>29</v>
      </c>
      <c r="I1380">
        <v>17118</v>
      </c>
      <c r="J1380">
        <f>DropAnalityka[[#This Row],[Sell Drop]]+IFERROR(SUMIFS(Tabela10[Drop Worth],Tabela10[Drop],DropAnalityka[[#This Row],[Drop]],Tabela10[Grade],DropAnalityka[[#This Row],[Grade]])*DropAnalityka[[#This Row],[Quality/Quantity]],0)</f>
        <v>17118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:12">
      <c r="A1381" t="s">
        <v>178</v>
      </c>
      <c r="B1381" t="s">
        <v>9</v>
      </c>
      <c r="C1381">
        <v>9</v>
      </c>
      <c r="D1381">
        <v>3952</v>
      </c>
      <c r="E1381">
        <v>0</v>
      </c>
      <c r="F1381" t="s">
        <v>258</v>
      </c>
      <c r="G1381">
        <v>1</v>
      </c>
      <c r="H1381" t="s">
        <v>27</v>
      </c>
      <c r="I1381">
        <v>3445</v>
      </c>
      <c r="J1381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:12">
      <c r="A1382" t="s">
        <v>178</v>
      </c>
      <c r="B1382" t="s">
        <v>9</v>
      </c>
      <c r="C1382">
        <v>9</v>
      </c>
      <c r="D1382">
        <v>3837</v>
      </c>
      <c r="E1382">
        <v>0</v>
      </c>
      <c r="F1382" t="s">
        <v>258</v>
      </c>
      <c r="G1382">
        <v>1</v>
      </c>
      <c r="H1382" t="s">
        <v>29</v>
      </c>
      <c r="I1382">
        <v>18861</v>
      </c>
      <c r="J1382">
        <f>DropAnalityka[[#This Row],[Sell Drop]]+IFERROR(SUMIFS(Tabela10[Drop Worth],Tabela10[Drop],DropAnalityka[[#This Row],[Drop]],Tabela10[Grade],DropAnalityka[[#This Row],[Grade]])*DropAnalityka[[#This Row],[Quality/Quantity]],0)</f>
        <v>18861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:12">
      <c r="A1383" t="s">
        <v>178</v>
      </c>
      <c r="B1383" t="s">
        <v>9</v>
      </c>
      <c r="C1383">
        <v>9</v>
      </c>
      <c r="D1383">
        <v>3964</v>
      </c>
      <c r="E1383">
        <v>2</v>
      </c>
      <c r="F1383" t="s">
        <v>258</v>
      </c>
      <c r="G1383">
        <v>1</v>
      </c>
      <c r="H1383" t="s">
        <v>28</v>
      </c>
      <c r="I1383">
        <v>8075</v>
      </c>
      <c r="J1383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:12">
      <c r="A1384" t="s">
        <v>178</v>
      </c>
      <c r="B1384" t="s">
        <v>9</v>
      </c>
      <c r="C1384">
        <v>9</v>
      </c>
      <c r="D1384">
        <v>3954</v>
      </c>
      <c r="E1384">
        <v>1</v>
      </c>
      <c r="F1384" t="s">
        <v>258</v>
      </c>
      <c r="G1384">
        <v>1</v>
      </c>
      <c r="H1384" t="s">
        <v>28</v>
      </c>
      <c r="I1384">
        <v>5440</v>
      </c>
      <c r="J1384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:12">
      <c r="A1385" t="s">
        <v>178</v>
      </c>
      <c r="B1385" t="s">
        <v>9</v>
      </c>
      <c r="C1385">
        <v>9</v>
      </c>
      <c r="D1385">
        <v>3909</v>
      </c>
      <c r="E1385">
        <v>0</v>
      </c>
      <c r="F1385" t="s">
        <v>34</v>
      </c>
      <c r="G1385">
        <v>5</v>
      </c>
      <c r="H1385" t="s">
        <v>17</v>
      </c>
      <c r="I1385">
        <v>0</v>
      </c>
      <c r="J138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4000</v>
      </c>
    </row>
    <row r="1386" spans="1:12">
      <c r="A1386" t="s">
        <v>178</v>
      </c>
      <c r="B1386" t="s">
        <v>9</v>
      </c>
      <c r="C1386">
        <v>9</v>
      </c>
      <c r="D1386">
        <v>3708</v>
      </c>
      <c r="E1386">
        <v>2</v>
      </c>
      <c r="F1386" t="s">
        <v>34</v>
      </c>
      <c r="G1386">
        <v>5</v>
      </c>
      <c r="H1386" t="s">
        <v>17</v>
      </c>
      <c r="I1386">
        <v>0</v>
      </c>
      <c r="J138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4000</v>
      </c>
    </row>
    <row r="1387" spans="1:12">
      <c r="A1387" t="s">
        <v>178</v>
      </c>
      <c r="B1387" t="s">
        <v>9</v>
      </c>
      <c r="C1387">
        <v>9</v>
      </c>
      <c r="D1387">
        <v>3596</v>
      </c>
      <c r="E1387">
        <v>3</v>
      </c>
      <c r="F1387" t="s">
        <v>258</v>
      </c>
      <c r="G1387">
        <v>1</v>
      </c>
      <c r="H1387" t="s">
        <v>29</v>
      </c>
      <c r="I1387">
        <v>10144</v>
      </c>
      <c r="J138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:12">
      <c r="A1388" t="s">
        <v>178</v>
      </c>
      <c r="B1388" t="s">
        <v>9</v>
      </c>
      <c r="C1388">
        <v>9</v>
      </c>
      <c r="D1388">
        <v>3997</v>
      </c>
      <c r="E1388">
        <v>2</v>
      </c>
      <c r="F1388" t="s">
        <v>58</v>
      </c>
      <c r="G1388">
        <v>1</v>
      </c>
      <c r="H1388" t="s">
        <v>12</v>
      </c>
      <c r="I1388">
        <v>0</v>
      </c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11500</v>
      </c>
      <c r="L1388" s="43">
        <f>IFERROR(SUMIFS(Tabela10[Exp Gain only 2*+],Tabela10[Drop],DropAnalityka[[#This Row],[Drop]],Tabela10[Grade],DropAnalityka[[#This Row],[Grade]])*DropAnalityka[[#This Row],[Quality/Quantity]],0)</f>
        <v>35822</v>
      </c>
    </row>
    <row r="1389" spans="1:12">
      <c r="A1389" t="s">
        <v>178</v>
      </c>
      <c r="B1389" t="s">
        <v>9</v>
      </c>
      <c r="C1389">
        <v>9</v>
      </c>
      <c r="D1389">
        <v>4264</v>
      </c>
      <c r="E1389">
        <v>0</v>
      </c>
      <c r="F1389" t="s">
        <v>34</v>
      </c>
      <c r="G1389">
        <v>4</v>
      </c>
      <c r="H1389" t="s">
        <v>17</v>
      </c>
      <c r="I1389">
        <v>0</v>
      </c>
      <c r="J13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3200</v>
      </c>
    </row>
    <row r="1390" spans="1:12">
      <c r="A1390" t="s">
        <v>178</v>
      </c>
      <c r="B1390" t="s">
        <v>9</v>
      </c>
      <c r="C1390">
        <v>9</v>
      </c>
      <c r="D1390">
        <v>4199</v>
      </c>
      <c r="E1390">
        <v>3</v>
      </c>
      <c r="F1390" t="s">
        <v>258</v>
      </c>
      <c r="G1390">
        <v>1</v>
      </c>
      <c r="H1390" t="s">
        <v>28</v>
      </c>
      <c r="I1390">
        <v>5440</v>
      </c>
      <c r="J139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:12">
      <c r="A1391" t="s">
        <v>178</v>
      </c>
      <c r="B1391" t="s">
        <v>9</v>
      </c>
      <c r="C1391">
        <v>9</v>
      </c>
      <c r="D1391">
        <v>4060</v>
      </c>
      <c r="E1391">
        <v>2</v>
      </c>
      <c r="F1391" t="s">
        <v>34</v>
      </c>
      <c r="G1391">
        <v>4</v>
      </c>
      <c r="H1391" t="s">
        <v>17</v>
      </c>
      <c r="I1391">
        <v>0</v>
      </c>
      <c r="J139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3200</v>
      </c>
    </row>
    <row r="1392" spans="1:12">
      <c r="A1392" t="s">
        <v>178</v>
      </c>
      <c r="B1392" t="s">
        <v>9</v>
      </c>
      <c r="C1392">
        <v>9</v>
      </c>
      <c r="D1392">
        <v>3943</v>
      </c>
      <c r="E1392">
        <v>3</v>
      </c>
      <c r="F1392" t="s">
        <v>34</v>
      </c>
      <c r="G1392">
        <v>4</v>
      </c>
      <c r="H1392" t="s">
        <v>17</v>
      </c>
      <c r="I1392">
        <v>0</v>
      </c>
      <c r="J139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3200</v>
      </c>
    </row>
    <row r="1393" spans="1:12">
      <c r="A1393" t="s">
        <v>178</v>
      </c>
      <c r="B1393" t="s">
        <v>9</v>
      </c>
      <c r="C1393">
        <v>9</v>
      </c>
      <c r="D1393">
        <v>4141</v>
      </c>
      <c r="E1393">
        <v>1</v>
      </c>
      <c r="F1393" t="s">
        <v>34</v>
      </c>
      <c r="G1393">
        <v>4</v>
      </c>
      <c r="H1393" t="s">
        <v>17</v>
      </c>
      <c r="I1393">
        <v>0</v>
      </c>
      <c r="J139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3200</v>
      </c>
    </row>
    <row r="1394" spans="1:12">
      <c r="A1394" t="s">
        <v>178</v>
      </c>
      <c r="B1394" t="s">
        <v>9</v>
      </c>
      <c r="C1394">
        <v>9</v>
      </c>
      <c r="D1394">
        <v>4075</v>
      </c>
      <c r="E1394">
        <v>0</v>
      </c>
      <c r="F1394" t="s">
        <v>34</v>
      </c>
      <c r="G1394">
        <v>4</v>
      </c>
      <c r="H1394" t="s">
        <v>17</v>
      </c>
      <c r="I1394">
        <v>0</v>
      </c>
      <c r="J13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3200</v>
      </c>
    </row>
    <row r="1395" spans="1:12">
      <c r="A1395" t="s">
        <v>178</v>
      </c>
      <c r="B1395" t="s">
        <v>9</v>
      </c>
      <c r="C1395">
        <v>9</v>
      </c>
      <c r="D1395">
        <v>4269</v>
      </c>
      <c r="E1395">
        <v>1</v>
      </c>
      <c r="F1395" t="s">
        <v>258</v>
      </c>
      <c r="G1395">
        <v>1</v>
      </c>
      <c r="H1395" t="s">
        <v>27</v>
      </c>
      <c r="I1395">
        <v>6431</v>
      </c>
      <c r="J1395">
        <f>DropAnalityka[[#This Row],[Sell Drop]]+IFERROR(SUMIFS(Tabela10[Drop Worth],Tabela10[Drop],DropAnalityka[[#This Row],[Drop]],Tabela10[Grade],DropAnalityka[[#This Row],[Grade]])*DropAnalityka[[#This Row],[Quality/Quantity]],0)</f>
        <v>6431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:12">
      <c r="A1396" t="s">
        <v>178</v>
      </c>
      <c r="B1396" t="s">
        <v>9</v>
      </c>
      <c r="C1396">
        <v>9</v>
      </c>
      <c r="D1396">
        <v>3888</v>
      </c>
      <c r="E1396">
        <v>2</v>
      </c>
      <c r="F1396" t="s">
        <v>34</v>
      </c>
      <c r="G1396">
        <v>5</v>
      </c>
      <c r="H1396" t="s">
        <v>17</v>
      </c>
      <c r="I1396">
        <v>0</v>
      </c>
      <c r="J13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4000</v>
      </c>
    </row>
    <row r="1397" spans="1:12">
      <c r="A1397" t="s">
        <v>178</v>
      </c>
      <c r="B1397" t="s">
        <v>9</v>
      </c>
      <c r="C1397">
        <v>9</v>
      </c>
      <c r="D1397">
        <v>3672</v>
      </c>
      <c r="E1397">
        <v>1</v>
      </c>
      <c r="F1397" t="s">
        <v>258</v>
      </c>
      <c r="G1397">
        <v>1</v>
      </c>
      <c r="H1397" t="s">
        <v>27</v>
      </c>
      <c r="I1397">
        <v>6120</v>
      </c>
      <c r="J139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:12">
      <c r="A1398" t="s">
        <v>178</v>
      </c>
      <c r="B1398" t="s">
        <v>9</v>
      </c>
      <c r="C1398">
        <v>9</v>
      </c>
      <c r="D1398">
        <v>3924</v>
      </c>
      <c r="E1398">
        <v>1</v>
      </c>
      <c r="F1398" t="s">
        <v>258</v>
      </c>
      <c r="G1398">
        <v>1</v>
      </c>
      <c r="H1398" t="s">
        <v>28</v>
      </c>
      <c r="I1398">
        <v>12920</v>
      </c>
      <c r="J1398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:12">
      <c r="A1399" t="s">
        <v>178</v>
      </c>
      <c r="B1399" t="s">
        <v>9</v>
      </c>
      <c r="C1399">
        <v>9</v>
      </c>
      <c r="D1399">
        <v>4086</v>
      </c>
      <c r="E1399">
        <v>1</v>
      </c>
      <c r="F1399" t="s">
        <v>258</v>
      </c>
      <c r="G1399">
        <v>1</v>
      </c>
      <c r="H1399" t="s">
        <v>27</v>
      </c>
      <c r="I1399">
        <v>6120</v>
      </c>
      <c r="J139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:12">
      <c r="A1400" t="s">
        <v>178</v>
      </c>
      <c r="B1400" t="s">
        <v>9</v>
      </c>
      <c r="C1400">
        <v>9</v>
      </c>
      <c r="D1400">
        <v>3956</v>
      </c>
      <c r="E1400">
        <v>1</v>
      </c>
      <c r="F1400" t="s">
        <v>34</v>
      </c>
      <c r="G1400">
        <v>4</v>
      </c>
      <c r="H1400" t="s">
        <v>17</v>
      </c>
      <c r="I1400">
        <v>0</v>
      </c>
      <c r="J14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3200</v>
      </c>
    </row>
    <row r="1401" spans="1:12">
      <c r="A1401" t="s">
        <v>178</v>
      </c>
      <c r="B1401" t="s">
        <v>9</v>
      </c>
      <c r="C1401">
        <v>9</v>
      </c>
      <c r="D1401">
        <v>4121</v>
      </c>
      <c r="E1401">
        <v>2</v>
      </c>
      <c r="F1401" t="s">
        <v>291</v>
      </c>
      <c r="G1401">
        <v>1</v>
      </c>
      <c r="H1401" t="s">
        <v>29</v>
      </c>
      <c r="I1401">
        <v>27103</v>
      </c>
      <c r="J1401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:12">
      <c r="A1402" t="s">
        <v>178</v>
      </c>
      <c r="B1402" t="s">
        <v>9</v>
      </c>
      <c r="C1402">
        <v>9</v>
      </c>
      <c r="D1402">
        <v>3864</v>
      </c>
      <c r="E1402">
        <v>1</v>
      </c>
      <c r="F1402" t="s">
        <v>34</v>
      </c>
      <c r="G1402">
        <v>4</v>
      </c>
      <c r="H1402" t="s">
        <v>17</v>
      </c>
      <c r="I1402">
        <v>0</v>
      </c>
      <c r="J140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3200</v>
      </c>
    </row>
    <row r="1403" spans="1:12">
      <c r="A1403" t="s">
        <v>178</v>
      </c>
      <c r="B1403" t="s">
        <v>9</v>
      </c>
      <c r="C1403">
        <v>9</v>
      </c>
      <c r="D1403">
        <v>4144</v>
      </c>
      <c r="E1403">
        <v>2</v>
      </c>
      <c r="F1403" t="s">
        <v>258</v>
      </c>
      <c r="G1403">
        <v>1</v>
      </c>
      <c r="H1403" t="s">
        <v>27</v>
      </c>
      <c r="I1403">
        <v>3445</v>
      </c>
      <c r="J140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:12">
      <c r="A1404" t="s">
        <v>178</v>
      </c>
      <c r="B1404" t="s">
        <v>9</v>
      </c>
      <c r="C1404">
        <v>9</v>
      </c>
      <c r="D1404">
        <v>3884</v>
      </c>
      <c r="E1404">
        <v>1</v>
      </c>
      <c r="F1404" t="s">
        <v>258</v>
      </c>
      <c r="G1404">
        <v>1</v>
      </c>
      <c r="H1404" t="s">
        <v>27</v>
      </c>
      <c r="I1404">
        <v>3675</v>
      </c>
      <c r="J140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:12">
      <c r="A1405" t="s">
        <v>178</v>
      </c>
      <c r="B1405" t="s">
        <v>9</v>
      </c>
      <c r="C1405">
        <v>9</v>
      </c>
      <c r="D1405">
        <v>4186</v>
      </c>
      <c r="E1405">
        <v>0</v>
      </c>
      <c r="F1405" t="s">
        <v>291</v>
      </c>
      <c r="G1405">
        <v>1</v>
      </c>
      <c r="H1405" t="s">
        <v>28</v>
      </c>
      <c r="I1405">
        <v>17000</v>
      </c>
      <c r="J1405">
        <f>DropAnalityka[[#This Row],[Sell Drop]]+IFERROR(SUMIFS(Tabela10[Drop Worth],Tabela10[Drop],DropAnalityka[[#This Row],[Drop]],Tabela10[Grade],DropAnalityka[[#This Row],[Grade]])*DropAnalityka[[#This Row],[Quality/Quantity]],0)</f>
        <v>17000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:12">
      <c r="A1406" t="s">
        <v>178</v>
      </c>
      <c r="B1406" t="s">
        <v>9</v>
      </c>
      <c r="C1406">
        <v>9</v>
      </c>
      <c r="D1406">
        <v>3886</v>
      </c>
      <c r="E1406">
        <v>0</v>
      </c>
      <c r="F1406" t="s">
        <v>34</v>
      </c>
      <c r="G1406">
        <v>5</v>
      </c>
      <c r="H1406" t="s">
        <v>17</v>
      </c>
      <c r="I1406">
        <v>0</v>
      </c>
      <c r="J140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4000</v>
      </c>
    </row>
    <row r="1407" spans="1:12">
      <c r="A1407" t="s">
        <v>178</v>
      </c>
      <c r="B1407" t="s">
        <v>9</v>
      </c>
      <c r="C1407">
        <v>9</v>
      </c>
      <c r="D1407">
        <v>4242</v>
      </c>
      <c r="E1407">
        <v>2</v>
      </c>
      <c r="F1407" t="s">
        <v>258</v>
      </c>
      <c r="G1407">
        <v>1</v>
      </c>
      <c r="H1407" t="s">
        <v>27</v>
      </c>
      <c r="I1407">
        <v>4364</v>
      </c>
      <c r="J1407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:12">
      <c r="A1408" t="s">
        <v>178</v>
      </c>
      <c r="B1408" t="s">
        <v>9</v>
      </c>
      <c r="C1408">
        <v>9</v>
      </c>
      <c r="D1408">
        <v>4062</v>
      </c>
      <c r="E1408">
        <v>1</v>
      </c>
      <c r="F1408" t="s">
        <v>258</v>
      </c>
      <c r="G1408">
        <v>1</v>
      </c>
      <c r="H1408" t="s">
        <v>27</v>
      </c>
      <c r="I1408">
        <v>2940</v>
      </c>
      <c r="J140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:12">
      <c r="A1409" t="s">
        <v>178</v>
      </c>
      <c r="B1409" t="s">
        <v>9</v>
      </c>
      <c r="C1409">
        <v>9</v>
      </c>
      <c r="D1409">
        <v>4025</v>
      </c>
      <c r="E1409">
        <v>1</v>
      </c>
      <c r="F1409" t="s">
        <v>258</v>
      </c>
      <c r="G1409">
        <v>1</v>
      </c>
      <c r="H1409" t="s">
        <v>28</v>
      </c>
      <c r="I1409">
        <v>6800</v>
      </c>
      <c r="J140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:12">
      <c r="A1410" t="s">
        <v>178</v>
      </c>
      <c r="B1410" t="s">
        <v>9</v>
      </c>
      <c r="C1410">
        <v>9</v>
      </c>
      <c r="D1410">
        <v>4416</v>
      </c>
      <c r="E1410">
        <v>3</v>
      </c>
      <c r="F1410" t="s">
        <v>258</v>
      </c>
      <c r="G1410">
        <v>1</v>
      </c>
      <c r="H1410" t="s">
        <v>27</v>
      </c>
      <c r="I1410">
        <v>6615</v>
      </c>
      <c r="J1410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:12">
      <c r="A1411" t="s">
        <v>178</v>
      </c>
      <c r="B1411" t="s">
        <v>9</v>
      </c>
      <c r="C1411">
        <v>9</v>
      </c>
      <c r="D1411">
        <v>3856</v>
      </c>
      <c r="E1411">
        <v>2</v>
      </c>
      <c r="F1411" t="s">
        <v>291</v>
      </c>
      <c r="G1411">
        <v>1</v>
      </c>
      <c r="H1411" t="s">
        <v>27</v>
      </c>
      <c r="I1411">
        <v>6615</v>
      </c>
      <c r="J1411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:12">
      <c r="A1412" t="s">
        <v>178</v>
      </c>
      <c r="B1412" t="s">
        <v>9</v>
      </c>
      <c r="C1412">
        <v>9</v>
      </c>
      <c r="D1412">
        <v>4170</v>
      </c>
      <c r="E1412">
        <v>2</v>
      </c>
      <c r="F1412" t="s">
        <v>34</v>
      </c>
      <c r="G1412">
        <v>4</v>
      </c>
      <c r="H1412" t="s">
        <v>17</v>
      </c>
      <c r="I1412">
        <v>0</v>
      </c>
      <c r="J141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3200</v>
      </c>
    </row>
    <row r="1413" spans="1:12">
      <c r="A1413" t="s">
        <v>178</v>
      </c>
      <c r="B1413" t="s">
        <v>9</v>
      </c>
      <c r="C1413">
        <v>9</v>
      </c>
      <c r="D1413">
        <v>4152</v>
      </c>
      <c r="E1413">
        <v>1</v>
      </c>
      <c r="F1413" t="s">
        <v>258</v>
      </c>
      <c r="G1413">
        <v>1</v>
      </c>
      <c r="H1413" t="s">
        <v>27</v>
      </c>
      <c r="I1413">
        <v>6247</v>
      </c>
      <c r="J1413">
        <f>DropAnalityka[[#This Row],[Sell Drop]]+IFERROR(SUMIFS(Tabela10[Drop Worth],Tabela10[Drop],DropAnalityka[[#This Row],[Drop]],Tabela10[Grade],DropAnalityka[[#This Row],[Grade]])*DropAnalityka[[#This Row],[Quality/Quantity]],0)</f>
        <v>6247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:12">
      <c r="A1414" t="s">
        <v>178</v>
      </c>
      <c r="B1414" t="s">
        <v>9</v>
      </c>
      <c r="C1414">
        <v>9</v>
      </c>
      <c r="D1414">
        <v>3678</v>
      </c>
      <c r="E1414">
        <v>0</v>
      </c>
      <c r="F1414" t="s">
        <v>291</v>
      </c>
      <c r="G1414">
        <v>1</v>
      </c>
      <c r="H1414" t="s">
        <v>28</v>
      </c>
      <c r="I1414">
        <v>10200</v>
      </c>
      <c r="J1414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:12">
      <c r="A1415" t="s">
        <v>178</v>
      </c>
      <c r="B1415" t="s">
        <v>9</v>
      </c>
      <c r="C1415">
        <v>9</v>
      </c>
      <c r="D1415">
        <v>4310</v>
      </c>
      <c r="E1415">
        <v>2</v>
      </c>
      <c r="F1415" t="s">
        <v>258</v>
      </c>
      <c r="G1415">
        <v>1</v>
      </c>
      <c r="H1415" t="s">
        <v>27</v>
      </c>
      <c r="I1415">
        <v>5100</v>
      </c>
      <c r="J1415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:12">
      <c r="A1416" t="s">
        <v>178</v>
      </c>
      <c r="B1416" t="s">
        <v>9</v>
      </c>
      <c r="C1416">
        <v>9</v>
      </c>
      <c r="D1416">
        <v>3697</v>
      </c>
      <c r="E1416">
        <v>0</v>
      </c>
      <c r="F1416" t="s">
        <v>258</v>
      </c>
      <c r="G1416">
        <v>1</v>
      </c>
      <c r="H1416" t="s">
        <v>27</v>
      </c>
      <c r="I1416">
        <v>2940</v>
      </c>
      <c r="J141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:12">
      <c r="A1417" t="s">
        <v>178</v>
      </c>
      <c r="B1417" t="s">
        <v>9</v>
      </c>
      <c r="C1417">
        <v>9</v>
      </c>
      <c r="D1417">
        <v>4208</v>
      </c>
      <c r="E1417">
        <v>1</v>
      </c>
      <c r="F1417" t="s">
        <v>258</v>
      </c>
      <c r="G1417">
        <v>1</v>
      </c>
      <c r="H1417" t="s">
        <v>27</v>
      </c>
      <c r="I1417">
        <v>5788</v>
      </c>
      <c r="J1417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:12">
      <c r="A1418" t="s">
        <v>178</v>
      </c>
      <c r="B1418" t="s">
        <v>9</v>
      </c>
      <c r="C1418">
        <v>9</v>
      </c>
      <c r="D1418">
        <v>4465</v>
      </c>
      <c r="E1418">
        <v>2</v>
      </c>
      <c r="F1418" t="s">
        <v>258</v>
      </c>
      <c r="G1418">
        <v>1</v>
      </c>
      <c r="H1418" t="s">
        <v>27</v>
      </c>
      <c r="I1418">
        <v>4134</v>
      </c>
      <c r="J1418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:12">
      <c r="A1419" t="s">
        <v>178</v>
      </c>
      <c r="B1419" t="s">
        <v>9</v>
      </c>
      <c r="C1419">
        <v>9</v>
      </c>
      <c r="D1419">
        <v>3829</v>
      </c>
      <c r="E1419">
        <v>2</v>
      </c>
      <c r="F1419" t="s">
        <v>258</v>
      </c>
      <c r="G1419">
        <v>1</v>
      </c>
      <c r="H1419" t="s">
        <v>27</v>
      </c>
      <c r="I1419">
        <v>6982</v>
      </c>
      <c r="J1419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:12">
      <c r="A1420" t="s">
        <v>178</v>
      </c>
      <c r="B1420" t="s">
        <v>9</v>
      </c>
      <c r="C1420">
        <v>9</v>
      </c>
      <c r="D1420">
        <v>4194</v>
      </c>
      <c r="E1420">
        <v>0</v>
      </c>
      <c r="F1420" t="s">
        <v>258</v>
      </c>
      <c r="G1420">
        <v>1</v>
      </c>
      <c r="H1420" t="s">
        <v>27</v>
      </c>
      <c r="I1420">
        <v>3307</v>
      </c>
      <c r="J14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:12">
      <c r="A1421" t="s">
        <v>178</v>
      </c>
      <c r="B1421" t="s">
        <v>9</v>
      </c>
      <c r="C1421">
        <v>9</v>
      </c>
      <c r="D1421">
        <v>3953</v>
      </c>
      <c r="E1421">
        <v>0</v>
      </c>
      <c r="F1421" t="s">
        <v>258</v>
      </c>
      <c r="G1421">
        <v>1</v>
      </c>
      <c r="H1421" t="s">
        <v>28</v>
      </c>
      <c r="I1421">
        <v>6800</v>
      </c>
      <c r="J142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:12">
      <c r="A1422" t="s">
        <v>178</v>
      </c>
      <c r="B1422" t="s">
        <v>9</v>
      </c>
      <c r="C1422">
        <v>9</v>
      </c>
      <c r="D1422">
        <v>3831</v>
      </c>
      <c r="E1422">
        <v>0</v>
      </c>
      <c r="F1422" t="s">
        <v>258</v>
      </c>
      <c r="G1422">
        <v>1</v>
      </c>
      <c r="H1422" t="s">
        <v>28</v>
      </c>
      <c r="I1422">
        <v>5780</v>
      </c>
      <c r="J1422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:12">
      <c r="A1423" t="s">
        <v>178</v>
      </c>
      <c r="B1423" t="s">
        <v>9</v>
      </c>
      <c r="C1423">
        <v>9</v>
      </c>
      <c r="D1423">
        <v>3852</v>
      </c>
      <c r="E1423">
        <v>0</v>
      </c>
      <c r="F1423" t="s">
        <v>258</v>
      </c>
      <c r="G1423">
        <v>1</v>
      </c>
      <c r="H1423" t="s">
        <v>29</v>
      </c>
      <c r="I1423">
        <v>17752</v>
      </c>
      <c r="J1423">
        <f>DropAnalityka[[#This Row],[Sell Drop]]+IFERROR(SUMIFS(Tabela10[Drop Worth],Tabela10[Drop],DropAnalityka[[#This Row],[Drop]],Tabela10[Grade],DropAnalityka[[#This Row],[Grade]])*DropAnalityka[[#This Row],[Quality/Quantity]],0)</f>
        <v>17752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:12">
      <c r="A1424" t="s">
        <v>178</v>
      </c>
      <c r="B1424" t="s">
        <v>9</v>
      </c>
      <c r="C1424">
        <v>9</v>
      </c>
      <c r="D1424">
        <v>4081</v>
      </c>
      <c r="E1424">
        <v>2</v>
      </c>
      <c r="F1424" t="s">
        <v>34</v>
      </c>
      <c r="G1424">
        <v>4</v>
      </c>
      <c r="H1424" t="s">
        <v>17</v>
      </c>
      <c r="I1424">
        <v>0</v>
      </c>
      <c r="J14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3200</v>
      </c>
    </row>
    <row r="1425" spans="1:12">
      <c r="A1425" t="s">
        <v>178</v>
      </c>
      <c r="B1425" t="s">
        <v>9</v>
      </c>
      <c r="C1425">
        <v>9</v>
      </c>
      <c r="D1425">
        <v>4016</v>
      </c>
      <c r="E1425">
        <v>1</v>
      </c>
      <c r="F1425" t="s">
        <v>258</v>
      </c>
      <c r="G1425">
        <v>1</v>
      </c>
      <c r="H1425" t="s">
        <v>27</v>
      </c>
      <c r="I1425">
        <v>6100</v>
      </c>
      <c r="J1425">
        <f>DropAnalityka[[#This Row],[Sell Drop]]+IFERROR(SUMIFS(Tabela10[Drop Worth],Tabela10[Drop],DropAnalityka[[#This Row],[Drop]],Tabela10[Grade],DropAnalityka[[#This Row],[Grade]])*DropAnalityka[[#This Row],[Quality/Quantity]],0)</f>
        <v>6100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:12">
      <c r="A1426" t="s">
        <v>178</v>
      </c>
      <c r="B1426" t="s">
        <v>9</v>
      </c>
      <c r="C1426">
        <v>9</v>
      </c>
      <c r="D1426">
        <v>4213</v>
      </c>
      <c r="E1426">
        <v>0</v>
      </c>
      <c r="F1426" t="s">
        <v>258</v>
      </c>
      <c r="G1426">
        <v>1</v>
      </c>
      <c r="H1426" t="s">
        <v>28</v>
      </c>
      <c r="I1426">
        <v>8075</v>
      </c>
      <c r="J1426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:12">
      <c r="A1427" t="s">
        <v>178</v>
      </c>
      <c r="B1427" t="s">
        <v>9</v>
      </c>
      <c r="C1427">
        <v>9</v>
      </c>
      <c r="D1427">
        <v>3708</v>
      </c>
      <c r="E1427">
        <v>1</v>
      </c>
      <c r="F1427" t="s">
        <v>291</v>
      </c>
      <c r="G1427">
        <v>1</v>
      </c>
      <c r="H1427" t="s">
        <v>27</v>
      </c>
      <c r="I1427">
        <v>4961</v>
      </c>
      <c r="J1427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:12">
      <c r="A1428" t="s">
        <v>178</v>
      </c>
      <c r="B1428" t="s">
        <v>9</v>
      </c>
      <c r="C1428">
        <v>10</v>
      </c>
      <c r="D1428">
        <v>4889</v>
      </c>
      <c r="E1428">
        <v>2</v>
      </c>
      <c r="F1428" t="s">
        <v>258</v>
      </c>
      <c r="G1428">
        <v>1</v>
      </c>
      <c r="H1428" t="s">
        <v>28</v>
      </c>
      <c r="I1428">
        <v>15300</v>
      </c>
      <c r="J1428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:12">
      <c r="A1429" t="s">
        <v>178</v>
      </c>
      <c r="B1429" t="s">
        <v>9</v>
      </c>
      <c r="C1429">
        <v>9</v>
      </c>
      <c r="D1429">
        <v>4352</v>
      </c>
      <c r="E1429">
        <v>1</v>
      </c>
      <c r="F1429" t="s">
        <v>258</v>
      </c>
      <c r="G1429">
        <v>1</v>
      </c>
      <c r="H1429" t="s">
        <v>29</v>
      </c>
      <c r="I1429">
        <v>15850</v>
      </c>
      <c r="J1429">
        <f>DropAnalityka[[#This Row],[Sell Drop]]+IFERROR(SUMIFS(Tabela10[Drop Worth],Tabela10[Drop],DropAnalityka[[#This Row],[Drop]],Tabela10[Grade],DropAnalityka[[#This Row],[Grade]])*DropAnalityka[[#This Row],[Quality/Quantity]],0)</f>
        <v>15850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:12">
      <c r="A1430" t="s">
        <v>178</v>
      </c>
      <c r="B1430" t="s">
        <v>9</v>
      </c>
      <c r="C1430">
        <v>9</v>
      </c>
      <c r="D1430">
        <v>4128</v>
      </c>
      <c r="E1430">
        <v>0</v>
      </c>
      <c r="F1430" t="s">
        <v>258</v>
      </c>
      <c r="G1430">
        <v>1</v>
      </c>
      <c r="H1430" t="s">
        <v>28</v>
      </c>
      <c r="I1430">
        <v>10710</v>
      </c>
      <c r="J1430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:12">
      <c r="A1431" t="s">
        <v>178</v>
      </c>
      <c r="B1431" t="s">
        <v>9</v>
      </c>
      <c r="C1431">
        <v>9</v>
      </c>
      <c r="D1431">
        <v>4086</v>
      </c>
      <c r="E1431">
        <v>1</v>
      </c>
      <c r="F1431" t="s">
        <v>258</v>
      </c>
      <c r="G1431">
        <v>1</v>
      </c>
      <c r="H1431" t="s">
        <v>27</v>
      </c>
      <c r="I1431">
        <v>1593</v>
      </c>
      <c r="J1431">
        <f>DropAnalityka[[#This Row],[Sell Drop]]+IFERROR(SUMIFS(Tabela10[Drop Worth],Tabela10[Drop],DropAnalityka[[#This Row],[Drop]],Tabela10[Grade],DropAnalityka[[#This Row],[Grade]])*DropAnalityka[[#This Row],[Quality/Quantity]],0)</f>
        <v>1593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:12">
      <c r="A1432" t="s">
        <v>178</v>
      </c>
      <c r="B1432" t="s">
        <v>9</v>
      </c>
      <c r="C1432">
        <v>9</v>
      </c>
      <c r="D1432">
        <v>3994</v>
      </c>
      <c r="E1432">
        <v>1</v>
      </c>
      <c r="F1432" t="s">
        <v>34</v>
      </c>
      <c r="G1432">
        <v>5</v>
      </c>
      <c r="H1432" t="s">
        <v>17</v>
      </c>
      <c r="I1432">
        <v>0</v>
      </c>
      <c r="J143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4000</v>
      </c>
    </row>
    <row r="1433" spans="1:12">
      <c r="A1433" t="s">
        <v>178</v>
      </c>
      <c r="B1433" t="s">
        <v>9</v>
      </c>
      <c r="C1433">
        <v>9</v>
      </c>
      <c r="D1433">
        <v>3963</v>
      </c>
      <c r="E1433">
        <v>1</v>
      </c>
      <c r="F1433" t="s">
        <v>258</v>
      </c>
      <c r="G1433">
        <v>1</v>
      </c>
      <c r="H1433" t="s">
        <v>28</v>
      </c>
      <c r="I1433">
        <v>5440</v>
      </c>
      <c r="J1433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:12">
      <c r="A1434" t="s">
        <v>178</v>
      </c>
      <c r="B1434" t="s">
        <v>9</v>
      </c>
      <c r="C1434">
        <v>9</v>
      </c>
      <c r="D1434">
        <v>4372</v>
      </c>
      <c r="E1434">
        <v>1</v>
      </c>
      <c r="F1434" t="s">
        <v>258</v>
      </c>
      <c r="G1434">
        <v>1</v>
      </c>
      <c r="H1434" t="s">
        <v>27</v>
      </c>
      <c r="I1434">
        <v>2756</v>
      </c>
      <c r="J1434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:12">
      <c r="A1435" t="s">
        <v>178</v>
      </c>
      <c r="B1435" t="s">
        <v>9</v>
      </c>
      <c r="C1435">
        <v>9</v>
      </c>
      <c r="D1435">
        <v>4374</v>
      </c>
      <c r="E1435">
        <v>1</v>
      </c>
      <c r="F1435" t="s">
        <v>34</v>
      </c>
      <c r="G1435">
        <v>5</v>
      </c>
      <c r="H1435" t="s">
        <v>17</v>
      </c>
      <c r="I1435">
        <v>0</v>
      </c>
      <c r="J14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4000</v>
      </c>
    </row>
    <row r="1436" spans="1:12">
      <c r="A1436" t="s">
        <v>178</v>
      </c>
      <c r="B1436" t="s">
        <v>9</v>
      </c>
      <c r="C1436">
        <v>9</v>
      </c>
      <c r="D1436">
        <v>3694</v>
      </c>
      <c r="E1436">
        <v>1</v>
      </c>
      <c r="F1436" t="s">
        <v>258</v>
      </c>
      <c r="G1436">
        <v>1</v>
      </c>
      <c r="H1436" t="s">
        <v>28</v>
      </c>
      <c r="I1436">
        <v>10115</v>
      </c>
      <c r="J1436">
        <f>DropAnalityka[[#This Row],[Sell Drop]]+IFERROR(SUMIFS(Tabela10[Drop Worth],Tabela10[Drop],DropAnalityka[[#This Row],[Drop]],Tabela10[Grade],DropAnalityka[[#This Row],[Grade]])*DropAnalityka[[#This Row],[Quality/Quantity]],0)</f>
        <v>10115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:12">
      <c r="A1437" t="s">
        <v>178</v>
      </c>
      <c r="B1437" t="s">
        <v>9</v>
      </c>
      <c r="C1437">
        <v>9</v>
      </c>
      <c r="D1437">
        <v>4084</v>
      </c>
      <c r="E1437">
        <v>0</v>
      </c>
      <c r="F1437" t="s">
        <v>291</v>
      </c>
      <c r="G1437">
        <v>1</v>
      </c>
      <c r="H1437" t="s">
        <v>27</v>
      </c>
      <c r="I1437">
        <v>7350</v>
      </c>
      <c r="J143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:12">
      <c r="A1438" t="s">
        <v>178</v>
      </c>
      <c r="B1438" t="s">
        <v>9</v>
      </c>
      <c r="C1438">
        <v>9</v>
      </c>
      <c r="D1438">
        <v>3768</v>
      </c>
      <c r="E1438">
        <v>1</v>
      </c>
      <c r="F1438" t="s">
        <v>258</v>
      </c>
      <c r="G1438">
        <v>1</v>
      </c>
      <c r="H1438" t="s">
        <v>27</v>
      </c>
      <c r="I1438">
        <v>5512</v>
      </c>
      <c r="J143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:12">
      <c r="A1439" t="s">
        <v>178</v>
      </c>
      <c r="B1439" t="s">
        <v>9</v>
      </c>
      <c r="C1439">
        <v>9</v>
      </c>
      <c r="D1439">
        <v>4434</v>
      </c>
      <c r="E1439">
        <v>0</v>
      </c>
      <c r="F1439" t="s">
        <v>34</v>
      </c>
      <c r="G1439">
        <v>4</v>
      </c>
      <c r="H1439" t="s">
        <v>17</v>
      </c>
      <c r="I1439">
        <v>0</v>
      </c>
      <c r="J143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3200</v>
      </c>
    </row>
    <row r="1440" spans="1:12">
      <c r="A1440" t="s">
        <v>178</v>
      </c>
      <c r="B1440" t="s">
        <v>9</v>
      </c>
      <c r="C1440">
        <v>9</v>
      </c>
      <c r="D1440">
        <v>4089</v>
      </c>
      <c r="E1440">
        <v>0</v>
      </c>
      <c r="F1440" t="s">
        <v>258</v>
      </c>
      <c r="G1440">
        <v>1</v>
      </c>
      <c r="H1440" t="s">
        <v>28</v>
      </c>
      <c r="I1440">
        <v>5100</v>
      </c>
      <c r="J144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:13">
      <c r="A1441" t="s">
        <v>178</v>
      </c>
      <c r="B1441" t="s">
        <v>9</v>
      </c>
      <c r="C1441">
        <v>10</v>
      </c>
      <c r="D1441">
        <v>4511</v>
      </c>
      <c r="E1441">
        <v>2</v>
      </c>
      <c r="F1441" t="s">
        <v>34</v>
      </c>
      <c r="G1441">
        <v>5</v>
      </c>
      <c r="H1441" t="s">
        <v>17</v>
      </c>
      <c r="I1441">
        <v>0</v>
      </c>
      <c r="J14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4000</v>
      </c>
    </row>
    <row r="1442" spans="1:13">
      <c r="A1442" t="s">
        <v>178</v>
      </c>
      <c r="B1442" t="s">
        <v>9</v>
      </c>
      <c r="C1442">
        <v>10</v>
      </c>
      <c r="D1442">
        <v>4119</v>
      </c>
      <c r="E1442">
        <v>0</v>
      </c>
      <c r="F1442" t="s">
        <v>291</v>
      </c>
      <c r="G1442">
        <v>1</v>
      </c>
      <c r="H1442" t="s">
        <v>28</v>
      </c>
      <c r="I1442">
        <v>15300</v>
      </c>
      <c r="J1442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:13">
      <c r="A1443" t="s">
        <v>178</v>
      </c>
      <c r="B1443" t="s">
        <v>9</v>
      </c>
      <c r="C1443">
        <v>10</v>
      </c>
      <c r="D1443">
        <v>4592</v>
      </c>
      <c r="E1443">
        <v>2</v>
      </c>
      <c r="F1443" t="s">
        <v>291</v>
      </c>
      <c r="G1443">
        <v>1</v>
      </c>
      <c r="H1443" t="s">
        <v>28</v>
      </c>
      <c r="I1443">
        <v>8670</v>
      </c>
      <c r="J1443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:13">
      <c r="A1444" t="s">
        <v>178</v>
      </c>
      <c r="B1444" t="s">
        <v>9</v>
      </c>
      <c r="C1444">
        <v>10</v>
      </c>
      <c r="D1444">
        <v>1084</v>
      </c>
      <c r="E1444">
        <v>3</v>
      </c>
      <c r="F1444">
        <v>0</v>
      </c>
      <c r="G1444">
        <v>0</v>
      </c>
      <c r="H1444">
        <v>0</v>
      </c>
      <c r="I1444">
        <v>0</v>
      </c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  <c r="M1444" t="s">
        <v>261</v>
      </c>
    </row>
    <row r="1445" spans="1:13">
      <c r="A1445" t="s">
        <v>178</v>
      </c>
      <c r="B1445" t="s">
        <v>9</v>
      </c>
      <c r="C1445">
        <v>10</v>
      </c>
      <c r="D1445">
        <v>4409</v>
      </c>
      <c r="E1445">
        <v>2</v>
      </c>
      <c r="F1445" t="s">
        <v>34</v>
      </c>
      <c r="G1445">
        <v>5</v>
      </c>
      <c r="H1445" t="s">
        <v>17</v>
      </c>
      <c r="I1445">
        <v>0</v>
      </c>
      <c r="J144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4000</v>
      </c>
    </row>
    <row r="1446" spans="1:13">
      <c r="A1446" t="s">
        <v>178</v>
      </c>
      <c r="B1446" t="s">
        <v>9</v>
      </c>
      <c r="C1446">
        <v>10</v>
      </c>
      <c r="D1446">
        <v>4227</v>
      </c>
      <c r="E1446">
        <v>0</v>
      </c>
      <c r="F1446" t="s">
        <v>34</v>
      </c>
      <c r="G1446">
        <v>4</v>
      </c>
      <c r="H1446" t="s">
        <v>17</v>
      </c>
      <c r="I1446">
        <v>0</v>
      </c>
      <c r="J144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3200</v>
      </c>
    </row>
    <row r="1447" spans="1:13">
      <c r="A1447" t="s">
        <v>178</v>
      </c>
      <c r="B1447" t="s">
        <v>9</v>
      </c>
      <c r="C1447">
        <v>10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  <c r="M1447" t="s">
        <v>261</v>
      </c>
    </row>
    <row r="1448" spans="1:13">
      <c r="A1448" t="s">
        <v>178</v>
      </c>
      <c r="B1448" t="s">
        <v>9</v>
      </c>
      <c r="C1448">
        <v>10</v>
      </c>
      <c r="D1448">
        <v>5081</v>
      </c>
      <c r="E1448">
        <v>1</v>
      </c>
      <c r="F1448" t="s">
        <v>258</v>
      </c>
      <c r="G1448">
        <v>1</v>
      </c>
      <c r="H1448" t="s">
        <v>28</v>
      </c>
      <c r="I1448">
        <v>5780</v>
      </c>
      <c r="J1448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  <c r="M1448" t="s">
        <v>893</v>
      </c>
    </row>
    <row r="1449" spans="1:13">
      <c r="A1449" t="s">
        <v>178</v>
      </c>
      <c r="B1449" t="s">
        <v>9</v>
      </c>
      <c r="C1449">
        <v>10</v>
      </c>
      <c r="D1449">
        <v>4851</v>
      </c>
      <c r="E1449">
        <v>2</v>
      </c>
      <c r="F1449" t="s">
        <v>34</v>
      </c>
      <c r="G1449">
        <v>5</v>
      </c>
      <c r="H1449" t="s">
        <v>17</v>
      </c>
      <c r="I1449">
        <v>0</v>
      </c>
      <c r="J144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4000</v>
      </c>
    </row>
    <row r="1450" spans="1:13">
      <c r="A1450" t="s">
        <v>178</v>
      </c>
      <c r="B1450" t="s">
        <v>9</v>
      </c>
      <c r="C1450">
        <v>10</v>
      </c>
      <c r="D1450">
        <v>4678</v>
      </c>
      <c r="E1450">
        <v>1</v>
      </c>
      <c r="F1450" t="s">
        <v>258</v>
      </c>
      <c r="G1450">
        <v>1</v>
      </c>
      <c r="H1450" t="s">
        <v>28</v>
      </c>
      <c r="I1450">
        <v>7650</v>
      </c>
      <c r="J1450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:13">
      <c r="A1451" t="s">
        <v>178</v>
      </c>
      <c r="B1451" t="s">
        <v>9</v>
      </c>
      <c r="C1451">
        <v>10</v>
      </c>
      <c r="D1451">
        <v>4734</v>
      </c>
      <c r="E1451">
        <v>1</v>
      </c>
      <c r="F1451" t="s">
        <v>58</v>
      </c>
      <c r="G1451">
        <v>1</v>
      </c>
      <c r="H1451" t="s">
        <v>26</v>
      </c>
      <c r="I1451">
        <v>0</v>
      </c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34500</v>
      </c>
      <c r="L1451" s="43">
        <f>IFERROR(SUMIFS(Tabela10[Exp Gain only 2*+],Tabela10[Drop],DropAnalityka[[#This Row],[Drop]],Tabela10[Grade],DropAnalityka[[#This Row],[Grade]])*DropAnalityka[[#This Row],[Quality/Quantity]],0)</f>
        <v>118004</v>
      </c>
    </row>
    <row r="1452" spans="1:13">
      <c r="A1452" t="s">
        <v>178</v>
      </c>
      <c r="B1452" t="s">
        <v>9</v>
      </c>
      <c r="C1452">
        <v>10</v>
      </c>
      <c r="D1452">
        <v>4456</v>
      </c>
      <c r="E1452">
        <v>1</v>
      </c>
      <c r="F1452" t="s">
        <v>291</v>
      </c>
      <c r="G1452">
        <v>1</v>
      </c>
      <c r="H1452" t="s">
        <v>28</v>
      </c>
      <c r="I1452">
        <v>11475</v>
      </c>
      <c r="J1452">
        <f>DropAnalityka[[#This Row],[Sell Drop]]+IFERROR(SUMIFS(Tabela10[Drop Worth],Tabela10[Drop],DropAnalityka[[#This Row],[Drop]],Tabela10[Grade],DropAnalityka[[#This Row],[Grade]])*DropAnalityka[[#This Row],[Quality/Quantity]],0)</f>
        <v>11475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  <c r="M1452" t="s">
        <v>190</v>
      </c>
    </row>
    <row r="1453" spans="1:13">
      <c r="A1453" t="s">
        <v>178</v>
      </c>
      <c r="B1453" t="s">
        <v>9</v>
      </c>
      <c r="C1453">
        <v>10</v>
      </c>
      <c r="D1453">
        <v>4601</v>
      </c>
      <c r="F1453" t="s">
        <v>318</v>
      </c>
      <c r="G1453">
        <v>1</v>
      </c>
      <c r="H1453" t="s">
        <v>27</v>
      </c>
      <c r="I1453">
        <v>9600</v>
      </c>
      <c r="J1453">
        <f>DropAnalityka[[#This Row],[Sell Drop]]+IFERROR(SUMIFS(Tabela10[Drop Worth],Tabela10[Drop],DropAnalityka[[#This Row],[Drop]],Tabela10[Grade],DropAnalityka[[#This Row],[Grade]])*DropAnalityka[[#This Row],[Quality/Quantity]],0)</f>
        <v>9600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  <c r="M1453" t="s">
        <v>894</v>
      </c>
    </row>
    <row r="1454" spans="1:13">
      <c r="A1454" t="s">
        <v>178</v>
      </c>
      <c r="B1454" t="s">
        <v>9</v>
      </c>
      <c r="C1454">
        <v>10</v>
      </c>
      <c r="D1454">
        <v>4829</v>
      </c>
      <c r="E1454">
        <v>0</v>
      </c>
      <c r="F1454" t="s">
        <v>258</v>
      </c>
      <c r="G1454">
        <v>1</v>
      </c>
      <c r="H1454" t="s">
        <v>28</v>
      </c>
      <c r="I1454">
        <v>8925</v>
      </c>
      <c r="J1454">
        <f>DropAnalityka[[#This Row],[Sell Drop]]+IFERROR(SUMIFS(Tabela10[Drop Worth],Tabela10[Drop],DropAnalityka[[#This Row],[Drop]],Tabela10[Grade],DropAnalityka[[#This Row],[Grade]])*DropAnalityka[[#This Row],[Quality/Quantity]],0)</f>
        <v>8925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  <c r="M1454" t="s">
        <v>333</v>
      </c>
    </row>
    <row r="1455" spans="1:13">
      <c r="A1455" t="s">
        <v>178</v>
      </c>
      <c r="B1455" t="s">
        <v>9</v>
      </c>
      <c r="C1455">
        <v>10</v>
      </c>
      <c r="D1455">
        <v>814</v>
      </c>
      <c r="E1455">
        <v>1</v>
      </c>
      <c r="F1455">
        <v>0</v>
      </c>
      <c r="G1455">
        <v>0</v>
      </c>
      <c r="H1455">
        <v>0</v>
      </c>
      <c r="I1455">
        <v>0</v>
      </c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  <c r="M1455" t="s">
        <v>261</v>
      </c>
    </row>
    <row r="1456" spans="1:13">
      <c r="A1456" t="s">
        <v>178</v>
      </c>
      <c r="B1456" t="s">
        <v>9</v>
      </c>
      <c r="C1456">
        <v>10</v>
      </c>
      <c r="D1456">
        <v>4868</v>
      </c>
      <c r="E1456">
        <v>0</v>
      </c>
      <c r="F1456" t="s">
        <v>318</v>
      </c>
      <c r="G1456">
        <v>1</v>
      </c>
      <c r="H1456" t="s">
        <v>28</v>
      </c>
      <c r="I1456">
        <v>11560</v>
      </c>
      <c r="J1456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  <c r="M1456" t="s">
        <v>895</v>
      </c>
    </row>
    <row r="1457" spans="1:13">
      <c r="A1457" t="s">
        <v>178</v>
      </c>
      <c r="B1457" t="s">
        <v>9</v>
      </c>
      <c r="C1457">
        <v>10</v>
      </c>
      <c r="D1457">
        <v>4836</v>
      </c>
      <c r="E1457">
        <v>0</v>
      </c>
      <c r="F1457" t="s">
        <v>258</v>
      </c>
      <c r="G1457">
        <v>1</v>
      </c>
      <c r="H1457" t="s">
        <v>28</v>
      </c>
      <c r="I1457">
        <v>11900</v>
      </c>
      <c r="J1457">
        <f>DropAnalityka[[#This Row],[Sell Drop]]+IFERROR(SUMIFS(Tabela10[Drop Worth],Tabela10[Drop],DropAnalityka[[#This Row],[Drop]],Tabela10[Grade],DropAnalityka[[#This Row],[Grade]])*DropAnalityka[[#This Row],[Quality/Quantity]],0)</f>
        <v>11900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  <c r="M1457" t="s">
        <v>894</v>
      </c>
    </row>
    <row r="1458" spans="1:13">
      <c r="A1458" t="s">
        <v>178</v>
      </c>
      <c r="B1458" t="s">
        <v>9</v>
      </c>
      <c r="C1458">
        <v>10</v>
      </c>
      <c r="D1458">
        <v>5295</v>
      </c>
      <c r="E1458">
        <v>0</v>
      </c>
      <c r="F1458" t="s">
        <v>34</v>
      </c>
      <c r="G1458">
        <v>4</v>
      </c>
      <c r="H1458" t="s">
        <v>17</v>
      </c>
      <c r="I1458">
        <v>0</v>
      </c>
      <c r="J14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3200</v>
      </c>
    </row>
    <row r="1459" spans="1:13">
      <c r="A1459" t="s">
        <v>178</v>
      </c>
      <c r="B1459" t="s">
        <v>9</v>
      </c>
      <c r="C1459">
        <v>10</v>
      </c>
      <c r="D1459">
        <f>9994/2</f>
        <v>4997</v>
      </c>
      <c r="E1459">
        <v>0</v>
      </c>
      <c r="F1459" t="s">
        <v>291</v>
      </c>
      <c r="G1459">
        <v>1</v>
      </c>
      <c r="H1459" t="s">
        <v>28</v>
      </c>
      <c r="I1459">
        <v>13600</v>
      </c>
      <c r="J1459">
        <f>DropAnalityka[[#This Row],[Sell Drop]]+IFERROR(SUMIFS(Tabela10[Drop Worth],Tabela10[Drop],DropAnalityka[[#This Row],[Drop]],Tabela10[Grade],DropAnalityka[[#This Row],[Grade]])*DropAnalityka[[#This Row],[Quality/Quantity]],0)</f>
        <v>13600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  <c r="M1459" t="s">
        <v>333</v>
      </c>
    </row>
    <row r="1460" spans="1:13">
      <c r="A1460" t="s">
        <v>178</v>
      </c>
      <c r="B1460" t="s">
        <v>9</v>
      </c>
      <c r="C1460">
        <v>10</v>
      </c>
      <c r="D1460">
        <f>9539/2</f>
        <v>4769.5</v>
      </c>
      <c r="E1460">
        <v>0</v>
      </c>
      <c r="F1460" t="s">
        <v>34</v>
      </c>
      <c r="G1460">
        <v>4</v>
      </c>
      <c r="H1460" t="s">
        <v>17</v>
      </c>
      <c r="I1460">
        <v>0</v>
      </c>
      <c r="J14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3200</v>
      </c>
    </row>
    <row r="1461" spans="1:13">
      <c r="A1461" t="s">
        <v>178</v>
      </c>
      <c r="B1461" t="s">
        <v>9</v>
      </c>
      <c r="C1461">
        <v>10</v>
      </c>
      <c r="D1461">
        <f>9591/2</f>
        <v>4795.5</v>
      </c>
      <c r="E1461">
        <v>0</v>
      </c>
      <c r="F1461" t="s">
        <v>291</v>
      </c>
      <c r="G1461">
        <v>1</v>
      </c>
      <c r="H1461" t="s">
        <v>29</v>
      </c>
      <c r="I1461">
        <v>25360</v>
      </c>
      <c r="J1461">
        <f>DropAnalityka[[#This Row],[Sell Drop]]+IFERROR(SUMIFS(Tabela10[Drop Worth],Tabela10[Drop],DropAnalityka[[#This Row],[Drop]],Tabela10[Grade],DropAnalityka[[#This Row],[Grade]])*DropAnalityka[[#This Row],[Quality/Quantity]],0)</f>
        <v>25360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  <c r="M1461" t="s">
        <v>153</v>
      </c>
    </row>
    <row r="1462" spans="1:13">
      <c r="A1462" t="s">
        <v>178</v>
      </c>
      <c r="B1462" t="s">
        <v>9</v>
      </c>
      <c r="C1462">
        <v>10</v>
      </c>
      <c r="D1462">
        <v>4681</v>
      </c>
      <c r="E1462">
        <v>0</v>
      </c>
      <c r="F1462" t="s">
        <v>258</v>
      </c>
      <c r="G1462">
        <v>1</v>
      </c>
      <c r="H1462" t="s">
        <v>28</v>
      </c>
      <c r="I1462">
        <v>7650</v>
      </c>
      <c r="J1462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  <c r="M1462" t="s">
        <v>190</v>
      </c>
    </row>
    <row r="1463" spans="1:13">
      <c r="A1463" t="s">
        <v>178</v>
      </c>
      <c r="B1463" t="s">
        <v>9</v>
      </c>
      <c r="C1463">
        <v>10</v>
      </c>
      <c r="D1463">
        <v>4583</v>
      </c>
      <c r="E1463">
        <v>2</v>
      </c>
      <c r="F1463" t="s">
        <v>34</v>
      </c>
      <c r="G1463">
        <v>4</v>
      </c>
      <c r="H1463" t="s">
        <v>17</v>
      </c>
      <c r="I1463">
        <v>0</v>
      </c>
      <c r="J146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3200</v>
      </c>
    </row>
    <row r="1464" spans="1:13">
      <c r="A1464" t="s">
        <v>178</v>
      </c>
      <c r="B1464" t="s">
        <v>9</v>
      </c>
      <c r="C1464">
        <v>10</v>
      </c>
      <c r="D1464">
        <v>4399</v>
      </c>
      <c r="E1464">
        <v>1</v>
      </c>
      <c r="F1464" t="s">
        <v>258</v>
      </c>
      <c r="G1464">
        <v>1</v>
      </c>
      <c r="H1464" t="s">
        <v>28</v>
      </c>
      <c r="I1464">
        <v>3445</v>
      </c>
      <c r="J1464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  <c r="M1464" t="s">
        <v>895</v>
      </c>
    </row>
    <row r="1465" spans="1:13">
      <c r="A1465" t="s">
        <v>178</v>
      </c>
      <c r="B1465" t="s">
        <v>9</v>
      </c>
      <c r="C1465">
        <v>10</v>
      </c>
      <c r="D1465">
        <v>5013</v>
      </c>
      <c r="E1465">
        <v>4</v>
      </c>
      <c r="F1465" t="s">
        <v>34</v>
      </c>
      <c r="G1465">
        <v>4</v>
      </c>
      <c r="H1465" t="s">
        <v>17</v>
      </c>
      <c r="I1465">
        <v>0</v>
      </c>
      <c r="J146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3200</v>
      </c>
    </row>
    <row r="1466" spans="1:13">
      <c r="A1466" t="s">
        <v>178</v>
      </c>
      <c r="B1466" t="s">
        <v>9</v>
      </c>
      <c r="C1466">
        <v>10</v>
      </c>
      <c r="D1466">
        <v>4722</v>
      </c>
      <c r="E1466">
        <v>3</v>
      </c>
      <c r="F1466" t="s">
        <v>258</v>
      </c>
      <c r="G1466">
        <v>1</v>
      </c>
      <c r="H1466" t="s">
        <v>28</v>
      </c>
      <c r="I1466">
        <v>10200</v>
      </c>
      <c r="J146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  <c r="M1466" t="s">
        <v>153</v>
      </c>
    </row>
    <row r="1467" spans="1:13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:13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:13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:13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:13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:13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A1997" s="6"/>
      <c r="B1997" s="6"/>
      <c r="C1997" s="6"/>
      <c r="D1997" s="6"/>
      <c r="E1997" s="6"/>
      <c r="F1997" s="6"/>
      <c r="G1997" s="6"/>
      <c r="H1997" s="6"/>
      <c r="I1997" s="6"/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69">
        <f>IFERROR(SUMIFS(Tabela10[Fod Worth],Tabela10[Drop],DropAnalityka[[#This Row],[Drop]],Tabela10[Grade],DropAnalityka[[#This Row],[Grade]])*DropAnalityka[[#This Row],[Quality/Quantity]],0)</f>
        <v>0</v>
      </c>
      <c r="L1997" s="69">
        <f>IFERROR(SUMIFS(Tabela10[Exp Gain only 2*+],Tabela10[Drop],DropAnalityka[[#This Row],[Drop]],Tabela10[Grade],DropAnalityka[[#This Row],[Grade]])*DropAnalityka[[#This Row],[Quality/Quantity]],0)</f>
        <v>0</v>
      </c>
      <c r="M1997" s="6"/>
    </row>
  </sheetData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4:U99"/>
  <sheetViews>
    <sheetView topLeftCell="A49" zoomScale="85" zoomScaleNormal="85" workbookViewId="0">
      <selection activeCell="C79" sqref="C79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17" t="s">
        <v>249</v>
      </c>
      <c r="G5" s="218"/>
      <c r="H5" s="219"/>
      <c r="I5" s="220" t="s">
        <v>250</v>
      </c>
      <c r="J5" s="221"/>
      <c r="K5" s="222"/>
      <c r="L5" s="223" t="s">
        <v>18</v>
      </c>
      <c r="M5" s="224"/>
      <c r="N5" s="225"/>
      <c r="O5" s="226" t="s">
        <v>252</v>
      </c>
      <c r="P5" s="227"/>
      <c r="Q5" s="228"/>
      <c r="R5" s="214" t="s">
        <v>251</v>
      </c>
      <c r="S5" s="215"/>
      <c r="T5" s="216"/>
    </row>
    <row r="6" spans="1:20" ht="15.75" thickBot="1">
      <c r="C6" s="33" t="s">
        <v>247</v>
      </c>
      <c r="D6" s="32" t="s">
        <v>835</v>
      </c>
      <c r="E6" s="52"/>
      <c r="F6" s="73" t="s">
        <v>253</v>
      </c>
      <c r="G6" s="74" t="s">
        <v>293</v>
      </c>
      <c r="H6" s="75" t="s">
        <v>254</v>
      </c>
      <c r="I6" s="81" t="s">
        <v>253</v>
      </c>
      <c r="J6" s="82" t="s">
        <v>293</v>
      </c>
      <c r="K6" s="83" t="s">
        <v>254</v>
      </c>
      <c r="L6" s="89" t="s">
        <v>253</v>
      </c>
      <c r="M6" s="90" t="s">
        <v>293</v>
      </c>
      <c r="N6" s="91" t="s">
        <v>254</v>
      </c>
      <c r="O6" s="107" t="s">
        <v>253</v>
      </c>
      <c r="P6" s="108" t="s">
        <v>293</v>
      </c>
      <c r="Q6" s="109" t="s">
        <v>254</v>
      </c>
      <c r="R6" s="97" t="s">
        <v>253</v>
      </c>
      <c r="S6" s="98" t="s">
        <v>293</v>
      </c>
      <c r="T6" s="99" t="s">
        <v>254</v>
      </c>
    </row>
    <row r="7" spans="1:20" ht="15">
      <c r="A7" s="58" t="s">
        <v>248</v>
      </c>
      <c r="B7" s="63" t="s">
        <v>840</v>
      </c>
      <c r="C7" s="61"/>
      <c r="D7" s="192" t="s">
        <v>330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248</v>
      </c>
      <c r="B8" s="64" t="s">
        <v>228</v>
      </c>
      <c r="C8" s="5" t="s">
        <v>204</v>
      </c>
      <c r="D8" s="56" t="s">
        <v>327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248</v>
      </c>
      <c r="B9" s="64" t="s">
        <v>229</v>
      </c>
      <c r="C9" s="5" t="s">
        <v>204</v>
      </c>
      <c r="D9" s="56" t="s">
        <v>327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248</v>
      </c>
      <c r="B10" s="64" t="s">
        <v>230</v>
      </c>
      <c r="C10" s="5" t="s">
        <v>204</v>
      </c>
      <c r="D10" s="56" t="s">
        <v>327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248</v>
      </c>
      <c r="B11" s="65" t="s">
        <v>231</v>
      </c>
      <c r="C11" s="5" t="s">
        <v>204</v>
      </c>
      <c r="D11" s="56" t="s">
        <v>327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248</v>
      </c>
      <c r="B12" s="63" t="s">
        <v>843</v>
      </c>
      <c r="C12" s="5" t="s">
        <v>204</v>
      </c>
      <c r="D12" s="56" t="s">
        <v>330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248</v>
      </c>
      <c r="B13" s="64" t="s">
        <v>232</v>
      </c>
      <c r="C13" s="5" t="s">
        <v>204</v>
      </c>
      <c r="D13" s="56" t="s">
        <v>327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248</v>
      </c>
      <c r="B14" s="64" t="s">
        <v>233</v>
      </c>
      <c r="C14" s="5" t="s">
        <v>204</v>
      </c>
      <c r="D14" s="56" t="s">
        <v>327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248</v>
      </c>
      <c r="B15" s="64" t="s">
        <v>234</v>
      </c>
      <c r="C15" s="5" t="s">
        <v>204</v>
      </c>
      <c r="D15" s="56" t="s">
        <v>327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248</v>
      </c>
      <c r="B16" s="65" t="s">
        <v>235</v>
      </c>
      <c r="C16" s="5" t="s">
        <v>204</v>
      </c>
      <c r="D16" s="56" t="s">
        <v>327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248</v>
      </c>
      <c r="B17" s="63" t="s">
        <v>844</v>
      </c>
      <c r="C17" s="5" t="s">
        <v>204</v>
      </c>
      <c r="D17" s="56" t="s">
        <v>330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248</v>
      </c>
      <c r="B18" s="64" t="s">
        <v>236</v>
      </c>
      <c r="C18" s="64" t="s">
        <v>204</v>
      </c>
      <c r="D18" s="56" t="s">
        <v>327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248</v>
      </c>
      <c r="B19" s="64" t="s">
        <v>237</v>
      </c>
      <c r="C19" s="5" t="s">
        <v>204</v>
      </c>
      <c r="D19" s="56" t="s">
        <v>327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248</v>
      </c>
      <c r="B20" s="64" t="s">
        <v>238</v>
      </c>
      <c r="C20" s="5" t="s">
        <v>204</v>
      </c>
      <c r="D20" s="56" t="s">
        <v>327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248</v>
      </c>
      <c r="B21" s="65" t="s">
        <v>239</v>
      </c>
      <c r="C21" s="5" t="s">
        <v>204</v>
      </c>
      <c r="D21" s="56" t="s">
        <v>327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248</v>
      </c>
      <c r="B22" s="190" t="s">
        <v>240</v>
      </c>
      <c r="C22" s="5"/>
      <c r="D22" s="56" t="s">
        <v>827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248</v>
      </c>
      <c r="B23" s="66" t="s">
        <v>224</v>
      </c>
      <c r="C23" s="7" t="s">
        <v>204</v>
      </c>
      <c r="D23" s="193" t="s">
        <v>845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255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256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116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212" t="s">
        <v>281</v>
      </c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3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209" t="s">
        <v>280</v>
      </c>
      <c r="H32" s="210"/>
      <c r="I32" s="210"/>
      <c r="J32" s="210"/>
      <c r="K32" s="210"/>
      <c r="L32" s="210"/>
      <c r="M32" s="210"/>
      <c r="N32" s="210"/>
      <c r="O32" s="210"/>
      <c r="P32" s="210"/>
      <c r="Q32" s="210"/>
      <c r="R32" s="210"/>
      <c r="S32" s="210"/>
      <c r="T32" s="211"/>
      <c r="U32" s="122" t="s">
        <v>282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217" t="s">
        <v>249</v>
      </c>
      <c r="G37" s="218"/>
      <c r="H37" s="219"/>
      <c r="I37" s="220" t="s">
        <v>250</v>
      </c>
      <c r="J37" s="221"/>
      <c r="K37" s="222"/>
      <c r="L37" s="223" t="s">
        <v>18</v>
      </c>
      <c r="M37" s="224"/>
      <c r="N37" s="225"/>
      <c r="O37" s="226" t="s">
        <v>252</v>
      </c>
      <c r="P37" s="227"/>
      <c r="Q37" s="228"/>
      <c r="R37" s="214" t="s">
        <v>251</v>
      </c>
      <c r="S37" s="215"/>
      <c r="T37" s="216"/>
    </row>
    <row r="38" spans="1:21" ht="15.75" thickBot="1">
      <c r="C38" s="33" t="s">
        <v>247</v>
      </c>
      <c r="D38" s="32" t="s">
        <v>835</v>
      </c>
      <c r="E38" s="52"/>
      <c r="F38" s="73" t="s">
        <v>253</v>
      </c>
      <c r="G38" s="74" t="s">
        <v>293</v>
      </c>
      <c r="H38" s="75" t="s">
        <v>254</v>
      </c>
      <c r="I38" s="81" t="s">
        <v>253</v>
      </c>
      <c r="J38" s="82" t="s">
        <v>293</v>
      </c>
      <c r="K38" s="83" t="s">
        <v>254</v>
      </c>
      <c r="L38" s="89" t="s">
        <v>253</v>
      </c>
      <c r="M38" s="90" t="s">
        <v>293</v>
      </c>
      <c r="N38" s="91" t="s">
        <v>254</v>
      </c>
      <c r="O38" s="107" t="s">
        <v>253</v>
      </c>
      <c r="P38" s="108" t="s">
        <v>293</v>
      </c>
      <c r="Q38" s="109" t="s">
        <v>254</v>
      </c>
      <c r="R38" s="97" t="s">
        <v>253</v>
      </c>
      <c r="S38" s="98" t="s">
        <v>293</v>
      </c>
      <c r="T38" s="99" t="s">
        <v>254</v>
      </c>
    </row>
    <row r="39" spans="1:21" ht="15">
      <c r="A39" s="58" t="s">
        <v>828</v>
      </c>
      <c r="B39" s="63" t="s">
        <v>829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828</v>
      </c>
      <c r="B40" s="64" t="s">
        <v>213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828</v>
      </c>
      <c r="B41" s="64" t="s">
        <v>212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828</v>
      </c>
      <c r="B42" s="64" t="s">
        <v>211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828</v>
      </c>
      <c r="B43" s="65" t="s">
        <v>214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828</v>
      </c>
      <c r="B44" s="63" t="s">
        <v>830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828</v>
      </c>
      <c r="B45" s="64" t="s">
        <v>216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828</v>
      </c>
      <c r="B46" s="64" t="s">
        <v>217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828</v>
      </c>
      <c r="B47" s="64" t="s">
        <v>218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828</v>
      </c>
      <c r="B48" s="65" t="s">
        <v>219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828</v>
      </c>
      <c r="B49" s="63" t="s">
        <v>833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828</v>
      </c>
      <c r="B50" s="64" t="s">
        <v>220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828</v>
      </c>
      <c r="B51" s="64" t="s">
        <v>221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828</v>
      </c>
      <c r="B52" s="64" t="s">
        <v>834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828</v>
      </c>
      <c r="B53" s="65" t="s">
        <v>222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828</v>
      </c>
      <c r="B54" s="190" t="s">
        <v>831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828</v>
      </c>
      <c r="B55" s="66" t="s">
        <v>832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255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256</v>
      </c>
      <c r="F57" s="77">
        <v>189</v>
      </c>
      <c r="G57" s="77">
        <v>4</v>
      </c>
      <c r="H57" s="77">
        <v>8</v>
      </c>
      <c r="I57" s="85">
        <v>94</v>
      </c>
      <c r="J57" s="85">
        <v>17</v>
      </c>
      <c r="K57" s="85">
        <v>24</v>
      </c>
      <c r="L57" s="93">
        <v>76</v>
      </c>
      <c r="M57" s="93">
        <v>19</v>
      </c>
      <c r="N57" s="93">
        <v>30</v>
      </c>
      <c r="O57" s="111">
        <v>285</v>
      </c>
      <c r="P57" s="111">
        <v>3</v>
      </c>
      <c r="Q57" s="111">
        <v>48</v>
      </c>
      <c r="R57" s="101">
        <v>70</v>
      </c>
      <c r="S57" s="101">
        <v>45</v>
      </c>
      <c r="T57" s="102">
        <v>0</v>
      </c>
    </row>
    <row r="58" spans="1:21" ht="15.75" thickBot="1">
      <c r="E58" s="68" t="s">
        <v>116</v>
      </c>
      <c r="F58" s="80">
        <f>MAXA(F56-F57,0)</f>
        <v>0</v>
      </c>
      <c r="G58" s="80">
        <f t="shared" ref="G58:T58" si="3">MAXA(G56-G57,0)</f>
        <v>88</v>
      </c>
      <c r="H58" s="80">
        <f t="shared" si="3"/>
        <v>22</v>
      </c>
      <c r="I58" s="88">
        <f t="shared" si="3"/>
        <v>0</v>
      </c>
      <c r="J58" s="88">
        <f t="shared" si="3"/>
        <v>48</v>
      </c>
      <c r="K58" s="88">
        <f t="shared" si="3"/>
        <v>0</v>
      </c>
      <c r="L58" s="96">
        <f t="shared" si="3"/>
        <v>0</v>
      </c>
      <c r="M58" s="96">
        <f t="shared" si="3"/>
        <v>52</v>
      </c>
      <c r="N58" s="96">
        <f t="shared" si="3"/>
        <v>0</v>
      </c>
      <c r="O58" s="114">
        <f t="shared" si="3"/>
        <v>0</v>
      </c>
      <c r="P58" s="114">
        <f t="shared" si="3"/>
        <v>152</v>
      </c>
      <c r="Q58" s="114">
        <f t="shared" si="3"/>
        <v>0</v>
      </c>
      <c r="R58" s="104">
        <f t="shared" si="3"/>
        <v>0</v>
      </c>
      <c r="S58" s="104">
        <f t="shared" si="3"/>
        <v>0</v>
      </c>
      <c r="T58" s="106">
        <f t="shared" si="3"/>
        <v>0</v>
      </c>
    </row>
    <row r="59" spans="1:21">
      <c r="E59" s="61"/>
      <c r="F59" s="51"/>
      <c r="G59" s="212" t="s">
        <v>281</v>
      </c>
      <c r="H59" s="212"/>
      <c r="I59" s="212"/>
      <c r="J59" s="212"/>
      <c r="K59" s="212"/>
      <c r="L59" s="212"/>
      <c r="M59" s="212"/>
      <c r="N59" s="212"/>
      <c r="O59" s="212"/>
      <c r="P59" s="212"/>
      <c r="Q59" s="212"/>
      <c r="R59" s="212"/>
      <c r="S59" s="212"/>
      <c r="T59" s="213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157.61194029850745</v>
      </c>
      <c r="H60" s="126">
        <f>H$58/VLOOKUP(H$38,Tabela11[#All],6,FALSE)</f>
        <v>82.5</v>
      </c>
      <c r="I60" s="126">
        <f>I$58/VLOOKUP(I$38,Tabela11[#All],6,FALSE)</f>
        <v>0</v>
      </c>
      <c r="J60" s="126">
        <f>J$58/VLOOKUP(J$38,Tabela11[#All],6,FALSE)</f>
        <v>85.970149253731336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93.134328358208947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272.23880597014926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402.28571428571428</v>
      </c>
      <c r="H61" s="126">
        <f>H$58/VLOOKUP(H$38,Tabela11[#All],5,FALSE)</f>
        <v>100.57142857142857</v>
      </c>
      <c r="I61" s="126">
        <f>I$58/VLOOKUP(I$38,Tabela11[#All],5,FALSE)</f>
        <v>0</v>
      </c>
      <c r="J61" s="126">
        <f>J$58/VLOOKUP(J$38,Tabela11[#All],5,FALSE)</f>
        <v>219.42857142857142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237.71428571428572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694.85714285714289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159.35135135135133</v>
      </c>
      <c r="H62" s="128">
        <f>H$58/VLOOKUP(H$38,Tabela11[#All],4,FALSE)</f>
        <v>163.77777777777777</v>
      </c>
      <c r="I62" s="128">
        <f>I$58/VLOOKUP(I$38,Tabela11[#All],4,FALSE)</f>
        <v>0</v>
      </c>
      <c r="J62" s="128">
        <f>J$58/VLOOKUP(J$38,Tabela11[#All],4,FALSE)</f>
        <v>86.918918918918919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94.162162162162161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275.24324324324323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209" t="s">
        <v>280</v>
      </c>
      <c r="H64" s="210"/>
      <c r="I64" s="210"/>
      <c r="J64" s="210"/>
      <c r="K64" s="210"/>
      <c r="L64" s="210"/>
      <c r="M64" s="210"/>
      <c r="N64" s="210"/>
      <c r="O64" s="210"/>
      <c r="P64" s="210"/>
      <c r="Q64" s="210"/>
      <c r="R64" s="210"/>
      <c r="S64" s="210"/>
      <c r="T64" s="211"/>
      <c r="U64" s="122" t="s">
        <v>282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980.34626865671635</v>
      </c>
      <c r="H65" s="126">
        <f>H$58/VLOOKUP(H$38,Tabela11[#All],6,FALSE)*(7-12*0.065)</f>
        <v>513.15</v>
      </c>
      <c r="I65" s="126">
        <f>I$58/VLOOKUP(I$38,Tabela11[#All],6,FALSE)*(7-12*0.065)</f>
        <v>0</v>
      </c>
      <c r="J65" s="126">
        <f>J$58/VLOOKUP(J$38,Tabela11[#All],6,FALSE)*(7-12*0.065)</f>
        <v>534.73432835820893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579.29552238805968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1693.3253731343284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3787.7014925373132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2502.2171428571428</v>
      </c>
      <c r="H66" s="126">
        <f>H$58/VLOOKUP(H$38,Tabela11[#All],5,FALSE)*(7-12*0.065)</f>
        <v>625.5542857142857</v>
      </c>
      <c r="I66" s="126">
        <f>I$58/VLOOKUP(I$38,Tabela11[#All],5,FALSE)*(7-12*0.065)</f>
        <v>0</v>
      </c>
      <c r="J66" s="126">
        <f>J$58/VLOOKUP(J$38,Tabela11[#All],5,FALSE)*(7-12*0.065)</f>
        <v>1364.8457142857142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1478.5828571428572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4322.011428571429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9667.6571428571442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831.81405405405383</v>
      </c>
      <c r="H67" s="128">
        <f>H$58/VLOOKUP(H$38,Tabela11[#All],4,FALSE)*(6-12*0.065)</f>
        <v>854.92</v>
      </c>
      <c r="I67" s="128">
        <f>I$58/VLOOKUP(I$38,Tabela11[#All],4,FALSE)*(6-12*0.065)</f>
        <v>0</v>
      </c>
      <c r="J67" s="128">
        <f>J$58/VLOOKUP(J$38,Tabela11[#All],4,FALSE)*(6-12*0.065)</f>
        <v>453.71675675675675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491.52648648648648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1436.7697297297295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3236.9329729729725</v>
      </c>
    </row>
    <row r="68" spans="1:21" ht="15" thickBot="1"/>
    <row r="69" spans="1:21" ht="15" thickBot="1">
      <c r="F69" s="217" t="s">
        <v>249</v>
      </c>
      <c r="G69" s="218"/>
      <c r="H69" s="219"/>
      <c r="I69" s="220" t="s">
        <v>250</v>
      </c>
      <c r="J69" s="221"/>
      <c r="K69" s="222"/>
      <c r="L69" s="223" t="s">
        <v>18</v>
      </c>
      <c r="M69" s="224"/>
      <c r="N69" s="225"/>
      <c r="O69" s="226" t="s">
        <v>252</v>
      </c>
      <c r="P69" s="227"/>
      <c r="Q69" s="228"/>
      <c r="R69" s="214" t="s">
        <v>251</v>
      </c>
      <c r="S69" s="215"/>
      <c r="T69" s="216"/>
    </row>
    <row r="70" spans="1:21" ht="15.75" thickBot="1">
      <c r="C70" s="33" t="s">
        <v>247</v>
      </c>
      <c r="D70" s="32" t="s">
        <v>835</v>
      </c>
      <c r="E70" s="52"/>
      <c r="F70" s="73" t="s">
        <v>253</v>
      </c>
      <c r="G70" s="74" t="s">
        <v>293</v>
      </c>
      <c r="H70" s="75" t="s">
        <v>254</v>
      </c>
      <c r="I70" s="81" t="s">
        <v>253</v>
      </c>
      <c r="J70" s="82" t="s">
        <v>293</v>
      </c>
      <c r="K70" s="83" t="s">
        <v>254</v>
      </c>
      <c r="L70" s="89" t="s">
        <v>253</v>
      </c>
      <c r="M70" s="90" t="s">
        <v>293</v>
      </c>
      <c r="N70" s="91" t="s">
        <v>254</v>
      </c>
      <c r="O70" s="107" t="s">
        <v>253</v>
      </c>
      <c r="P70" s="108" t="s">
        <v>293</v>
      </c>
      <c r="Q70" s="109" t="s">
        <v>254</v>
      </c>
      <c r="R70" s="97" t="s">
        <v>253</v>
      </c>
      <c r="S70" s="98" t="s">
        <v>293</v>
      </c>
      <c r="T70" s="99" t="s">
        <v>254</v>
      </c>
    </row>
    <row r="71" spans="1:21" ht="15">
      <c r="A71" s="58" t="s">
        <v>837</v>
      </c>
      <c r="B71" s="63" t="s">
        <v>839</v>
      </c>
      <c r="C71" s="61"/>
      <c r="D71" s="61"/>
      <c r="E71" s="62"/>
      <c r="F71" s="76"/>
      <c r="G71" s="77"/>
      <c r="H71" s="78"/>
      <c r="I71" s="84"/>
      <c r="J71" s="85"/>
      <c r="K71" s="86"/>
      <c r="L71" s="92"/>
      <c r="M71" s="93"/>
      <c r="N71" s="94"/>
      <c r="O71" s="110"/>
      <c r="P71" s="111"/>
      <c r="Q71" s="112"/>
      <c r="R71" s="100"/>
      <c r="S71" s="101"/>
      <c r="T71" s="102"/>
    </row>
    <row r="72" spans="1:21">
      <c r="A72" s="59" t="s">
        <v>837</v>
      </c>
      <c r="B72" s="64" t="s">
        <v>241</v>
      </c>
      <c r="C72" s="64">
        <v>4</v>
      </c>
      <c r="D72" s="64"/>
      <c r="E72" s="53"/>
      <c r="F72" s="76"/>
      <c r="G72" s="77"/>
      <c r="H72" s="78"/>
      <c r="I72" s="84"/>
      <c r="J72" s="85"/>
      <c r="K72" s="86"/>
      <c r="L72" s="92">
        <v>10</v>
      </c>
      <c r="M72" s="93">
        <v>15</v>
      </c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837</v>
      </c>
      <c r="B73" s="64" t="s">
        <v>242</v>
      </c>
      <c r="C73" s="64">
        <v>3</v>
      </c>
      <c r="D73" s="64"/>
      <c r="E73" s="53"/>
      <c r="F73" s="76"/>
      <c r="G73" s="77"/>
      <c r="H73" s="78"/>
      <c r="I73" s="84"/>
      <c r="J73" s="85"/>
      <c r="K73" s="86"/>
      <c r="L73" s="92">
        <v>10</v>
      </c>
      <c r="M73" s="93">
        <v>15</v>
      </c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837</v>
      </c>
      <c r="B74" s="64" t="s">
        <v>243</v>
      </c>
      <c r="C74" s="64">
        <v>4</v>
      </c>
      <c r="D74" s="64"/>
      <c r="E74" s="53"/>
      <c r="F74" s="76">
        <v>5</v>
      </c>
      <c r="G74" s="77">
        <v>20</v>
      </c>
      <c r="H74" s="78"/>
      <c r="I74" s="84"/>
      <c r="J74" s="85"/>
      <c r="K74" s="86"/>
      <c r="L74" s="92"/>
      <c r="M74" s="93"/>
      <c r="N74" s="94"/>
      <c r="O74" s="110">
        <v>5</v>
      </c>
      <c r="P74" s="111">
        <v>15</v>
      </c>
      <c r="Q74" s="112"/>
      <c r="R74" s="100"/>
      <c r="S74" s="101"/>
      <c r="T74" s="102"/>
    </row>
    <row r="75" spans="1:21" ht="15" thickBot="1">
      <c r="A75" s="59" t="s">
        <v>837</v>
      </c>
      <c r="B75" s="65" t="s">
        <v>244</v>
      </c>
      <c r="C75" s="64">
        <v>3</v>
      </c>
      <c r="D75" s="64"/>
      <c r="E75" s="53"/>
      <c r="F75" s="76"/>
      <c r="G75" s="77"/>
      <c r="H75" s="78"/>
      <c r="I75" s="84">
        <v>20</v>
      </c>
      <c r="J75" s="85"/>
      <c r="K75" s="86"/>
      <c r="L75" s="92"/>
      <c r="M75" s="93"/>
      <c r="N75" s="94"/>
      <c r="O75" s="110">
        <v>10</v>
      </c>
      <c r="P75" s="111">
        <v>2</v>
      </c>
      <c r="Q75" s="112"/>
      <c r="R75" s="100"/>
      <c r="S75" s="101"/>
      <c r="T75" s="102"/>
    </row>
    <row r="76" spans="1:21" ht="15">
      <c r="A76" s="59" t="s">
        <v>837</v>
      </c>
      <c r="B76" s="63" t="s">
        <v>840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/>
      <c r="N76" s="94"/>
      <c r="O76" s="110"/>
      <c r="P76" s="111"/>
      <c r="Q76" s="112"/>
      <c r="R76" s="100"/>
      <c r="S76" s="101"/>
      <c r="T76" s="102"/>
    </row>
    <row r="77" spans="1:21">
      <c r="A77" s="59" t="s">
        <v>837</v>
      </c>
      <c r="B77" s="64" t="s">
        <v>228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837</v>
      </c>
      <c r="B78" s="64" t="s">
        <v>841</v>
      </c>
      <c r="C78" s="64">
        <v>0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837</v>
      </c>
      <c r="B79" s="64" t="s">
        <v>230</v>
      </c>
      <c r="C79" s="64" t="s">
        <v>842</v>
      </c>
      <c r="D79" s="64"/>
      <c r="E79" s="53"/>
      <c r="F79" s="76"/>
      <c r="G79" s="77"/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837</v>
      </c>
      <c r="B80" s="65" t="s">
        <v>231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837</v>
      </c>
      <c r="B81" s="63" t="s">
        <v>833</v>
      </c>
      <c r="C81" s="64"/>
      <c r="D81" s="64"/>
      <c r="E81" s="53"/>
      <c r="F81" s="76"/>
      <c r="G81" s="77"/>
      <c r="H81" s="78"/>
      <c r="I81" s="84"/>
      <c r="J81" s="85"/>
      <c r="K81" s="86"/>
      <c r="L81" s="92"/>
      <c r="M81" s="93"/>
      <c r="N81" s="94"/>
      <c r="O81" s="110"/>
      <c r="P81" s="111"/>
      <c r="Q81" s="112"/>
      <c r="R81" s="100"/>
      <c r="S81" s="101"/>
      <c r="T81" s="102"/>
    </row>
    <row r="82" spans="1:21">
      <c r="A82" s="59" t="s">
        <v>837</v>
      </c>
      <c r="B82" s="64" t="s">
        <v>220</v>
      </c>
      <c r="C82" s="64">
        <v>2</v>
      </c>
      <c r="D82" s="64"/>
      <c r="E82" s="53"/>
      <c r="F82" s="76"/>
      <c r="G82" s="77"/>
      <c r="H82" s="78"/>
      <c r="I82" s="84"/>
      <c r="J82" s="85"/>
      <c r="K82" s="86"/>
      <c r="L82" s="92"/>
      <c r="M82" s="93"/>
      <c r="N82" s="94"/>
      <c r="O82" s="110"/>
      <c r="P82" s="111"/>
      <c r="Q82" s="112"/>
      <c r="R82" s="100"/>
      <c r="S82" s="101"/>
      <c r="T82" s="102"/>
    </row>
    <row r="83" spans="1:21">
      <c r="A83" s="59" t="s">
        <v>837</v>
      </c>
      <c r="B83" s="64" t="s">
        <v>221</v>
      </c>
      <c r="C83" s="64">
        <v>2</v>
      </c>
      <c r="D83" s="64"/>
      <c r="E83" s="53"/>
      <c r="F83" s="76"/>
      <c r="G83" s="77"/>
      <c r="H83" s="78"/>
      <c r="I83" s="84"/>
      <c r="J83" s="85"/>
      <c r="K83" s="86"/>
      <c r="L83" s="92"/>
      <c r="M83" s="93"/>
      <c r="N83" s="94"/>
      <c r="O83" s="110"/>
      <c r="P83" s="111"/>
      <c r="Q83" s="112"/>
      <c r="R83" s="100"/>
      <c r="S83" s="101"/>
      <c r="T83" s="102"/>
    </row>
    <row r="84" spans="1:21">
      <c r="A84" s="59" t="s">
        <v>837</v>
      </c>
      <c r="B84" s="64" t="s">
        <v>834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/>
      <c r="M84" s="93"/>
      <c r="N84" s="94"/>
      <c r="O84" s="110"/>
      <c r="P84" s="111"/>
      <c r="Q84" s="112"/>
      <c r="R84" s="100"/>
      <c r="S84" s="101"/>
      <c r="T84" s="102"/>
    </row>
    <row r="85" spans="1:21" ht="15" thickBot="1">
      <c r="A85" s="59" t="s">
        <v>837</v>
      </c>
      <c r="B85" s="65" t="s">
        <v>222</v>
      </c>
      <c r="C85" s="64">
        <v>1</v>
      </c>
      <c r="D85" s="64"/>
      <c r="E85" s="53"/>
      <c r="F85" s="76"/>
      <c r="G85" s="77"/>
      <c r="H85" s="78"/>
      <c r="I85" s="84"/>
      <c r="J85" s="85"/>
      <c r="K85" s="86"/>
      <c r="L85" s="92"/>
      <c r="M85" s="93"/>
      <c r="N85" s="94"/>
      <c r="O85" s="110"/>
      <c r="P85" s="111"/>
      <c r="Q85" s="112"/>
      <c r="R85" s="100"/>
      <c r="S85" s="101"/>
      <c r="T85" s="102"/>
    </row>
    <row r="86" spans="1:21" ht="15.75" thickBot="1">
      <c r="A86" s="59" t="s">
        <v>837</v>
      </c>
      <c r="B86" s="190" t="s">
        <v>838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/>
      <c r="P86" s="111"/>
      <c r="Q86" s="112"/>
      <c r="R86" s="100"/>
      <c r="S86" s="101"/>
      <c r="T86" s="102"/>
    </row>
    <row r="87" spans="1:21" ht="15.75" thickBot="1">
      <c r="A87" s="60" t="s">
        <v>837</v>
      </c>
      <c r="B87" s="66" t="s">
        <v>836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/>
      <c r="Q87" s="112"/>
      <c r="R87" s="100"/>
      <c r="S87" s="101"/>
      <c r="T87" s="102"/>
    </row>
    <row r="88" spans="1:21">
      <c r="E88" s="59" t="s">
        <v>255</v>
      </c>
      <c r="F88" s="79">
        <f>SUM(F71:F87)</f>
        <v>5</v>
      </c>
      <c r="G88" s="79">
        <f t="shared" ref="G88:T88" si="4">SUM(G71:G87)</f>
        <v>20</v>
      </c>
      <c r="H88" s="79">
        <f t="shared" si="4"/>
        <v>0</v>
      </c>
      <c r="I88" s="87">
        <f t="shared" si="4"/>
        <v>20</v>
      </c>
      <c r="J88" s="87">
        <f t="shared" si="4"/>
        <v>0</v>
      </c>
      <c r="K88" s="87">
        <f t="shared" si="4"/>
        <v>0</v>
      </c>
      <c r="L88" s="95">
        <f t="shared" si="4"/>
        <v>20</v>
      </c>
      <c r="M88" s="95">
        <f t="shared" si="4"/>
        <v>30</v>
      </c>
      <c r="N88" s="95">
        <f t="shared" si="4"/>
        <v>0</v>
      </c>
      <c r="O88" s="113">
        <f t="shared" si="4"/>
        <v>25</v>
      </c>
      <c r="P88" s="113">
        <f t="shared" si="4"/>
        <v>37</v>
      </c>
      <c r="Q88" s="113">
        <f t="shared" si="4"/>
        <v>0</v>
      </c>
      <c r="R88" s="103">
        <f t="shared" si="4"/>
        <v>0</v>
      </c>
      <c r="S88" s="103">
        <f t="shared" si="4"/>
        <v>0</v>
      </c>
      <c r="T88" s="105">
        <f t="shared" si="4"/>
        <v>0</v>
      </c>
    </row>
    <row r="89" spans="1:21">
      <c r="E89" s="59" t="s">
        <v>256</v>
      </c>
      <c r="F89" s="77">
        <v>0</v>
      </c>
      <c r="G89" s="77">
        <v>0</v>
      </c>
      <c r="H89" s="77">
        <v>0</v>
      </c>
      <c r="I89" s="85">
        <v>0</v>
      </c>
      <c r="J89" s="85">
        <v>0</v>
      </c>
      <c r="K89" s="85">
        <v>0</v>
      </c>
      <c r="L89" s="93">
        <v>0</v>
      </c>
      <c r="M89" s="93">
        <v>0</v>
      </c>
      <c r="N89" s="93">
        <v>0</v>
      </c>
      <c r="O89" s="111">
        <v>0</v>
      </c>
      <c r="P89" s="111">
        <v>0</v>
      </c>
      <c r="Q89" s="111">
        <v>0</v>
      </c>
      <c r="R89" s="101">
        <v>0</v>
      </c>
      <c r="S89" s="101">
        <v>0</v>
      </c>
      <c r="T89" s="102">
        <v>0</v>
      </c>
    </row>
    <row r="90" spans="1:21" ht="15.75" thickBot="1">
      <c r="E90" s="68" t="s">
        <v>116</v>
      </c>
      <c r="F90" s="80">
        <f>MAXA(F88-F89,0)</f>
        <v>5</v>
      </c>
      <c r="G90" s="80">
        <f t="shared" ref="G90:T90" si="5">MAXA(G88-G89,0)</f>
        <v>20</v>
      </c>
      <c r="H90" s="80">
        <f t="shared" si="5"/>
        <v>0</v>
      </c>
      <c r="I90" s="88">
        <f t="shared" si="5"/>
        <v>20</v>
      </c>
      <c r="J90" s="88">
        <f t="shared" si="5"/>
        <v>0</v>
      </c>
      <c r="K90" s="88">
        <f t="shared" si="5"/>
        <v>0</v>
      </c>
      <c r="L90" s="96">
        <f t="shared" si="5"/>
        <v>20</v>
      </c>
      <c r="M90" s="96">
        <f t="shared" si="5"/>
        <v>30</v>
      </c>
      <c r="N90" s="96">
        <f t="shared" si="5"/>
        <v>0</v>
      </c>
      <c r="O90" s="114">
        <f t="shared" si="5"/>
        <v>25</v>
      </c>
      <c r="P90" s="114">
        <f t="shared" si="5"/>
        <v>37</v>
      </c>
      <c r="Q90" s="114">
        <f t="shared" si="5"/>
        <v>0</v>
      </c>
      <c r="R90" s="104">
        <f t="shared" si="5"/>
        <v>0</v>
      </c>
      <c r="S90" s="104">
        <f t="shared" si="5"/>
        <v>0</v>
      </c>
      <c r="T90" s="106">
        <f t="shared" si="5"/>
        <v>0</v>
      </c>
    </row>
    <row r="91" spans="1:21">
      <c r="E91" s="61"/>
      <c r="F91" s="51"/>
      <c r="G91" s="212" t="s">
        <v>281</v>
      </c>
      <c r="H91" s="212"/>
      <c r="I91" s="212"/>
      <c r="J91" s="212"/>
      <c r="K91" s="212"/>
      <c r="L91" s="212"/>
      <c r="M91" s="212"/>
      <c r="N91" s="212"/>
      <c r="O91" s="212"/>
      <c r="P91" s="212"/>
      <c r="Q91" s="212"/>
      <c r="R91" s="212"/>
      <c r="S91" s="212"/>
      <c r="T91" s="213"/>
    </row>
    <row r="92" spans="1:21">
      <c r="E92" s="5">
        <v>9</v>
      </c>
      <c r="F92" s="6">
        <f>F$90/VLOOKUP(F$6,Tabela11[#All],6,FALSE)</f>
        <v>4.4776119402985071</v>
      </c>
      <c r="G92" s="118">
        <f>G$90/VLOOKUP(G$6,Tabela11[#All],6,FALSE)</f>
        <v>35.820895522388057</v>
      </c>
      <c r="H92" s="118">
        <f>H$90/VLOOKUP(H$6,Tabela11[#All],6,FALSE)</f>
        <v>0</v>
      </c>
      <c r="I92" s="118">
        <f>I$90/VLOOKUP(I$6,Tabela11[#All],6,FALSE)</f>
        <v>17.910447761194028</v>
      </c>
      <c r="J92" s="118">
        <f>J$90/VLOOKUP(J$6,Tabela11[#All],6,FALSE)</f>
        <v>0</v>
      </c>
      <c r="K92" s="118">
        <f>K$90/VLOOKUP(K$6,Tabela11[#All],6,FALSE)</f>
        <v>0</v>
      </c>
      <c r="L92" s="118">
        <f>L$90/VLOOKUP(L$6,Tabela11[#All],6,FALSE)</f>
        <v>17.910447761194028</v>
      </c>
      <c r="M92" s="118">
        <f>M$90/VLOOKUP(M$6,Tabela11[#All],6,FALSE)</f>
        <v>53.731343283582085</v>
      </c>
      <c r="N92" s="118">
        <f>N$90/VLOOKUP(N$6,Tabela11[#All],6,FALSE)</f>
        <v>0</v>
      </c>
      <c r="O92" s="118">
        <f>O$90/VLOOKUP(O$6,Tabela11[#All],6,FALSE)</f>
        <v>22.388059701492537</v>
      </c>
      <c r="P92" s="118">
        <f>P$90/VLOOKUP(P$6,Tabela11[#All],6,FALSE)</f>
        <v>66.268656716417908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3.7209302325581395</v>
      </c>
      <c r="G93" s="118">
        <f>G$90/VLOOKUP(G$6,Tabela11[#All],5,FALSE)</f>
        <v>91.428571428571431</v>
      </c>
      <c r="H93" s="118">
        <f>H$90/VLOOKUP(H$6,Tabela11[#All],5,FALSE)</f>
        <v>0</v>
      </c>
      <c r="I93" s="118">
        <f>I$90/VLOOKUP(I$6,Tabela11[#All],5,FALSE)</f>
        <v>14.883720930232558</v>
      </c>
      <c r="J93" s="118">
        <f>J$90/VLOOKUP(J$6,Tabela11[#All],5,FALSE)</f>
        <v>0</v>
      </c>
      <c r="K93" s="118">
        <f>K$90/VLOOKUP(K$6,Tabela11[#All],5,FALSE)</f>
        <v>0</v>
      </c>
      <c r="L93" s="118">
        <f>L$90/VLOOKUP(L$6,Tabela11[#All],5,FALSE)</f>
        <v>14.883720930232558</v>
      </c>
      <c r="M93" s="118">
        <f>M$90/VLOOKUP(M$6,Tabela11[#All],5,FALSE)</f>
        <v>137.14285714285714</v>
      </c>
      <c r="N93" s="118">
        <f>N$90/VLOOKUP(N$6,Tabela11[#All],5,FALSE)</f>
        <v>0</v>
      </c>
      <c r="O93" s="118">
        <f>O$90/VLOOKUP(O$6,Tabela11[#All],5,FALSE)</f>
        <v>18.604651162790699</v>
      </c>
      <c r="P93" s="118">
        <f>P$90/VLOOKUP(P$6,Tabela11[#All],5,FALSE)</f>
        <v>169.14285714285714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3.5263157894736841</v>
      </c>
      <c r="G94" s="120">
        <f>G$90/VLOOKUP(G$6,Tabela11[#All],4,FALSE)</f>
        <v>36.21621621621621</v>
      </c>
      <c r="H94" s="120">
        <f>H$90/VLOOKUP(H$6,Tabela11[#All],4,FALSE)</f>
        <v>0</v>
      </c>
      <c r="I94" s="120">
        <f>I$90/VLOOKUP(I$6,Tabela11[#All],4,FALSE)</f>
        <v>14.105263157894736</v>
      </c>
      <c r="J94" s="120">
        <f>J$90/VLOOKUP(J$6,Tabela11[#All],4,FALSE)</f>
        <v>0</v>
      </c>
      <c r="K94" s="120">
        <f>K$90/VLOOKUP(K$6,Tabela11[#All],4,FALSE)</f>
        <v>0</v>
      </c>
      <c r="L94" s="120">
        <f>L$90/VLOOKUP(L$6,Tabela11[#All],4,FALSE)</f>
        <v>14.105263157894736</v>
      </c>
      <c r="M94" s="120">
        <f>M$90/VLOOKUP(M$6,Tabela11[#All],4,FALSE)</f>
        <v>54.324324324324323</v>
      </c>
      <c r="N94" s="120">
        <f>N$90/VLOOKUP(N$6,Tabela11[#All],4,FALSE)</f>
        <v>0</v>
      </c>
      <c r="O94" s="120">
        <f>O$90/VLOOKUP(O$6,Tabela11[#All],4,FALSE)</f>
        <v>17.631578947368421</v>
      </c>
      <c r="P94" s="120">
        <f>P$90/VLOOKUP(P$6,Tabela11[#All],4,FALSE)</f>
        <v>67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209" t="s">
        <v>280</v>
      </c>
      <c r="H96" s="210"/>
      <c r="I96" s="210"/>
      <c r="J96" s="210"/>
      <c r="K96" s="210"/>
      <c r="L96" s="210"/>
      <c r="M96" s="210"/>
      <c r="N96" s="210"/>
      <c r="O96" s="210"/>
      <c r="P96" s="210"/>
      <c r="Q96" s="210"/>
      <c r="R96" s="210"/>
      <c r="S96" s="210"/>
      <c r="T96" s="211"/>
      <c r="U96" s="122" t="s">
        <v>282</v>
      </c>
    </row>
    <row r="97" spans="5:21">
      <c r="E97" s="5">
        <v>9</v>
      </c>
      <c r="F97" s="6">
        <f>F$90/VLOOKUP(F$6,Tabela11[#All],6,FALSE)*(7-12*0.065)</f>
        <v>27.850746268656714</v>
      </c>
      <c r="G97" s="126">
        <f>G$90/VLOOKUP(G$6,Tabela11[#All],6,FALSE)*(7-12*0.065)</f>
        <v>222.80597014925371</v>
      </c>
      <c r="H97" s="126">
        <f>H$90/VLOOKUP(H$6,Tabela11[#All],6,FALSE)*(7-12*0.065)</f>
        <v>0</v>
      </c>
      <c r="I97" s="126">
        <f>I$90/VLOOKUP(I$6,Tabela11[#All],6,FALSE)*(7-12*0.065)</f>
        <v>111.40298507462686</v>
      </c>
      <c r="J97" s="126">
        <f>J$90/VLOOKUP(J$6,Tabela11[#All],6,FALSE)*(7-12*0.065)</f>
        <v>0</v>
      </c>
      <c r="K97" s="126">
        <f>K$90/VLOOKUP(K$6,Tabela11[#All],6,FALSE)*(7-12*0.065)</f>
        <v>0</v>
      </c>
      <c r="L97" s="126">
        <f>L$90/VLOOKUP(L$6,Tabela11[#All],6,FALSE)*(7-12*0.065)</f>
        <v>111.40298507462686</v>
      </c>
      <c r="M97" s="126">
        <f>M$90/VLOOKUP(M$6,Tabela11[#All],6,FALSE)*(7-12*0.065)</f>
        <v>334.20895522388054</v>
      </c>
      <c r="N97" s="126">
        <f>N$90/VLOOKUP(N$6,Tabela11[#All],6,FALSE)*(7-12*0.065)</f>
        <v>0</v>
      </c>
      <c r="O97" s="126">
        <f>O$90/VLOOKUP(O$6,Tabela11[#All],6,FALSE)*(7-12*0.065)</f>
        <v>139.25373134328356</v>
      </c>
      <c r="P97" s="126">
        <f>P$90/VLOOKUP(P$6,Tabela11[#All],6,FALSE)*(7-12*0.065)</f>
        <v>412.19104477611938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1080.6089552238805</v>
      </c>
    </row>
    <row r="98" spans="5:21">
      <c r="E98" s="5">
        <v>8</v>
      </c>
      <c r="F98" s="6">
        <f>F$90/VLOOKUP(F$6,Tabela11[#All],5,FALSE)*(7-12*0.065)</f>
        <v>23.144186046511628</v>
      </c>
      <c r="G98" s="126">
        <f>G$90/VLOOKUP(G$6,Tabela11[#All],5,FALSE)*(7-12*0.065)</f>
        <v>568.68571428571431</v>
      </c>
      <c r="H98" s="126">
        <f>H$90/VLOOKUP(H$6,Tabela11[#All],5,FALSE)*(7-12*0.065)</f>
        <v>0</v>
      </c>
      <c r="I98" s="126">
        <f>I$90/VLOOKUP(I$6,Tabela11[#All],5,FALSE)*(7-12*0.065)</f>
        <v>92.576744186046511</v>
      </c>
      <c r="J98" s="126">
        <f>J$90/VLOOKUP(J$6,Tabela11[#All],5,FALSE)*(7-12*0.065)</f>
        <v>0</v>
      </c>
      <c r="K98" s="126">
        <f>K$90/VLOOKUP(K$6,Tabela11[#All],5,FALSE)*(7-12*0.065)</f>
        <v>0</v>
      </c>
      <c r="L98" s="126">
        <f>L$90/VLOOKUP(L$6,Tabela11[#All],5,FALSE)*(7-12*0.065)</f>
        <v>92.576744186046511</v>
      </c>
      <c r="M98" s="126">
        <f>M$90/VLOOKUP(M$6,Tabela11[#All],5,FALSE)*(7-12*0.065)</f>
        <v>853.02857142857135</v>
      </c>
      <c r="N98" s="126">
        <f>N$90/VLOOKUP(N$6,Tabela11[#All],5,FALSE)*(7-12*0.065)</f>
        <v>0</v>
      </c>
      <c r="O98" s="126">
        <f>O$90/VLOOKUP(O$6,Tabela11[#All],5,FALSE)*(7-12*0.065)</f>
        <v>115.72093023255815</v>
      </c>
      <c r="P98" s="126">
        <f>P$90/VLOOKUP(P$6,Tabela11[#All],5,FALSE)*(7-12*0.065)</f>
        <v>1052.0685714285714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2566.3596013289034</v>
      </c>
    </row>
    <row r="99" spans="5:21" ht="15" thickBot="1">
      <c r="E99" s="7">
        <v>7</v>
      </c>
      <c r="F99" s="8">
        <f>F$90/VLOOKUP(F$6,Tabela11[#All],4,FALSE)*(6-12*0.065)</f>
        <v>18.407368421052631</v>
      </c>
      <c r="G99" s="128">
        <f>G$90/VLOOKUP(G$6,Tabela11[#All],4,FALSE)*(6-12*0.065)</f>
        <v>189.04864864864862</v>
      </c>
      <c r="H99" s="128">
        <f>H$90/VLOOKUP(H$6,Tabela11[#All],4,FALSE)*(6-12*0.065)</f>
        <v>0</v>
      </c>
      <c r="I99" s="128">
        <f>I$90/VLOOKUP(I$6,Tabela11[#All],4,FALSE)*(6-12*0.065)</f>
        <v>73.629473684210524</v>
      </c>
      <c r="J99" s="128">
        <f>J$90/VLOOKUP(J$6,Tabela11[#All],4,FALSE)*(6-12*0.065)</f>
        <v>0</v>
      </c>
      <c r="K99" s="128">
        <f>K$90/VLOOKUP(K$6,Tabela11[#All],4,FALSE)*(6-12*0.065)</f>
        <v>0</v>
      </c>
      <c r="L99" s="128">
        <f>L$90/VLOOKUP(L$6,Tabela11[#All],4,FALSE)*(6-12*0.065)</f>
        <v>73.629473684210524</v>
      </c>
      <c r="M99" s="128">
        <f>M$90/VLOOKUP(M$6,Tabela11[#All],4,FALSE)*(6-12*0.065)</f>
        <v>283.57297297297293</v>
      </c>
      <c r="N99" s="128">
        <f>N$90/VLOOKUP(N$6,Tabela11[#All],4,FALSE)*(6-12*0.065)</f>
        <v>0</v>
      </c>
      <c r="O99" s="128">
        <f>O$90/VLOOKUP(O$6,Tabela11[#All],4,FALSE)*(6-12*0.065)</f>
        <v>92.036842105263148</v>
      </c>
      <c r="P99" s="128">
        <f>P$90/VLOOKUP(P$6,Tabela11[#All],4,FALSE)*(6-12*0.065)</f>
        <v>349.74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895.99109530583212</v>
      </c>
    </row>
  </sheetData>
  <mergeCells count="21"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  <mergeCell ref="F37:H37"/>
    <mergeCell ref="I37:K37"/>
    <mergeCell ref="L37:N37"/>
    <mergeCell ref="O37:Q37"/>
    <mergeCell ref="R37:T37"/>
    <mergeCell ref="G32:T32"/>
    <mergeCell ref="G27:T27"/>
    <mergeCell ref="R5:T5"/>
    <mergeCell ref="F5:H5"/>
    <mergeCell ref="I5:K5"/>
    <mergeCell ref="L5:N5"/>
    <mergeCell ref="O5:Q5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W94"/>
  <sheetViews>
    <sheetView zoomScale="85" zoomScaleNormal="85" workbookViewId="0">
      <selection activeCell="P14" sqref="P14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6" width="14.25" customWidth="1"/>
    <col min="17" max="17" width="12" customWidth="1"/>
    <col min="19" max="19" width="19.125" bestFit="1" customWidth="1"/>
    <col min="21" max="21" width="20.125" bestFit="1" customWidth="1"/>
  </cols>
  <sheetData>
    <row r="1" spans="1:23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176</v>
      </c>
      <c r="J1" s="67" t="s">
        <v>22</v>
      </c>
      <c r="K1" s="67" t="s">
        <v>55</v>
      </c>
      <c r="L1" s="67" t="s">
        <v>54</v>
      </c>
      <c r="M1" s="67" t="s">
        <v>180</v>
      </c>
      <c r="N1" s="67" t="s">
        <v>177</v>
      </c>
      <c r="O1" s="67" t="s">
        <v>182</v>
      </c>
      <c r="P1" s="67" t="s">
        <v>33</v>
      </c>
      <c r="Q1" s="67" t="s">
        <v>24</v>
      </c>
      <c r="R1" s="67" t="s">
        <v>245</v>
      </c>
      <c r="S1" s="67" t="s">
        <v>257</v>
      </c>
      <c r="T1" s="67" t="s">
        <v>130</v>
      </c>
      <c r="U1" s="67" t="s">
        <v>129</v>
      </c>
      <c r="V1" t="s">
        <v>132</v>
      </c>
      <c r="W1" t="s">
        <v>133</v>
      </c>
    </row>
    <row r="2" spans="1:23">
      <c r="A2" t="s">
        <v>60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1537.3203883495146</v>
      </c>
      <c r="O2" s="50">
        <f>LocFeatures[[#This Row],[XP Train Gain]]/(LocFeatures[[#This Row],[E. Cost]]-LocFeatures[[#This Row],[Energy gain]])</f>
        <v>1299.2621359223301</v>
      </c>
      <c r="P2" s="50">
        <f>LocFeatures[[#This Row],[XP drop]]/(LocFeatures[[#This Row],[E. Cost]]-LocFeatures[[#This Row],[Energy gain]])</f>
        <v>472.05825242718447</v>
      </c>
      <c r="Q2" s="50">
        <f>(LocFeatures[[#This Row],[XP Train Gain]]+LocFeatures[[#This Row],[XP drop]])/(LocFeatures[[#This Row],[E. Cost]]-LocFeatures[[#This Row],[Energy gain]])</f>
        <v>1771.3203883495146</v>
      </c>
      <c r="R2" s="47">
        <f>COUNTIFS(DropAnalityka[Location],LocFeatures[[#This Row],[Location]],DropAnalityka[LVL],LocFeatures[[#This Row],[LVL]],DropAnalityka[Stage],LocFeatures[[#This Row],[Stage]])</f>
        <v>32</v>
      </c>
      <c r="S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3">
      <c r="A3" s="10" t="s">
        <v>60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0">
        <f>AVERAGEIFS(DropAnalityka[Exp Gain],DropAnalityka[Location],LocFeatures[[#This Row],[Location]],DropAnalityka[LVL],LocFeatures[[#This Row],[LVL]],DropAnalityka[Stage],LocFeatures[[#This Row],[Stage]])</f>
        <v>175</v>
      </c>
      <c r="N3" s="50">
        <f>LocFeatures[[#This Row],[Drop worth gain]]/(LocFeatures[[#This Row],[E. Cost]]-LocFeatures[[#This Row],[Energy gain]])</f>
        <v>1792.2906403940885</v>
      </c>
      <c r="O3" s="50">
        <f>LocFeatures[[#This Row],[XP Train Gain]]/(LocFeatures[[#This Row],[E. Cost]]-LocFeatures[[#This Row],[Energy gain]])</f>
        <v>1133.5566502463053</v>
      </c>
      <c r="P3" s="50">
        <f>LocFeatures[[#This Row],[XP drop]]/(LocFeatures[[#This Row],[E. Cost]]-LocFeatures[[#This Row],[Energy gain]])</f>
        <v>82.75862068965516</v>
      </c>
      <c r="Q3" s="50">
        <f>(LocFeatures[[#This Row],[XP Train Gain]]+LocFeatures[[#This Row],[XP drop]])/(LocFeatures[[#This Row],[E. Cost]]-LocFeatures[[#This Row],[Energy gain]])</f>
        <v>1216.3152709359606</v>
      </c>
      <c r="R3" s="47">
        <f>COUNTIFS(DropAnalityka[Location],LocFeatures[[#This Row],[Location]],DropAnalityka[LVL],LocFeatures[[#This Row],[LVL]],DropAnalityka[Stage],LocFeatures[[#This Row],[Stage]])</f>
        <v>96</v>
      </c>
      <c r="S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U3" s="10"/>
      <c r="V3" s="10"/>
      <c r="W3" s="10"/>
    </row>
    <row r="4" spans="1:23" s="10" customFormat="1">
      <c r="A4" s="10" t="s">
        <v>60</v>
      </c>
      <c r="B4" s="10" t="s">
        <v>9</v>
      </c>
      <c r="C4" s="10">
        <v>2</v>
      </c>
      <c r="D4" s="10">
        <v>3</v>
      </c>
      <c r="E4" s="10">
        <v>804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4" s="19">
        <f>AVERAGEIFS(DropAnalityka[Energy Drop],DropAnalityka[Location],LocFeatures[[#This Row],[Location]],DropAnalityka[LVL],LocFeatures[[#This Row],[LVL]],DropAnalityka[Stage],LocFeatures[[#This Row],[Stage]])</f>
        <v>0</v>
      </c>
      <c r="K4" s="10">
        <f>4*LocFeatures[[#This Row],[XP Gain per member]]</f>
        <v>3216</v>
      </c>
      <c r="L4">
        <f>3*LocFeatures[[#This Row],[XP Gain per member]]</f>
        <v>2412</v>
      </c>
      <c r="M4" s="50">
        <f>AVERAGEIFS(DropAnalityka[Exp Gain],DropAnalityka[Location],LocFeatures[[#This Row],[Location]],DropAnalityka[LVL],LocFeatures[[#This Row],[LVL]],DropAnalityka[Stage],LocFeatures[[#This Row],[Stage]])</f>
        <v>0</v>
      </c>
      <c r="N4" s="50">
        <f>LocFeatures[[#This Row],[Drop worth gain]]/(LocFeatures[[#This Row],[E. Cost]]-LocFeatures[[#This Row],[Energy gain]])</f>
        <v>1130.6666666666667</v>
      </c>
      <c r="O4" s="50">
        <f>LocFeatures[[#This Row],[XP Train Gain]]/(LocFeatures[[#This Row],[E. Cost]]-LocFeatures[[#This Row],[Energy gain]])</f>
        <v>804</v>
      </c>
      <c r="P4" s="50">
        <f>LocFeatures[[#This Row],[XP drop]]/(LocFeatures[[#This Row],[E. Cost]]-LocFeatures[[#This Row],[Energy gain]])</f>
        <v>0</v>
      </c>
      <c r="Q4" s="50">
        <f>(LocFeatures[[#This Row],[XP Train Gain]]+LocFeatures[[#This Row],[XP drop]])/(LocFeatures[[#This Row],[E. Cost]]-LocFeatures[[#This Row],[Energy gain]])</f>
        <v>804</v>
      </c>
      <c r="R4" s="47">
        <f>COUNTIFS(DropAnalityka[Location],LocFeatures[[#This Row],[Location]],DropAnalityka[LVL],LocFeatures[[#This Row],[LVL]],DropAnalityka[Stage],LocFeatures[[#This Row],[Stage]])</f>
        <v>1</v>
      </c>
      <c r="S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T4"/>
    </row>
    <row r="5" spans="1:23" s="10" customFormat="1">
      <c r="A5" s="10" t="s">
        <v>60</v>
      </c>
      <c r="B5" s="10" t="s">
        <v>9</v>
      </c>
      <c r="C5" s="10">
        <v>3</v>
      </c>
      <c r="D5" s="10">
        <v>3</v>
      </c>
      <c r="E5" s="10">
        <v>804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5" s="19">
        <f>AVERAGEIFS(DropAnalityka[Energy Drop],DropAnalityka[Location],LocFeatures[[#This Row],[Location]],DropAnalityka[LVL],LocFeatures[[#This Row],[LVL]],DropAnalityka[Stage],LocFeatures[[#This Row],[Stage]])</f>
        <v>0</v>
      </c>
      <c r="K5" s="10">
        <f>4*LocFeatures[[#This Row],[XP Gain per member]]</f>
        <v>3216</v>
      </c>
      <c r="L5">
        <f>3*LocFeatures[[#This Row],[XP Gain per member]]</f>
        <v>2412</v>
      </c>
      <c r="M5" s="50">
        <f>AVERAGEIFS(DropAnalityka[Exp Gain],DropAnalityka[Location],LocFeatures[[#This Row],[Location]],DropAnalityka[LVL],LocFeatures[[#This Row],[LVL]],DropAnalityka[Stage],LocFeatures[[#This Row],[Stage]])</f>
        <v>0</v>
      </c>
      <c r="N5" s="50">
        <f>LocFeatures[[#This Row],[Drop worth gain]]/(LocFeatures[[#This Row],[E. Cost]]-LocFeatures[[#This Row],[Energy gain]])</f>
        <v>988</v>
      </c>
      <c r="O5" s="50">
        <f>LocFeatures[[#This Row],[XP Train Gain]]/(LocFeatures[[#This Row],[E. Cost]]-LocFeatures[[#This Row],[Energy gain]])</f>
        <v>804</v>
      </c>
      <c r="P5" s="50">
        <f>LocFeatures[[#This Row],[XP drop]]/(LocFeatures[[#This Row],[E. Cost]]-LocFeatures[[#This Row],[Energy gain]])</f>
        <v>0</v>
      </c>
      <c r="Q5" s="50">
        <f>(LocFeatures[[#This Row],[XP Train Gain]]+LocFeatures[[#This Row],[XP drop]])/(LocFeatures[[#This Row],[E. Cost]]-LocFeatures[[#This Row],[Energy gain]])</f>
        <v>804</v>
      </c>
      <c r="R5" s="47">
        <f>COUNTIFS(DropAnalityka[Location],LocFeatures[[#This Row],[Location]],DropAnalityka[LVL],LocFeatures[[#This Row],[LVL]],DropAnalityka[Stage],LocFeatures[[#This Row],[Stage]])</f>
        <v>2</v>
      </c>
      <c r="S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T5"/>
    </row>
    <row r="6" spans="1:23" s="10" customFormat="1">
      <c r="A6" t="s">
        <v>178</v>
      </c>
      <c r="B6" t="s">
        <v>9</v>
      </c>
      <c r="C6">
        <v>8</v>
      </c>
      <c r="D6">
        <v>8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12029.388888888889</v>
      </c>
      <c r="J6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6" s="10">
        <f>5*LocFeatures[[#This Row],[XP Gain per member]]</f>
        <v>0</v>
      </c>
      <c r="L6">
        <f>3*LocFeatures[[#This Row],[XP Gain per member]]</f>
        <v>0</v>
      </c>
      <c r="M6" s="50">
        <f>AVERAGEIFS(DropAnalityka[Exp Gain],DropAnalityka[Location],LocFeatures[[#This Row],[Location]],DropAnalityka[LVL],LocFeatures[[#This Row],[LVL]],DropAnalityka[Stage],LocFeatures[[#This Row],[Stage]])</f>
        <v>3190.1111111111113</v>
      </c>
      <c r="N6" s="50">
        <f>LocFeatures[[#This Row],[Drop worth gain]]/(LocFeatures[[#This Row],[E. Cost]]-LocFeatures[[#This Row],[Energy gain]])</f>
        <v>1691.6328125</v>
      </c>
      <c r="O6" s="50">
        <f>LocFeatures[[#This Row],[XP Train Gain]]/(LocFeatures[[#This Row],[E. Cost]]-LocFeatures[[#This Row],[Energy gain]])</f>
        <v>0</v>
      </c>
      <c r="P6" s="50">
        <f>LocFeatures[[#This Row],[XP drop]]/(LocFeatures[[#This Row],[E. Cost]]-LocFeatures[[#This Row],[Energy gain]])</f>
        <v>448.60937500000006</v>
      </c>
      <c r="Q6" s="50">
        <f>(LocFeatures[[#This Row],[XP Train Gain]]+LocFeatures[[#This Row],[XP drop]])/(LocFeatures[[#This Row],[E. Cost]]-LocFeatures[[#This Row],[Energy gain]])</f>
        <v>448.60937500000006</v>
      </c>
      <c r="R6" s="47">
        <f>COUNTIFS(DropAnalityka[Location],LocFeatures[[#This Row],[Location]],DropAnalityka[LVL],LocFeatures[[#This Row],[LVL]],DropAnalityka[Stage],LocFeatures[[#This Row],[Stage]])</f>
        <v>18</v>
      </c>
      <c r="S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4138.1140624999998</v>
      </c>
      <c r="T6"/>
      <c r="U6"/>
      <c r="V6"/>
      <c r="W6"/>
    </row>
    <row r="7" spans="1:23" s="10" customFormat="1">
      <c r="A7" t="s">
        <v>178</v>
      </c>
      <c r="B7" t="s">
        <v>9</v>
      </c>
      <c r="C7">
        <v>9</v>
      </c>
      <c r="D7">
        <v>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12550.254545454545</v>
      </c>
      <c r="J7" s="19">
        <f>AVERAGEIFS(DropAnalityka[Energy Drop],DropAnalityka[Location],LocFeatures[[#This Row],[Location]],DropAnalityka[LVL],LocFeatures[[#This Row],[LVL]],DropAnalityka[Stage],LocFeatures[[#This Row],[Stage]])</f>
        <v>1</v>
      </c>
      <c r="K7" s="10">
        <f>5*LocFeatures[[#This Row],[XP Gain per member]]</f>
        <v>0</v>
      </c>
      <c r="L7">
        <f>3*LocFeatures[[#This Row],[XP Gain per member]]</f>
        <v>0</v>
      </c>
      <c r="M7" s="50">
        <f>AVERAGEIFS(DropAnalityka[Exp Gain],DropAnalityka[Location],LocFeatures[[#This Row],[Location]],DropAnalityka[LVL],LocFeatures[[#This Row],[LVL]],DropAnalityka[Stage],LocFeatures[[#This Row],[Stage]])</f>
        <v>2158.7390909090909</v>
      </c>
      <c r="N7" s="50">
        <f>LocFeatures[[#This Row],[Drop worth gain]]/(LocFeatures[[#This Row],[E. Cost]]-LocFeatures[[#This Row],[Energy gain]])</f>
        <v>1792.8935064935065</v>
      </c>
      <c r="O7" s="50">
        <f>LocFeatures[[#This Row],[XP Train Gain]]/(LocFeatures[[#This Row],[E. Cost]]-LocFeatures[[#This Row],[Energy gain]])</f>
        <v>0</v>
      </c>
      <c r="P7" s="50">
        <f>LocFeatures[[#This Row],[XP drop]]/(LocFeatures[[#This Row],[E. Cost]]-LocFeatures[[#This Row],[Energy gain]])</f>
        <v>308.39129870129869</v>
      </c>
      <c r="Q7" s="50">
        <f>(LocFeatures[[#This Row],[XP Train Gain]]+LocFeatures[[#This Row],[XP drop]])/(LocFeatures[[#This Row],[E. Cost]]-LocFeatures[[#This Row],[Energy gain]])</f>
        <v>308.39129870129869</v>
      </c>
      <c r="R7" s="47">
        <f>COUNTIFS(DropAnalityka[Location],LocFeatures[[#This Row],[Location]],DropAnalityka[LVL],LocFeatures[[#This Row],[LVL]],DropAnalityka[Stage],LocFeatures[[#This Row],[Stage]])</f>
        <v>110</v>
      </c>
      <c r="S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4889.6106493506495</v>
      </c>
      <c r="T7"/>
      <c r="U7"/>
      <c r="V7"/>
      <c r="W7"/>
    </row>
    <row r="8" spans="1:23" s="10" customFormat="1">
      <c r="A8" t="s">
        <v>178</v>
      </c>
      <c r="B8" t="s">
        <v>9</v>
      </c>
      <c r="C8">
        <v>10</v>
      </c>
      <c r="D8">
        <v>8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14057.797619047618</v>
      </c>
      <c r="J8" s="19">
        <f>AVERAGEIFS(DropAnalityka[Energy Drop],DropAnalityka[Location],LocFeatures[[#This Row],[Location]],DropAnalityka[LVL],LocFeatures[[#This Row],[LVL]],DropAnalityka[Stage],LocFeatures[[#This Row],[Stage]])</f>
        <v>1.0731707317073171</v>
      </c>
      <c r="K8" s="10">
        <f>5*LocFeatures[[#This Row],[XP Gain per member]]</f>
        <v>0</v>
      </c>
      <c r="L8">
        <f>3*LocFeatures[[#This Row],[XP Gain per member]]</f>
        <v>0</v>
      </c>
      <c r="M8" s="50">
        <f>AVERAGEIFS(DropAnalityka[Exp Gain],DropAnalityka[Location],LocFeatures[[#This Row],[Location]],DropAnalityka[LVL],LocFeatures[[#This Row],[LVL]],DropAnalityka[Stage],LocFeatures[[#This Row],[Stage]])</f>
        <v>4812.2059523809521</v>
      </c>
      <c r="N8" s="50">
        <f>LocFeatures[[#This Row],[Drop worth gain]]/(LocFeatures[[#This Row],[E. Cost]]-LocFeatures[[#This Row],[Energy gain]])</f>
        <v>2029.4707830315224</v>
      </c>
      <c r="O8" s="50">
        <f>LocFeatures[[#This Row],[XP Train Gain]]/(LocFeatures[[#This Row],[E. Cost]]-LocFeatures[[#This Row],[Energy gain]])</f>
        <v>0</v>
      </c>
      <c r="P8" s="50">
        <f>LocFeatures[[#This Row],[XP drop]]/(LocFeatures[[#This Row],[E. Cost]]-LocFeatures[[#This Row],[Energy gain]])</f>
        <v>694.71987340710928</v>
      </c>
      <c r="Q8" s="50">
        <f>(LocFeatures[[#This Row],[XP Train Gain]]+LocFeatures[[#This Row],[XP drop]])/(LocFeatures[[#This Row],[E. Cost]]-LocFeatures[[#This Row],[Energy gain]])</f>
        <v>694.71987340710928</v>
      </c>
      <c r="R8" s="47">
        <f>COUNTIFS(DropAnalityka[Location],LocFeatures[[#This Row],[Location]],DropAnalityka[LVL],LocFeatures[[#This Row],[LVL]],DropAnalityka[Stage],LocFeatures[[#This Row],[Stage]])</f>
        <v>42</v>
      </c>
      <c r="S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5000.0751173708913</v>
      </c>
      <c r="T8"/>
      <c r="U8"/>
      <c r="V8"/>
      <c r="W8"/>
    </row>
    <row r="9" spans="1:23" s="10" customFormat="1">
      <c r="A9" s="10" t="s">
        <v>31</v>
      </c>
      <c r="B9" s="10" t="s">
        <v>30</v>
      </c>
      <c r="C9" s="10">
        <v>1</v>
      </c>
      <c r="D9" s="10">
        <v>4</v>
      </c>
      <c r="E9" s="10">
        <v>1276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9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9" s="10">
        <f>4*LocFeatures[[#This Row],[XP Gain per member]]</f>
        <v>5104</v>
      </c>
      <c r="L9">
        <f>3*LocFeatures[[#This Row],[XP Gain per member]]</f>
        <v>3828</v>
      </c>
      <c r="M9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9" s="50">
        <f>LocFeatures[[#This Row],[Drop worth gain]]/(LocFeatures[[#This Row],[E. Cost]]-LocFeatures[[#This Row],[Energy gain]])</f>
        <v>1768.050724637681</v>
      </c>
      <c r="O9" s="50">
        <f>LocFeatures[[#This Row],[XP Train Gain]]/(LocFeatures[[#This Row],[E. Cost]]-LocFeatures[[#This Row],[Energy gain]])</f>
        <v>1192.7826086956522</v>
      </c>
      <c r="P9" s="50">
        <f>LocFeatures[[#This Row],[XP drop]]/(LocFeatures[[#This Row],[E. Cost]]-LocFeatures[[#This Row],[Energy gain]])</f>
        <v>588.72463768115938</v>
      </c>
      <c r="Q9" s="50">
        <f>(LocFeatures[[#This Row],[XP Train Gain]]+LocFeatures[[#This Row],[XP drop]])/(LocFeatures[[#This Row],[E. Cost]]-LocFeatures[[#This Row],[Energy gain]])</f>
        <v>1781.5072463768115</v>
      </c>
      <c r="R9" s="47">
        <f>COUNTIFS(DropAnalityka[Location],LocFeatures[[#This Row],[Location]],DropAnalityka[LVL],LocFeatures[[#This Row],[LVL]],DropAnalityka[Stage],LocFeatures[[#This Row],[Stage]])</f>
        <v>43</v>
      </c>
      <c r="S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T9"/>
    </row>
    <row r="10" spans="1:23" s="10" customFormat="1">
      <c r="A10" s="10" t="s">
        <v>31</v>
      </c>
      <c r="B10" s="10" t="s">
        <v>30</v>
      </c>
      <c r="C10" s="10">
        <v>11</v>
      </c>
      <c r="D10" s="10">
        <v>4</v>
      </c>
      <c r="E10" s="10">
        <v>1276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4964.7241379310344</v>
      </c>
      <c r="J10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10" s="10">
        <f>4*LocFeatures[[#This Row],[XP Gain per member]]</f>
        <v>5104</v>
      </c>
      <c r="L10">
        <f>3*LocFeatures[[#This Row],[XP Gain per member]]</f>
        <v>3828</v>
      </c>
      <c r="M10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10" s="50">
        <f>LocFeatures[[#This Row],[Drop worth gain]]/(LocFeatures[[#This Row],[E. Cost]]-LocFeatures[[#This Row],[Energy gain]])</f>
        <v>1623.8007518796992</v>
      </c>
      <c r="O10" s="50">
        <f>LocFeatures[[#This Row],[XP Train Gain]]/(LocFeatures[[#This Row],[E. Cost]]-LocFeatures[[#This Row],[Energy gain]])</f>
        <v>1252.015037593985</v>
      </c>
      <c r="P10" s="50">
        <f>LocFeatures[[#This Row],[XP drop]]/(LocFeatures[[#This Row],[E. Cost]]-LocFeatures[[#This Row],[Energy gain]])</f>
        <v>242.93984962406014</v>
      </c>
      <c r="Q10" s="50">
        <f>(LocFeatures[[#This Row],[XP Train Gain]]+LocFeatures[[#This Row],[XP drop]])/(LocFeatures[[#This Row],[E. Cost]]-LocFeatures[[#This Row],[Energy gain]])</f>
        <v>1494.9548872180453</v>
      </c>
      <c r="R10" s="43">
        <f>COUNTIFS(DropAnalityka[Location],LocFeatures[[#This Row],[Location]],DropAnalityka[LVL],LocFeatures[[#This Row],[LVL]],DropAnalityka[Stage],LocFeatures[[#This Row],[Stage]])</f>
        <v>87</v>
      </c>
      <c r="S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T10">
        <v>58</v>
      </c>
      <c r="U10" s="10" t="s">
        <v>246</v>
      </c>
      <c r="V10"/>
      <c r="W10"/>
    </row>
    <row r="11" spans="1:23" s="10" customFormat="1">
      <c r="A11" s="10" t="s">
        <v>31</v>
      </c>
      <c r="B11" s="10" t="s">
        <v>9</v>
      </c>
      <c r="C11" s="10">
        <v>1</v>
      </c>
      <c r="D11" s="10">
        <v>3</v>
      </c>
      <c r="E11" s="10">
        <v>756</v>
      </c>
      <c r="F11" s="10">
        <v>13</v>
      </c>
      <c r="G11" s="10" t="s">
        <v>18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11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11" s="10">
        <f>4*LocFeatures[[#This Row],[XP Gain per member]]</f>
        <v>3024</v>
      </c>
      <c r="L11">
        <f>3*LocFeatures[[#This Row],[XP Gain per member]]</f>
        <v>2268</v>
      </c>
      <c r="M11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11" s="50">
        <f>LocFeatures[[#This Row],[Drop worth gain]]/(LocFeatures[[#This Row],[E. Cost]]-LocFeatures[[#This Row],[Energy gain]])</f>
        <v>1518.4476744186045</v>
      </c>
      <c r="O11" s="50">
        <f>LocFeatures[[#This Row],[XP Train Gain]]/(LocFeatures[[#This Row],[E. Cost]]-LocFeatures[[#This Row],[Energy gain]])</f>
        <v>1068.0697674418604</v>
      </c>
      <c r="P11" s="50">
        <f>LocFeatures[[#This Row],[XP drop]]/(LocFeatures[[#This Row],[E. Cost]]-LocFeatures[[#This Row],[Energy gain]])</f>
        <v>106.97674418604652</v>
      </c>
      <c r="Q11" s="50">
        <f>(LocFeatures[[#This Row],[XP Train Gain]]+LocFeatures[[#This Row],[XP drop]])/(LocFeatures[[#This Row],[E. Cost]]-LocFeatures[[#This Row],[Energy gain]])</f>
        <v>1175.0465116279067</v>
      </c>
      <c r="R11" s="47">
        <f>COUNTIFS(DropAnalityka[Location],LocFeatures[[#This Row],[Location]],DropAnalityka[LVL],LocFeatures[[#This Row],[LVL]],DropAnalityka[Stage],LocFeatures[[#This Row],[Stage]])</f>
        <v>81</v>
      </c>
      <c r="S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T11"/>
    </row>
    <row r="12" spans="1:23">
      <c r="A12" s="10" t="s">
        <v>172</v>
      </c>
      <c r="B12" s="10" t="s">
        <v>9</v>
      </c>
      <c r="C12" s="10">
        <v>7</v>
      </c>
      <c r="D12" s="10">
        <v>6</v>
      </c>
      <c r="E12" s="10"/>
      <c r="F12" s="10"/>
      <c r="G12" s="10"/>
      <c r="H12" s="10"/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8235.7000000000007</v>
      </c>
      <c r="J12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2" s="10">
        <f>5*LocFeatures[[#This Row],[XP Gain per member]]</f>
        <v>0</v>
      </c>
      <c r="L12">
        <f>3*LocFeatures[[#This Row],[XP Gain per member]]</f>
        <v>0</v>
      </c>
      <c r="M12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2" s="50">
        <f>LocFeatures[[#This Row],[Drop worth gain]]/(LocFeatures[[#This Row],[E. Cost]]-LocFeatures[[#This Row],[Energy gain]])</f>
        <v>1680.7551020408164</v>
      </c>
      <c r="O12" s="50">
        <f>LocFeatures[[#This Row],[XP Train Gain]]/(LocFeatures[[#This Row],[E. Cost]]-LocFeatures[[#This Row],[Energy gain]])</f>
        <v>0</v>
      </c>
      <c r="P12" s="50">
        <f>LocFeatures[[#This Row],[XP drop]]/(LocFeatures[[#This Row],[E. Cost]]-LocFeatures[[#This Row],[Energy gain]])</f>
        <v>339.64530612244897</v>
      </c>
      <c r="Q12" s="50">
        <f>(LocFeatures[[#This Row],[XP Train Gain]]+LocFeatures[[#This Row],[XP drop]])/(LocFeatures[[#This Row],[E. Cost]]-LocFeatures[[#This Row],[Energy gain]])</f>
        <v>339.64530612244897</v>
      </c>
      <c r="R12" s="47">
        <f>COUNTIFS(DropAnalityka[Location],LocFeatures[[#This Row],[Location]],DropAnalityka[LVL],LocFeatures[[#This Row],[LVL]],DropAnalityka[Stage],LocFeatures[[#This Row],[Stage]])</f>
        <v>50</v>
      </c>
      <c r="S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</row>
    <row r="13" spans="1:23">
      <c r="A13" s="10" t="s">
        <v>172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8899.864864864865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1457.0575221238939</v>
      </c>
      <c r="O13" s="50">
        <f>LocFeatures[[#This Row],[XP Train Gain]]/(LocFeatures[[#This Row],[E. Cost]]-LocFeatures[[#This Row],[Energy gain]])</f>
        <v>0</v>
      </c>
      <c r="P13" s="50">
        <f>LocFeatures[[#This Row],[XP drop]]/(LocFeatures[[#This Row],[E. Cost]]-LocFeatures[[#This Row],[Energy gain]])</f>
        <v>134.51327433628319</v>
      </c>
      <c r="Q13" s="50">
        <f>(LocFeatures[[#This Row],[XP Train Gain]]+LocFeatures[[#This Row],[XP drop]])/(LocFeatures[[#This Row],[E. Cost]]-LocFeatures[[#This Row],[Energy gain]])</f>
        <v>134.51327433628319</v>
      </c>
      <c r="R13" s="43">
        <f>COUNTIFS(DropAnalityka[Location],LocFeatures[[#This Row],[Location]],DropAnalityka[LVL],LocFeatures[[#This Row],[LVL]],DropAnalityka[Stage],LocFeatures[[#This Row],[Stage]])</f>
        <v>37</v>
      </c>
      <c r="S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3">
      <c r="A14" s="10" t="s">
        <v>172</v>
      </c>
      <c r="B14" s="10" t="s">
        <v>9</v>
      </c>
      <c r="C14" s="10">
        <v>10</v>
      </c>
      <c r="D14" s="10">
        <v>8</v>
      </c>
      <c r="E14" s="10"/>
      <c r="F14" s="10"/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12889.106951871658</v>
      </c>
      <c r="J14" s="19">
        <f>AVERAGEIFS(DropAnalityka[Energy Drop],DropAnalityka[Location],LocFeatures[[#This Row],[Location]],DropAnalityka[LVL],LocFeatures[[#This Row],[LVL]],DropAnalityka[Stage],LocFeatures[[#This Row],[Stage]])</f>
        <v>0.94117647058823528</v>
      </c>
      <c r="K14" s="10">
        <f>5*LocFeatures[[#This Row],[XP Gain per member]]</f>
        <v>0</v>
      </c>
      <c r="L14">
        <f>3*LocFeatures[[#This Row],[XP Gain per member]]</f>
        <v>0</v>
      </c>
      <c r="M14" s="50">
        <f>AVERAGEIFS(DropAnalityka[Exp Gain],DropAnalityka[Location],LocFeatures[[#This Row],[Location]],DropAnalityka[LVL],LocFeatures[[#This Row],[LVL]],DropAnalityka[Stage],LocFeatures[[#This Row],[Stage]])</f>
        <v>3498.2850267379681</v>
      </c>
      <c r="N14" s="50">
        <f>LocFeatures[[#This Row],[Drop worth gain]]/(LocFeatures[[#This Row],[E. Cost]]-LocFeatures[[#This Row],[Energy gain]])</f>
        <v>1825.9568181818183</v>
      </c>
      <c r="O14" s="50">
        <f>LocFeatures[[#This Row],[XP Train Gain]]/(LocFeatures[[#This Row],[E. Cost]]-LocFeatures[[#This Row],[Energy gain]])</f>
        <v>0</v>
      </c>
      <c r="P14" s="50">
        <f>LocFeatures[[#This Row],[XP drop]]/(LocFeatures[[#This Row],[E. Cost]]-LocFeatures[[#This Row],[Energy gain]])</f>
        <v>495.59037878787882</v>
      </c>
      <c r="Q14" s="50">
        <f>(LocFeatures[[#This Row],[XP Train Gain]]+LocFeatures[[#This Row],[XP drop]])/(LocFeatures[[#This Row],[E. Cost]]-LocFeatures[[#This Row],[Energy gain]])</f>
        <v>495.59037878787882</v>
      </c>
      <c r="R14" s="47">
        <f>COUNTIFS(DropAnalityka[Location],LocFeatures[[#This Row],[Location]],DropAnalityka[LVL],LocFeatures[[#This Row],[LVL]],DropAnalityka[Stage],LocFeatures[[#This Row],[Stage]])</f>
        <v>187</v>
      </c>
      <c r="S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4550.3024242424235</v>
      </c>
    </row>
    <row r="15" spans="1:23">
      <c r="A15" s="10" t="s">
        <v>262</v>
      </c>
      <c r="B15" t="s">
        <v>9</v>
      </c>
      <c r="C15">
        <v>9</v>
      </c>
      <c r="D15">
        <v>7</v>
      </c>
      <c r="E15">
        <v>642</v>
      </c>
      <c r="F15">
        <v>12</v>
      </c>
      <c r="G15" t="s">
        <v>18</v>
      </c>
      <c r="H15" t="s">
        <v>21</v>
      </c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15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15">
        <f>5*LocFeatures[[#This Row],[XP Gain per member]]</f>
        <v>3210</v>
      </c>
      <c r="L15">
        <f>3*LocFeatures[[#This Row],[XP Gain per member]]</f>
        <v>1926</v>
      </c>
      <c r="M15" s="50">
        <f>AVERAGEIFS(DropAnalityka[Exp Gain],DropAnalityka[Location],LocFeatures[[#This Row],[Location]],DropAnalityka[LVL],LocFeatures[[#This Row],[LVL]],DropAnalityka[Stage],LocFeatures[[#This Row],[Stage]])</f>
        <v>2772</v>
      </c>
      <c r="N15" s="50">
        <f>LocFeatures[[#This Row],[Drop worth gain]]/(LocFeatures[[#This Row],[E. Cost]]-LocFeatures[[#This Row],[Energy gain]])</f>
        <v>596.11627906976742</v>
      </c>
      <c r="O15" s="50">
        <f>LocFeatures[[#This Row],[XP Train Gain]]/(LocFeatures[[#This Row],[E. Cost]]-LocFeatures[[#This Row],[Energy gain]])</f>
        <v>302.33720930232556</v>
      </c>
      <c r="P15" s="50">
        <f>LocFeatures[[#This Row],[XP drop]]/(LocFeatures[[#This Row],[E. Cost]]-LocFeatures[[#This Row],[Energy gain]])</f>
        <v>435.13953488372096</v>
      </c>
      <c r="Q15" s="50">
        <f>(LocFeatures[[#This Row],[XP Train Gain]]+LocFeatures[[#This Row],[XP drop]])/(LocFeatures[[#This Row],[E. Cost]]-LocFeatures[[#This Row],[Energy gain]])</f>
        <v>737.47674418604652</v>
      </c>
      <c r="R15" s="43">
        <f>COUNTIFS(DropAnalityka[Location],LocFeatures[[#This Row],[Location]],DropAnalityka[LVL],LocFeatures[[#This Row],[LVL]],DropAnalityka[Stage],LocFeatures[[#This Row],[Stage]])</f>
        <v>27</v>
      </c>
      <c r="S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16" spans="1:23">
      <c r="A16" s="10" t="s">
        <v>36</v>
      </c>
      <c r="B16" s="10" t="s">
        <v>9</v>
      </c>
      <c r="C16" s="10">
        <v>4</v>
      </c>
      <c r="D16" s="10">
        <v>5</v>
      </c>
      <c r="E16" s="10">
        <v>439</v>
      </c>
      <c r="F16" s="10">
        <v>10</v>
      </c>
      <c r="G16" s="10"/>
      <c r="H16" s="10"/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16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16" s="10">
        <f>5*LocFeatures[[#This Row],[XP Gain per member]]</f>
        <v>2195</v>
      </c>
      <c r="L16">
        <f>3*LocFeatures[[#This Row],[XP Gain per member]]</f>
        <v>1317</v>
      </c>
      <c r="M16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16" s="50">
        <f>LocFeatures[[#This Row],[Drop worth gain]]/(LocFeatures[[#This Row],[E. Cost]]-LocFeatures[[#This Row],[Energy gain]])</f>
        <v>962.46666666666681</v>
      </c>
      <c r="O16" s="50">
        <f>LocFeatures[[#This Row],[XP Train Gain]]/(LocFeatures[[#This Row],[E. Cost]]-LocFeatures[[#This Row],[Energy gain]])</f>
        <v>307.3</v>
      </c>
      <c r="P16" s="50">
        <f>LocFeatures[[#This Row],[XP drop]]/(LocFeatures[[#This Row],[E. Cost]]-LocFeatures[[#This Row],[Energy gain]])</f>
        <v>266.66666666666669</v>
      </c>
      <c r="Q16" s="50">
        <f>(LocFeatures[[#This Row],[XP Train Gain]]+LocFeatures[[#This Row],[XP drop]])/(LocFeatures[[#This Row],[E. Cost]]-LocFeatures[[#This Row],[Energy gain]])</f>
        <v>573.9666666666667</v>
      </c>
      <c r="R16" s="47">
        <f>COUNTIFS(DropAnalityka[Location],LocFeatures[[#This Row],[Location]],DropAnalityka[LVL],LocFeatures[[#This Row],[LVL]],DropAnalityka[Stage],LocFeatures[[#This Row],[Stage]])</f>
        <v>7</v>
      </c>
      <c r="S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U16" s="10"/>
      <c r="V16" s="10"/>
      <c r="W16" s="10"/>
    </row>
    <row r="17" spans="1:23">
      <c r="A17" s="10" t="s">
        <v>36</v>
      </c>
      <c r="B17" s="10" t="s">
        <v>9</v>
      </c>
      <c r="C17" s="10">
        <v>5</v>
      </c>
      <c r="D17">
        <v>6</v>
      </c>
      <c r="E17">
        <v>642</v>
      </c>
      <c r="F17">
        <v>12</v>
      </c>
      <c r="G17" t="s">
        <v>18</v>
      </c>
      <c r="H17" t="s">
        <v>21</v>
      </c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17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17">
        <f>5*LocFeatures[[#This Row],[XP Gain per member]]</f>
        <v>3210</v>
      </c>
      <c r="L17">
        <f>3*LocFeatures[[#This Row],[XP Gain per member]]</f>
        <v>1926</v>
      </c>
      <c r="M17" s="50">
        <f>AVERAGEIFS(DropAnalityka[Exp Gain],DropAnalityka[Location],LocFeatures[[#This Row],[Location]],DropAnalityka[LVL],LocFeatures[[#This Row],[LVL]],DropAnalityka[Stage],LocFeatures[[#This Row],[Stage]])</f>
        <v>0</v>
      </c>
      <c r="N17" s="50">
        <f>LocFeatures[[#This Row],[Drop worth gain]]/(LocFeatures[[#This Row],[E. Cost]]-LocFeatures[[#This Row],[Energy gain]])</f>
        <v>263.25</v>
      </c>
      <c r="O17" s="50">
        <f>LocFeatures[[#This Row],[XP Train Gain]]/(LocFeatures[[#This Row],[E. Cost]]-LocFeatures[[#This Row],[Energy gain]])</f>
        <v>361.125</v>
      </c>
      <c r="P17" s="50">
        <f>LocFeatures[[#This Row],[XP drop]]/(LocFeatures[[#This Row],[E. Cost]]-LocFeatures[[#This Row],[Energy gain]])</f>
        <v>0</v>
      </c>
      <c r="Q17" s="50">
        <f>(LocFeatures[[#This Row],[XP Train Gain]]+LocFeatures[[#This Row],[XP drop]])/(LocFeatures[[#This Row],[E. Cost]]-LocFeatures[[#This Row],[Energy gain]])</f>
        <v>361.125</v>
      </c>
      <c r="R17" s="43">
        <f>COUNTIFS(DropAnalityka[Location],LocFeatures[[#This Row],[Location]],DropAnalityka[LVL],LocFeatures[[#This Row],[LVL]],DropAnalityka[Stage],LocFeatures[[#This Row],[Stage]])</f>
        <v>3</v>
      </c>
      <c r="S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18" spans="1:23">
      <c r="A18" s="10" t="s">
        <v>36</v>
      </c>
      <c r="B18" s="10" t="s">
        <v>9</v>
      </c>
      <c r="C18" s="10">
        <v>7</v>
      </c>
      <c r="D18" s="10">
        <v>6</v>
      </c>
      <c r="E18" s="10">
        <v>616</v>
      </c>
      <c r="F18" s="10"/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18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18" s="10">
        <f>5*LocFeatures[[#This Row],[XP Gain per member]]</f>
        <v>3080</v>
      </c>
      <c r="L18">
        <f>3*LocFeatures[[#This Row],[XP Gain per member]]</f>
        <v>1848</v>
      </c>
      <c r="M18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18" s="50">
        <f>LocFeatures[[#This Row],[Drop worth gain]]/(LocFeatures[[#This Row],[E. Cost]]-LocFeatures[[#This Row],[Energy gain]])</f>
        <v>605.169642857143</v>
      </c>
      <c r="O18" s="50">
        <f>LocFeatures[[#This Row],[XP Train Gain]]/(LocFeatures[[#This Row],[E. Cost]]-LocFeatures[[#This Row],[Energy gain]])</f>
        <v>341</v>
      </c>
      <c r="P18" s="50">
        <f>LocFeatures[[#This Row],[XP drop]]/(LocFeatures[[#This Row],[E. Cost]]-LocFeatures[[#This Row],[Energy gain]])</f>
        <v>163.75595238095241</v>
      </c>
      <c r="Q18" s="50">
        <f>(LocFeatures[[#This Row],[XP Train Gain]]+LocFeatures[[#This Row],[XP drop]])/(LocFeatures[[#This Row],[E. Cost]]-LocFeatures[[#This Row],[Energy gain]])</f>
        <v>504.75595238095241</v>
      </c>
      <c r="R18" s="47">
        <f>COUNTIFS(DropAnalityka[Location],LocFeatures[[#This Row],[Location]],DropAnalityka[LVL],LocFeatures[[#This Row],[LVL]],DropAnalityka[Stage],LocFeatures[[#This Row],[Stage]])</f>
        <v>62</v>
      </c>
      <c r="S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19" spans="1:23">
      <c r="A19" t="s">
        <v>36</v>
      </c>
      <c r="B19" t="s">
        <v>9</v>
      </c>
      <c r="C19">
        <v>9</v>
      </c>
      <c r="D19">
        <v>7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19" s="19">
        <f>AVERAGEIFS(DropAnalityka[Energy Drop],DropAnalityka[Location],LocFeatures[[#This Row],[Location]],DropAnalityka[LVL],LocFeatures[[#This Row],[LVL]],DropAnalityka[Stage],LocFeatures[[#This Row],[Stage]])</f>
        <v>0.92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2993.76</v>
      </c>
      <c r="N19" s="50">
        <f>LocFeatures[[#This Row],[Drop worth gain]]/(LocFeatures[[#This Row],[E. Cost]]-LocFeatures[[#This Row],[Energy gain]])</f>
        <v>635.48026315789468</v>
      </c>
      <c r="O19" s="50">
        <f>LocFeatures[[#This Row],[XP Train Gain]]/(LocFeatures[[#This Row],[E. Cost]]-LocFeatures[[#This Row],[Energy gain]])</f>
        <v>0</v>
      </c>
      <c r="P19" s="50">
        <f>LocFeatures[[#This Row],[XP drop]]/(LocFeatures[[#This Row],[E. Cost]]-LocFeatures[[#This Row],[Energy gain]])</f>
        <v>492.39473684210532</v>
      </c>
      <c r="Q19" s="50">
        <f>(LocFeatures[[#This Row],[XP Train Gain]]+LocFeatures[[#This Row],[XP drop]])/(LocFeatures[[#This Row],[E. Cost]]-LocFeatures[[#This Row],[Energy gain]])</f>
        <v>492.39473684210532</v>
      </c>
      <c r="R19" s="43">
        <f>COUNTIFS(DropAnalityka[Location],LocFeatures[[#This Row],[Location]],DropAnalityka[LVL],LocFeatures[[#This Row],[LVL]],DropAnalityka[Stage],LocFeatures[[#This Row],[Stage]])</f>
        <v>25</v>
      </c>
      <c r="S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0" spans="1:23">
      <c r="A20" s="10" t="s">
        <v>207</v>
      </c>
      <c r="B20" t="s">
        <v>9</v>
      </c>
      <c r="C20">
        <v>8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0" s="19">
        <f>AVERAGEIFS(DropAnalityka[Energy Drop],DropAnalityka[Location],LocFeatures[[#This Row],[Location]],DropAnalityka[LVL],LocFeatures[[#This Row],[LVL]],DropAnalityka[Stage],LocFeatures[[#This Row],[Stage]])</f>
        <v>1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0" s="50">
        <f>LocFeatures[[#This Row],[Drop worth gain]]/(LocFeatures[[#This Row],[E. Cost]]-LocFeatures[[#This Row],[Energy gain]])</f>
        <v>778.62068965517244</v>
      </c>
      <c r="O20" s="50">
        <f>LocFeatures[[#This Row],[XP Train Gain]]/(LocFeatures[[#This Row],[E. Cost]]-LocFeatures[[#This Row],[Energy gain]])</f>
        <v>321</v>
      </c>
      <c r="P20" s="50">
        <f>LocFeatures[[#This Row],[XP drop]]/(LocFeatures[[#This Row],[E. Cost]]-LocFeatures[[#This Row],[Energy gain]])</f>
        <v>151.72413793103448</v>
      </c>
      <c r="Q20" s="50">
        <f>(LocFeatures[[#This Row],[XP Train Gain]]+LocFeatures[[#This Row],[XP drop]])/(LocFeatures[[#This Row],[E. Cost]]-LocFeatures[[#This Row],[Energy gain]])</f>
        <v>472.72413793103448</v>
      </c>
      <c r="R20" s="43">
        <f>COUNTIFS(DropAnalityka[Location],LocFeatures[[#This Row],[Location]],DropAnalityka[LVL],LocFeatures[[#This Row],[LVL]],DropAnalityka[Stage],LocFeatures[[#This Row],[Stage]])</f>
        <v>29</v>
      </c>
      <c r="S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1" spans="1:23">
      <c r="A21" s="10" t="s">
        <v>207</v>
      </c>
      <c r="B21" t="s">
        <v>9</v>
      </c>
      <c r="C21">
        <v>9</v>
      </c>
      <c r="D21">
        <v>7</v>
      </c>
      <c r="E21">
        <v>642</v>
      </c>
      <c r="F21">
        <v>12</v>
      </c>
      <c r="G21" t="s">
        <v>18</v>
      </c>
      <c r="H21" t="s">
        <v>21</v>
      </c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1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1">
        <f>5*LocFeatures[[#This Row],[XP Gain per member]]</f>
        <v>3210</v>
      </c>
      <c r="L21">
        <f>3*LocFeatures[[#This Row],[XP Gain per member]]</f>
        <v>1926</v>
      </c>
      <c r="M21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1" s="50">
        <f>LocFeatures[[#This Row],[Drop worth gain]]/(LocFeatures[[#This Row],[E. Cost]]-LocFeatures[[#This Row],[Energy gain]])</f>
        <v>922.49280575539558</v>
      </c>
      <c r="O21" s="50">
        <f>LocFeatures[[#This Row],[XP Train Gain]]/(LocFeatures[[#This Row],[E. Cost]]-LocFeatures[[#This Row],[Energy gain]])</f>
        <v>309.45323741007195</v>
      </c>
      <c r="P21" s="50">
        <f>LocFeatures[[#This Row],[XP drop]]/(LocFeatures[[#This Row],[E. Cost]]-LocFeatures[[#This Row],[Energy gain]])</f>
        <v>400.27014388489209</v>
      </c>
      <c r="Q21" s="50">
        <f>(LocFeatures[[#This Row],[XP Train Gain]]+LocFeatures[[#This Row],[XP drop]])/(LocFeatures[[#This Row],[E. Cost]]-LocFeatures[[#This Row],[Energy gain]])</f>
        <v>709.72338129496404</v>
      </c>
      <c r="R21" s="43">
        <f>COUNTIFS(DropAnalityka[Location],LocFeatures[[#This Row],[Location]],DropAnalityka[LVL],LocFeatures[[#This Row],[LVL]],DropAnalityka[Stage],LocFeatures[[#This Row],[Stage]])</f>
        <v>67</v>
      </c>
      <c r="S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2" spans="1:23">
      <c r="A22" t="s">
        <v>285</v>
      </c>
      <c r="B22" t="s">
        <v>9</v>
      </c>
      <c r="C22">
        <v>9</v>
      </c>
      <c r="D22">
        <v>6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6265.070422535211</v>
      </c>
      <c r="J22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2" s="50">
        <f>LocFeatures[[#This Row],[Drop worth gain]]/(LocFeatures[[#This Row],[E. Cost]]-LocFeatures[[#This Row],[Energy gain]])</f>
        <v>1192.5469168900804</v>
      </c>
      <c r="O22" s="50">
        <f>LocFeatures[[#This Row],[XP Train Gain]]/(LocFeatures[[#This Row],[E. Cost]]-LocFeatures[[#This Row],[Energy gain]])</f>
        <v>366.61126005361933</v>
      </c>
      <c r="P22" s="50">
        <f>LocFeatures[[#This Row],[XP drop]]/(LocFeatures[[#This Row],[E. Cost]]-LocFeatures[[#This Row],[Energy gain]])</f>
        <v>968.39678284182321</v>
      </c>
      <c r="Q22" s="50">
        <f>(LocFeatures[[#This Row],[XP Train Gain]]+LocFeatures[[#This Row],[XP drop]])/(LocFeatures[[#This Row],[E. Cost]]-LocFeatures[[#This Row],[Energy gain]])</f>
        <v>1335.0080428954425</v>
      </c>
      <c r="R22" s="43">
        <f>COUNTIFS(DropAnalityka[Location],LocFeatures[[#This Row],[Location]],DropAnalityka[LVL],LocFeatures[[#This Row],[LVL]],DropAnalityka[Stage],LocFeatures[[#This Row],[Stage]])</f>
        <v>71</v>
      </c>
      <c r="S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3" spans="1:23">
      <c r="A23" t="s">
        <v>286</v>
      </c>
      <c r="B23" t="s">
        <v>32</v>
      </c>
      <c r="C23">
        <v>5</v>
      </c>
      <c r="D23">
        <v>5</v>
      </c>
      <c r="E23">
        <v>1890</v>
      </c>
      <c r="F23">
        <v>12</v>
      </c>
      <c r="G23" t="s">
        <v>18</v>
      </c>
      <c r="H23" t="s">
        <v>21</v>
      </c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23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23">
        <f>4*LocFeatures[[#This Row],[XP Gain per member]]</f>
        <v>7560</v>
      </c>
      <c r="L23">
        <f>3*LocFeatures[[#This Row],[XP Gain per member]]</f>
        <v>5670</v>
      </c>
      <c r="M23" s="50">
        <f>AVERAGEIFS(DropAnalityka[Exp Gain],DropAnalityka[Location],LocFeatures[[#This Row],[Location]],DropAnalityka[LVL],LocFeatures[[#This Row],[LVL]],DropAnalityka[Stage],LocFeatures[[#This Row],[Stage]])</f>
        <v>0</v>
      </c>
      <c r="N23" s="50">
        <f>LocFeatures[[#This Row],[Drop worth gain]]/(LocFeatures[[#This Row],[E. Cost]]-LocFeatures[[#This Row],[Energy gain]])</f>
        <v>736.45945945945959</v>
      </c>
      <c r="O23" s="50">
        <f>LocFeatures[[#This Row],[XP Train Gain]]/(LocFeatures[[#This Row],[E. Cost]]-LocFeatures[[#This Row],[Energy gain]])</f>
        <v>1379.1891891891894</v>
      </c>
      <c r="P23" s="50">
        <f>LocFeatures[[#This Row],[XP drop]]/(LocFeatures[[#This Row],[E. Cost]]-LocFeatures[[#This Row],[Energy gain]])</f>
        <v>0</v>
      </c>
      <c r="Q23" s="50">
        <f>(LocFeatures[[#This Row],[XP Train Gain]]+LocFeatures[[#This Row],[XP drop]])/(LocFeatures[[#This Row],[E. Cost]]-LocFeatures[[#This Row],[Energy gain]])</f>
        <v>1379.1891891891894</v>
      </c>
      <c r="R23" s="43">
        <f>COUNTIFS(DropAnalityka[Location],LocFeatures[[#This Row],[Location]],DropAnalityka[LVL],LocFeatures[[#This Row],[LVL]],DropAnalityka[Stage],LocFeatures[[#This Row],[Stage]])</f>
        <v>27</v>
      </c>
      <c r="S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24" spans="1:23">
      <c r="A24" s="10" t="s">
        <v>59</v>
      </c>
      <c r="B24" s="10" t="s">
        <v>32</v>
      </c>
      <c r="C24" s="10">
        <v>2</v>
      </c>
      <c r="D24" s="10">
        <v>5</v>
      </c>
      <c r="E24" s="10">
        <v>1500</v>
      </c>
      <c r="F24" s="10">
        <v>10</v>
      </c>
      <c r="G24" s="10"/>
      <c r="H24" s="10"/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4" s="19">
        <f>AVERAGEIFS(DropAnalityka[Energy Drop],DropAnalityka[Location],LocFeatures[[#This Row],[Location]],DropAnalityka[LVL],LocFeatures[[#This Row],[LVL]],DropAnalityka[Stage],LocFeatures[[#This Row],[Stage]])</f>
        <v>1</v>
      </c>
      <c r="K24" s="10">
        <f>4*LocFeatures[[#This Row],[XP Gain per member]]</f>
        <v>6000</v>
      </c>
      <c r="L24">
        <f>3*LocFeatures[[#This Row],[XP Gain per member]]</f>
        <v>4500</v>
      </c>
      <c r="M24" s="50">
        <f>AVERAGEIFS(DropAnalityka[Exp Gain],DropAnalityka[Location],LocFeatures[[#This Row],[Location]],DropAnalityka[LVL],LocFeatures[[#This Row],[LVL]],DropAnalityka[Stage],LocFeatures[[#This Row],[Stage]])</f>
        <v>35822</v>
      </c>
      <c r="N24" s="50">
        <f>LocFeatures[[#This Row],[Drop worth gain]]/(LocFeatures[[#This Row],[E. Cost]]-LocFeatures[[#This Row],[Energy gain]])</f>
        <v>3173</v>
      </c>
      <c r="O24" s="50">
        <f>LocFeatures[[#This Row],[XP Train Gain]]/(LocFeatures[[#This Row],[E. Cost]]-LocFeatures[[#This Row],[Energy gain]])</f>
        <v>1125</v>
      </c>
      <c r="P24" s="50">
        <f>LocFeatures[[#This Row],[XP drop]]/(LocFeatures[[#This Row],[E. Cost]]-LocFeatures[[#This Row],[Energy gain]])</f>
        <v>8955.5</v>
      </c>
      <c r="Q24" s="50">
        <f>(LocFeatures[[#This Row],[XP Train Gain]]+LocFeatures[[#This Row],[XP drop]])/(LocFeatures[[#This Row],[E. Cost]]-LocFeatures[[#This Row],[Energy gain]])</f>
        <v>10080.5</v>
      </c>
      <c r="R24" s="47">
        <f>COUNTIFS(DropAnalityka[Location],LocFeatures[[#This Row],[Location]],DropAnalityka[LVL],LocFeatures[[#This Row],[LVL]],DropAnalityka[Stage],LocFeatures[[#This Row],[Stage]])</f>
        <v>1</v>
      </c>
      <c r="S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U24" s="10"/>
      <c r="V24" s="10"/>
      <c r="W24" s="10"/>
    </row>
    <row r="25" spans="1:23">
      <c r="A25" t="s">
        <v>223</v>
      </c>
      <c r="B25" t="s">
        <v>9</v>
      </c>
      <c r="C25" t="s">
        <v>26</v>
      </c>
      <c r="D25">
        <v>5</v>
      </c>
      <c r="E25">
        <v>0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25" s="19">
        <f>AVERAGEIFS(DropAnalityka[Energy Drop],DropAnalityka[Location],LocFeatures[[#This Row],[Location]],DropAnalityka[LVL],LocFeatures[[#This Row],[LVL]],DropAnalityka[Stage],LocFeatures[[#This Row],[Stage]])</f>
        <v>0</v>
      </c>
      <c r="K25">
        <f>4*LocFeatures[[#This Row],[XP Gain per member]]</f>
        <v>0</v>
      </c>
      <c r="L25">
        <f>3*LocFeatures[[#This Row],[XP Gain per member]]</f>
        <v>0</v>
      </c>
      <c r="M25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25" s="50">
        <f>LocFeatures[[#This Row],[Drop worth gain]]/(LocFeatures[[#This Row],[E. Cost]]-LocFeatures[[#This Row],[Energy gain]])</f>
        <v>1846.9</v>
      </c>
      <c r="O25" s="50">
        <f>LocFeatures[[#This Row],[XP Train Gain]]/(LocFeatures[[#This Row],[E. Cost]]-LocFeatures[[#This Row],[Energy gain]])</f>
        <v>0</v>
      </c>
      <c r="P25" s="50">
        <f>LocFeatures[[#This Row],[XP drop]]/(LocFeatures[[#This Row],[E. Cost]]-LocFeatures[[#This Row],[Energy gain]])</f>
        <v>716.44</v>
      </c>
      <c r="Q25" s="50">
        <f>(LocFeatures[[#This Row],[XP Train Gain]]+LocFeatures[[#This Row],[XP drop]])/(LocFeatures[[#This Row],[E. Cost]]-LocFeatures[[#This Row],[Energy gain]])</f>
        <v>716.44</v>
      </c>
      <c r="R25" s="43">
        <f>COUNTIFS(DropAnalityka[Location],LocFeatures[[#This Row],[Location]],DropAnalityka[LVL],LocFeatures[[#This Row],[LVL]],DropAnalityka[Stage],LocFeatures[[#This Row],[Stage]])</f>
        <v>8</v>
      </c>
      <c r="S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</row>
    <row r="26" spans="1:23">
      <c r="A26" s="10" t="s">
        <v>8</v>
      </c>
      <c r="B26" s="10" t="s">
        <v>30</v>
      </c>
      <c r="C26" s="10">
        <v>3</v>
      </c>
      <c r="D26" s="10">
        <v>4</v>
      </c>
      <c r="E26" s="10">
        <v>1098</v>
      </c>
      <c r="F26" s="10">
        <v>12</v>
      </c>
      <c r="G26" s="10" t="s">
        <v>18</v>
      </c>
      <c r="H26" s="10"/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26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26" s="10">
        <f>4*LocFeatures[[#This Row],[XP Gain per member]]</f>
        <v>4392</v>
      </c>
      <c r="L26">
        <f>3*LocFeatures[[#This Row],[XP Gain per member]]</f>
        <v>3294</v>
      </c>
      <c r="M26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26" s="50">
        <f>LocFeatures[[#This Row],[Drop worth gain]]/(LocFeatures[[#This Row],[E. Cost]]-LocFeatures[[#This Row],[Energy gain]])</f>
        <v>1324.3554216867471</v>
      </c>
      <c r="O26" s="50">
        <f>LocFeatures[[#This Row],[XP Train Gain]]/(LocFeatures[[#This Row],[E. Cost]]-LocFeatures[[#This Row],[Energy gain]])</f>
        <v>1051.698795180723</v>
      </c>
      <c r="P26" s="50">
        <f>LocFeatures[[#This Row],[XP drop]]/(LocFeatures[[#This Row],[E. Cost]]-LocFeatures[[#This Row],[Energy gain]])</f>
        <v>350.73493975903614</v>
      </c>
      <c r="Q26" s="50">
        <f>(LocFeatures[[#This Row],[XP Train Gain]]+LocFeatures[[#This Row],[XP drop]])/(LocFeatures[[#This Row],[E. Cost]]-LocFeatures[[#This Row],[Energy gain]])</f>
        <v>1402.433734939759</v>
      </c>
      <c r="R26" s="47">
        <f>COUNTIFS(DropAnalityka[Location],LocFeatures[[#This Row],[Location]],DropAnalityka[LVL],LocFeatures[[#This Row],[LVL]],DropAnalityka[Stage],LocFeatures[[#This Row],[Stage]])</f>
        <v>53</v>
      </c>
      <c r="S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U26" s="10"/>
      <c r="V26" s="10"/>
      <c r="W26" s="10"/>
    </row>
    <row r="27" spans="1:23">
      <c r="A27" s="10" t="s">
        <v>8</v>
      </c>
      <c r="B27" s="10" t="s">
        <v>30</v>
      </c>
      <c r="C27" s="10">
        <v>6</v>
      </c>
      <c r="D27" s="10">
        <v>5</v>
      </c>
      <c r="E27" s="10">
        <v>1116</v>
      </c>
      <c r="F27" s="10">
        <v>12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27" s="19">
        <f>AVERAGEIFS(DropAnalityka[Energy Drop],DropAnalityka[Location],LocFeatures[[#This Row],[Location]],DropAnalityka[LVL],LocFeatures[[#This Row],[LVL]],DropAnalityka[Stage],LocFeatures[[#This Row],[Stage]])</f>
        <v>1</v>
      </c>
      <c r="K27" s="10">
        <f>4*LocFeatures[[#This Row],[XP Gain per member]]</f>
        <v>4464</v>
      </c>
      <c r="L27">
        <f>3*LocFeatures[[#This Row],[XP Gain per member]]</f>
        <v>3348</v>
      </c>
      <c r="M27" s="50">
        <f>AVERAGEIFS(DropAnalityka[Exp Gain],DropAnalityka[Location],LocFeatures[[#This Row],[Location]],DropAnalityka[LVL],LocFeatures[[#This Row],[LVL]],DropAnalityka[Stage],LocFeatures[[#This Row],[Stage]])</f>
        <v>0</v>
      </c>
      <c r="N27" s="50">
        <f>LocFeatures[[#This Row],[Drop worth gain]]/(LocFeatures[[#This Row],[E. Cost]]-LocFeatures[[#This Row],[Energy gain]])</f>
        <v>663</v>
      </c>
      <c r="O27" s="50">
        <f>LocFeatures[[#This Row],[XP Train Gain]]/(LocFeatures[[#This Row],[E. Cost]]-LocFeatures[[#This Row],[Energy gain]])</f>
        <v>837</v>
      </c>
      <c r="P27" s="50">
        <f>LocFeatures[[#This Row],[XP drop]]/(LocFeatures[[#This Row],[E. Cost]]-LocFeatures[[#This Row],[Energy gain]])</f>
        <v>0</v>
      </c>
      <c r="Q27" s="50">
        <f>(LocFeatures[[#This Row],[XP Train Gain]]+LocFeatures[[#This Row],[XP drop]])/(LocFeatures[[#This Row],[E. Cost]]-LocFeatures[[#This Row],[Energy gain]])</f>
        <v>837</v>
      </c>
      <c r="R27" s="47">
        <f>COUNTIFS(DropAnalityka[Location],LocFeatures[[#This Row],[Location]],DropAnalityka[LVL],LocFeatures[[#This Row],[LVL]],DropAnalityka[Stage],LocFeatures[[#This Row],[Stage]])</f>
        <v>1</v>
      </c>
      <c r="S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U27" s="10"/>
      <c r="V27" s="10"/>
      <c r="W27" s="10"/>
    </row>
    <row r="28" spans="1:23">
      <c r="A28" s="10" t="s">
        <v>8</v>
      </c>
      <c r="B28" s="10" t="s">
        <v>32</v>
      </c>
      <c r="C28" s="10">
        <v>3</v>
      </c>
      <c r="D28" s="10">
        <v>5</v>
      </c>
      <c r="E28" s="10">
        <v>1800</v>
      </c>
      <c r="F28" s="10">
        <v>12</v>
      </c>
      <c r="G28" s="10"/>
      <c r="H28" s="10"/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28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28" s="10">
        <f>4*LocFeatures[[#This Row],[XP Gain per member]]</f>
        <v>7200</v>
      </c>
      <c r="L28">
        <f>3*LocFeatures[[#This Row],[XP Gain per member]]</f>
        <v>5400</v>
      </c>
      <c r="M28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28" s="50">
        <f>LocFeatures[[#This Row],[Drop worth gain]]/(LocFeatures[[#This Row],[E. Cost]]-LocFeatures[[#This Row],[Energy gain]])</f>
        <v>1097.8548644338116</v>
      </c>
      <c r="O28" s="50">
        <f>LocFeatures[[#This Row],[XP Train Gain]]/(LocFeatures[[#This Row],[E. Cost]]-LocFeatures[[#This Row],[Energy gain]])</f>
        <v>1343.5406698564593</v>
      </c>
      <c r="P28" s="50">
        <f>LocFeatures[[#This Row],[XP drop]]/(LocFeatures[[#This Row],[E. Cost]]-LocFeatures[[#This Row],[Energy gain]])</f>
        <v>308.91228070175441</v>
      </c>
      <c r="Q28" s="50">
        <f>(LocFeatures[[#This Row],[XP Train Gain]]+LocFeatures[[#This Row],[XP drop]])/(LocFeatures[[#This Row],[E. Cost]]-LocFeatures[[#This Row],[Energy gain]])</f>
        <v>1652.4529505582138</v>
      </c>
      <c r="R28" s="47">
        <f>COUNTIFS(DropAnalityka[Location],LocFeatures[[#This Row],[Location]],DropAnalityka[LVL],LocFeatures[[#This Row],[LVL]],DropAnalityka[Stage],LocFeatures[[#This Row],[Stage]])</f>
        <v>156</v>
      </c>
      <c r="S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U28" s="10"/>
      <c r="V28" s="10"/>
      <c r="W28" s="10"/>
    </row>
    <row r="29" spans="1:23">
      <c r="A29" s="10" t="s">
        <v>8</v>
      </c>
      <c r="B29" s="10" t="s">
        <v>32</v>
      </c>
      <c r="C29" s="10">
        <v>13</v>
      </c>
      <c r="D29" s="10">
        <v>5</v>
      </c>
      <c r="E29" s="10">
        <v>1800</v>
      </c>
      <c r="F29" s="10">
        <v>12</v>
      </c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29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29" s="10">
        <f>4*LocFeatures[[#This Row],[XP Gain per member]]</f>
        <v>7200</v>
      </c>
      <c r="L29">
        <f>3*LocFeatures[[#This Row],[XP Gain per member]]</f>
        <v>5400</v>
      </c>
      <c r="M29" s="50">
        <f>AVERAGEIFS(DropAnalityka[Exp Gain],DropAnalityka[Location],LocFeatures[[#This Row],[Location]],DropAnalityka[LVL],LocFeatures[[#This Row],[LVL]],DropAnalityka[Stage],LocFeatures[[#This Row],[Stage]])</f>
        <v>400</v>
      </c>
      <c r="N29" s="50">
        <f>LocFeatures[[#This Row],[Drop worth gain]]/(LocFeatures[[#This Row],[E. Cost]]-LocFeatures[[#This Row],[Energy gain]])</f>
        <v>916.54666666666662</v>
      </c>
      <c r="O29" s="50">
        <f>LocFeatures[[#This Row],[XP Train Gain]]/(LocFeatures[[#This Row],[E. Cost]]-LocFeatures[[#This Row],[Energy gain]])</f>
        <v>1296</v>
      </c>
      <c r="P29" s="50">
        <f>LocFeatures[[#This Row],[XP drop]]/(LocFeatures[[#This Row],[E. Cost]]-LocFeatures[[#This Row],[Energy gain]])</f>
        <v>96</v>
      </c>
      <c r="Q29" s="50">
        <f>(LocFeatures[[#This Row],[XP Train Gain]]+LocFeatures[[#This Row],[XP drop]])/(LocFeatures[[#This Row],[E. Cost]]-LocFeatures[[#This Row],[Energy gain]])</f>
        <v>1392</v>
      </c>
      <c r="R29" s="47">
        <f>COUNTIFS(DropAnalityka[Location],LocFeatures[[#This Row],[Location]],DropAnalityka[LVL],LocFeatures[[#This Row],[LVL]],DropAnalityka[Stage],LocFeatures[[#This Row],[Stage]])</f>
        <v>18</v>
      </c>
      <c r="S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T29">
        <v>92</v>
      </c>
      <c r="U29" s="10" t="s">
        <v>246</v>
      </c>
    </row>
    <row r="30" spans="1:23">
      <c r="A30" t="s">
        <v>8</v>
      </c>
      <c r="B30" t="s">
        <v>9</v>
      </c>
      <c r="C30">
        <v>3</v>
      </c>
      <c r="D30">
        <v>3</v>
      </c>
      <c r="E30">
        <v>642</v>
      </c>
      <c r="F30">
        <v>12</v>
      </c>
      <c r="G30" t="s">
        <v>18</v>
      </c>
      <c r="H30" t="s">
        <v>21</v>
      </c>
      <c r="I3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0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0">
        <f>4*LocFeatures[[#This Row],[XP Gain per member]]</f>
        <v>2568</v>
      </c>
      <c r="L30">
        <f>3*LocFeatures[[#This Row],[XP Gain per member]]</f>
        <v>1926</v>
      </c>
      <c r="M30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0" s="50">
        <f>LocFeatures[[#This Row],[Drop worth gain]]/(LocFeatures[[#This Row],[E. Cost]]-LocFeatures[[#This Row],[Energy gain]])</f>
        <v>1284.4719101123596</v>
      </c>
      <c r="O30" s="50">
        <f>LocFeatures[[#This Row],[XP Train Gain]]/(LocFeatures[[#This Row],[E. Cost]]-LocFeatures[[#This Row],[Energy gain]])</f>
        <v>887.25842696629206</v>
      </c>
      <c r="P30" s="50">
        <f>LocFeatures[[#This Row],[XP drop]]/(LocFeatures[[#This Row],[E. Cost]]-LocFeatures[[#This Row],[Energy gain]])</f>
        <v>80.898876404494388</v>
      </c>
      <c r="Q30" s="50">
        <f>(LocFeatures[[#This Row],[XP Train Gain]]+LocFeatures[[#This Row],[XP drop]])/(LocFeatures[[#This Row],[E. Cost]]-LocFeatures[[#This Row],[Energy gain]])</f>
        <v>968.15730337078639</v>
      </c>
      <c r="R30" s="43">
        <f>COUNTIFS(DropAnalityka[Location],LocFeatures[[#This Row],[Location]],DropAnalityka[LVL],LocFeatures[[#This Row],[LVL]],DropAnalityka[Stage],LocFeatures[[#This Row],[Stage]])</f>
        <v>41</v>
      </c>
      <c r="S3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31" spans="1:23">
      <c r="A31" t="s">
        <v>8</v>
      </c>
      <c r="B31" t="s">
        <v>9</v>
      </c>
      <c r="C31">
        <v>3</v>
      </c>
      <c r="D31">
        <v>3</v>
      </c>
      <c r="I3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1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1">
        <f>4*LocFeatures[[#This Row],[XP Gain per member]]</f>
        <v>0</v>
      </c>
      <c r="L31">
        <f>3*LocFeatures[[#This Row],[XP Gain per member]]</f>
        <v>0</v>
      </c>
      <c r="M31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1" s="50">
        <f>LocFeatures[[#This Row],[Drop worth gain]]/(LocFeatures[[#This Row],[E. Cost]]-LocFeatures[[#This Row],[Energy gain]])</f>
        <v>1284.4719101123596</v>
      </c>
      <c r="O31" s="50">
        <f>LocFeatures[[#This Row],[XP Train Gain]]/(LocFeatures[[#This Row],[E. Cost]]-LocFeatures[[#This Row],[Energy gain]])</f>
        <v>0</v>
      </c>
      <c r="P31" s="50">
        <f>LocFeatures[[#This Row],[XP drop]]/(LocFeatures[[#This Row],[E. Cost]]-LocFeatures[[#This Row],[Energy gain]])</f>
        <v>80.898876404494388</v>
      </c>
      <c r="Q31" s="50">
        <f>(LocFeatures[[#This Row],[XP Train Gain]]+LocFeatures[[#This Row],[XP drop]])/(LocFeatures[[#This Row],[E. Cost]]-LocFeatures[[#This Row],[Energy gain]])</f>
        <v>80.898876404494388</v>
      </c>
      <c r="R31" s="43">
        <f>COUNTIFS(DropAnalityka[Location],LocFeatures[[#This Row],[Location]],DropAnalityka[LVL],LocFeatures[[#This Row],[LVL]],DropAnalityka[Stage],LocFeatures[[#This Row],[Stage]])</f>
        <v>41</v>
      </c>
      <c r="S3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32" spans="1:23">
      <c r="A32" s="10" t="s">
        <v>319</v>
      </c>
      <c r="B32" s="10" t="s">
        <v>30</v>
      </c>
      <c r="C32" s="10">
        <v>1</v>
      </c>
      <c r="D32">
        <v>4</v>
      </c>
      <c r="E32">
        <f>1524*3/4</f>
        <v>1143</v>
      </c>
      <c r="F32">
        <v>12</v>
      </c>
      <c r="G32" t="s">
        <v>18</v>
      </c>
      <c r="H32" t="s">
        <v>21</v>
      </c>
      <c r="I3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2" s="19">
        <f>AVERAGEIFS(DropAnalityka[Energy Drop],DropAnalityka[Location],LocFeatures[[#This Row],[Location]],DropAnalityka[LVL],LocFeatures[[#This Row],[LVL]],DropAnalityka[Stage],LocFeatures[[#This Row],[Stage]])</f>
        <v>0.875</v>
      </c>
      <c r="K32">
        <f>4*LocFeatures[[#This Row],[XP Gain per member]]</f>
        <v>4572</v>
      </c>
      <c r="L32">
        <f>3*LocFeatures[[#This Row],[XP Gain per member]]</f>
        <v>3429</v>
      </c>
      <c r="M32" s="50">
        <f>AVERAGEIFS(DropAnalityka[Exp Gain],DropAnalityka[Location],LocFeatures[[#This Row],[Location]],DropAnalityka[LVL],LocFeatures[[#This Row],[LVL]],DropAnalityka[Stage],LocFeatures[[#This Row],[Stage]])</f>
        <v>0</v>
      </c>
      <c r="N32" s="50">
        <f>LocFeatures[[#This Row],[Drop worth gain]]/(LocFeatures[[#This Row],[E. Cost]]-LocFeatures[[#This Row],[Energy gain]])</f>
        <v>1138.4000000000001</v>
      </c>
      <c r="O32" s="50">
        <f>LocFeatures[[#This Row],[XP Train Gain]]/(LocFeatures[[#This Row],[E. Cost]]-LocFeatures[[#This Row],[Energy gain]])</f>
        <v>1097.28</v>
      </c>
      <c r="P32" s="50">
        <f>LocFeatures[[#This Row],[XP drop]]/(LocFeatures[[#This Row],[E. Cost]]-LocFeatures[[#This Row],[Energy gain]])</f>
        <v>0</v>
      </c>
      <c r="Q32" s="50">
        <f>(LocFeatures[[#This Row],[XP Train Gain]]+LocFeatures[[#This Row],[XP drop]])/(LocFeatures[[#This Row],[E. Cost]]-LocFeatures[[#This Row],[Energy gain]])</f>
        <v>1097.28</v>
      </c>
      <c r="R32" s="43">
        <f>COUNTIFS(DropAnalityka[Location],LocFeatures[[#This Row],[Location]],DropAnalityka[LVL],LocFeatures[[#This Row],[LVL]],DropAnalityka[Stage],LocFeatures[[#This Row],[Stage]])</f>
        <v>8</v>
      </c>
      <c r="S3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33" spans="9:18">
      <c r="I33" s="43"/>
      <c r="M33" s="43"/>
      <c r="O33" s="48"/>
      <c r="P33" s="48" t="e">
        <f>LocFeatures[[#This Row],[XP drop]]/(LocFeatures[[#This Row],[E. Cost]]-LocFeatures[[#This Row],[Energy gain]])</f>
        <v>#DIV/0!</v>
      </c>
      <c r="R33" s="43"/>
    </row>
    <row r="34" spans="9:18">
      <c r="I34" s="43"/>
      <c r="M34" s="43"/>
      <c r="O34" s="48"/>
      <c r="P34" s="48" t="e">
        <f>LocFeatures[[#This Row],[XP drop]]/(LocFeatures[[#This Row],[E. Cost]]-LocFeatures[[#This Row],[Energy gain]])</f>
        <v>#DIV/0!</v>
      </c>
      <c r="R34" s="43"/>
    </row>
    <row r="35" spans="9:18">
      <c r="I35" s="43"/>
      <c r="M35" s="43"/>
      <c r="O35" s="48"/>
      <c r="P35" s="48" t="e">
        <f>LocFeatures[[#This Row],[XP drop]]/(LocFeatures[[#This Row],[E. Cost]]-LocFeatures[[#This Row],[Energy gain]])</f>
        <v>#DIV/0!</v>
      </c>
      <c r="R35" s="43"/>
    </row>
    <row r="36" spans="9:18">
      <c r="I36" s="43"/>
      <c r="M36" s="43"/>
      <c r="O36" s="48"/>
      <c r="P36" s="48" t="e">
        <f>LocFeatures[[#This Row],[XP drop]]/(LocFeatures[[#This Row],[E. Cost]]-LocFeatures[[#This Row],[Energy gain]])</f>
        <v>#DIV/0!</v>
      </c>
      <c r="R36" s="43"/>
    </row>
    <row r="37" spans="9:18">
      <c r="I37" s="43"/>
      <c r="M37" s="43"/>
      <c r="O37" s="48"/>
      <c r="P37" s="48" t="e">
        <f>LocFeatures[[#This Row],[XP drop]]/(LocFeatures[[#This Row],[E. Cost]]-LocFeatures[[#This Row],[Energy gain]])</f>
        <v>#DIV/0!</v>
      </c>
      <c r="R37" s="43"/>
    </row>
    <row r="38" spans="9:18">
      <c r="I38" s="43"/>
      <c r="M38" s="43"/>
      <c r="O38" s="48"/>
      <c r="P38" s="48" t="e">
        <f>LocFeatures[[#This Row],[XP drop]]/(LocFeatures[[#This Row],[E. Cost]]-LocFeatures[[#This Row],[Energy gain]])</f>
        <v>#DIV/0!</v>
      </c>
      <c r="R38" s="43"/>
    </row>
    <row r="39" spans="9:18">
      <c r="I39" s="43"/>
      <c r="M39" s="43"/>
      <c r="O39" s="48"/>
      <c r="P39" s="48" t="e">
        <f>LocFeatures[[#This Row],[XP drop]]/(LocFeatures[[#This Row],[E. Cost]]-LocFeatures[[#This Row],[Energy gain]])</f>
        <v>#DIV/0!</v>
      </c>
      <c r="R39" s="43"/>
    </row>
    <row r="40" spans="9:18">
      <c r="I40" s="43"/>
      <c r="M40" s="43"/>
      <c r="O40" s="48"/>
      <c r="P40" s="48" t="e">
        <f>LocFeatures[[#This Row],[XP drop]]/(LocFeatures[[#This Row],[E. Cost]]-LocFeatures[[#This Row],[Energy gain]])</f>
        <v>#DIV/0!</v>
      </c>
      <c r="R40" s="43"/>
    </row>
    <row r="41" spans="9:18">
      <c r="I41" s="43"/>
      <c r="M41" s="43"/>
      <c r="O41" s="48"/>
      <c r="P41" s="48" t="e">
        <f>LocFeatures[[#This Row],[XP drop]]/(LocFeatures[[#This Row],[E. Cost]]-LocFeatures[[#This Row],[Energy gain]])</f>
        <v>#DIV/0!</v>
      </c>
      <c r="R41" s="43"/>
    </row>
    <row r="42" spans="9:18">
      <c r="I42" s="43"/>
      <c r="M42" s="43"/>
      <c r="O42" s="48"/>
      <c r="P42" s="48" t="e">
        <f>LocFeatures[[#This Row],[XP drop]]/(LocFeatures[[#This Row],[E. Cost]]-LocFeatures[[#This Row],[Energy gain]])</f>
        <v>#DIV/0!</v>
      </c>
      <c r="R42" s="43"/>
    </row>
    <row r="43" spans="9:18">
      <c r="I43" s="43"/>
      <c r="M43" s="43"/>
      <c r="O43" s="48"/>
      <c r="P43" s="48" t="e">
        <f>LocFeatures[[#This Row],[XP drop]]/(LocFeatures[[#This Row],[E. Cost]]-LocFeatures[[#This Row],[Energy gain]])</f>
        <v>#DIV/0!</v>
      </c>
      <c r="R43" s="43"/>
    </row>
    <row r="44" spans="9:18">
      <c r="I44" s="43"/>
      <c r="M44" s="43"/>
      <c r="O44" s="48"/>
      <c r="P44" s="48" t="e">
        <f>LocFeatures[[#This Row],[XP drop]]/(LocFeatures[[#This Row],[E. Cost]]-LocFeatures[[#This Row],[Energy gain]])</f>
        <v>#DIV/0!</v>
      </c>
      <c r="R44" s="43"/>
    </row>
    <row r="45" spans="9:18">
      <c r="I45" s="43"/>
      <c r="M45" s="43"/>
      <c r="O45" s="48"/>
      <c r="P45" s="48" t="e">
        <f>LocFeatures[[#This Row],[XP drop]]/(LocFeatures[[#This Row],[E. Cost]]-LocFeatures[[#This Row],[Energy gain]])</f>
        <v>#DIV/0!</v>
      </c>
      <c r="R45" s="43"/>
    </row>
    <row r="46" spans="9:18">
      <c r="I46" s="43"/>
      <c r="M46" s="43"/>
      <c r="O46" s="48"/>
      <c r="P46" s="48" t="e">
        <f>LocFeatures[[#This Row],[XP drop]]/(LocFeatures[[#This Row],[E. Cost]]-LocFeatures[[#This Row],[Energy gain]])</f>
        <v>#DIV/0!</v>
      </c>
      <c r="R46" s="43"/>
    </row>
    <row r="47" spans="9:18">
      <c r="I47" s="43"/>
      <c r="M47" s="43"/>
      <c r="O47" s="48"/>
      <c r="P47" s="48" t="e">
        <f>LocFeatures[[#This Row],[XP drop]]/(LocFeatures[[#This Row],[E. Cost]]-LocFeatures[[#This Row],[Energy gain]])</f>
        <v>#DIV/0!</v>
      </c>
      <c r="R47" s="43"/>
    </row>
    <row r="48" spans="9:18">
      <c r="I48" s="43"/>
      <c r="M48" s="43"/>
      <c r="O48" s="48"/>
      <c r="P48" s="48" t="e">
        <f>LocFeatures[[#This Row],[XP drop]]/(LocFeatures[[#This Row],[E. Cost]]-LocFeatures[[#This Row],[Energy gain]])</f>
        <v>#DIV/0!</v>
      </c>
      <c r="R48" s="43"/>
    </row>
    <row r="49" spans="9:18">
      <c r="I49" s="43"/>
      <c r="M49" s="43"/>
      <c r="O49" s="48"/>
      <c r="P49" s="48" t="e">
        <f>LocFeatures[[#This Row],[XP drop]]/(LocFeatures[[#This Row],[E. Cost]]-LocFeatures[[#This Row],[Energy gain]])</f>
        <v>#DIV/0!</v>
      </c>
      <c r="R49" s="43"/>
    </row>
    <row r="50" spans="9:18">
      <c r="I50" s="43"/>
      <c r="M50" s="43"/>
      <c r="O50" s="48"/>
      <c r="P50" s="48" t="e">
        <f>LocFeatures[[#This Row],[XP drop]]/(LocFeatures[[#This Row],[E. Cost]]-LocFeatures[[#This Row],[Energy gain]])</f>
        <v>#DIV/0!</v>
      </c>
      <c r="R50" s="43"/>
    </row>
    <row r="51" spans="9:18">
      <c r="I51" s="43"/>
      <c r="M51" s="43"/>
      <c r="O51" s="48"/>
      <c r="P51" s="48" t="e">
        <f>LocFeatures[[#This Row],[XP drop]]/(LocFeatures[[#This Row],[E. Cost]]-LocFeatures[[#This Row],[Energy gain]])</f>
        <v>#DIV/0!</v>
      </c>
      <c r="R51" s="43"/>
    </row>
    <row r="52" spans="9:18">
      <c r="I52" s="43"/>
      <c r="M52" s="43"/>
      <c r="O52" s="48"/>
      <c r="P52" s="48" t="e">
        <f>LocFeatures[[#This Row],[XP drop]]/(LocFeatures[[#This Row],[E. Cost]]-LocFeatures[[#This Row],[Energy gain]])</f>
        <v>#DIV/0!</v>
      </c>
      <c r="R52" s="43"/>
    </row>
    <row r="53" spans="9:18">
      <c r="I53" s="43"/>
      <c r="M53" s="43"/>
      <c r="O53" s="48"/>
      <c r="P53" s="48" t="e">
        <f>LocFeatures[[#This Row],[XP drop]]/(LocFeatures[[#This Row],[E. Cost]]-LocFeatures[[#This Row],[Energy gain]])</f>
        <v>#DIV/0!</v>
      </c>
      <c r="R53" s="43"/>
    </row>
    <row r="54" spans="9:18">
      <c r="I54" s="43"/>
      <c r="M54" s="43"/>
      <c r="O54" s="48"/>
      <c r="P54" s="48" t="e">
        <f>LocFeatures[[#This Row],[XP drop]]/(LocFeatures[[#This Row],[E. Cost]]-LocFeatures[[#This Row],[Energy gain]])</f>
        <v>#DIV/0!</v>
      </c>
      <c r="R54" s="43"/>
    </row>
    <row r="55" spans="9:18">
      <c r="I55" s="43"/>
      <c r="M55" s="43"/>
      <c r="O55" s="48"/>
      <c r="P55" s="48" t="e">
        <f>LocFeatures[[#This Row],[XP drop]]/(LocFeatures[[#This Row],[E. Cost]]-LocFeatures[[#This Row],[Energy gain]])</f>
        <v>#DIV/0!</v>
      </c>
      <c r="R55" s="43"/>
    </row>
    <row r="56" spans="9:18">
      <c r="I56" s="43"/>
      <c r="M56" s="43"/>
      <c r="O56" s="48"/>
      <c r="P56" s="48" t="e">
        <f>LocFeatures[[#This Row],[XP drop]]/(LocFeatures[[#This Row],[E. Cost]]-LocFeatures[[#This Row],[Energy gain]])</f>
        <v>#DIV/0!</v>
      </c>
      <c r="R56" s="43"/>
    </row>
    <row r="57" spans="9:18">
      <c r="I57" s="43"/>
      <c r="M57" s="43"/>
      <c r="O57" s="48"/>
      <c r="P57" s="48" t="e">
        <f>LocFeatures[[#This Row],[XP drop]]/(LocFeatures[[#This Row],[E. Cost]]-LocFeatures[[#This Row],[Energy gain]])</f>
        <v>#DIV/0!</v>
      </c>
      <c r="R57" s="43"/>
    </row>
    <row r="58" spans="9:18">
      <c r="I58" s="43"/>
      <c r="M58" s="43"/>
      <c r="O58" s="48"/>
      <c r="P58" s="48" t="e">
        <f>LocFeatures[[#This Row],[XP drop]]/(LocFeatures[[#This Row],[E. Cost]]-LocFeatures[[#This Row],[Energy gain]])</f>
        <v>#DIV/0!</v>
      </c>
      <c r="R58" s="43"/>
    </row>
    <row r="59" spans="9:18">
      <c r="I59" s="43"/>
      <c r="M59" s="43"/>
      <c r="O59" s="48"/>
      <c r="P59" s="48" t="e">
        <f>LocFeatures[[#This Row],[XP drop]]/(LocFeatures[[#This Row],[E. Cost]]-LocFeatures[[#This Row],[Energy gain]])</f>
        <v>#DIV/0!</v>
      </c>
      <c r="R59" s="43"/>
    </row>
    <row r="60" spans="9:18">
      <c r="I60" s="43"/>
      <c r="M60" s="43"/>
      <c r="O60" s="48"/>
      <c r="P60" s="48" t="e">
        <f>LocFeatures[[#This Row],[XP drop]]/(LocFeatures[[#This Row],[E. Cost]]-LocFeatures[[#This Row],[Energy gain]])</f>
        <v>#DIV/0!</v>
      </c>
      <c r="R60" s="43"/>
    </row>
    <row r="61" spans="9:18">
      <c r="I61" s="43"/>
      <c r="M61" s="43"/>
      <c r="O61" s="48"/>
      <c r="P61" s="48" t="e">
        <f>LocFeatures[[#This Row],[XP drop]]/(LocFeatures[[#This Row],[E. Cost]]-LocFeatures[[#This Row],[Energy gain]])</f>
        <v>#DIV/0!</v>
      </c>
      <c r="R61" s="43"/>
    </row>
    <row r="62" spans="9:18">
      <c r="I62" s="43"/>
      <c r="M62" s="43"/>
      <c r="O62" s="48"/>
      <c r="P62" s="48" t="e">
        <f>LocFeatures[[#This Row],[XP drop]]/(LocFeatures[[#This Row],[E. Cost]]-LocFeatures[[#This Row],[Energy gain]])</f>
        <v>#DIV/0!</v>
      </c>
      <c r="R62" s="43"/>
    </row>
    <row r="63" spans="9:18">
      <c r="I63" s="43"/>
      <c r="M63" s="43"/>
      <c r="O63" s="48"/>
      <c r="P63" s="48" t="e">
        <f>LocFeatures[[#This Row],[XP drop]]/(LocFeatures[[#This Row],[E. Cost]]-LocFeatures[[#This Row],[Energy gain]])</f>
        <v>#DIV/0!</v>
      </c>
      <c r="R63" s="43"/>
    </row>
    <row r="64" spans="9:18">
      <c r="I64" s="43"/>
      <c r="M64" s="43"/>
      <c r="O64" s="48"/>
      <c r="P64" s="48" t="e">
        <f>LocFeatures[[#This Row],[XP drop]]/(LocFeatures[[#This Row],[E. Cost]]-LocFeatures[[#This Row],[Energy gain]])</f>
        <v>#DIV/0!</v>
      </c>
      <c r="R64" s="43"/>
    </row>
    <row r="65" spans="9:18">
      <c r="I65" s="43"/>
      <c r="M65" s="43"/>
      <c r="O65" s="48"/>
      <c r="P65" s="48" t="e">
        <f>LocFeatures[[#This Row],[XP drop]]/(LocFeatures[[#This Row],[E. Cost]]-LocFeatures[[#This Row],[Energy gain]])</f>
        <v>#DIV/0!</v>
      </c>
      <c r="R65" s="43"/>
    </row>
    <row r="66" spans="9:18">
      <c r="I66" s="43"/>
      <c r="M66" s="43"/>
      <c r="O66" s="48"/>
      <c r="P66" s="48" t="e">
        <f>LocFeatures[[#This Row],[XP drop]]/(LocFeatures[[#This Row],[E. Cost]]-LocFeatures[[#This Row],[Energy gain]])</f>
        <v>#DIV/0!</v>
      </c>
      <c r="R66" s="43"/>
    </row>
    <row r="67" spans="9:18">
      <c r="I67" s="43"/>
      <c r="M67" s="43"/>
      <c r="O67" s="48"/>
      <c r="P67" s="48" t="e">
        <f>LocFeatures[[#This Row],[XP drop]]/(LocFeatures[[#This Row],[E. Cost]]-LocFeatures[[#This Row],[Energy gain]])</f>
        <v>#DIV/0!</v>
      </c>
      <c r="R67" s="43"/>
    </row>
    <row r="68" spans="9:18">
      <c r="I68" s="43"/>
      <c r="M68" s="43"/>
      <c r="O68" s="48"/>
      <c r="P68" s="48" t="e">
        <f>LocFeatures[[#This Row],[XP drop]]/(LocFeatures[[#This Row],[E. Cost]]-LocFeatures[[#This Row],[Energy gain]])</f>
        <v>#DIV/0!</v>
      </c>
      <c r="R68" s="43"/>
    </row>
    <row r="69" spans="9:18">
      <c r="I69" s="43"/>
      <c r="M69" s="43"/>
      <c r="O69" s="48"/>
      <c r="P69" s="48" t="e">
        <f>LocFeatures[[#This Row],[XP drop]]/(LocFeatures[[#This Row],[E. Cost]]-LocFeatures[[#This Row],[Energy gain]])</f>
        <v>#DIV/0!</v>
      </c>
      <c r="R69" s="43"/>
    </row>
    <row r="70" spans="9:18">
      <c r="I70" s="43"/>
      <c r="M70" s="43"/>
      <c r="O70" s="48"/>
      <c r="P70" s="48" t="e">
        <f>LocFeatures[[#This Row],[XP drop]]/(LocFeatures[[#This Row],[E. Cost]]-LocFeatures[[#This Row],[Energy gain]])</f>
        <v>#DIV/0!</v>
      </c>
      <c r="R70" s="43"/>
    </row>
    <row r="71" spans="9:18">
      <c r="I71" s="43"/>
      <c r="M71" s="43"/>
      <c r="O71" s="48"/>
      <c r="P71" s="48" t="e">
        <f>LocFeatures[[#This Row],[XP drop]]/(LocFeatures[[#This Row],[E. Cost]]-LocFeatures[[#This Row],[Energy gain]])</f>
        <v>#DIV/0!</v>
      </c>
      <c r="R71" s="43"/>
    </row>
    <row r="72" spans="9:18">
      <c r="I72" s="43"/>
      <c r="M72" s="43"/>
      <c r="O72" s="48"/>
      <c r="P72" s="48" t="e">
        <f>LocFeatures[[#This Row],[XP drop]]/(LocFeatures[[#This Row],[E. Cost]]-LocFeatures[[#This Row],[Energy gain]])</f>
        <v>#DIV/0!</v>
      </c>
      <c r="R72" s="43"/>
    </row>
    <row r="73" spans="9:18">
      <c r="I73" s="43"/>
      <c r="M73" s="43"/>
      <c r="O73" s="48"/>
      <c r="P73" s="48" t="e">
        <f>LocFeatures[[#This Row],[XP drop]]/(LocFeatures[[#This Row],[E. Cost]]-LocFeatures[[#This Row],[Energy gain]])</f>
        <v>#DIV/0!</v>
      </c>
      <c r="R73" s="43"/>
    </row>
    <row r="74" spans="9:18">
      <c r="I74" s="43"/>
      <c r="M74" s="43"/>
      <c r="O74" s="48"/>
      <c r="P74" s="48" t="e">
        <f>LocFeatures[[#This Row],[XP drop]]/(LocFeatures[[#This Row],[E. Cost]]-LocFeatures[[#This Row],[Energy gain]])</f>
        <v>#DIV/0!</v>
      </c>
      <c r="R74" s="43"/>
    </row>
    <row r="75" spans="9:18">
      <c r="I75" s="43"/>
      <c r="M75" s="43"/>
      <c r="O75" s="48"/>
      <c r="P75" s="48" t="e">
        <f>LocFeatures[[#This Row],[XP drop]]/(LocFeatures[[#This Row],[E. Cost]]-LocFeatures[[#This Row],[Energy gain]])</f>
        <v>#DIV/0!</v>
      </c>
      <c r="R75" s="43"/>
    </row>
    <row r="76" spans="9:18">
      <c r="I76" s="43"/>
      <c r="M76" s="43"/>
      <c r="O76" s="48"/>
      <c r="P76" s="48" t="e">
        <f>LocFeatures[[#This Row],[XP drop]]/(LocFeatures[[#This Row],[E. Cost]]-LocFeatures[[#This Row],[Energy gain]])</f>
        <v>#DIV/0!</v>
      </c>
      <c r="R76" s="43"/>
    </row>
    <row r="77" spans="9:18">
      <c r="I77" s="43"/>
      <c r="M77" s="43"/>
      <c r="O77" s="48"/>
      <c r="P77" s="48" t="e">
        <f>LocFeatures[[#This Row],[XP drop]]/(LocFeatures[[#This Row],[E. Cost]]-LocFeatures[[#This Row],[Energy gain]])</f>
        <v>#DIV/0!</v>
      </c>
      <c r="R77" s="43"/>
    </row>
    <row r="78" spans="9:18">
      <c r="I78" s="43"/>
      <c r="M78" s="43"/>
      <c r="O78" s="48"/>
      <c r="P78" s="48" t="e">
        <f>LocFeatures[[#This Row],[XP drop]]/(LocFeatures[[#This Row],[E. Cost]]-LocFeatures[[#This Row],[Energy gain]])</f>
        <v>#DIV/0!</v>
      </c>
      <c r="R78" s="43"/>
    </row>
    <row r="79" spans="9:18">
      <c r="I79" s="43"/>
      <c r="M79" s="43"/>
      <c r="O79" s="48"/>
      <c r="P79" s="48" t="e">
        <f>LocFeatures[[#This Row],[XP drop]]/(LocFeatures[[#This Row],[E. Cost]]-LocFeatures[[#This Row],[Energy gain]])</f>
        <v>#DIV/0!</v>
      </c>
      <c r="R79" s="43"/>
    </row>
    <row r="80" spans="9:18">
      <c r="I80" s="43"/>
      <c r="M80" s="43"/>
      <c r="O80" s="48"/>
      <c r="P80" s="48" t="e">
        <f>LocFeatures[[#This Row],[XP drop]]/(LocFeatures[[#This Row],[E. Cost]]-LocFeatures[[#This Row],[Energy gain]])</f>
        <v>#DIV/0!</v>
      </c>
      <c r="R80" s="43"/>
    </row>
    <row r="81" spans="9:18">
      <c r="I81" s="43"/>
      <c r="M81" s="43"/>
      <c r="O81" s="48"/>
      <c r="P81" s="48" t="e">
        <f>LocFeatures[[#This Row],[XP drop]]/(LocFeatures[[#This Row],[E. Cost]]-LocFeatures[[#This Row],[Energy gain]])</f>
        <v>#DIV/0!</v>
      </c>
      <c r="R81" s="43"/>
    </row>
    <row r="82" spans="9:18">
      <c r="I82" s="43"/>
      <c r="M82" s="43"/>
      <c r="O82" s="48"/>
      <c r="P82" s="48" t="e">
        <f>LocFeatures[[#This Row],[XP drop]]/(LocFeatures[[#This Row],[E. Cost]]-LocFeatures[[#This Row],[Energy gain]])</f>
        <v>#DIV/0!</v>
      </c>
      <c r="R82" s="43"/>
    </row>
    <row r="83" spans="9:18">
      <c r="I83" s="43"/>
      <c r="M83" s="43"/>
      <c r="O83" s="48"/>
      <c r="P83" s="48" t="e">
        <f>LocFeatures[[#This Row],[XP drop]]/(LocFeatures[[#This Row],[E. Cost]]-LocFeatures[[#This Row],[Energy gain]])</f>
        <v>#DIV/0!</v>
      </c>
      <c r="R83" s="43"/>
    </row>
    <row r="84" spans="9:18">
      <c r="I84" s="43"/>
      <c r="M84" s="43"/>
      <c r="O84" s="48"/>
      <c r="P84" s="48" t="e">
        <f>LocFeatures[[#This Row],[XP drop]]/(LocFeatures[[#This Row],[E. Cost]]-LocFeatures[[#This Row],[Energy gain]])</f>
        <v>#DIV/0!</v>
      </c>
      <c r="R84" s="43"/>
    </row>
    <row r="85" spans="9:18">
      <c r="I85" s="43"/>
      <c r="M85" s="43"/>
      <c r="O85" s="48"/>
      <c r="P85" s="48" t="e">
        <f>LocFeatures[[#This Row],[XP drop]]/(LocFeatures[[#This Row],[E. Cost]]-LocFeatures[[#This Row],[Energy gain]])</f>
        <v>#DIV/0!</v>
      </c>
      <c r="R85" s="43"/>
    </row>
    <row r="86" spans="9:18">
      <c r="I86" s="43"/>
      <c r="M86" s="43"/>
      <c r="O86" s="48"/>
      <c r="P86" s="48" t="e">
        <f>LocFeatures[[#This Row],[XP drop]]/(LocFeatures[[#This Row],[E. Cost]]-LocFeatures[[#This Row],[Energy gain]])</f>
        <v>#DIV/0!</v>
      </c>
      <c r="R86" s="43"/>
    </row>
    <row r="87" spans="9:18">
      <c r="I87" s="43"/>
      <c r="M87" s="43"/>
      <c r="O87" s="48"/>
      <c r="P87" s="48" t="e">
        <f>LocFeatures[[#This Row],[XP drop]]/(LocFeatures[[#This Row],[E. Cost]]-LocFeatures[[#This Row],[Energy gain]])</f>
        <v>#DIV/0!</v>
      </c>
      <c r="R87" s="43"/>
    </row>
    <row r="88" spans="9:18">
      <c r="I88" s="43"/>
      <c r="M88" s="43"/>
      <c r="O88" s="48"/>
      <c r="P88" s="48" t="e">
        <f>LocFeatures[[#This Row],[XP drop]]/(LocFeatures[[#This Row],[E. Cost]]-LocFeatures[[#This Row],[Energy gain]])</f>
        <v>#DIV/0!</v>
      </c>
      <c r="R88" s="43"/>
    </row>
    <row r="89" spans="9:18">
      <c r="I89" s="43"/>
      <c r="M89" s="43"/>
      <c r="O89" s="48"/>
      <c r="P89" s="48" t="e">
        <f>LocFeatures[[#This Row],[XP drop]]/(LocFeatures[[#This Row],[E. Cost]]-LocFeatures[[#This Row],[Energy gain]])</f>
        <v>#DIV/0!</v>
      </c>
      <c r="R89" s="43"/>
    </row>
    <row r="90" spans="9:18">
      <c r="I90" s="43"/>
      <c r="M90" s="43"/>
      <c r="O90" s="48"/>
      <c r="P90" s="48" t="e">
        <f>LocFeatures[[#This Row],[XP drop]]/(LocFeatures[[#This Row],[E. Cost]]-LocFeatures[[#This Row],[Energy gain]])</f>
        <v>#DIV/0!</v>
      </c>
      <c r="R90" s="43"/>
    </row>
    <row r="91" spans="9:18">
      <c r="I91" s="43"/>
      <c r="M91" s="43"/>
      <c r="O91" s="48"/>
      <c r="P91" s="48" t="e">
        <f>LocFeatures[[#This Row],[XP drop]]/(LocFeatures[[#This Row],[E. Cost]]-LocFeatures[[#This Row],[Energy gain]])</f>
        <v>#DIV/0!</v>
      </c>
      <c r="R91" s="43"/>
    </row>
    <row r="92" spans="9:18">
      <c r="I92" s="43"/>
      <c r="M92" s="43"/>
      <c r="O92" s="48"/>
      <c r="P92" s="48" t="e">
        <f>LocFeatures[[#This Row],[XP drop]]/(LocFeatures[[#This Row],[E. Cost]]-LocFeatures[[#This Row],[Energy gain]])</f>
        <v>#DIV/0!</v>
      </c>
      <c r="R92" s="43"/>
    </row>
    <row r="93" spans="9:18">
      <c r="I93" s="43"/>
      <c r="M93" s="43"/>
      <c r="O93" s="48"/>
      <c r="P93" s="48" t="e">
        <f>LocFeatures[[#This Row],[XP drop]]/(LocFeatures[[#This Row],[E. Cost]]-LocFeatures[[#This Row],[Energy gain]])</f>
        <v>#DIV/0!</v>
      </c>
      <c r="R93" s="43"/>
    </row>
    <row r="94" spans="9:18">
      <c r="I94" s="43"/>
      <c r="M94" s="43"/>
      <c r="O94" s="48"/>
      <c r="P94" s="48" t="e">
        <f>LocFeatures[[#This Row],[XP drop]]/(LocFeatures[[#This Row],[E. Cost]]-LocFeatures[[#This Row],[Energy gain]])</f>
        <v>#DIV/0!</v>
      </c>
      <c r="R94" s="43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W48"/>
  <sheetViews>
    <sheetView zoomScaleNormal="100" workbookViewId="0">
      <selection activeCell="A11" sqref="A11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269</v>
      </c>
    </row>
    <row r="2" spans="1:23">
      <c r="R2" s="229" t="s">
        <v>273</v>
      </c>
      <c r="S2" s="229"/>
      <c r="T2" s="229"/>
      <c r="U2" s="229"/>
      <c r="V2" s="229"/>
      <c r="W2" s="229"/>
    </row>
    <row r="3" spans="1:23" ht="15" thickBot="1">
      <c r="B3" s="11" t="s">
        <v>68</v>
      </c>
      <c r="G3" s="11" t="s">
        <v>259</v>
      </c>
      <c r="H3" s="11" t="s">
        <v>142</v>
      </c>
      <c r="Q3" s="6" t="s">
        <v>33</v>
      </c>
      <c r="R3" s="115" t="s">
        <v>274</v>
      </c>
      <c r="S3" s="116" t="s">
        <v>275</v>
      </c>
      <c r="T3" s="116" t="s">
        <v>276</v>
      </c>
      <c r="U3" s="116" t="s">
        <v>277</v>
      </c>
      <c r="V3" s="116" t="s">
        <v>278</v>
      </c>
      <c r="W3" s="117" t="s">
        <v>279</v>
      </c>
    </row>
    <row r="4" spans="1:23">
      <c r="A4" s="11" t="s">
        <v>64</v>
      </c>
      <c r="B4" t="s">
        <v>67</v>
      </c>
      <c r="C4" t="s">
        <v>69</v>
      </c>
      <c r="D4" t="s">
        <v>70</v>
      </c>
      <c r="E4" t="s">
        <v>126</v>
      </c>
      <c r="G4" s="11" t="s">
        <v>64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66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60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271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270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292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66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260</v>
      </c>
      <c r="H15" s="11" t="s">
        <v>142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64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66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173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139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36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2293.9793814432992</v>
      </c>
      <c r="C20" s="1">
        <v>0</v>
      </c>
      <c r="D20" s="1">
        <v>0.68041237113402064</v>
      </c>
      <c r="E20" s="43">
        <v>96</v>
      </c>
      <c r="G20" s="12" t="s">
        <v>207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9</v>
      </c>
      <c r="B21" s="1">
        <v>2293.9793814432992</v>
      </c>
      <c r="C21" s="1">
        <v>0</v>
      </c>
      <c r="D21" s="1">
        <v>0.68041237113402064</v>
      </c>
      <c r="E21" s="43">
        <v>96</v>
      </c>
      <c r="G21" s="12" t="s">
        <v>262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4</v>
      </c>
      <c r="B22" s="1">
        <v>1267.7142857142858</v>
      </c>
      <c r="C22" s="1">
        <v>0</v>
      </c>
      <c r="D22" s="1">
        <v>0.7142857142857143</v>
      </c>
      <c r="E22" s="43">
        <v>7</v>
      </c>
      <c r="G22" s="12" t="s">
        <v>66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4">
        <v>5</v>
      </c>
      <c r="B23" s="1">
        <v>1404</v>
      </c>
      <c r="C23" s="1">
        <v>0</v>
      </c>
      <c r="D23" s="1">
        <v>0.66666666666666663</v>
      </c>
      <c r="E23" s="43">
        <v>3</v>
      </c>
    </row>
    <row r="24" spans="1:14">
      <c r="A24" s="14">
        <v>7</v>
      </c>
      <c r="B24" s="1">
        <v>2319.9516129032259</v>
      </c>
      <c r="C24" s="1">
        <v>0</v>
      </c>
      <c r="D24" s="1">
        <v>0.58064516129032262</v>
      </c>
      <c r="E24" s="43">
        <v>62</v>
      </c>
    </row>
    <row r="25" spans="1:14">
      <c r="A25" s="14">
        <v>9</v>
      </c>
      <c r="B25" s="1">
        <v>2623.72</v>
      </c>
      <c r="C25" s="1">
        <v>0</v>
      </c>
      <c r="D25" s="1">
        <v>0.92</v>
      </c>
      <c r="E25" s="43">
        <v>24</v>
      </c>
    </row>
    <row r="26" spans="1:14">
      <c r="A26" s="12" t="s">
        <v>59</v>
      </c>
      <c r="B26" s="1">
        <v>1192</v>
      </c>
      <c r="C26" s="1">
        <v>0</v>
      </c>
      <c r="D26" s="1">
        <v>1</v>
      </c>
      <c r="E26" s="43">
        <v>1</v>
      </c>
    </row>
    <row r="27" spans="1:14">
      <c r="A27" s="13" t="s">
        <v>32</v>
      </c>
      <c r="B27" s="1">
        <v>1192</v>
      </c>
      <c r="C27" s="1">
        <v>0</v>
      </c>
      <c r="D27" s="1">
        <v>1</v>
      </c>
      <c r="E27" s="43">
        <v>1</v>
      </c>
    </row>
    <row r="28" spans="1:14">
      <c r="A28" s="14">
        <v>2</v>
      </c>
      <c r="B28" s="1">
        <v>1192</v>
      </c>
      <c r="C28" s="1">
        <v>0</v>
      </c>
      <c r="D28" s="1">
        <v>1</v>
      </c>
      <c r="E28" s="43">
        <v>1</v>
      </c>
    </row>
    <row r="29" spans="1:14">
      <c r="A29" s="12" t="s">
        <v>8</v>
      </c>
      <c r="B29" s="1">
        <v>1458.825925925926</v>
      </c>
      <c r="C29" s="1">
        <v>912.60526315789468</v>
      </c>
      <c r="D29" s="1">
        <v>0.92962962962962958</v>
      </c>
      <c r="E29" s="43">
        <v>78</v>
      </c>
    </row>
    <row r="30" spans="1:14">
      <c r="A30" s="13" t="s">
        <v>30</v>
      </c>
      <c r="B30" s="1">
        <v>1422.1666666666667</v>
      </c>
      <c r="C30" s="1">
        <v>607.5094339622641</v>
      </c>
      <c r="D30" s="1">
        <v>0.87037037037037035</v>
      </c>
      <c r="E30" s="43">
        <v>21</v>
      </c>
    </row>
    <row r="31" spans="1:14">
      <c r="A31" s="14">
        <v>3</v>
      </c>
      <c r="B31" s="1">
        <v>1420.6981132075471</v>
      </c>
      <c r="C31" s="1">
        <v>597.03846153846155</v>
      </c>
      <c r="D31" s="1">
        <v>0.86792452830188682</v>
      </c>
      <c r="E31" s="43">
        <v>21</v>
      </c>
    </row>
    <row r="32" spans="1:14">
      <c r="A32" s="14">
        <v>6</v>
      </c>
      <c r="B32" s="1">
        <v>1500</v>
      </c>
      <c r="C32" s="1">
        <v>1152</v>
      </c>
      <c r="D32" s="1">
        <v>1</v>
      </c>
      <c r="E32" s="43"/>
    </row>
    <row r="33" spans="1:5">
      <c r="A33" s="13" t="s">
        <v>32</v>
      </c>
      <c r="B33" s="1">
        <v>1525.316091954023</v>
      </c>
      <c r="C33" s="1">
        <v>1159.0116959064328</v>
      </c>
      <c r="D33" s="1">
        <v>0.96551724137931039</v>
      </c>
      <c r="E33" s="43">
        <v>43</v>
      </c>
    </row>
    <row r="34" spans="1:5">
      <c r="A34" s="14">
        <v>3</v>
      </c>
      <c r="B34" s="1">
        <v>1519.1730769230769</v>
      </c>
      <c r="C34" s="1">
        <v>1149.437908496732</v>
      </c>
      <c r="D34" s="1">
        <v>0.98076923076923073</v>
      </c>
      <c r="E34" s="43">
        <v>40</v>
      </c>
    </row>
    <row r="35" spans="1:5">
      <c r="A35" s="14">
        <v>13</v>
      </c>
      <c r="B35" s="1">
        <v>1578.5555555555557</v>
      </c>
      <c r="C35" s="1">
        <v>1240.3888888888889</v>
      </c>
      <c r="D35" s="1">
        <v>0.83333333333333337</v>
      </c>
      <c r="E35" s="43">
        <v>3</v>
      </c>
    </row>
    <row r="36" spans="1:5">
      <c r="A36" s="13" t="s">
        <v>9</v>
      </c>
      <c r="B36" s="1">
        <v>1230.5</v>
      </c>
      <c r="C36" s="1">
        <v>294.38095238095241</v>
      </c>
      <c r="D36" s="1">
        <v>0.8571428571428571</v>
      </c>
      <c r="E36" s="43">
        <v>14</v>
      </c>
    </row>
    <row r="37" spans="1:5">
      <c r="A37" s="14">
        <v>1</v>
      </c>
      <c r="B37" s="1">
        <v>1315</v>
      </c>
      <c r="C37" s="1">
        <v>912</v>
      </c>
      <c r="D37" s="1">
        <v>2</v>
      </c>
      <c r="E37" s="43"/>
    </row>
    <row r="38" spans="1:5">
      <c r="A38" s="14">
        <v>3</v>
      </c>
      <c r="B38" s="1">
        <v>1228.439024390244</v>
      </c>
      <c r="C38" s="1">
        <v>279.3170731707317</v>
      </c>
      <c r="D38" s="1">
        <v>0.82926829268292679</v>
      </c>
      <c r="E38" s="43">
        <v>14</v>
      </c>
    </row>
    <row r="39" spans="1:5">
      <c r="A39" s="12" t="s">
        <v>172</v>
      </c>
      <c r="B39" s="1">
        <v>3625.4257425742576</v>
      </c>
      <c r="C39" s="1">
        <v>4470.3861386138615</v>
      </c>
      <c r="D39" s="1">
        <v>1.0066006600660067</v>
      </c>
      <c r="E39" s="43">
        <v>285</v>
      </c>
    </row>
    <row r="40" spans="1:5">
      <c r="A40" s="13" t="s">
        <v>9</v>
      </c>
      <c r="B40" s="1">
        <v>3625.4257425742576</v>
      </c>
      <c r="C40" s="1">
        <v>4470.3861386138615</v>
      </c>
      <c r="D40" s="1">
        <v>1.0066006600660067</v>
      </c>
      <c r="E40" s="43">
        <v>285</v>
      </c>
    </row>
    <row r="41" spans="1:5">
      <c r="A41" s="14">
        <v>3</v>
      </c>
      <c r="B41" s="1">
        <v>1603</v>
      </c>
      <c r="C41" s="1">
        <v>1752</v>
      </c>
      <c r="D41" s="1">
        <v>1</v>
      </c>
      <c r="E41" s="43"/>
    </row>
    <row r="42" spans="1:5">
      <c r="A42" s="14">
        <v>4</v>
      </c>
      <c r="B42" s="1">
        <v>1657</v>
      </c>
      <c r="C42" s="1">
        <v>3168</v>
      </c>
      <c r="D42" s="1">
        <v>2</v>
      </c>
      <c r="E42" s="43"/>
    </row>
    <row r="43" spans="1:5">
      <c r="A43" s="14">
        <v>5</v>
      </c>
      <c r="B43" s="1">
        <v>2308.8125</v>
      </c>
      <c r="C43" s="1">
        <v>3085.6875</v>
      </c>
      <c r="D43" s="1">
        <v>1.75</v>
      </c>
      <c r="E43" s="43">
        <v>6</v>
      </c>
    </row>
    <row r="44" spans="1:5">
      <c r="A44" s="14">
        <v>6</v>
      </c>
      <c r="B44" s="1">
        <v>2534.2727272727275</v>
      </c>
      <c r="C44" s="1">
        <v>2383.5454545454545</v>
      </c>
      <c r="D44" s="1">
        <v>0.90909090909090906</v>
      </c>
      <c r="E44" s="43">
        <v>6</v>
      </c>
    </row>
    <row r="45" spans="1:5">
      <c r="A45" s="14">
        <v>7</v>
      </c>
      <c r="B45" s="1">
        <v>3058.48</v>
      </c>
      <c r="C45" s="1">
        <v>2632.72</v>
      </c>
      <c r="D45" s="1">
        <v>1.1000000000000001</v>
      </c>
      <c r="E45" s="43">
        <v>49</v>
      </c>
    </row>
    <row r="46" spans="1:5">
      <c r="A46" s="14">
        <v>8</v>
      </c>
      <c r="B46" s="1">
        <v>3450.9459459459458</v>
      </c>
      <c r="C46" s="1">
        <v>3394.864864864865</v>
      </c>
      <c r="D46" s="1">
        <v>0.89189189189189189</v>
      </c>
      <c r="E46" s="43">
        <v>37</v>
      </c>
    </row>
    <row r="47" spans="1:5">
      <c r="A47" s="14">
        <v>10</v>
      </c>
      <c r="B47" s="1">
        <v>4009.7165775401068</v>
      </c>
      <c r="C47" s="1">
        <v>5437.2780748663099</v>
      </c>
      <c r="D47" s="1">
        <v>0.94117647058823528</v>
      </c>
      <c r="E47" s="43">
        <v>187</v>
      </c>
    </row>
    <row r="48" spans="1:5">
      <c r="A48" s="12" t="s">
        <v>66</v>
      </c>
      <c r="B48" s="1">
        <v>2196.140762463343</v>
      </c>
      <c r="C48" s="1">
        <v>1988.6220472440946</v>
      </c>
      <c r="D48" s="1">
        <v>0.91006842619745842</v>
      </c>
      <c r="E48" s="43">
        <v>563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142</v>
      </c>
    </row>
    <row r="6" spans="1:23">
      <c r="B6" s="15">
        <v>0</v>
      </c>
      <c r="J6" s="15" t="s">
        <v>815</v>
      </c>
      <c r="K6" s="15" t="s">
        <v>816</v>
      </c>
      <c r="L6" s="15">
        <v>0.2</v>
      </c>
      <c r="T6" s="15" t="s">
        <v>817</v>
      </c>
      <c r="U6" s="15" t="s">
        <v>818</v>
      </c>
      <c r="V6" s="15" t="s">
        <v>809</v>
      </c>
      <c r="W6" s="15" t="s">
        <v>810</v>
      </c>
    </row>
    <row r="7" spans="1:23">
      <c r="B7" s="15">
        <v>0.2</v>
      </c>
      <c r="H7" s="15" t="s">
        <v>817</v>
      </c>
      <c r="I7" s="15" t="s">
        <v>818</v>
      </c>
      <c r="L7" s="15">
        <v>0</v>
      </c>
      <c r="R7" s="15" t="s">
        <v>815</v>
      </c>
      <c r="S7" s="15" t="s">
        <v>816</v>
      </c>
    </row>
    <row r="8" spans="1:23">
      <c r="B8" s="50">
        <v>2</v>
      </c>
      <c r="F8" s="50" t="s">
        <v>811</v>
      </c>
      <c r="G8" s="50" t="s">
        <v>812</v>
      </c>
      <c r="L8" s="50">
        <v>2</v>
      </c>
      <c r="P8" s="50" t="s">
        <v>811</v>
      </c>
      <c r="Q8" s="50" t="s">
        <v>812</v>
      </c>
    </row>
    <row r="9" spans="1:23">
      <c r="B9" s="50">
        <v>1</v>
      </c>
      <c r="D9" s="50" t="s">
        <v>813</v>
      </c>
      <c r="E9" s="50" t="s">
        <v>814</v>
      </c>
      <c r="L9" s="50">
        <v>1</v>
      </c>
      <c r="N9" s="50" t="s">
        <v>813</v>
      </c>
      <c r="O9" s="50" t="s">
        <v>814</v>
      </c>
    </row>
    <row r="10" spans="1:23">
      <c r="B10" s="50">
        <v>0</v>
      </c>
      <c r="L10" s="50">
        <v>0</v>
      </c>
    </row>
    <row r="11" spans="1:23">
      <c r="A11" s="11" t="s">
        <v>64</v>
      </c>
      <c r="B11" t="s">
        <v>807</v>
      </c>
      <c r="C11" t="s">
        <v>808</v>
      </c>
      <c r="L11" t="s">
        <v>807</v>
      </c>
      <c r="M11" t="s">
        <v>808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66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U1190"/>
  <sheetViews>
    <sheetView topLeftCell="A16" zoomScale="85" zoomScaleNormal="85" workbookViewId="0">
      <selection activeCell="I51" sqref="I51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7.375" customWidth="1"/>
    <col min="8" max="8" width="6.875" customWidth="1"/>
    <col min="9" max="9" width="7.5" customWidth="1"/>
    <col min="10" max="10" width="12.8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112</v>
      </c>
      <c r="B1" s="134" t="s">
        <v>111</v>
      </c>
      <c r="C1" s="135" t="s">
        <v>300</v>
      </c>
      <c r="D1" s="135" t="s">
        <v>301</v>
      </c>
      <c r="E1" s="135" t="s">
        <v>302</v>
      </c>
      <c r="F1" s="134" t="s">
        <v>110</v>
      </c>
      <c r="G1" s="134" t="s">
        <v>109</v>
      </c>
      <c r="H1" s="134" t="s">
        <v>108</v>
      </c>
      <c r="I1" s="134" t="s">
        <v>107</v>
      </c>
      <c r="J1" s="134" t="s">
        <v>106</v>
      </c>
      <c r="K1" s="134" t="s">
        <v>105</v>
      </c>
      <c r="L1" s="134" t="s">
        <v>104</v>
      </c>
      <c r="M1" s="136" t="s">
        <v>103</v>
      </c>
      <c r="N1" s="134" t="s">
        <v>102</v>
      </c>
      <c r="O1" s="134" t="s">
        <v>101</v>
      </c>
      <c r="P1" s="134" t="s">
        <v>100</v>
      </c>
      <c r="Q1" s="134" t="s">
        <v>99</v>
      </c>
      <c r="R1" s="135" t="s">
        <v>303</v>
      </c>
      <c r="S1" s="134" t="s">
        <v>98</v>
      </c>
      <c r="T1" s="137" t="s">
        <v>97</v>
      </c>
      <c r="U1" s="136" t="s">
        <v>96</v>
      </c>
      <c r="V1" s="35"/>
      <c r="W1" s="35"/>
      <c r="X1" s="130" t="s">
        <v>297</v>
      </c>
      <c r="Y1" s="130" t="s">
        <v>294</v>
      </c>
      <c r="Z1" s="130" t="s">
        <v>295</v>
      </c>
      <c r="AA1" s="130" t="s">
        <v>296</v>
      </c>
      <c r="AB1" s="140" t="s">
        <v>342</v>
      </c>
      <c r="AC1" s="35"/>
      <c r="AD1" s="35"/>
      <c r="AE1" s="35"/>
      <c r="AP1" s="130"/>
      <c r="AQ1" s="130"/>
    </row>
    <row r="2" spans="1:47" ht="15" thickBot="1">
      <c r="A2" s="131" t="s">
        <v>95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86</v>
      </c>
      <c r="Y2" s="18">
        <v>0.63</v>
      </c>
      <c r="Z2" s="18"/>
      <c r="AA2" s="18"/>
      <c r="AB2" s="18"/>
      <c r="AC2" s="18"/>
      <c r="AD2" s="18"/>
      <c r="AF2" s="15"/>
      <c r="AG2" s="15" t="s">
        <v>804</v>
      </c>
      <c r="AH2" s="15" t="s">
        <v>806</v>
      </c>
      <c r="AI2" t="s">
        <v>805</v>
      </c>
      <c r="AJ2" s="15" t="s">
        <v>801</v>
      </c>
      <c r="AK2" s="15" t="s">
        <v>802</v>
      </c>
      <c r="AL2" s="15" t="s">
        <v>803</v>
      </c>
      <c r="AM2" s="15" t="s">
        <v>33</v>
      </c>
      <c r="AN2" s="15" t="s">
        <v>795</v>
      </c>
      <c r="AO2" t="s">
        <v>796</v>
      </c>
      <c r="AP2" t="s">
        <v>797</v>
      </c>
      <c r="AQ2" s="15" t="s">
        <v>798</v>
      </c>
      <c r="AR2" s="15" t="s">
        <v>799</v>
      </c>
      <c r="AS2" s="15" t="s">
        <v>800</v>
      </c>
      <c r="AT2" s="15" t="s">
        <v>819</v>
      </c>
      <c r="AU2" s="15" t="s">
        <v>820</v>
      </c>
    </row>
    <row r="3" spans="1:47" ht="15" thickBot="1">
      <c r="A3" s="131" t="s">
        <v>94</v>
      </c>
      <c r="B3" s="21"/>
      <c r="C3" s="21"/>
      <c r="D3" s="21"/>
      <c r="E3" s="21"/>
      <c r="F3" s="20">
        <f>$F$2+H3+K3*$Y$2+C3*0.35</f>
        <v>2.2599999999999998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1663.36</v>
      </c>
      <c r="O3" s="37">
        <f t="shared" ref="O3:O28" si="2">O$2*$F3</f>
        <v>4746</v>
      </c>
      <c r="P3" s="37">
        <f t="shared" ref="P3" si="3">O3*G3</f>
        <v>7119</v>
      </c>
      <c r="Q3" s="20">
        <v>0.15</v>
      </c>
      <c r="R3" s="20">
        <f>MINA(Q3+M3*$AA$3+0.12*E3+J3, 1)</f>
        <v>0.35</v>
      </c>
      <c r="S3" s="37">
        <f t="shared" ref="S3" si="4">R3*P3+(1-R3)*O3</f>
        <v>5576.5499999999993</v>
      </c>
      <c r="T3" s="138">
        <v>5172.027000000001</v>
      </c>
      <c r="U3" s="139">
        <f t="shared" ref="U3" si="5">S3/T3-1</f>
        <v>7.8213628815162473E-2</v>
      </c>
      <c r="V3" s="18"/>
      <c r="W3" s="18"/>
      <c r="X3" s="18" t="s">
        <v>84</v>
      </c>
      <c r="Y3" s="18"/>
      <c r="Z3" s="18"/>
      <c r="AA3" s="18">
        <v>0.57999999999999996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3526.11</v>
      </c>
      <c r="AR3" s="189">
        <f>$AG$3*(1+$AJ3*$Y$2+$AN3)*(MAXA(1-$AI$3-$AL3*$AA$3-$AP3-0.12,0)+MINA($AI$3+$AL3*$AA$3+$AP3+0.12,1)*(1+$AH$3+$AO3+$AK3*$Z$4+0.4))</f>
        <v>3297.34</v>
      </c>
      <c r="AS3" s="189">
        <f t="shared" ref="AS3:AS66" si="6">$AG$3*(1+$AJ3*$Y$2+$AN3)*(MAXA(1-$AI$3-$AL3*$AA$3-$AP3-0.36,0)+MINA($AI$3+$AL3*$AA$3+$AP3+0.36,1)*(1+$AH$3+$AO3+$AK3*$Z$4))</f>
        <v>3758.3799999999997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4944.8799999999992</v>
      </c>
    </row>
    <row r="4" spans="1:47" ht="15" thickBot="1">
      <c r="A4" s="131" t="s">
        <v>94</v>
      </c>
      <c r="B4" s="21"/>
      <c r="C4" s="21"/>
      <c r="D4" s="21"/>
      <c r="E4" s="21"/>
      <c r="F4" s="20">
        <f t="shared" ref="F4:F28" si="8">$F$2+H4+K4*$Y$2+C4*0.35</f>
        <v>2.89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2127.04</v>
      </c>
      <c r="O4" s="37">
        <f t="shared" si="2"/>
        <v>6069</v>
      </c>
      <c r="P4" s="37">
        <f t="shared" si="0"/>
        <v>9103.5</v>
      </c>
      <c r="Q4" s="20">
        <v>0.15</v>
      </c>
      <c r="R4" s="20">
        <f t="shared" ref="R4:R28" si="10">MINA(Q4+M4*$AA$3+0.12*E4+J4, 1)</f>
        <v>0.35</v>
      </c>
      <c r="S4" s="37">
        <f t="shared" si="1"/>
        <v>7131.0749999999998</v>
      </c>
      <c r="T4" s="138">
        <v>5979.3678</v>
      </c>
      <c r="U4" s="139">
        <f t="shared" ref="U4:U17" si="11">S4/T4-1</f>
        <v>0.19261354018061905</v>
      </c>
      <c r="V4" s="18"/>
      <c r="W4" s="18"/>
      <c r="X4" s="18" t="s">
        <v>85</v>
      </c>
      <c r="Y4" s="18"/>
      <c r="Z4" s="18">
        <v>0.8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3865.41</v>
      </c>
      <c r="AR4" s="189">
        <f t="shared" ref="AR4:AR67" si="13">$AG$3*(1+$AJ4*$Y$2+$AN4)*(MAXA(1-$AI$3-$AL4*$AA$3-$AP4-0.12,0)+MINA($AI$3+$AL4*$AA$3+$AP4+0.12,1)*(1+$AH$3+$AO4+$AK4*$Z$4+0.4))</f>
        <v>3681.54</v>
      </c>
      <c r="AS4" s="189">
        <f t="shared" si="6"/>
        <v>4052.1799999999994</v>
      </c>
      <c r="AT4" s="189">
        <f t="shared" ref="AT4:AT35" si="14">$AG$3*(1+$AJ4*$Y$2+$AN4)*(MAXA(1-$AI$3-$AL4*$AA$3-$AP4-0.36,0)+2*MINA($AI$3+$AL4*$AA$3+$AP4+0.36,1)*(1+$AH$3+$AO4+$AK4*$Z$4))</f>
        <v>7222.9599999999991</v>
      </c>
      <c r="AU4" s="50">
        <f t="shared" si="7"/>
        <v>5939.2799999999988</v>
      </c>
    </row>
    <row r="5" spans="1:47" ht="15" thickBot="1">
      <c r="A5" s="131" t="s">
        <v>94</v>
      </c>
      <c r="B5" s="21"/>
      <c r="C5" s="21"/>
      <c r="D5" s="21"/>
      <c r="E5" s="21"/>
      <c r="F5" s="20">
        <f t="shared" si="8"/>
        <v>2.2599999999999998</v>
      </c>
      <c r="G5" s="20">
        <f t="shared" si="9"/>
        <v>2.2999999999999998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1663.36</v>
      </c>
      <c r="O5" s="37">
        <f t="shared" si="2"/>
        <v>4746</v>
      </c>
      <c r="P5" s="37">
        <f t="shared" si="0"/>
        <v>10915.8</v>
      </c>
      <c r="Q5" s="20">
        <f>Q4</f>
        <v>0.15</v>
      </c>
      <c r="R5" s="20">
        <f t="shared" si="10"/>
        <v>0.35</v>
      </c>
      <c r="S5" s="37">
        <f t="shared" si="1"/>
        <v>6905.4299999999994</v>
      </c>
      <c r="T5" s="138">
        <v>5859.1050000000014</v>
      </c>
      <c r="U5" s="139">
        <f t="shared" si="11"/>
        <v>0.17858102901381656</v>
      </c>
      <c r="V5" s="18"/>
      <c r="W5" s="18"/>
      <c r="X5" s="132" t="s">
        <v>342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4204.7099999999991</v>
      </c>
      <c r="AR5" s="189">
        <f t="shared" si="13"/>
        <v>4065.74</v>
      </c>
      <c r="AS5" s="189">
        <f t="shared" si="6"/>
        <v>4345.9799999999987</v>
      </c>
      <c r="AT5" s="189">
        <f t="shared" si="14"/>
        <v>8036.5599999999995</v>
      </c>
      <c r="AU5" s="50">
        <f t="shared" si="7"/>
        <v>6933.6799999999994</v>
      </c>
    </row>
    <row r="6" spans="1:47" ht="15" thickBot="1">
      <c r="A6" s="131" t="s">
        <v>94</v>
      </c>
      <c r="B6" s="21"/>
      <c r="C6" s="21"/>
      <c r="D6" s="21"/>
      <c r="E6" s="21"/>
      <c r="F6" s="20">
        <f t="shared" si="8"/>
        <v>2.2599999999999998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1663.36</v>
      </c>
      <c r="O6" s="37">
        <f t="shared" si="2"/>
        <v>4746</v>
      </c>
      <c r="P6" s="37">
        <f t="shared" si="0"/>
        <v>7119</v>
      </c>
      <c r="Q6" s="20">
        <f>Q5</f>
        <v>0.15</v>
      </c>
      <c r="R6" s="20">
        <f t="shared" si="10"/>
        <v>0.92999999999999994</v>
      </c>
      <c r="S6" s="37">
        <f t="shared" si="1"/>
        <v>6952.8899999999994</v>
      </c>
      <c r="T6" s="138">
        <v>5879.3385000000007</v>
      </c>
      <c r="U6" s="139">
        <f t="shared" si="11"/>
        <v>0.18259732791367567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4544.0099999999993</v>
      </c>
      <c r="AR6" s="189">
        <f t="shared" si="13"/>
        <v>4449.9399999999996</v>
      </c>
      <c r="AS6" s="189">
        <f t="shared" si="6"/>
        <v>4639.78</v>
      </c>
      <c r="AT6" s="189">
        <f t="shared" si="14"/>
        <v>8850.159999999998</v>
      </c>
      <c r="AU6" s="50">
        <f t="shared" si="7"/>
        <v>7928.079999999999</v>
      </c>
    </row>
    <row r="7" spans="1:47" ht="15" thickBot="1">
      <c r="A7" s="131" t="s">
        <v>86</v>
      </c>
      <c r="B7" s="21"/>
      <c r="C7" s="21">
        <v>1</v>
      </c>
      <c r="D7" s="21"/>
      <c r="E7" s="21"/>
      <c r="F7" s="20">
        <f t="shared" si="8"/>
        <v>3.24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2384.6400000000003</v>
      </c>
      <c r="O7" s="37">
        <f t="shared" si="2"/>
        <v>6804</v>
      </c>
      <c r="P7" s="37">
        <f t="shared" si="0"/>
        <v>10206</v>
      </c>
      <c r="Q7" s="20">
        <f>Q5</f>
        <v>0.15</v>
      </c>
      <c r="R7" s="20">
        <f t="shared" si="10"/>
        <v>0.35</v>
      </c>
      <c r="S7" s="37">
        <f t="shared" si="1"/>
        <v>7994.7000000000007</v>
      </c>
      <c r="T7" s="138">
        <v>6862.3968000000004</v>
      </c>
      <c r="U7" s="139">
        <f t="shared" si="11"/>
        <v>0.16500112613715379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4883.3100000000004</v>
      </c>
      <c r="AR7" s="189">
        <f t="shared" si="13"/>
        <v>4834.1399999999994</v>
      </c>
      <c r="AS7" s="189">
        <f t="shared" si="6"/>
        <v>4933.58</v>
      </c>
      <c r="AT7" s="189">
        <f t="shared" si="14"/>
        <v>9663.76</v>
      </c>
      <c r="AU7" s="50">
        <f t="shared" si="7"/>
        <v>8922.48</v>
      </c>
    </row>
    <row r="8" spans="1:47" ht="15" thickBot="1">
      <c r="A8" s="131" t="s">
        <v>85</v>
      </c>
      <c r="B8" s="21"/>
      <c r="C8" s="21"/>
      <c r="D8" s="21">
        <v>1</v>
      </c>
      <c r="E8" s="21"/>
      <c r="F8" s="20">
        <f t="shared" si="8"/>
        <v>2.89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2127.04</v>
      </c>
      <c r="O8" s="37">
        <f t="shared" si="2"/>
        <v>6069</v>
      </c>
      <c r="P8" s="37">
        <f t="shared" si="0"/>
        <v>11531.1</v>
      </c>
      <c r="Q8" s="20">
        <f t="shared" ref="Q8:Q28" si="19">Q7</f>
        <v>0.15</v>
      </c>
      <c r="R8" s="20">
        <f t="shared" si="10"/>
        <v>0.35</v>
      </c>
      <c r="S8" s="37">
        <f t="shared" si="1"/>
        <v>7980.7349999999997</v>
      </c>
      <c r="T8" s="138">
        <v>6735.8717999999999</v>
      </c>
      <c r="U8" s="139">
        <f t="shared" si="11"/>
        <v>0.18481099952050739</v>
      </c>
      <c r="V8" s="18"/>
      <c r="W8" s="18"/>
      <c r="X8" s="18"/>
      <c r="Y8" s="18"/>
      <c r="Z8" t="s">
        <v>93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5222.6099999999997</v>
      </c>
      <c r="AR8" s="189">
        <f t="shared" si="13"/>
        <v>5218.3399999999992</v>
      </c>
      <c r="AS8" s="189">
        <f t="shared" si="6"/>
        <v>5198</v>
      </c>
      <c r="AT8" s="189">
        <f t="shared" si="14"/>
        <v>10396</v>
      </c>
      <c r="AU8" s="50">
        <f t="shared" si="7"/>
        <v>9916.8799999999992</v>
      </c>
    </row>
    <row r="9" spans="1:47" ht="15.75" thickBot="1">
      <c r="A9" s="131" t="s">
        <v>88</v>
      </c>
      <c r="B9" s="21"/>
      <c r="C9" s="21"/>
      <c r="D9" s="21"/>
      <c r="E9" s="21">
        <v>3</v>
      </c>
      <c r="F9" s="20">
        <f t="shared" si="8"/>
        <v>2.89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2127.04</v>
      </c>
      <c r="O9" s="37">
        <f t="shared" si="2"/>
        <v>6069</v>
      </c>
      <c r="P9" s="37">
        <f t="shared" si="0"/>
        <v>9103.5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8223.494999999999</v>
      </c>
      <c r="T9" s="138">
        <v>6928.9794000000002</v>
      </c>
      <c r="U9" s="139">
        <f t="shared" si="11"/>
        <v>0.18682630229785335</v>
      </c>
      <c r="V9" s="18"/>
      <c r="W9" s="18"/>
      <c r="X9" s="18" t="s">
        <v>114</v>
      </c>
      <c r="Y9" s="34" t="s">
        <v>92</v>
      </c>
      <c r="Z9" s="33" t="s">
        <v>91</v>
      </c>
      <c r="AA9" s="32" t="s">
        <v>90</v>
      </c>
      <c r="AB9" s="31" t="s">
        <v>89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5561.91</v>
      </c>
      <c r="AR9" s="189">
        <f t="shared" si="13"/>
        <v>5602.5399999999991</v>
      </c>
      <c r="AS9" s="189">
        <f t="shared" si="6"/>
        <v>5198</v>
      </c>
      <c r="AT9" s="189">
        <f t="shared" si="14"/>
        <v>10396</v>
      </c>
      <c r="AU9" s="50">
        <f t="shared" si="7"/>
        <v>10911.279999999999</v>
      </c>
    </row>
    <row r="10" spans="1:47" ht="15" thickBot="1">
      <c r="A10" s="131" t="s">
        <v>87</v>
      </c>
      <c r="B10" s="21"/>
      <c r="C10" s="21">
        <v>1</v>
      </c>
      <c r="D10" s="21"/>
      <c r="E10" s="21">
        <v>1</v>
      </c>
      <c r="F10" s="20">
        <f t="shared" si="8"/>
        <v>3.24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2384.6400000000003</v>
      </c>
      <c r="O10" s="37">
        <f t="shared" si="2"/>
        <v>6804</v>
      </c>
      <c r="P10" s="37">
        <f t="shared" si="0"/>
        <v>10206</v>
      </c>
      <c r="Q10" s="20">
        <f t="shared" si="19"/>
        <v>0.15</v>
      </c>
      <c r="R10" s="20">
        <f t="shared" si="10"/>
        <v>0.47000000000000003</v>
      </c>
      <c r="S10" s="37">
        <f t="shared" si="23"/>
        <v>8402.94</v>
      </c>
      <c r="T10" s="138">
        <v>7225.68</v>
      </c>
      <c r="U10" s="139">
        <f t="shared" si="11"/>
        <v>0.16292722622645894</v>
      </c>
      <c r="V10" s="18"/>
      <c r="W10" s="18"/>
      <c r="X10" s="18" t="s">
        <v>115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5901.21</v>
      </c>
      <c r="AR10" s="189">
        <f t="shared" si="13"/>
        <v>5986.74</v>
      </c>
      <c r="AS10" s="189">
        <f t="shared" si="6"/>
        <v>5198</v>
      </c>
      <c r="AT10" s="189">
        <f t="shared" si="14"/>
        <v>10396</v>
      </c>
      <c r="AU10" s="50">
        <f t="shared" si="7"/>
        <v>11905.68</v>
      </c>
    </row>
    <row r="11" spans="1:47" ht="15" thickBot="1">
      <c r="A11" s="131" t="s">
        <v>113</v>
      </c>
      <c r="B11" s="21"/>
      <c r="C11" s="21"/>
      <c r="D11" s="21">
        <v>1</v>
      </c>
      <c r="E11" s="21">
        <v>1</v>
      </c>
      <c r="F11" s="20">
        <f t="shared" si="8"/>
        <v>2.89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2127.04</v>
      </c>
      <c r="O11" s="37">
        <f t="shared" si="2"/>
        <v>6069</v>
      </c>
      <c r="P11" s="37">
        <f t="shared" si="0"/>
        <v>11531.1</v>
      </c>
      <c r="Q11" s="20">
        <f t="shared" si="19"/>
        <v>0.15</v>
      </c>
      <c r="R11" s="20">
        <f t="shared" si="10"/>
        <v>0.47000000000000003</v>
      </c>
      <c r="S11" s="37">
        <f t="shared" si="23"/>
        <v>8636.1869999999999</v>
      </c>
      <c r="T11" s="138">
        <v>7291.3050000000003</v>
      </c>
      <c r="U11" s="139">
        <f t="shared" si="11"/>
        <v>0.18445010872539269</v>
      </c>
      <c r="V11" s="18"/>
      <c r="W11" s="18"/>
      <c r="X11" s="18" t="s">
        <v>115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6002.9999999999991</v>
      </c>
      <c r="AR11" s="189">
        <f t="shared" si="13"/>
        <v>6101.9999999999991</v>
      </c>
      <c r="AS11" s="189">
        <f t="shared" si="6"/>
        <v>5198</v>
      </c>
      <c r="AT11" s="189">
        <f t="shared" si="14"/>
        <v>10396</v>
      </c>
      <c r="AU11" s="50">
        <f t="shared" si="7"/>
        <v>12203.999999999998</v>
      </c>
    </row>
    <row r="12" spans="1:47" ht="15" thickBot="1">
      <c r="A12" s="131" t="s">
        <v>88</v>
      </c>
      <c r="B12" s="21"/>
      <c r="C12" s="21"/>
      <c r="D12" s="21"/>
      <c r="E12" s="21">
        <v>3</v>
      </c>
      <c r="F12" s="20">
        <f t="shared" si="8"/>
        <v>2.2599999999999998</v>
      </c>
      <c r="G12" s="20">
        <f t="shared" si="9"/>
        <v>2.2999999999999998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1663.36</v>
      </c>
      <c r="O12" s="37">
        <f t="shared" si="2"/>
        <v>4746</v>
      </c>
      <c r="P12" s="37">
        <f t="shared" si="0"/>
        <v>10915.8</v>
      </c>
      <c r="Q12" s="20">
        <f t="shared" si="19"/>
        <v>0.15</v>
      </c>
      <c r="R12" s="20">
        <f t="shared" si="10"/>
        <v>0.71</v>
      </c>
      <c r="S12" s="37">
        <f t="shared" si="23"/>
        <v>9126.5579999999991</v>
      </c>
      <c r="T12" s="138">
        <v>7331.4150000000018</v>
      </c>
      <c r="U12" s="139">
        <f t="shared" si="11"/>
        <v>0.24485627944946464</v>
      </c>
      <c r="V12" s="18"/>
      <c r="W12" s="18"/>
      <c r="X12" s="18" t="s">
        <v>115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6002.9999999999991</v>
      </c>
      <c r="AR12" s="189">
        <f t="shared" si="13"/>
        <v>6101.9999999999991</v>
      </c>
      <c r="AS12" s="189">
        <f t="shared" si="6"/>
        <v>5198</v>
      </c>
      <c r="AT12" s="189">
        <f t="shared" si="14"/>
        <v>10396</v>
      </c>
      <c r="AU12" s="50">
        <f t="shared" si="7"/>
        <v>12203.999999999998</v>
      </c>
    </row>
    <row r="13" spans="1:47" ht="15" thickBot="1">
      <c r="A13" s="131" t="s">
        <v>87</v>
      </c>
      <c r="B13" s="21"/>
      <c r="C13" s="21">
        <v>1</v>
      </c>
      <c r="D13" s="21"/>
      <c r="E13" s="21">
        <v>1</v>
      </c>
      <c r="F13" s="20">
        <f t="shared" si="8"/>
        <v>2.61</v>
      </c>
      <c r="G13" s="20">
        <f t="shared" si="9"/>
        <v>2.2999999999999998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1920.9599999999998</v>
      </c>
      <c r="O13" s="37">
        <f t="shared" si="2"/>
        <v>5481</v>
      </c>
      <c r="P13" s="37">
        <f t="shared" si="0"/>
        <v>12606.3</v>
      </c>
      <c r="Q13" s="20">
        <f t="shared" si="19"/>
        <v>0.15</v>
      </c>
      <c r="R13" s="20">
        <f t="shared" si="10"/>
        <v>0.47000000000000003</v>
      </c>
      <c r="S13" s="37">
        <f t="shared" si="23"/>
        <v>8829.8909999999996</v>
      </c>
      <c r="T13" s="138">
        <v>7434.0000000000018</v>
      </c>
      <c r="U13" s="139">
        <f t="shared" si="11"/>
        <v>0.1877711864406777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6002.9999999999991</v>
      </c>
      <c r="AR13" s="189">
        <f t="shared" si="13"/>
        <v>6101.9999999999991</v>
      </c>
      <c r="AS13" s="189">
        <f t="shared" si="6"/>
        <v>5198</v>
      </c>
      <c r="AT13" s="189">
        <f t="shared" si="14"/>
        <v>10396</v>
      </c>
      <c r="AU13" s="50">
        <f t="shared" si="7"/>
        <v>12203.999999999998</v>
      </c>
    </row>
    <row r="14" spans="1:47" ht="15" thickBot="1">
      <c r="A14" s="131" t="s">
        <v>113</v>
      </c>
      <c r="B14" s="21"/>
      <c r="C14" s="21"/>
      <c r="D14" s="21">
        <v>1</v>
      </c>
      <c r="E14" s="21">
        <v>1</v>
      </c>
      <c r="F14" s="20">
        <f t="shared" si="8"/>
        <v>2.2599999999999998</v>
      </c>
      <c r="G14" s="20">
        <f t="shared" si="9"/>
        <v>2.6999999999999997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1663.36</v>
      </c>
      <c r="O14" s="37">
        <f t="shared" si="2"/>
        <v>4746</v>
      </c>
      <c r="P14" s="37">
        <f t="shared" si="0"/>
        <v>12814.199999999999</v>
      </c>
      <c r="Q14" s="20">
        <f t="shared" si="19"/>
        <v>0.15</v>
      </c>
      <c r="R14" s="20">
        <f t="shared" si="10"/>
        <v>0.47000000000000003</v>
      </c>
      <c r="S14" s="37">
        <f t="shared" si="23"/>
        <v>8538.0540000000001</v>
      </c>
      <c r="T14" s="138">
        <v>7210.8750000000018</v>
      </c>
      <c r="U14" s="139">
        <f t="shared" si="11"/>
        <v>0.18405242082271545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3719.2499999999995</v>
      </c>
      <c r="AR14" s="189">
        <f t="shared" si="13"/>
        <v>3988.9</v>
      </c>
      <c r="AS14" s="189">
        <f t="shared" si="6"/>
        <v>3390</v>
      </c>
      <c r="AT14" s="189">
        <f t="shared" si="14"/>
        <v>6780</v>
      </c>
      <c r="AU14" s="50">
        <f t="shared" si="7"/>
        <v>7638.8</v>
      </c>
    </row>
    <row r="15" spans="1:47" ht="15" thickBot="1">
      <c r="A15" s="131" t="s">
        <v>88</v>
      </c>
      <c r="B15" s="21"/>
      <c r="C15" s="21"/>
      <c r="D15" s="21"/>
      <c r="E15" s="21">
        <v>3</v>
      </c>
      <c r="F15" s="20">
        <f t="shared" si="8"/>
        <v>2.2599999999999998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1663.36</v>
      </c>
      <c r="O15" s="37">
        <f t="shared" si="2"/>
        <v>4746</v>
      </c>
      <c r="P15" s="37">
        <f t="shared" si="0"/>
        <v>7119</v>
      </c>
      <c r="Q15" s="20">
        <f t="shared" si="19"/>
        <v>0.15</v>
      </c>
      <c r="R15" s="20">
        <f t="shared" si="10"/>
        <v>1</v>
      </c>
      <c r="S15" s="37">
        <f t="shared" si="23"/>
        <v>7119</v>
      </c>
      <c r="T15" s="138">
        <v>6586.6500000000015</v>
      </c>
      <c r="U15" s="139">
        <f t="shared" si="11"/>
        <v>8.0822572931611436E-2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3849.7499999999995</v>
      </c>
      <c r="AR15" s="189">
        <f t="shared" si="13"/>
        <v>4192.3</v>
      </c>
      <c r="AS15" s="189">
        <f t="shared" si="6"/>
        <v>3390</v>
      </c>
      <c r="AT15" s="189">
        <f t="shared" si="14"/>
        <v>6780</v>
      </c>
      <c r="AU15" s="50">
        <f t="shared" si="7"/>
        <v>8271.5999999999985</v>
      </c>
    </row>
    <row r="16" spans="1:47" ht="15" thickBot="1">
      <c r="A16" s="131" t="s">
        <v>87</v>
      </c>
      <c r="B16" s="21"/>
      <c r="C16" s="21">
        <v>1</v>
      </c>
      <c r="D16" s="21"/>
      <c r="E16" s="21">
        <v>1</v>
      </c>
      <c r="F16" s="20">
        <f t="shared" si="8"/>
        <v>2.61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1920.9599999999998</v>
      </c>
      <c r="O16" s="37">
        <f t="shared" si="2"/>
        <v>5481</v>
      </c>
      <c r="P16" s="37">
        <f t="shared" si="0"/>
        <v>8221.5</v>
      </c>
      <c r="Q16" s="20">
        <f t="shared" si="19"/>
        <v>0.15</v>
      </c>
      <c r="R16" s="20">
        <f t="shared" si="10"/>
        <v>1</v>
      </c>
      <c r="S16" s="37">
        <f t="shared" si="23"/>
        <v>8221.5</v>
      </c>
      <c r="T16" s="138">
        <v>7203.6720000000014</v>
      </c>
      <c r="U16" s="139">
        <f t="shared" si="11"/>
        <v>0.14129294060029363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3915</v>
      </c>
      <c r="AR16" s="189">
        <f t="shared" si="13"/>
        <v>4294</v>
      </c>
      <c r="AS16" s="189">
        <f t="shared" si="6"/>
        <v>3390</v>
      </c>
      <c r="AT16" s="189">
        <f t="shared" si="14"/>
        <v>6780</v>
      </c>
      <c r="AU16" s="50">
        <f t="shared" si="7"/>
        <v>8588</v>
      </c>
    </row>
    <row r="17" spans="1:47" ht="15" thickBot="1">
      <c r="A17" s="131" t="s">
        <v>113</v>
      </c>
      <c r="B17" s="21"/>
      <c r="C17" s="21"/>
      <c r="D17" s="21">
        <v>1</v>
      </c>
      <c r="E17" s="21">
        <v>1</v>
      </c>
      <c r="F17" s="20">
        <f t="shared" si="8"/>
        <v>2.2599999999999998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1663.36</v>
      </c>
      <c r="O17" s="37">
        <f t="shared" si="2"/>
        <v>4746</v>
      </c>
      <c r="P17" s="37">
        <f t="shared" si="0"/>
        <v>9017.4</v>
      </c>
      <c r="Q17" s="20">
        <f t="shared" si="19"/>
        <v>0.15</v>
      </c>
      <c r="R17" s="20">
        <f t="shared" si="10"/>
        <v>1</v>
      </c>
      <c r="S17" s="37">
        <f t="shared" si="23"/>
        <v>9017.4</v>
      </c>
      <c r="T17" s="138">
        <v>7547.956500000003</v>
      </c>
      <c r="U17" s="139">
        <f t="shared" si="11"/>
        <v>0.19468097093564274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3915</v>
      </c>
      <c r="AR17" s="189">
        <f t="shared" si="13"/>
        <v>4294</v>
      </c>
      <c r="AS17" s="189">
        <f t="shared" si="6"/>
        <v>3390</v>
      </c>
      <c r="AT17" s="189">
        <f t="shared" si="14"/>
        <v>6780</v>
      </c>
      <c r="AU17" s="50">
        <f t="shared" si="7"/>
        <v>8588</v>
      </c>
    </row>
    <row r="18" spans="1:47" ht="15" thickBot="1">
      <c r="A18" s="131" t="s">
        <v>113</v>
      </c>
      <c r="B18" s="21"/>
      <c r="C18" s="21"/>
      <c r="D18" s="21">
        <v>1</v>
      </c>
      <c r="E18" s="21"/>
      <c r="F18" s="20">
        <f t="shared" si="8"/>
        <v>1.63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1199.6799999999998</v>
      </c>
      <c r="O18" s="37">
        <f t="shared" si="2"/>
        <v>3423</v>
      </c>
      <c r="P18" s="37">
        <f t="shared" ref="P18" si="24">O18*G18</f>
        <v>6503.7</v>
      </c>
      <c r="Q18" s="20">
        <f t="shared" si="19"/>
        <v>0.15</v>
      </c>
      <c r="R18" s="20">
        <f t="shared" si="10"/>
        <v>0.92999999999999994</v>
      </c>
      <c r="S18" s="37">
        <f t="shared" ref="S18" si="25">R18*P18+(1-R18)*O18</f>
        <v>6288.0510000000004</v>
      </c>
      <c r="T18" s="138">
        <v>7547.956500000003</v>
      </c>
      <c r="U18" s="139">
        <f t="shared" ref="U18" si="26">S18/T18-1</f>
        <v>-0.16692007962685029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3915</v>
      </c>
      <c r="AR18" s="189">
        <f t="shared" si="13"/>
        <v>4294</v>
      </c>
      <c r="AS18" s="189">
        <f t="shared" si="6"/>
        <v>3390</v>
      </c>
      <c r="AT18" s="189">
        <f t="shared" si="14"/>
        <v>6780</v>
      </c>
      <c r="AU18" s="50">
        <f t="shared" si="7"/>
        <v>8588</v>
      </c>
    </row>
    <row r="19" spans="1:47" ht="15" thickBot="1">
      <c r="A19" s="131" t="s">
        <v>87</v>
      </c>
      <c r="B19" s="21"/>
      <c r="C19" s="21">
        <v>1</v>
      </c>
      <c r="D19" s="21"/>
      <c r="E19" s="21">
        <v>1</v>
      </c>
      <c r="F19" s="20">
        <f t="shared" si="8"/>
        <v>3.24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2384.6400000000003</v>
      </c>
      <c r="O19" s="37">
        <f t="shared" si="2"/>
        <v>6804</v>
      </c>
      <c r="P19" s="37">
        <f t="shared" ref="P19" si="27">O19*G19</f>
        <v>10206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8402.94</v>
      </c>
      <c r="T19" s="138">
        <v>7547.956500000003</v>
      </c>
      <c r="U19" s="139">
        <f t="shared" ref="U19" si="29">S19/T19-1</f>
        <v>0.11327350654445301</v>
      </c>
      <c r="V19" s="18"/>
      <c r="W19" s="230" t="s">
        <v>315</v>
      </c>
      <c r="X19" s="230"/>
      <c r="Y19" s="230"/>
      <c r="Z19" s="230"/>
      <c r="AA19" s="230"/>
      <c r="AB19" s="230"/>
      <c r="AC19" s="230"/>
      <c r="AD19" s="230"/>
      <c r="AE19" s="230"/>
      <c r="AF19" s="230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3915</v>
      </c>
      <c r="AR19" s="189">
        <f t="shared" si="13"/>
        <v>4294</v>
      </c>
      <c r="AS19" s="189">
        <f t="shared" si="6"/>
        <v>3390</v>
      </c>
      <c r="AT19" s="189">
        <f t="shared" si="14"/>
        <v>6780</v>
      </c>
      <c r="AU19" s="50">
        <f t="shared" si="7"/>
        <v>8588</v>
      </c>
    </row>
    <row r="20" spans="1:47" ht="15" thickBot="1">
      <c r="A20" s="131" t="s">
        <v>87</v>
      </c>
      <c r="B20" s="21"/>
      <c r="C20" s="21">
        <v>1</v>
      </c>
      <c r="D20" s="21"/>
      <c r="E20" s="21">
        <v>1</v>
      </c>
      <c r="F20" s="20">
        <f t="shared" si="8"/>
        <v>3.24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2384.6400000000003</v>
      </c>
      <c r="O20" s="37">
        <f t="shared" si="2"/>
        <v>6804</v>
      </c>
      <c r="P20" s="37">
        <f t="shared" ref="P20" si="32">O20*G20</f>
        <v>10206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8402.94</v>
      </c>
      <c r="T20" s="138">
        <v>7547.956500000003</v>
      </c>
      <c r="U20" s="139">
        <f t="shared" ref="U20" si="34">S20/T20-1</f>
        <v>0.11327350654445301</v>
      </c>
      <c r="V20" s="18"/>
      <c r="W20" s="18" t="s">
        <v>83</v>
      </c>
      <c r="X20" s="18" t="s">
        <v>82</v>
      </c>
      <c r="Y20" s="18" t="s">
        <v>81</v>
      </c>
      <c r="Z20" s="18" t="s">
        <v>308</v>
      </c>
      <c r="AA20" s="18" t="s">
        <v>309</v>
      </c>
      <c r="AB20" s="18" t="s">
        <v>310</v>
      </c>
      <c r="AC20" s="18" t="s">
        <v>311</v>
      </c>
      <c r="AD20" s="18" t="s">
        <v>312</v>
      </c>
      <c r="AE20" s="18" t="s">
        <v>313</v>
      </c>
      <c r="AF20" t="s">
        <v>314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3915</v>
      </c>
      <c r="AR20" s="189">
        <f t="shared" si="13"/>
        <v>4294</v>
      </c>
      <c r="AS20" s="189">
        <f t="shared" si="6"/>
        <v>3390</v>
      </c>
      <c r="AT20" s="189">
        <f t="shared" si="14"/>
        <v>6780</v>
      </c>
      <c r="AU20" s="50">
        <f t="shared" si="7"/>
        <v>8588</v>
      </c>
    </row>
    <row r="21" spans="1:47" ht="15" thickBot="1">
      <c r="A21" s="131" t="s">
        <v>87</v>
      </c>
      <c r="B21" s="21"/>
      <c r="C21" s="21">
        <v>1</v>
      </c>
      <c r="D21" s="21"/>
      <c r="E21" s="21">
        <v>1</v>
      </c>
      <c r="F21" s="20">
        <f t="shared" si="8"/>
        <v>2.61</v>
      </c>
      <c r="G21" s="20">
        <f t="shared" si="9"/>
        <v>2.2999999999999998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1920.9599999999998</v>
      </c>
      <c r="O21" s="37">
        <f t="shared" si="2"/>
        <v>5481</v>
      </c>
      <c r="P21" s="37">
        <f t="shared" ref="P21:P22" si="35">O21*G21</f>
        <v>12606.3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8829.8909999999996</v>
      </c>
      <c r="T21" s="138">
        <v>7547.956500000003</v>
      </c>
      <c r="U21" s="139">
        <f t="shared" ref="U21:U22" si="37">S21/T21-1</f>
        <v>0.16983861790936339</v>
      </c>
      <c r="V21" s="18"/>
      <c r="W21" s="18" t="s">
        <v>305</v>
      </c>
      <c r="X21" s="18">
        <v>0</v>
      </c>
      <c r="Y21" s="18">
        <v>0</v>
      </c>
      <c r="Z21" s="18" t="s">
        <v>86</v>
      </c>
      <c r="AA21" s="18" t="s">
        <v>84</v>
      </c>
      <c r="AB21" s="18" t="s">
        <v>304</v>
      </c>
      <c r="AC21">
        <v>2</v>
      </c>
      <c r="AD21" s="18" t="s">
        <v>82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3915</v>
      </c>
      <c r="AR21" s="189">
        <f t="shared" si="13"/>
        <v>4294</v>
      </c>
      <c r="AS21" s="189">
        <f t="shared" si="6"/>
        <v>3390</v>
      </c>
      <c r="AT21" s="189">
        <f t="shared" si="14"/>
        <v>6780</v>
      </c>
      <c r="AU21" s="50">
        <f t="shared" si="7"/>
        <v>8588</v>
      </c>
    </row>
    <row r="22" spans="1:47" ht="15" thickBot="1">
      <c r="A22" s="131" t="s">
        <v>87</v>
      </c>
      <c r="B22" s="21"/>
      <c r="C22" s="21">
        <v>1</v>
      </c>
      <c r="D22" s="21"/>
      <c r="E22" s="21">
        <v>1</v>
      </c>
      <c r="F22" s="20">
        <f t="shared" si="8"/>
        <v>2.61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1920.9599999999998</v>
      </c>
      <c r="O22" s="37">
        <f t="shared" si="2"/>
        <v>5481</v>
      </c>
      <c r="P22" s="37">
        <f t="shared" si="35"/>
        <v>8221.5</v>
      </c>
      <c r="Q22" s="20">
        <f t="shared" si="19"/>
        <v>0.15</v>
      </c>
      <c r="R22" s="20">
        <f t="shared" si="10"/>
        <v>1</v>
      </c>
      <c r="S22" s="37">
        <f t="shared" si="36"/>
        <v>8221.5</v>
      </c>
      <c r="T22" s="138">
        <v>7547.956500000003</v>
      </c>
      <c r="U22" s="139">
        <f t="shared" si="37"/>
        <v>8.9235212206111303E-2</v>
      </c>
      <c r="V22" s="18"/>
      <c r="W22" s="18" t="s">
        <v>305</v>
      </c>
      <c r="X22" s="18">
        <v>0</v>
      </c>
      <c r="Y22" s="18">
        <v>0</v>
      </c>
      <c r="Z22" s="18" t="s">
        <v>85</v>
      </c>
      <c r="AA22" s="18" t="s">
        <v>84</v>
      </c>
      <c r="AB22" s="18" t="s">
        <v>304</v>
      </c>
      <c r="AC22">
        <v>2</v>
      </c>
      <c r="AD22" s="18" t="s">
        <v>82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3915</v>
      </c>
      <c r="AR22" s="189">
        <f t="shared" si="13"/>
        <v>4294</v>
      </c>
      <c r="AS22" s="189">
        <f t="shared" si="6"/>
        <v>3390</v>
      </c>
      <c r="AT22" s="189">
        <f t="shared" si="14"/>
        <v>6780</v>
      </c>
      <c r="AU22" s="50">
        <f t="shared" si="7"/>
        <v>8588</v>
      </c>
    </row>
    <row r="23" spans="1:47" ht="15" thickBot="1">
      <c r="A23" s="131" t="s">
        <v>113</v>
      </c>
      <c r="B23" s="21"/>
      <c r="C23" s="21"/>
      <c r="D23" s="21">
        <v>1</v>
      </c>
      <c r="E23" s="21">
        <v>1</v>
      </c>
      <c r="F23" s="20">
        <f t="shared" si="8"/>
        <v>2.89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2127.04</v>
      </c>
      <c r="O23" s="37">
        <f t="shared" si="2"/>
        <v>6069</v>
      </c>
      <c r="P23" s="37">
        <f t="shared" ref="P23" si="38">O23*G23</f>
        <v>11531.1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8636.1869999999999</v>
      </c>
      <c r="T23" s="138">
        <v>7547.956500000003</v>
      </c>
      <c r="U23" s="139">
        <f t="shared" ref="U23" si="40">S23/T23-1</f>
        <v>0.14417551293518938</v>
      </c>
      <c r="V23" s="18"/>
      <c r="W23" s="18" t="s">
        <v>306</v>
      </c>
      <c r="X23" s="18">
        <v>0</v>
      </c>
      <c r="Y23" s="18">
        <v>0</v>
      </c>
      <c r="Z23" s="18" t="s">
        <v>86</v>
      </c>
      <c r="AA23" s="18" t="s">
        <v>84</v>
      </c>
      <c r="AB23" s="18" t="s">
        <v>304</v>
      </c>
      <c r="AC23">
        <v>2</v>
      </c>
      <c r="AD23" s="18" t="s">
        <v>82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3915</v>
      </c>
      <c r="AR23" s="189">
        <f t="shared" si="13"/>
        <v>4294</v>
      </c>
      <c r="AS23" s="189">
        <f t="shared" si="6"/>
        <v>3390</v>
      </c>
      <c r="AT23" s="189">
        <f t="shared" si="14"/>
        <v>6780</v>
      </c>
      <c r="AU23" s="50">
        <f t="shared" si="7"/>
        <v>8588</v>
      </c>
    </row>
    <row r="24" spans="1:47" ht="15" thickBot="1">
      <c r="A24" s="131" t="s">
        <v>113</v>
      </c>
      <c r="B24" s="21"/>
      <c r="C24" s="21"/>
      <c r="D24" s="21">
        <v>1</v>
      </c>
      <c r="E24" s="21">
        <v>1</v>
      </c>
      <c r="F24" s="20">
        <f t="shared" si="8"/>
        <v>2.2599999999999998</v>
      </c>
      <c r="G24" s="20">
        <f t="shared" si="9"/>
        <v>2.6999999999999997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1663.36</v>
      </c>
      <c r="O24" s="37">
        <f t="shared" si="2"/>
        <v>4746</v>
      </c>
      <c r="P24" s="37">
        <f t="shared" ref="P24:P26" si="41">O24*G24</f>
        <v>12814.199999999999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8538.0540000000001</v>
      </c>
      <c r="T24" s="138">
        <v>7547.956500000003</v>
      </c>
      <c r="U24" s="139">
        <f t="shared" ref="U24:U26" si="43">S24/T24-1</f>
        <v>0.13117424563853763</v>
      </c>
      <c r="V24" s="18"/>
      <c r="W24" s="18" t="s">
        <v>307</v>
      </c>
      <c r="X24" s="18">
        <v>0</v>
      </c>
      <c r="Y24" s="18">
        <v>0</v>
      </c>
      <c r="Z24" s="18" t="s">
        <v>86</v>
      </c>
      <c r="AA24" s="18" t="s">
        <v>84</v>
      </c>
      <c r="AB24" s="18" t="s">
        <v>304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3915</v>
      </c>
      <c r="AR24" s="189">
        <f t="shared" si="13"/>
        <v>4294</v>
      </c>
      <c r="AS24" s="189">
        <f t="shared" si="6"/>
        <v>3390</v>
      </c>
      <c r="AT24" s="189">
        <f t="shared" si="14"/>
        <v>6780</v>
      </c>
      <c r="AU24" s="50">
        <f t="shared" si="7"/>
        <v>8588</v>
      </c>
    </row>
    <row r="25" spans="1:47" ht="15" thickBot="1">
      <c r="A25" s="131" t="s">
        <v>113</v>
      </c>
      <c r="B25" s="21"/>
      <c r="C25" s="21"/>
      <c r="D25" s="21">
        <v>1</v>
      </c>
      <c r="E25" s="21">
        <v>1</v>
      </c>
      <c r="F25" s="20">
        <f t="shared" si="8"/>
        <v>2.2599999999999998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1663.36</v>
      </c>
      <c r="O25" s="37">
        <f t="shared" si="2"/>
        <v>4746</v>
      </c>
      <c r="P25" s="37">
        <f t="shared" si="41"/>
        <v>9017.4</v>
      </c>
      <c r="Q25" s="20">
        <f t="shared" si="19"/>
        <v>0.15</v>
      </c>
      <c r="R25" s="20">
        <f t="shared" si="10"/>
        <v>1</v>
      </c>
      <c r="S25" s="37">
        <f t="shared" si="42"/>
        <v>9017.4</v>
      </c>
      <c r="T25" s="138">
        <v>7547.956500000003</v>
      </c>
      <c r="U25" s="139">
        <f t="shared" si="43"/>
        <v>0.19468097093564274</v>
      </c>
      <c r="V25" s="18"/>
      <c r="W25" s="18" t="s">
        <v>307</v>
      </c>
      <c r="X25" s="18">
        <v>0</v>
      </c>
      <c r="Y25" s="18">
        <v>0</v>
      </c>
      <c r="Z25" s="18" t="s">
        <v>85</v>
      </c>
      <c r="AA25" s="18" t="s">
        <v>84</v>
      </c>
      <c r="AB25" s="18" t="s">
        <v>304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3677.4</v>
      </c>
      <c r="AR25" s="189">
        <f t="shared" si="13"/>
        <v>3592.2699999999995</v>
      </c>
      <c r="AS25" s="189">
        <f t="shared" si="6"/>
        <v>3626.95</v>
      </c>
      <c r="AT25" s="189">
        <f t="shared" si="14"/>
        <v>5837.8</v>
      </c>
      <c r="AU25" s="50">
        <f t="shared" si="7"/>
        <v>5074.84</v>
      </c>
    </row>
    <row r="26" spans="1:47" ht="15" thickBot="1">
      <c r="A26" s="131" t="s">
        <v>88</v>
      </c>
      <c r="B26" s="21"/>
      <c r="C26" s="21"/>
      <c r="D26" s="21"/>
      <c r="E26" s="21">
        <v>1</v>
      </c>
      <c r="F26" s="20">
        <f t="shared" si="8"/>
        <v>2.89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2127.04</v>
      </c>
      <c r="O26" s="37">
        <f t="shared" si="2"/>
        <v>6069</v>
      </c>
      <c r="P26" s="37">
        <f t="shared" si="41"/>
        <v>9103.5</v>
      </c>
      <c r="Q26" s="20">
        <f t="shared" si="19"/>
        <v>0.15</v>
      </c>
      <c r="R26" s="20">
        <f t="shared" si="10"/>
        <v>0.47000000000000003</v>
      </c>
      <c r="S26" s="37">
        <f t="shared" si="42"/>
        <v>7495.2150000000001</v>
      </c>
      <c r="T26" s="138">
        <v>7547.956500000003</v>
      </c>
      <c r="U26" s="139">
        <f t="shared" si="43"/>
        <v>-6.9875203970773958E-3</v>
      </c>
      <c r="V26" s="18"/>
      <c r="W26" s="18" t="s">
        <v>307</v>
      </c>
      <c r="X26" s="18">
        <v>0</v>
      </c>
      <c r="Y26" s="18">
        <v>0</v>
      </c>
      <c r="Z26" s="18" t="s">
        <v>86</v>
      </c>
      <c r="AA26" s="18" t="s">
        <v>84</v>
      </c>
      <c r="AB26" s="18" t="s">
        <v>304</v>
      </c>
      <c r="AC26">
        <v>2</v>
      </c>
      <c r="AD26" s="18" t="s">
        <v>82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3839.4</v>
      </c>
      <c r="AR26" s="189">
        <f t="shared" si="13"/>
        <v>3852.37</v>
      </c>
      <c r="AS26" s="189">
        <f t="shared" si="6"/>
        <v>3771.4500000000003</v>
      </c>
      <c r="AT26" s="189">
        <f t="shared" si="14"/>
        <v>6415.8</v>
      </c>
      <c r="AU26" s="50">
        <f t="shared" si="7"/>
        <v>5884.04</v>
      </c>
    </row>
    <row r="27" spans="1:47" ht="15" thickBot="1">
      <c r="A27" s="131" t="s">
        <v>88</v>
      </c>
      <c r="B27" s="21"/>
      <c r="C27" s="21"/>
      <c r="D27" s="21"/>
      <c r="E27" s="21">
        <v>1</v>
      </c>
      <c r="F27" s="20">
        <f t="shared" si="8"/>
        <v>2.2599999999999998</v>
      </c>
      <c r="G27" s="20">
        <f t="shared" si="9"/>
        <v>2.2999999999999998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1663.36</v>
      </c>
      <c r="O27" s="37">
        <f t="shared" si="2"/>
        <v>4746</v>
      </c>
      <c r="P27" s="37">
        <f t="shared" ref="P27:P28" si="44">O27*G27</f>
        <v>10915.8</v>
      </c>
      <c r="Q27" s="20">
        <f t="shared" si="19"/>
        <v>0.15</v>
      </c>
      <c r="R27" s="20">
        <f t="shared" si="10"/>
        <v>0.47000000000000003</v>
      </c>
      <c r="S27" s="37">
        <f t="shared" ref="S27:S28" si="45">R27*P27+(1-R27)*O27</f>
        <v>7645.8060000000005</v>
      </c>
      <c r="T27" s="138">
        <v>7547.956500000003</v>
      </c>
      <c r="U27" s="139">
        <f t="shared" ref="U27:U28" si="46">S27/T27-1</f>
        <v>1.2963707461747687E-2</v>
      </c>
      <c r="V27" s="18"/>
      <c r="W27" s="18" t="s">
        <v>305</v>
      </c>
      <c r="X27" s="18">
        <v>0.2</v>
      </c>
      <c r="Y27" s="18">
        <v>0</v>
      </c>
      <c r="Z27" s="18" t="s">
        <v>86</v>
      </c>
      <c r="AA27" s="18" t="s">
        <v>84</v>
      </c>
      <c r="AB27" s="18" t="s">
        <v>304</v>
      </c>
      <c r="AC27">
        <v>2</v>
      </c>
      <c r="AD27" s="18" t="s">
        <v>83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4001.3999999999996</v>
      </c>
      <c r="AR27" s="189">
        <f t="shared" si="13"/>
        <v>4112.4699999999993</v>
      </c>
      <c r="AS27" s="189">
        <f t="shared" si="6"/>
        <v>3915.95</v>
      </c>
      <c r="AT27" s="189">
        <f t="shared" si="14"/>
        <v>6993.8</v>
      </c>
      <c r="AU27" s="50">
        <f t="shared" si="7"/>
        <v>6693.24</v>
      </c>
    </row>
    <row r="28" spans="1:47" ht="15" thickBot="1">
      <c r="A28" s="131" t="s">
        <v>88</v>
      </c>
      <c r="B28" s="21"/>
      <c r="C28" s="21"/>
      <c r="D28" s="21"/>
      <c r="E28" s="21">
        <v>1</v>
      </c>
      <c r="F28" s="20">
        <f t="shared" si="8"/>
        <v>2.2599999999999998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1663.36</v>
      </c>
      <c r="O28" s="37">
        <f t="shared" si="2"/>
        <v>4746</v>
      </c>
      <c r="P28" s="37">
        <f t="shared" si="44"/>
        <v>7119</v>
      </c>
      <c r="Q28" s="20">
        <f t="shared" si="19"/>
        <v>0.15</v>
      </c>
      <c r="R28" s="20">
        <f t="shared" si="10"/>
        <v>1</v>
      </c>
      <c r="S28" s="37">
        <f t="shared" si="45"/>
        <v>7119</v>
      </c>
      <c r="T28" s="138">
        <v>7547.956500000003</v>
      </c>
      <c r="U28" s="139">
        <f t="shared" si="46"/>
        <v>-5.6830812419229382E-2</v>
      </c>
      <c r="V28" s="18"/>
      <c r="W28" s="18" t="s">
        <v>306</v>
      </c>
      <c r="X28" s="18">
        <v>0.2</v>
      </c>
      <c r="Y28" s="18">
        <v>0</v>
      </c>
      <c r="Z28" s="18" t="s">
        <v>86</v>
      </c>
      <c r="AA28" s="18" t="s">
        <v>84</v>
      </c>
      <c r="AB28" s="18" t="s">
        <v>304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4163.4000000000005</v>
      </c>
      <c r="AR28" s="189">
        <f t="shared" si="13"/>
        <v>4372.57</v>
      </c>
      <c r="AS28" s="189">
        <f t="shared" si="6"/>
        <v>4060.4499999999994</v>
      </c>
      <c r="AT28" s="189">
        <f t="shared" si="14"/>
        <v>7571.7999999999993</v>
      </c>
      <c r="AU28" s="50">
        <f t="shared" si="7"/>
        <v>7502.4400000000005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306</v>
      </c>
      <c r="X29" s="18">
        <v>0.2</v>
      </c>
      <c r="Y29" s="18">
        <v>0</v>
      </c>
      <c r="Z29" s="18" t="s">
        <v>86</v>
      </c>
      <c r="AA29" s="18" t="s">
        <v>84</v>
      </c>
      <c r="AB29" s="18" t="s">
        <v>304</v>
      </c>
      <c r="AC29">
        <v>2</v>
      </c>
      <c r="AD29" s="18" t="s">
        <v>83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4325.3999999999996</v>
      </c>
      <c r="AR29" s="189">
        <f t="shared" si="13"/>
        <v>4632.6699999999992</v>
      </c>
      <c r="AS29" s="189">
        <f t="shared" si="6"/>
        <v>4204.95</v>
      </c>
      <c r="AT29" s="189">
        <f t="shared" si="14"/>
        <v>8149.7999999999993</v>
      </c>
      <c r="AU29" s="50">
        <f t="shared" si="7"/>
        <v>8311.64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306</v>
      </c>
      <c r="X30" s="18">
        <v>0.2</v>
      </c>
      <c r="Y30" s="18">
        <v>0</v>
      </c>
      <c r="Z30" s="18" t="s">
        <v>85</v>
      </c>
      <c r="AA30" s="18" t="s">
        <v>84</v>
      </c>
      <c r="AB30" s="18" t="s">
        <v>304</v>
      </c>
      <c r="AC30">
        <v>2</v>
      </c>
      <c r="AD30" s="18" t="s">
        <v>83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4487.3999999999996</v>
      </c>
      <c r="AR30" s="189">
        <f t="shared" si="13"/>
        <v>4892.7699999999995</v>
      </c>
      <c r="AS30" s="189">
        <f t="shared" si="6"/>
        <v>4335</v>
      </c>
      <c r="AT30" s="189">
        <f t="shared" si="14"/>
        <v>8670</v>
      </c>
      <c r="AU30" s="50">
        <f t="shared" si="7"/>
        <v>9120.8399999999983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307</v>
      </c>
      <c r="X31" s="18">
        <v>0.2</v>
      </c>
      <c r="Y31" s="18">
        <v>0</v>
      </c>
      <c r="Z31" s="18" t="s">
        <v>86</v>
      </c>
      <c r="AA31" s="18" t="s">
        <v>84</v>
      </c>
      <c r="AB31" s="18" t="s">
        <v>304</v>
      </c>
      <c r="AC31">
        <v>2</v>
      </c>
      <c r="AD31" s="18" t="s">
        <v>82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4649.4000000000005</v>
      </c>
      <c r="AR31" s="189">
        <f t="shared" si="13"/>
        <v>5152.87</v>
      </c>
      <c r="AS31" s="189">
        <f t="shared" si="6"/>
        <v>4335</v>
      </c>
      <c r="AT31" s="189">
        <f t="shared" si="14"/>
        <v>8670</v>
      </c>
      <c r="AU31" s="50">
        <f t="shared" si="7"/>
        <v>9930.0399999999991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305</v>
      </c>
      <c r="X32" s="132">
        <v>0.2</v>
      </c>
      <c r="Y32" s="132">
        <v>0.2</v>
      </c>
      <c r="Z32" s="18" t="s">
        <v>86</v>
      </c>
      <c r="AA32" s="18" t="s">
        <v>84</v>
      </c>
      <c r="AB32" s="18" t="s">
        <v>304</v>
      </c>
      <c r="AC32">
        <v>2</v>
      </c>
      <c r="AD32" s="18" t="s">
        <v>83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4811.4000000000005</v>
      </c>
      <c r="AR32" s="189">
        <f t="shared" si="13"/>
        <v>5412.97</v>
      </c>
      <c r="AS32" s="189">
        <f t="shared" si="6"/>
        <v>4335</v>
      </c>
      <c r="AT32" s="189">
        <f t="shared" si="14"/>
        <v>8670</v>
      </c>
      <c r="AU32" s="50">
        <f t="shared" si="7"/>
        <v>10739.24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305</v>
      </c>
      <c r="X33" s="132">
        <v>0.2</v>
      </c>
      <c r="Y33" s="132">
        <v>0.2</v>
      </c>
      <c r="Z33" s="18" t="s">
        <v>85</v>
      </c>
      <c r="AA33" s="18" t="s">
        <v>84</v>
      </c>
      <c r="AB33" s="18" t="s">
        <v>304</v>
      </c>
      <c r="AC33">
        <v>3</v>
      </c>
      <c r="AD33" s="18" t="s">
        <v>83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4860</v>
      </c>
      <c r="AR33" s="189">
        <f t="shared" si="13"/>
        <v>5491</v>
      </c>
      <c r="AS33" s="189">
        <f t="shared" si="6"/>
        <v>4335</v>
      </c>
      <c r="AT33" s="189">
        <f t="shared" si="14"/>
        <v>8670</v>
      </c>
      <c r="AU33" s="50">
        <f t="shared" si="7"/>
        <v>10982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316</v>
      </c>
      <c r="X34" s="132">
        <v>0.2</v>
      </c>
      <c r="Y34" s="132">
        <v>0.2</v>
      </c>
      <c r="Z34" s="18" t="s">
        <v>85</v>
      </c>
      <c r="AA34" s="18" t="s">
        <v>84</v>
      </c>
      <c r="AB34" s="18" t="s">
        <v>304</v>
      </c>
      <c r="AC34">
        <v>3</v>
      </c>
      <c r="AD34" s="18" t="s">
        <v>83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4860</v>
      </c>
      <c r="AR34" s="189">
        <f t="shared" si="13"/>
        <v>5491</v>
      </c>
      <c r="AS34" s="189">
        <f t="shared" si="6"/>
        <v>4335</v>
      </c>
      <c r="AT34" s="189">
        <f t="shared" si="14"/>
        <v>8670</v>
      </c>
      <c r="AU34" s="50">
        <f t="shared" si="7"/>
        <v>10982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316</v>
      </c>
      <c r="X35" s="132">
        <v>0.2</v>
      </c>
      <c r="Y35" s="132">
        <v>0.2</v>
      </c>
      <c r="Z35" s="18" t="s">
        <v>86</v>
      </c>
      <c r="AA35" s="18" t="s">
        <v>84</v>
      </c>
      <c r="AB35" s="18" t="s">
        <v>304</v>
      </c>
      <c r="AC35">
        <v>2</v>
      </c>
      <c r="AD35" s="18" t="s">
        <v>82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4860</v>
      </c>
      <c r="AR35" s="189">
        <f t="shared" si="13"/>
        <v>5491</v>
      </c>
      <c r="AS35" s="189">
        <f t="shared" si="6"/>
        <v>4335</v>
      </c>
      <c r="AT35" s="189">
        <f t="shared" si="14"/>
        <v>8670</v>
      </c>
      <c r="AU35" s="50">
        <f t="shared" si="7"/>
        <v>10982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317</v>
      </c>
      <c r="X36" s="132">
        <v>0.2</v>
      </c>
      <c r="Y36" s="132">
        <v>0.2</v>
      </c>
      <c r="Z36" s="18" t="s">
        <v>86</v>
      </c>
      <c r="AA36" s="18" t="s">
        <v>84</v>
      </c>
      <c r="AB36" s="18" t="s">
        <v>304</v>
      </c>
      <c r="AC36">
        <v>2</v>
      </c>
      <c r="AD36" s="18" t="s">
        <v>82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3796.31</v>
      </c>
      <c r="AR36" s="189">
        <f t="shared" si="13"/>
        <v>3589.1400000000003</v>
      </c>
      <c r="AS36" s="189">
        <f t="shared" si="6"/>
        <v>4090.9799999999996</v>
      </c>
      <c r="AT36" s="189">
        <f>$AG$3*(1+$AJ36*$Y$2+$AN36+0.35)*(MAXA(1-$AI$3-$AL36*$AA$3-$AP36-0.12,0)+2*MINA($AI$3+$AL36*$AA$3+$AP36+0.12,1)*(1+$AH$3+$AO36+$AK36*$Z$4))</f>
        <v>5541.32</v>
      </c>
      <c r="AU36" s="189">
        <f t="shared" si="7"/>
        <v>5382.48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4161.6099999999997</v>
      </c>
      <c r="AR37" s="189">
        <f t="shared" si="13"/>
        <v>4007.34</v>
      </c>
      <c r="AS37" s="189">
        <f t="shared" si="6"/>
        <v>4410.7799999999988</v>
      </c>
      <c r="AT37" s="189">
        <f t="shared" ref="AT37:AT68" si="47">$AG$3*(1+$AJ37*$Y$2+$AN37+0.35)*(MAXA(1-$AI$3-$AL37*$AA$3-$AP37-0.12,0)+2*MINA($AI$3+$AL37*$AA$3+$AP37+0.12,1)*(1+$AH$3+$AO37+$AK37*$Z$4))</f>
        <v>6552.9199999999992</v>
      </c>
      <c r="AU37" s="189">
        <f t="shared" si="7"/>
        <v>6464.8799999999992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4526.9099999999989</v>
      </c>
      <c r="AR38" s="189">
        <f t="shared" si="13"/>
        <v>4425.54</v>
      </c>
      <c r="AS38" s="189">
        <f t="shared" si="6"/>
        <v>4730.579999999999</v>
      </c>
      <c r="AT38" s="189">
        <f t="shared" si="47"/>
        <v>7564.5199999999995</v>
      </c>
      <c r="AU38" s="189">
        <f t="shared" si="7"/>
        <v>7547.2799999999988</v>
      </c>
    </row>
    <row r="39" spans="1:47" ht="15" thickBot="1">
      <c r="A39" s="131"/>
      <c r="B39" s="21" t="s">
        <v>366</v>
      </c>
      <c r="C39" s="21" t="s">
        <v>374</v>
      </c>
      <c r="D39" s="21"/>
      <c r="E39" s="21"/>
      <c r="F39" s="20"/>
      <c r="G39" s="159"/>
      <c r="H39" s="20">
        <v>0.1</v>
      </c>
      <c r="I39" s="20">
        <v>0.06</v>
      </c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4892.2099999999991</v>
      </c>
      <c r="AR39" s="189">
        <f t="shared" si="13"/>
        <v>4843.74</v>
      </c>
      <c r="AS39" s="189">
        <f t="shared" si="6"/>
        <v>5050.38</v>
      </c>
      <c r="AT39" s="189">
        <f t="shared" si="47"/>
        <v>8576.119999999999</v>
      </c>
      <c r="AU39" s="189">
        <f t="shared" si="7"/>
        <v>8629.6799999999985</v>
      </c>
    </row>
    <row r="40" spans="1:47" ht="15" thickBot="1">
      <c r="A40" s="157"/>
      <c r="B40" s="21" t="s">
        <v>368</v>
      </c>
      <c r="C40" s="21" t="s">
        <v>373</v>
      </c>
      <c r="D40" s="21"/>
      <c r="E40" s="21"/>
      <c r="F40" s="20"/>
      <c r="G40" s="159"/>
      <c r="H40" s="20">
        <v>0.37</v>
      </c>
      <c r="I40" s="20">
        <v>7.0000000000000007E-2</v>
      </c>
      <c r="J40" s="20"/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5257.51</v>
      </c>
      <c r="AR40" s="189">
        <f t="shared" si="13"/>
        <v>5261.94</v>
      </c>
      <c r="AS40" s="189">
        <f t="shared" si="6"/>
        <v>5370.1799999999994</v>
      </c>
      <c r="AT40" s="189">
        <f t="shared" si="47"/>
        <v>9587.7199999999993</v>
      </c>
      <c r="AU40" s="189">
        <f t="shared" si="7"/>
        <v>9712.08</v>
      </c>
    </row>
    <row r="41" spans="1:47" ht="15" thickBot="1">
      <c r="A41" s="157"/>
      <c r="B41" s="21" t="s">
        <v>369</v>
      </c>
      <c r="C41" s="21" t="s">
        <v>374</v>
      </c>
      <c r="D41" s="21"/>
      <c r="E41" s="21"/>
      <c r="F41" s="20"/>
      <c r="G41" s="159"/>
      <c r="H41" s="20"/>
      <c r="I41" s="20"/>
      <c r="J41" s="20">
        <v>0.15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5622.8099999999995</v>
      </c>
      <c r="AR41" s="189">
        <f t="shared" si="13"/>
        <v>5680.1399999999994</v>
      </c>
      <c r="AS41" s="189">
        <f t="shared" si="6"/>
        <v>5658</v>
      </c>
      <c r="AT41" s="189">
        <f t="shared" si="47"/>
        <v>10599.32</v>
      </c>
      <c r="AU41" s="189">
        <f t="shared" si="7"/>
        <v>10794.48</v>
      </c>
    </row>
    <row r="42" spans="1:47" ht="15" thickBot="1">
      <c r="A42" s="157"/>
      <c r="B42" s="21" t="s">
        <v>370</v>
      </c>
      <c r="C42" s="21" t="s">
        <v>373</v>
      </c>
      <c r="D42" s="21"/>
      <c r="E42" s="21"/>
      <c r="F42" s="20"/>
      <c r="G42" s="159"/>
      <c r="H42" s="20">
        <v>0.63</v>
      </c>
      <c r="I42" s="20">
        <v>0.15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5988.11</v>
      </c>
      <c r="AR42" s="189">
        <f t="shared" si="13"/>
        <v>6098.3399999999992</v>
      </c>
      <c r="AS42" s="189">
        <f t="shared" si="6"/>
        <v>5658</v>
      </c>
      <c r="AT42" s="189">
        <f t="shared" si="47"/>
        <v>11610.919999999998</v>
      </c>
      <c r="AU42" s="189">
        <f t="shared" si="7"/>
        <v>11876.88</v>
      </c>
    </row>
    <row r="43" spans="1:47" ht="15" thickBot="1">
      <c r="A43" s="157"/>
      <c r="B43" s="21" t="s">
        <v>371</v>
      </c>
      <c r="C43" s="21" t="s">
        <v>373</v>
      </c>
      <c r="D43" s="21"/>
      <c r="E43" s="21"/>
      <c r="F43" s="20"/>
      <c r="G43" s="159"/>
      <c r="H43" s="20">
        <v>0.16</v>
      </c>
      <c r="I43" s="20"/>
      <c r="J43" s="20"/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6353.4100000000008</v>
      </c>
      <c r="AR43" s="189">
        <f t="shared" si="13"/>
        <v>6516.54</v>
      </c>
      <c r="AS43" s="189">
        <f t="shared" si="6"/>
        <v>5658</v>
      </c>
      <c r="AT43" s="189">
        <f t="shared" si="47"/>
        <v>12622.52</v>
      </c>
      <c r="AU43" s="189">
        <f t="shared" si="7"/>
        <v>12959.279999999999</v>
      </c>
    </row>
    <row r="44" spans="1:47" ht="15" thickBot="1">
      <c r="A44" s="157"/>
      <c r="B44" s="21" t="s">
        <v>372</v>
      </c>
      <c r="C44" s="21" t="s">
        <v>373</v>
      </c>
      <c r="D44" s="21"/>
      <c r="E44" s="21"/>
      <c r="F44" s="20"/>
      <c r="G44" s="159"/>
      <c r="H44" s="20">
        <v>0.37</v>
      </c>
      <c r="I44" s="20">
        <v>0.09</v>
      </c>
      <c r="J44" s="159">
        <v>0.04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6462.9999999999991</v>
      </c>
      <c r="AR44" s="189">
        <f t="shared" si="13"/>
        <v>6641.9999999999991</v>
      </c>
      <c r="AS44" s="189">
        <f t="shared" si="6"/>
        <v>5658</v>
      </c>
      <c r="AT44" s="189">
        <f t="shared" si="47"/>
        <v>12925.999999999998</v>
      </c>
      <c r="AU44" s="189">
        <f t="shared" si="7"/>
        <v>13283.999999999998</v>
      </c>
    </row>
    <row r="45" spans="1:47" ht="15" thickBot="1">
      <c r="A45" s="157"/>
      <c r="B45" s="21" t="s">
        <v>367</v>
      </c>
      <c r="C45" s="21"/>
      <c r="D45" s="21"/>
      <c r="E45" s="21"/>
      <c r="F45" s="20"/>
      <c r="G45" s="20"/>
      <c r="H45" s="20"/>
      <c r="I45" s="20"/>
      <c r="J45" s="20">
        <v>0.27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6462.9999999999991</v>
      </c>
      <c r="AR45" s="189">
        <f t="shared" si="13"/>
        <v>6641.9999999999991</v>
      </c>
      <c r="AS45" s="189">
        <f t="shared" si="6"/>
        <v>5658</v>
      </c>
      <c r="AT45" s="189">
        <f t="shared" si="47"/>
        <v>12925.999999999998</v>
      </c>
      <c r="AU45" s="189">
        <f t="shared" si="7"/>
        <v>13283.999999999998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2.63</v>
      </c>
      <c r="G46" s="20">
        <f>$G$2+I46+L46*$Z$4+D46*0.4</f>
        <v>1.87</v>
      </c>
      <c r="H46" s="20">
        <f>SUM(H39:H45)</f>
        <v>1.63</v>
      </c>
      <c r="I46" s="20">
        <f>SUM(I39:I45)</f>
        <v>0.37</v>
      </c>
      <c r="J46" s="20">
        <f>SUM(J39:J45)+0.15</f>
        <v>0.61</v>
      </c>
      <c r="K46" s="22"/>
      <c r="L46" s="22"/>
      <c r="M46" s="10"/>
      <c r="N46" s="37">
        <f t="shared" ref="N46:O46" si="50">N$2*$F46</f>
        <v>1935.6799999999998</v>
      </c>
      <c r="O46" s="37">
        <f t="shared" si="50"/>
        <v>5523</v>
      </c>
      <c r="P46" s="37">
        <f t="shared" ref="P46" si="51">O46*G46</f>
        <v>10328.01</v>
      </c>
      <c r="Q46" s="20">
        <v>0.15</v>
      </c>
      <c r="R46" s="20">
        <f t="shared" ref="R46" si="52">MINA(Q46+M46*$AA$3+0.12*E46+J46, 1)</f>
        <v>0.76</v>
      </c>
      <c r="S46" s="37">
        <f t="shared" ref="S46" si="53">R46*P46+(1-R46)*O46</f>
        <v>9174.8076000000001</v>
      </c>
      <c r="T46" s="138">
        <v>7547.956500000003</v>
      </c>
      <c r="U46" s="139">
        <f t="shared" ref="U46" si="54">S46/T46-1</f>
        <v>0.21553530415815159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6462.9999999999991</v>
      </c>
      <c r="AR46" s="189">
        <f t="shared" si="13"/>
        <v>6641.9999999999991</v>
      </c>
      <c r="AS46" s="189">
        <f t="shared" si="6"/>
        <v>5658</v>
      </c>
      <c r="AT46" s="189">
        <f t="shared" si="47"/>
        <v>12925.999999999998</v>
      </c>
      <c r="AU46" s="189">
        <f t="shared" si="7"/>
        <v>13283.999999999998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4004.2499999999995</v>
      </c>
      <c r="AR47" s="189">
        <f t="shared" si="13"/>
        <v>4341.9000000000005</v>
      </c>
      <c r="AS47" s="189">
        <f t="shared" si="6"/>
        <v>3690</v>
      </c>
      <c r="AT47" s="189">
        <f t="shared" si="47"/>
        <v>7586.9999999999991</v>
      </c>
      <c r="AU47" s="189">
        <f t="shared" si="7"/>
        <v>8314.7999999999993</v>
      </c>
    </row>
    <row r="48" spans="1:47" ht="15" thickBot="1">
      <c r="A48" s="157"/>
      <c r="B48" s="21" t="s">
        <v>366</v>
      </c>
      <c r="C48" s="21"/>
      <c r="D48" s="21"/>
      <c r="E48" s="21"/>
      <c r="F48" s="20"/>
      <c r="G48" s="159"/>
      <c r="H48" s="20">
        <v>0.1</v>
      </c>
      <c r="I48" s="20">
        <v>0.06</v>
      </c>
      <c r="J48" s="20"/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4144.75</v>
      </c>
      <c r="AR48" s="189">
        <f t="shared" si="13"/>
        <v>4563.3</v>
      </c>
      <c r="AS48" s="189">
        <f t="shared" si="6"/>
        <v>3690</v>
      </c>
      <c r="AT48" s="189">
        <f t="shared" si="47"/>
        <v>8148.9999999999982</v>
      </c>
      <c r="AU48" s="189">
        <f t="shared" si="7"/>
        <v>9003.5999999999985</v>
      </c>
    </row>
    <row r="49" spans="1:47" ht="15" thickBot="1">
      <c r="A49" s="157"/>
      <c r="B49" s="21" t="s">
        <v>368</v>
      </c>
      <c r="C49" s="21" t="s">
        <v>373</v>
      </c>
      <c r="D49" s="21"/>
      <c r="E49" s="21"/>
      <c r="F49" s="20"/>
      <c r="G49" s="159"/>
      <c r="H49" s="20">
        <v>0.37</v>
      </c>
      <c r="I49" s="20">
        <v>7.0000000000000007E-2</v>
      </c>
      <c r="J49" s="20"/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4215</v>
      </c>
      <c r="AR49" s="189">
        <f t="shared" si="13"/>
        <v>4674</v>
      </c>
      <c r="AS49" s="189">
        <f t="shared" si="6"/>
        <v>3690</v>
      </c>
      <c r="AT49" s="189">
        <f t="shared" si="47"/>
        <v>8430</v>
      </c>
      <c r="AU49" s="189">
        <f t="shared" si="7"/>
        <v>9348</v>
      </c>
    </row>
    <row r="50" spans="1:47" ht="15" thickBot="1">
      <c r="A50" s="157"/>
      <c r="B50" s="21" t="s">
        <v>369</v>
      </c>
      <c r="C50" s="21"/>
      <c r="D50" s="21"/>
      <c r="E50" s="21"/>
      <c r="F50" s="20"/>
      <c r="G50" s="159"/>
      <c r="H50" s="20"/>
      <c r="I50" s="20"/>
      <c r="J50" s="20">
        <v>0.15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4215</v>
      </c>
      <c r="AR50" s="189">
        <f t="shared" si="13"/>
        <v>4674</v>
      </c>
      <c r="AS50" s="189">
        <f t="shared" si="6"/>
        <v>3690</v>
      </c>
      <c r="AT50" s="189">
        <f t="shared" si="47"/>
        <v>8430</v>
      </c>
      <c r="AU50" s="189">
        <f t="shared" si="7"/>
        <v>9348</v>
      </c>
    </row>
    <row r="51" spans="1:47" ht="15" thickBot="1">
      <c r="A51" s="157"/>
      <c r="B51" s="21" t="s">
        <v>370</v>
      </c>
      <c r="C51" s="21"/>
      <c r="D51" s="21"/>
      <c r="E51" s="21"/>
      <c r="F51" s="20"/>
      <c r="G51" s="159"/>
      <c r="H51" s="20"/>
      <c r="I51" s="20">
        <v>0.8</v>
      </c>
      <c r="J51" s="20"/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4215</v>
      </c>
      <c r="AR51" s="189">
        <f t="shared" si="13"/>
        <v>4674</v>
      </c>
      <c r="AS51" s="189">
        <f t="shared" si="6"/>
        <v>3690</v>
      </c>
      <c r="AT51" s="189">
        <f t="shared" si="47"/>
        <v>8430</v>
      </c>
      <c r="AU51" s="189">
        <f t="shared" si="7"/>
        <v>9348</v>
      </c>
    </row>
    <row r="52" spans="1:47" ht="15" thickBot="1">
      <c r="A52" s="157"/>
      <c r="B52" s="21" t="s">
        <v>371</v>
      </c>
      <c r="C52" s="21"/>
      <c r="D52" s="21"/>
      <c r="E52" s="21"/>
      <c r="F52" s="20"/>
      <c r="G52" s="159"/>
      <c r="H52" s="20">
        <v>0.16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4215</v>
      </c>
      <c r="AR52" s="189">
        <f t="shared" si="13"/>
        <v>4674</v>
      </c>
      <c r="AS52" s="189">
        <f t="shared" si="6"/>
        <v>3690</v>
      </c>
      <c r="AT52" s="189">
        <f t="shared" si="47"/>
        <v>8430</v>
      </c>
      <c r="AU52" s="189">
        <f t="shared" si="7"/>
        <v>9348</v>
      </c>
    </row>
    <row r="53" spans="1:47" ht="15" thickBot="1">
      <c r="A53" s="157"/>
      <c r="B53" s="21" t="s">
        <v>372</v>
      </c>
      <c r="C53" s="21" t="s">
        <v>373</v>
      </c>
      <c r="D53" s="21"/>
      <c r="E53" s="21"/>
      <c r="F53" s="20"/>
      <c r="G53" s="159"/>
      <c r="H53" s="20">
        <v>0.37</v>
      </c>
      <c r="I53" s="20">
        <v>0.09</v>
      </c>
      <c r="J53" s="159">
        <v>0.04</v>
      </c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4215</v>
      </c>
      <c r="AR53" s="189">
        <f t="shared" si="13"/>
        <v>4674</v>
      </c>
      <c r="AS53" s="189">
        <f t="shared" si="6"/>
        <v>3690</v>
      </c>
      <c r="AT53" s="189">
        <f t="shared" si="47"/>
        <v>8430</v>
      </c>
      <c r="AU53" s="189">
        <f t="shared" si="7"/>
        <v>9348</v>
      </c>
    </row>
    <row r="54" spans="1:47" ht="15" thickBot="1">
      <c r="A54" s="157"/>
      <c r="B54" s="21" t="s">
        <v>367</v>
      </c>
      <c r="C54" s="21"/>
      <c r="D54" s="21"/>
      <c r="E54" s="21"/>
      <c r="F54" s="20"/>
      <c r="G54" s="20"/>
      <c r="H54" s="20"/>
      <c r="I54" s="20"/>
      <c r="J54" s="20">
        <v>0.27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4215</v>
      </c>
      <c r="AR54" s="189">
        <f t="shared" si="13"/>
        <v>4674</v>
      </c>
      <c r="AS54" s="189">
        <f t="shared" si="6"/>
        <v>3690</v>
      </c>
      <c r="AT54" s="189">
        <f t="shared" si="47"/>
        <v>8430</v>
      </c>
      <c r="AU54" s="189">
        <f t="shared" si="7"/>
        <v>9348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</v>
      </c>
      <c r="G55" s="20">
        <f t="shared" ref="G55" si="56">$G$2+I55+L55*$Z$4+D55*0.4</f>
        <v>2.52</v>
      </c>
      <c r="H55" s="20">
        <f>SUM(H48:H54)</f>
        <v>1</v>
      </c>
      <c r="I55" s="20">
        <f>SUM(I48:I54)</f>
        <v>1.02</v>
      </c>
      <c r="J55" s="20">
        <f>SUM(J48:J54)+0.15</f>
        <v>0.61</v>
      </c>
      <c r="K55" s="22"/>
      <c r="L55" s="22"/>
      <c r="M55" s="10"/>
      <c r="N55" s="37">
        <f t="shared" ref="N55:O55" si="57">N$2*$F55</f>
        <v>1472</v>
      </c>
      <c r="O55" s="37">
        <f t="shared" si="57"/>
        <v>4200</v>
      </c>
      <c r="P55" s="37">
        <f t="shared" ref="P55" si="58">O55*G55</f>
        <v>10584</v>
      </c>
      <c r="Q55" s="20">
        <v>0.15</v>
      </c>
      <c r="R55" s="20">
        <f t="shared" ref="R55" si="59">MINA(Q55+M55*$AA$3+0.12*E55+J55, 1)</f>
        <v>0.76</v>
      </c>
      <c r="S55" s="37">
        <f t="shared" ref="S55" si="60">R55*P55+(1-R55)*O55</f>
        <v>9051.84</v>
      </c>
      <c r="T55" s="138">
        <v>7547.956500000003</v>
      </c>
      <c r="U55" s="139">
        <f t="shared" ref="U55" si="61">S55/T55-1</f>
        <v>0.19924379532393921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4215</v>
      </c>
      <c r="AR55" s="189">
        <f t="shared" si="13"/>
        <v>4674</v>
      </c>
      <c r="AS55" s="189">
        <f t="shared" si="6"/>
        <v>3690</v>
      </c>
      <c r="AT55" s="189">
        <f t="shared" si="47"/>
        <v>8430</v>
      </c>
      <c r="AU55" s="189">
        <f t="shared" si="7"/>
        <v>9348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4215</v>
      </c>
      <c r="AR56" s="189">
        <f t="shared" si="13"/>
        <v>4674</v>
      </c>
      <c r="AS56" s="189">
        <f t="shared" si="6"/>
        <v>3690</v>
      </c>
      <c r="AT56" s="189">
        <f t="shared" si="47"/>
        <v>8430</v>
      </c>
      <c r="AU56" s="189">
        <f t="shared" si="7"/>
        <v>9348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4215</v>
      </c>
      <c r="AR57" s="189">
        <f t="shared" si="13"/>
        <v>4674</v>
      </c>
      <c r="AS57" s="189">
        <f t="shared" si="6"/>
        <v>3690</v>
      </c>
      <c r="AT57" s="189">
        <f t="shared" si="47"/>
        <v>8430</v>
      </c>
      <c r="AU57" s="189">
        <f t="shared" si="7"/>
        <v>9348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3904.4000000000005</v>
      </c>
      <c r="AR58" s="189">
        <f t="shared" si="13"/>
        <v>3840.8700000000003</v>
      </c>
      <c r="AS58" s="189">
        <f t="shared" si="6"/>
        <v>3877.9500000000003</v>
      </c>
      <c r="AT58" s="189">
        <f t="shared" si="47"/>
        <v>5297.6000000000013</v>
      </c>
      <c r="AU58" s="189">
        <f t="shared" si="7"/>
        <v>5426.0400000000009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4076.4000000000005</v>
      </c>
      <c r="AR59" s="189">
        <f t="shared" si="13"/>
        <v>4118.97</v>
      </c>
      <c r="AS59" s="189">
        <f t="shared" si="6"/>
        <v>4032.4500000000012</v>
      </c>
      <c r="AT59" s="189">
        <f t="shared" si="47"/>
        <v>5985.6</v>
      </c>
      <c r="AU59" s="189">
        <f t="shared" si="7"/>
        <v>6291.2400000000007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4248.4000000000005</v>
      </c>
      <c r="AR60" s="189">
        <f t="shared" si="13"/>
        <v>4397.07</v>
      </c>
      <c r="AS60" s="189">
        <f t="shared" si="6"/>
        <v>4186.9500000000007</v>
      </c>
      <c r="AT60" s="189">
        <f t="shared" si="47"/>
        <v>6673.6</v>
      </c>
      <c r="AU60" s="189">
        <f t="shared" si="7"/>
        <v>7156.4400000000005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4420.4000000000015</v>
      </c>
      <c r="AR61" s="189">
        <f t="shared" si="13"/>
        <v>4675.17</v>
      </c>
      <c r="AS61" s="189">
        <f t="shared" si="6"/>
        <v>4341.45</v>
      </c>
      <c r="AT61" s="189">
        <f t="shared" si="47"/>
        <v>7361.6000000000013</v>
      </c>
      <c r="AU61" s="189">
        <f t="shared" si="7"/>
        <v>8021.6400000000012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4592.4000000000005</v>
      </c>
      <c r="AR62" s="189">
        <f t="shared" si="13"/>
        <v>4953.2700000000004</v>
      </c>
      <c r="AS62" s="189">
        <f t="shared" si="6"/>
        <v>4495.9500000000007</v>
      </c>
      <c r="AT62" s="189">
        <f t="shared" si="47"/>
        <v>8049.6000000000022</v>
      </c>
      <c r="AU62" s="189">
        <f t="shared" si="7"/>
        <v>8886.84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4764.4000000000005</v>
      </c>
      <c r="AR63" s="189">
        <f t="shared" si="13"/>
        <v>5231.37</v>
      </c>
      <c r="AS63" s="189">
        <f t="shared" si="6"/>
        <v>4635.0000000000009</v>
      </c>
      <c r="AT63" s="189">
        <f t="shared" si="47"/>
        <v>8737.6000000000022</v>
      </c>
      <c r="AU63" s="189">
        <f t="shared" si="7"/>
        <v>9752.0400000000009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4936.4000000000005</v>
      </c>
      <c r="AR64" s="189">
        <f t="shared" si="13"/>
        <v>5509.47</v>
      </c>
      <c r="AS64" s="189">
        <f t="shared" si="6"/>
        <v>4635.0000000000009</v>
      </c>
      <c r="AT64" s="189">
        <f t="shared" si="47"/>
        <v>9425.6</v>
      </c>
      <c r="AU64" s="189">
        <f t="shared" si="7"/>
        <v>10617.240000000002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5108.4000000000015</v>
      </c>
      <c r="AR65" s="189">
        <f t="shared" si="13"/>
        <v>5787.5700000000006</v>
      </c>
      <c r="AS65" s="189">
        <f t="shared" si="6"/>
        <v>4635.0000000000009</v>
      </c>
      <c r="AT65" s="189">
        <f t="shared" si="47"/>
        <v>10113.600000000002</v>
      </c>
      <c r="AU65" s="189">
        <f t="shared" si="7"/>
        <v>11482.440000000002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5160.0000000000009</v>
      </c>
      <c r="AR66" s="189">
        <f t="shared" si="13"/>
        <v>5871.0000000000009</v>
      </c>
      <c r="AS66" s="189">
        <f t="shared" si="6"/>
        <v>4635.0000000000009</v>
      </c>
      <c r="AT66" s="189">
        <f t="shared" si="47"/>
        <v>10320.000000000002</v>
      </c>
      <c r="AU66" s="189">
        <f t="shared" si="7"/>
        <v>11742.000000000002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5160.0000000000009</v>
      </c>
      <c r="AR67" s="189">
        <f t="shared" si="13"/>
        <v>5871.0000000000009</v>
      </c>
      <c r="AS67" s="189">
        <f t="shared" ref="AS67:AS130" si="62">$AG$3*(1+$AJ67*$Y$2+$AN67)*(MAXA(1-$AI$3-$AL67*$AA$3-$AP67-0.36,0)+MINA($AI$3+$AL67*$AA$3+$AP67+0.36,1)*(1+$AH$3+$AO67+$AK67*$Z$4))</f>
        <v>4635.0000000000009</v>
      </c>
      <c r="AT67" s="189">
        <f t="shared" si="47"/>
        <v>10320.000000000002</v>
      </c>
      <c r="AU67" s="189">
        <f t="shared" ref="AU67:AU68" si="63">$AG$3*(1+$AJ67*$Y$2+$AN67)*(MAXA(1-$AI$3-$AL67*$AA$3-$AP67-0.12,0)+2*MINA($AI$3+$AL67*$AA$3+$AP67+0.12,1)*(1+$AH$3+$AO67+$AK67*$Z$4+0.4))</f>
        <v>11742.000000000002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5160.0000000000009</v>
      </c>
      <c r="AR68" s="189">
        <f t="shared" ref="AR68:AR131" si="65">$AG$3*(1+$AJ68*$Y$2+$AN68)*(MAXA(1-$AI$3-$AL68*$AA$3-$AP68-0.12,0)+MINA($AI$3+$AL68*$AA$3+$AP68+0.12,1)*(1+$AH$3+$AO68+$AK68*$Z$4+0.4))</f>
        <v>5871.0000000000009</v>
      </c>
      <c r="AS68" s="189">
        <f t="shared" si="62"/>
        <v>4635.0000000000009</v>
      </c>
      <c r="AT68" s="189">
        <f t="shared" si="47"/>
        <v>10320.000000000002</v>
      </c>
      <c r="AU68" s="189">
        <f t="shared" si="63"/>
        <v>11742.000000000002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4066.5099999999998</v>
      </c>
      <c r="AR69" s="189">
        <f t="shared" si="65"/>
        <v>3880.9399999999996</v>
      </c>
      <c r="AS69" s="189">
        <f t="shared" si="62"/>
        <v>4423.579999999999</v>
      </c>
      <c r="AT69" s="189">
        <f t="shared" ref="AT69:AT130" si="66">$AG$3*(1+$AJ69*$Y$2+$AN69)*(MAXA(1-$AI$3-$AL69*$AA$3-$AP69-0.36,0)+2*MINA($AI$3+$AL69*$AA$3+$AP69+0.36,1)*(1+$AH$3+$AO69+$AK69*$Z$4))</f>
        <v>7543.7599999999975</v>
      </c>
      <c r="AU69" s="50">
        <f t="shared" ref="AU69:AU130" si="67">$AG$3*(1+$AJ69*$Y$2+$AN69)*(MAXA(1-$AI$3-$AL69*$AA$3-$AP69-0.12,0)+2*MINA($AI$3+$AL69*$AA$3+$AP69+0.12,1)*(1+$AH$3+$AO69+$AK69*$Z$4+0.4))</f>
        <v>5820.0799999999981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4457.8099999999995</v>
      </c>
      <c r="AR70" s="189">
        <f t="shared" si="65"/>
        <v>4333.1399999999994</v>
      </c>
      <c r="AS70" s="189">
        <f t="shared" si="62"/>
        <v>4769.3799999999983</v>
      </c>
      <c r="AT70" s="189">
        <f t="shared" si="66"/>
        <v>8501.3599999999969</v>
      </c>
      <c r="AU70" s="50">
        <f t="shared" si="67"/>
        <v>6990.4799999999977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4849.1099999999997</v>
      </c>
      <c r="AR71" s="189">
        <f t="shared" si="65"/>
        <v>4785.3399999999992</v>
      </c>
      <c r="AS71" s="189">
        <f t="shared" si="62"/>
        <v>5115.1799999999985</v>
      </c>
      <c r="AT71" s="189">
        <f t="shared" si="66"/>
        <v>9458.9599999999973</v>
      </c>
      <c r="AU71" s="50">
        <f t="shared" si="67"/>
        <v>8160.8799999999974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5240.4099999999989</v>
      </c>
      <c r="AR72" s="189">
        <f t="shared" si="65"/>
        <v>5237.5399999999991</v>
      </c>
      <c r="AS72" s="189">
        <f t="shared" si="62"/>
        <v>5460.9799999999987</v>
      </c>
      <c r="AT72" s="189">
        <f t="shared" si="66"/>
        <v>10416.559999999998</v>
      </c>
      <c r="AU72" s="50">
        <f t="shared" si="67"/>
        <v>9331.279999999997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5631.71</v>
      </c>
      <c r="AR73" s="189">
        <f t="shared" si="65"/>
        <v>5689.7399999999989</v>
      </c>
      <c r="AS73" s="189">
        <f t="shared" si="62"/>
        <v>5806.7799999999988</v>
      </c>
      <c r="AT73" s="189">
        <f t="shared" si="66"/>
        <v>11374.159999999998</v>
      </c>
      <c r="AU73" s="50">
        <f t="shared" si="67"/>
        <v>10501.679999999998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6023.0099999999993</v>
      </c>
      <c r="AR74" s="189">
        <f t="shared" si="65"/>
        <v>6141.9399999999978</v>
      </c>
      <c r="AS74" s="189">
        <f t="shared" si="62"/>
        <v>6117.9999999999982</v>
      </c>
      <c r="AT74" s="189">
        <f t="shared" si="66"/>
        <v>12235.999999999996</v>
      </c>
      <c r="AU74" s="50">
        <f t="shared" si="67"/>
        <v>11672.079999999998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6414.3099999999995</v>
      </c>
      <c r="AR75" s="189">
        <f t="shared" si="65"/>
        <v>6594.1399999999976</v>
      </c>
      <c r="AS75" s="189">
        <f t="shared" si="62"/>
        <v>6117.9999999999982</v>
      </c>
      <c r="AT75" s="189">
        <f t="shared" si="66"/>
        <v>12235.999999999996</v>
      </c>
      <c r="AU75" s="50">
        <f t="shared" si="67"/>
        <v>12842.479999999996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6805.6100000000006</v>
      </c>
      <c r="AR76" s="189">
        <f t="shared" si="65"/>
        <v>7046.3399999999992</v>
      </c>
      <c r="AS76" s="189">
        <f t="shared" si="62"/>
        <v>6117.9999999999982</v>
      </c>
      <c r="AT76" s="189">
        <f t="shared" si="66"/>
        <v>12235.999999999996</v>
      </c>
      <c r="AU76" s="50">
        <f t="shared" si="67"/>
        <v>14012.879999999997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6922.9999999999991</v>
      </c>
      <c r="AR77" s="189">
        <f t="shared" si="65"/>
        <v>7181.9999999999982</v>
      </c>
      <c r="AS77" s="189">
        <f t="shared" si="62"/>
        <v>6117.9999999999982</v>
      </c>
      <c r="AT77" s="189">
        <f t="shared" si="66"/>
        <v>12235.999999999996</v>
      </c>
      <c r="AU77" s="50">
        <f t="shared" si="67"/>
        <v>14363.999999999996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6922.9999999999991</v>
      </c>
      <c r="AR78" s="189">
        <f t="shared" si="65"/>
        <v>7181.9999999999982</v>
      </c>
      <c r="AS78" s="189">
        <f t="shared" si="62"/>
        <v>6117.9999999999982</v>
      </c>
      <c r="AT78" s="189">
        <f t="shared" si="66"/>
        <v>12235.999999999996</v>
      </c>
      <c r="AU78" s="50">
        <f t="shared" si="67"/>
        <v>14363.999999999996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6922.9999999999991</v>
      </c>
      <c r="AR79" s="189">
        <f t="shared" si="65"/>
        <v>7181.9999999999982</v>
      </c>
      <c r="AS79" s="189">
        <f t="shared" si="62"/>
        <v>6117.9999999999982</v>
      </c>
      <c r="AT79" s="189">
        <f t="shared" si="66"/>
        <v>12235.999999999996</v>
      </c>
      <c r="AU79" s="50">
        <f t="shared" si="67"/>
        <v>14363.999999999996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4289.2499999999991</v>
      </c>
      <c r="AR80" s="189">
        <f t="shared" si="65"/>
        <v>4694.8999999999996</v>
      </c>
      <c r="AS80" s="189">
        <f t="shared" si="62"/>
        <v>3989.9999999999991</v>
      </c>
      <c r="AT80" s="189">
        <f t="shared" si="66"/>
        <v>7979.9999999999982</v>
      </c>
      <c r="AU80" s="50">
        <f t="shared" si="67"/>
        <v>8990.7999999999975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4439.75</v>
      </c>
      <c r="AR81" s="189">
        <f t="shared" si="65"/>
        <v>4934.2999999999993</v>
      </c>
      <c r="AS81" s="189">
        <f t="shared" si="62"/>
        <v>3989.9999999999991</v>
      </c>
      <c r="AT81" s="189">
        <f t="shared" si="66"/>
        <v>7979.9999999999982</v>
      </c>
      <c r="AU81" s="50">
        <f t="shared" si="67"/>
        <v>9735.5999999999967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4515</v>
      </c>
      <c r="AR82" s="189">
        <f t="shared" si="65"/>
        <v>5053.9999999999991</v>
      </c>
      <c r="AS82" s="189">
        <f t="shared" si="62"/>
        <v>3989.9999999999991</v>
      </c>
      <c r="AT82" s="189">
        <f t="shared" si="66"/>
        <v>7979.9999999999982</v>
      </c>
      <c r="AU82" s="50">
        <f t="shared" si="67"/>
        <v>10107.999999999998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4515</v>
      </c>
      <c r="AR83" s="189">
        <f t="shared" si="65"/>
        <v>5053.9999999999991</v>
      </c>
      <c r="AS83" s="189">
        <f t="shared" si="62"/>
        <v>3989.9999999999991</v>
      </c>
      <c r="AT83" s="189">
        <f t="shared" si="66"/>
        <v>7979.9999999999982</v>
      </c>
      <c r="AU83" s="50">
        <f t="shared" si="67"/>
        <v>10107.999999999998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4515</v>
      </c>
      <c r="AR84" s="189">
        <f t="shared" si="65"/>
        <v>5053.9999999999991</v>
      </c>
      <c r="AS84" s="189">
        <f t="shared" si="62"/>
        <v>3989.9999999999991</v>
      </c>
      <c r="AT84" s="189">
        <f t="shared" si="66"/>
        <v>7979.9999999999982</v>
      </c>
      <c r="AU84" s="50">
        <f t="shared" si="67"/>
        <v>10107.999999999998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4515</v>
      </c>
      <c r="AR85" s="189">
        <f t="shared" si="65"/>
        <v>5053.9999999999991</v>
      </c>
      <c r="AS85" s="189">
        <f t="shared" si="62"/>
        <v>3989.9999999999991</v>
      </c>
      <c r="AT85" s="189">
        <f t="shared" si="66"/>
        <v>7979.9999999999982</v>
      </c>
      <c r="AU85" s="50">
        <f t="shared" si="67"/>
        <v>10107.999999999998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4515</v>
      </c>
      <c r="AR86" s="189">
        <f t="shared" si="65"/>
        <v>5053.9999999999991</v>
      </c>
      <c r="AS86" s="189">
        <f t="shared" si="62"/>
        <v>3989.9999999999991</v>
      </c>
      <c r="AT86" s="189">
        <f t="shared" si="66"/>
        <v>7979.9999999999982</v>
      </c>
      <c r="AU86" s="50">
        <f t="shared" si="67"/>
        <v>10107.999999999998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4515</v>
      </c>
      <c r="AR87" s="189">
        <f t="shared" si="65"/>
        <v>5053.9999999999991</v>
      </c>
      <c r="AS87" s="189">
        <f t="shared" si="62"/>
        <v>3989.9999999999991</v>
      </c>
      <c r="AT87" s="189">
        <f t="shared" si="66"/>
        <v>7979.9999999999982</v>
      </c>
      <c r="AU87" s="50">
        <f t="shared" si="67"/>
        <v>10107.999999999998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4515</v>
      </c>
      <c r="AR88" s="189">
        <f t="shared" si="65"/>
        <v>5053.9999999999991</v>
      </c>
      <c r="AS88" s="189">
        <f t="shared" si="62"/>
        <v>3989.9999999999991</v>
      </c>
      <c r="AT88" s="189">
        <f t="shared" si="66"/>
        <v>7979.9999999999982</v>
      </c>
      <c r="AU88" s="50">
        <f t="shared" si="67"/>
        <v>10107.999999999998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4515</v>
      </c>
      <c r="AR89" s="189">
        <f t="shared" si="65"/>
        <v>5053.9999999999991</v>
      </c>
      <c r="AS89" s="189">
        <f t="shared" si="62"/>
        <v>3989.9999999999991</v>
      </c>
      <c r="AT89" s="189">
        <f t="shared" si="66"/>
        <v>7979.9999999999982</v>
      </c>
      <c r="AU89" s="50">
        <f t="shared" si="67"/>
        <v>10107.999999999998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4515</v>
      </c>
      <c r="AR90" s="189">
        <f t="shared" si="65"/>
        <v>5053.9999999999991</v>
      </c>
      <c r="AS90" s="189">
        <f t="shared" si="62"/>
        <v>3989.9999999999991</v>
      </c>
      <c r="AT90" s="189">
        <f t="shared" si="66"/>
        <v>7979.9999999999982</v>
      </c>
      <c r="AU90" s="50">
        <f t="shared" si="67"/>
        <v>10107.999999999998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4131.3999999999996</v>
      </c>
      <c r="AR91" s="189">
        <f t="shared" si="65"/>
        <v>4089.47</v>
      </c>
      <c r="AS91" s="189">
        <f t="shared" si="62"/>
        <v>4128.95</v>
      </c>
      <c r="AT91" s="189">
        <f t="shared" si="66"/>
        <v>6645.8</v>
      </c>
      <c r="AU91" s="50">
        <f t="shared" si="67"/>
        <v>5777.24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4313.4000000000005</v>
      </c>
      <c r="AR92" s="189">
        <f t="shared" si="65"/>
        <v>4385.57</v>
      </c>
      <c r="AS92" s="189">
        <f t="shared" si="62"/>
        <v>4293.4500000000007</v>
      </c>
      <c r="AT92" s="189">
        <f t="shared" si="66"/>
        <v>7303.8000000000011</v>
      </c>
      <c r="AU92" s="50">
        <f t="shared" si="67"/>
        <v>6698.4400000000005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4495.3999999999996</v>
      </c>
      <c r="AR93" s="189">
        <f t="shared" si="65"/>
        <v>4681.6699999999992</v>
      </c>
      <c r="AS93" s="189">
        <f t="shared" si="62"/>
        <v>4457.95</v>
      </c>
      <c r="AT93" s="189">
        <f t="shared" si="66"/>
        <v>7961.8</v>
      </c>
      <c r="AU93" s="50">
        <f t="shared" si="67"/>
        <v>7619.6399999999994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4677.4000000000005</v>
      </c>
      <c r="AR94" s="189">
        <f t="shared" si="65"/>
        <v>4977.7699999999995</v>
      </c>
      <c r="AS94" s="189">
        <f t="shared" si="62"/>
        <v>4622.4499999999989</v>
      </c>
      <c r="AT94" s="189">
        <f t="shared" si="66"/>
        <v>8619.7999999999993</v>
      </c>
      <c r="AU94" s="50">
        <f t="shared" si="67"/>
        <v>8540.84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4859.3999999999996</v>
      </c>
      <c r="AR95" s="189">
        <f t="shared" si="65"/>
        <v>5273.869999999999</v>
      </c>
      <c r="AS95" s="189">
        <f t="shared" si="62"/>
        <v>4786.95</v>
      </c>
      <c r="AT95" s="189">
        <f t="shared" si="66"/>
        <v>9277.7999999999993</v>
      </c>
      <c r="AU95" s="50">
        <f t="shared" si="67"/>
        <v>9462.0399999999991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5041.3999999999996</v>
      </c>
      <c r="AR96" s="189">
        <f t="shared" si="65"/>
        <v>5569.9699999999993</v>
      </c>
      <c r="AS96" s="189">
        <f t="shared" si="62"/>
        <v>4935</v>
      </c>
      <c r="AT96" s="189">
        <f t="shared" si="66"/>
        <v>9870</v>
      </c>
      <c r="AU96" s="50">
        <f t="shared" si="67"/>
        <v>10383.24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5223.4000000000005</v>
      </c>
      <c r="AR97" s="189">
        <f t="shared" si="65"/>
        <v>5866.07</v>
      </c>
      <c r="AS97" s="189">
        <f t="shared" si="62"/>
        <v>4935</v>
      </c>
      <c r="AT97" s="189">
        <f t="shared" si="66"/>
        <v>9870</v>
      </c>
      <c r="AU97" s="50">
        <f t="shared" si="67"/>
        <v>11304.44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5405.4000000000005</v>
      </c>
      <c r="AR98" s="189">
        <f t="shared" si="65"/>
        <v>6162.17</v>
      </c>
      <c r="AS98" s="189">
        <f t="shared" si="62"/>
        <v>4935</v>
      </c>
      <c r="AT98" s="189">
        <f t="shared" si="66"/>
        <v>9870</v>
      </c>
      <c r="AU98" s="50">
        <f t="shared" si="67"/>
        <v>12225.640000000001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5460</v>
      </c>
      <c r="AR99" s="189">
        <f t="shared" si="65"/>
        <v>6251</v>
      </c>
      <c r="AS99" s="189">
        <f t="shared" si="62"/>
        <v>4935</v>
      </c>
      <c r="AT99" s="189">
        <f t="shared" si="66"/>
        <v>9870</v>
      </c>
      <c r="AU99" s="50">
        <f t="shared" si="67"/>
        <v>12502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5460</v>
      </c>
      <c r="AR100" s="189">
        <f t="shared" si="65"/>
        <v>6251</v>
      </c>
      <c r="AS100" s="189">
        <f t="shared" si="62"/>
        <v>4935</v>
      </c>
      <c r="AT100" s="189">
        <f t="shared" si="66"/>
        <v>9870</v>
      </c>
      <c r="AU100" s="50">
        <f t="shared" si="67"/>
        <v>12502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5460</v>
      </c>
      <c r="AR101" s="189">
        <f t="shared" si="65"/>
        <v>6251</v>
      </c>
      <c r="AS101" s="189">
        <f t="shared" si="62"/>
        <v>4935</v>
      </c>
      <c r="AT101" s="189">
        <f t="shared" si="66"/>
        <v>9870</v>
      </c>
      <c r="AU101" s="50">
        <f t="shared" si="67"/>
        <v>12502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4336.71</v>
      </c>
      <c r="AR102" s="189">
        <f t="shared" si="65"/>
        <v>4172.74</v>
      </c>
      <c r="AS102" s="189">
        <f t="shared" si="62"/>
        <v>4756.1799999999994</v>
      </c>
      <c r="AT102" s="189">
        <f t="shared" si="66"/>
        <v>8110.9599999999982</v>
      </c>
      <c r="AU102" s="50">
        <f t="shared" si="67"/>
        <v>6257.6799999999994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4754.0099999999993</v>
      </c>
      <c r="AR103" s="189">
        <f t="shared" si="65"/>
        <v>4658.9399999999996</v>
      </c>
      <c r="AS103" s="189">
        <f t="shared" si="62"/>
        <v>5127.9799999999996</v>
      </c>
      <c r="AT103" s="189">
        <f t="shared" si="66"/>
        <v>9140.56</v>
      </c>
      <c r="AU103" s="50">
        <f t="shared" si="67"/>
        <v>7516.079999999999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5171.3099999999995</v>
      </c>
      <c r="AR104" s="189">
        <f t="shared" si="65"/>
        <v>5145.1399999999994</v>
      </c>
      <c r="AS104" s="189">
        <f t="shared" si="62"/>
        <v>5499.7799999999988</v>
      </c>
      <c r="AT104" s="189">
        <f t="shared" si="66"/>
        <v>10170.159999999998</v>
      </c>
      <c r="AU104" s="50">
        <f t="shared" si="67"/>
        <v>8774.48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5588.6099999999988</v>
      </c>
      <c r="AR105" s="189">
        <f t="shared" si="65"/>
        <v>5631.3399999999992</v>
      </c>
      <c r="AS105" s="189">
        <f t="shared" si="62"/>
        <v>5871.58</v>
      </c>
      <c r="AT105" s="189">
        <f t="shared" si="66"/>
        <v>11199.759999999998</v>
      </c>
      <c r="AU105" s="50">
        <f t="shared" si="67"/>
        <v>10032.879999999999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6005.91</v>
      </c>
      <c r="AR106" s="189">
        <f t="shared" si="65"/>
        <v>6117.5399999999991</v>
      </c>
      <c r="AS106" s="189">
        <f t="shared" si="62"/>
        <v>6243.3799999999992</v>
      </c>
      <c r="AT106" s="189">
        <f t="shared" si="66"/>
        <v>12229.359999999999</v>
      </c>
      <c r="AU106" s="50">
        <f t="shared" si="67"/>
        <v>11291.28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6423.21</v>
      </c>
      <c r="AR107" s="189">
        <f t="shared" si="65"/>
        <v>6603.7399999999989</v>
      </c>
      <c r="AS107" s="189">
        <f t="shared" si="62"/>
        <v>6577.9999999999991</v>
      </c>
      <c r="AT107" s="189">
        <f t="shared" si="66"/>
        <v>13155.999999999998</v>
      </c>
      <c r="AU107" s="50">
        <f t="shared" si="67"/>
        <v>12549.68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6840.5099999999993</v>
      </c>
      <c r="AR108" s="189">
        <f t="shared" si="65"/>
        <v>7089.9399999999987</v>
      </c>
      <c r="AS108" s="189">
        <f t="shared" si="62"/>
        <v>6577.9999999999991</v>
      </c>
      <c r="AT108" s="189">
        <f t="shared" si="66"/>
        <v>13155.999999999998</v>
      </c>
      <c r="AU108" s="50">
        <f t="shared" si="67"/>
        <v>13808.079999999998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7257.81</v>
      </c>
      <c r="AR109" s="189">
        <f t="shared" si="65"/>
        <v>7576.14</v>
      </c>
      <c r="AS109" s="189">
        <f t="shared" si="62"/>
        <v>6577.9999999999991</v>
      </c>
      <c r="AT109" s="189">
        <f t="shared" si="66"/>
        <v>13155.999999999998</v>
      </c>
      <c r="AU109" s="50">
        <f t="shared" si="67"/>
        <v>15066.48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7382.9999999999991</v>
      </c>
      <c r="AR110" s="189">
        <f t="shared" si="65"/>
        <v>7721.9999999999991</v>
      </c>
      <c r="AS110" s="189">
        <f t="shared" si="62"/>
        <v>6577.9999999999991</v>
      </c>
      <c r="AT110" s="189">
        <f t="shared" si="66"/>
        <v>13155.999999999998</v>
      </c>
      <c r="AU110" s="50">
        <f t="shared" si="67"/>
        <v>15443.999999999998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7382.9999999999991</v>
      </c>
      <c r="AR111" s="189">
        <f t="shared" si="65"/>
        <v>7721.9999999999991</v>
      </c>
      <c r="AS111" s="189">
        <f t="shared" si="62"/>
        <v>6577.9999999999991</v>
      </c>
      <c r="AT111" s="189">
        <f t="shared" si="66"/>
        <v>13155.999999999998</v>
      </c>
      <c r="AU111" s="50">
        <f t="shared" si="67"/>
        <v>15443.999999999998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7382.9999999999991</v>
      </c>
      <c r="AR112" s="189">
        <f t="shared" si="65"/>
        <v>7721.9999999999991</v>
      </c>
      <c r="AS112" s="189">
        <f t="shared" si="62"/>
        <v>6577.9999999999991</v>
      </c>
      <c r="AT112" s="189">
        <f t="shared" si="66"/>
        <v>13155.999999999998</v>
      </c>
      <c r="AU112" s="50">
        <f t="shared" si="67"/>
        <v>15443.999999999998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4574.2499999999991</v>
      </c>
      <c r="AR113" s="189">
        <f t="shared" si="65"/>
        <v>5047.9000000000005</v>
      </c>
      <c r="AS113" s="189">
        <f t="shared" si="62"/>
        <v>4290</v>
      </c>
      <c r="AT113" s="189">
        <f t="shared" si="66"/>
        <v>8580</v>
      </c>
      <c r="AU113" s="50">
        <f t="shared" si="67"/>
        <v>9666.7999999999993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4734.75</v>
      </c>
      <c r="AR114" s="189">
        <f t="shared" si="65"/>
        <v>5305.3</v>
      </c>
      <c r="AS114" s="189">
        <f t="shared" si="62"/>
        <v>4290</v>
      </c>
      <c r="AT114" s="189">
        <f t="shared" si="66"/>
        <v>8580</v>
      </c>
      <c r="AU114" s="50">
        <f t="shared" si="67"/>
        <v>10467.599999999999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4815</v>
      </c>
      <c r="AR115" s="189">
        <f t="shared" si="65"/>
        <v>5434</v>
      </c>
      <c r="AS115" s="189">
        <f t="shared" si="62"/>
        <v>4290</v>
      </c>
      <c r="AT115" s="189">
        <f t="shared" si="66"/>
        <v>8580</v>
      </c>
      <c r="AU115" s="50">
        <f t="shared" si="67"/>
        <v>10868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4815</v>
      </c>
      <c r="AR116" s="189">
        <f t="shared" si="65"/>
        <v>5434</v>
      </c>
      <c r="AS116" s="189">
        <f t="shared" si="62"/>
        <v>4290</v>
      </c>
      <c r="AT116" s="189">
        <f t="shared" si="66"/>
        <v>8580</v>
      </c>
      <c r="AU116" s="50">
        <f t="shared" si="67"/>
        <v>10868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4815</v>
      </c>
      <c r="AR117" s="189">
        <f t="shared" si="65"/>
        <v>5434</v>
      </c>
      <c r="AS117" s="189">
        <f t="shared" si="62"/>
        <v>4290</v>
      </c>
      <c r="AT117" s="189">
        <f t="shared" si="66"/>
        <v>8580</v>
      </c>
      <c r="AU117" s="50">
        <f t="shared" si="67"/>
        <v>10868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4815</v>
      </c>
      <c r="AR118" s="189">
        <f t="shared" si="65"/>
        <v>5434</v>
      </c>
      <c r="AS118" s="189">
        <f t="shared" si="62"/>
        <v>4290</v>
      </c>
      <c r="AT118" s="189">
        <f t="shared" si="66"/>
        <v>8580</v>
      </c>
      <c r="AU118" s="50">
        <f t="shared" si="67"/>
        <v>10868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4815</v>
      </c>
      <c r="AR119" s="189">
        <f t="shared" si="65"/>
        <v>5434</v>
      </c>
      <c r="AS119" s="189">
        <f t="shared" si="62"/>
        <v>4290</v>
      </c>
      <c r="AT119" s="189">
        <f t="shared" si="66"/>
        <v>8580</v>
      </c>
      <c r="AU119" s="50">
        <f t="shared" si="67"/>
        <v>10868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4815</v>
      </c>
      <c r="AR120" s="189">
        <f t="shared" si="65"/>
        <v>5434</v>
      </c>
      <c r="AS120" s="189">
        <f t="shared" si="62"/>
        <v>4290</v>
      </c>
      <c r="AT120" s="189">
        <f t="shared" si="66"/>
        <v>8580</v>
      </c>
      <c r="AU120" s="50">
        <f t="shared" si="67"/>
        <v>10868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4815</v>
      </c>
      <c r="AR121" s="189">
        <f t="shared" si="65"/>
        <v>5434</v>
      </c>
      <c r="AS121" s="189">
        <f t="shared" si="62"/>
        <v>4290</v>
      </c>
      <c r="AT121" s="189">
        <f t="shared" si="66"/>
        <v>8580</v>
      </c>
      <c r="AU121" s="50">
        <f t="shared" si="67"/>
        <v>10868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4815</v>
      </c>
      <c r="AR122" s="189">
        <f t="shared" si="65"/>
        <v>5434</v>
      </c>
      <c r="AS122" s="189">
        <f t="shared" si="62"/>
        <v>4290</v>
      </c>
      <c r="AT122" s="189">
        <f t="shared" si="66"/>
        <v>8580</v>
      </c>
      <c r="AU122" s="50">
        <f t="shared" si="67"/>
        <v>10868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4815</v>
      </c>
      <c r="AR123" s="189">
        <f t="shared" si="65"/>
        <v>5434</v>
      </c>
      <c r="AS123" s="189">
        <f t="shared" si="62"/>
        <v>4290</v>
      </c>
      <c r="AT123" s="189">
        <f t="shared" si="66"/>
        <v>8580</v>
      </c>
      <c r="AU123" s="50">
        <f t="shared" si="67"/>
        <v>10868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4358.4000000000005</v>
      </c>
      <c r="AR124" s="189">
        <f t="shared" si="65"/>
        <v>4338.07</v>
      </c>
      <c r="AS124" s="189">
        <f t="shared" si="62"/>
        <v>4379.95</v>
      </c>
      <c r="AT124" s="189">
        <f t="shared" si="66"/>
        <v>7049.8</v>
      </c>
      <c r="AU124" s="50">
        <f t="shared" si="67"/>
        <v>6128.44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4550.4000000000005</v>
      </c>
      <c r="AR125" s="189">
        <f t="shared" si="65"/>
        <v>4652.17</v>
      </c>
      <c r="AS125" s="189">
        <f t="shared" si="62"/>
        <v>4554.4500000000007</v>
      </c>
      <c r="AT125" s="189">
        <f t="shared" si="66"/>
        <v>7747.8000000000011</v>
      </c>
      <c r="AU125" s="50">
        <f t="shared" si="67"/>
        <v>7105.64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4742.3999999999996</v>
      </c>
      <c r="AR126" s="189">
        <f t="shared" si="65"/>
        <v>4966.2699999999995</v>
      </c>
      <c r="AS126" s="189">
        <f t="shared" si="62"/>
        <v>4728.95</v>
      </c>
      <c r="AT126" s="189">
        <f t="shared" si="66"/>
        <v>8445.7999999999993</v>
      </c>
      <c r="AU126" s="50">
        <f t="shared" si="67"/>
        <v>8082.8399999999992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4934.4000000000015</v>
      </c>
      <c r="AR127" s="189">
        <f t="shared" si="65"/>
        <v>5280.37</v>
      </c>
      <c r="AS127" s="189">
        <f t="shared" si="62"/>
        <v>4903.4499999999989</v>
      </c>
      <c r="AT127" s="189">
        <f t="shared" si="66"/>
        <v>9143.7999999999993</v>
      </c>
      <c r="AU127" s="50">
        <f t="shared" si="67"/>
        <v>9060.0400000000009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5126.4000000000005</v>
      </c>
      <c r="AR128" s="189">
        <f t="shared" si="65"/>
        <v>5594.4699999999993</v>
      </c>
      <c r="AS128" s="189">
        <f t="shared" si="62"/>
        <v>5077.95</v>
      </c>
      <c r="AT128" s="189">
        <f t="shared" si="66"/>
        <v>9841.7999999999993</v>
      </c>
      <c r="AU128" s="50">
        <f t="shared" si="67"/>
        <v>10037.24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5318.4000000000005</v>
      </c>
      <c r="AR129" s="189">
        <f t="shared" si="65"/>
        <v>5908.57</v>
      </c>
      <c r="AS129" s="189">
        <f t="shared" si="62"/>
        <v>5235</v>
      </c>
      <c r="AT129" s="189">
        <f t="shared" si="66"/>
        <v>10470</v>
      </c>
      <c r="AU129" s="50">
        <f t="shared" si="67"/>
        <v>11014.439999999999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5510.4000000000005</v>
      </c>
      <c r="AR130" s="189">
        <f t="shared" si="65"/>
        <v>6222.67</v>
      </c>
      <c r="AS130" s="189">
        <f t="shared" si="62"/>
        <v>5235</v>
      </c>
      <c r="AT130" s="189">
        <f t="shared" si="66"/>
        <v>10470</v>
      </c>
      <c r="AU130" s="50">
        <f t="shared" si="67"/>
        <v>11991.64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5702.4000000000015</v>
      </c>
      <c r="AR131" s="189">
        <f t="shared" si="65"/>
        <v>6536.77</v>
      </c>
      <c r="AS131" s="189">
        <f t="shared" ref="AS131:AS194" si="70">$AG$3*(1+$AJ131*$Y$2+$AN131)*(MAXA(1-$AI$3-$AL131*$AA$3-$AP131-0.36,0)+MINA($AI$3+$AL131*$AA$3+$AP131+0.36,1)*(1+$AH$3+$AO131+$AK131*$Z$4))</f>
        <v>5235</v>
      </c>
      <c r="AT131" s="189">
        <f t="shared" ref="AT131:AT194" si="71">$AG$3*(1+$AJ131*$Y$2+$AN131)*(MAXA(1-$AI$3-$AL131*$AA$3-$AP131-0.36,0)+2*MINA($AI$3+$AL131*$AA$3+$AP131+0.36,1)*(1+$AH$3+$AO131+$AK131*$Z$4))</f>
        <v>10470</v>
      </c>
      <c r="AU131" s="50">
        <f t="shared" ref="AU131:AU194" si="72">$AG$3*(1+$AJ131*$Y$2+$AN131)*(MAXA(1-$AI$3-$AL131*$AA$3-$AP131-0.12,0)+2*MINA($AI$3+$AL131*$AA$3+$AP131+0.12,1)*(1+$AH$3+$AO131+$AK131*$Z$4+0.4))</f>
        <v>12968.84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5760.0000000000009</v>
      </c>
      <c r="AR132" s="189">
        <f t="shared" ref="AR132:AR195" si="74">$AG$3*(1+$AJ132*$Y$2+$AN132)*(MAXA(1-$AI$3-$AL132*$AA$3-$AP132-0.12,0)+MINA($AI$3+$AL132*$AA$3+$AP132+0.12,1)*(1+$AH$3+$AO132+$AK132*$Z$4+0.4))</f>
        <v>6631</v>
      </c>
      <c r="AS132" s="189">
        <f t="shared" si="70"/>
        <v>5235</v>
      </c>
      <c r="AT132" s="189">
        <f t="shared" si="71"/>
        <v>10470</v>
      </c>
      <c r="AU132" s="50">
        <f t="shared" si="72"/>
        <v>13262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5760.0000000000009</v>
      </c>
      <c r="AR133" s="189">
        <f t="shared" si="74"/>
        <v>6631</v>
      </c>
      <c r="AS133" s="189">
        <f t="shared" si="70"/>
        <v>5235</v>
      </c>
      <c r="AT133" s="189">
        <f t="shared" si="71"/>
        <v>10470</v>
      </c>
      <c r="AU133" s="50">
        <f t="shared" si="72"/>
        <v>13262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5760.0000000000009</v>
      </c>
      <c r="AR134" s="189">
        <f t="shared" si="74"/>
        <v>6631</v>
      </c>
      <c r="AS134" s="189">
        <f t="shared" si="70"/>
        <v>5235</v>
      </c>
      <c r="AT134" s="189">
        <f t="shared" si="71"/>
        <v>10470</v>
      </c>
      <c r="AU134" s="50">
        <f t="shared" si="72"/>
        <v>13262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4606.9099999999989</v>
      </c>
      <c r="AR135" s="189">
        <f t="shared" si="74"/>
        <v>4464.54</v>
      </c>
      <c r="AS135" s="189">
        <f t="shared" si="70"/>
        <v>5088.7799999999988</v>
      </c>
      <c r="AT135" s="189">
        <f t="shared" si="71"/>
        <v>8678.1599999999962</v>
      </c>
      <c r="AU135" s="50">
        <f t="shared" si="72"/>
        <v>6695.2799999999979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5050.2099999999991</v>
      </c>
      <c r="AR136" s="189">
        <f t="shared" si="74"/>
        <v>4984.7399999999989</v>
      </c>
      <c r="AS136" s="189">
        <f t="shared" si="70"/>
        <v>5486.5799999999981</v>
      </c>
      <c r="AT136" s="189">
        <f t="shared" si="71"/>
        <v>9779.7599999999984</v>
      </c>
      <c r="AU136" s="50">
        <f t="shared" si="72"/>
        <v>8041.6799999999976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5493.5099999999984</v>
      </c>
      <c r="AR137" s="189">
        <f t="shared" si="74"/>
        <v>5504.9399999999987</v>
      </c>
      <c r="AS137" s="189">
        <f t="shared" si="70"/>
        <v>5884.3799999999983</v>
      </c>
      <c r="AT137" s="189">
        <f t="shared" si="71"/>
        <v>10881.359999999997</v>
      </c>
      <c r="AU137" s="50">
        <f t="shared" si="72"/>
        <v>9388.0799999999981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5936.8099999999977</v>
      </c>
      <c r="AR138" s="189">
        <f t="shared" si="74"/>
        <v>6025.1399999999985</v>
      </c>
      <c r="AS138" s="189">
        <f t="shared" si="70"/>
        <v>6282.1799999999985</v>
      </c>
      <c r="AT138" s="189">
        <f t="shared" si="71"/>
        <v>11982.959999999997</v>
      </c>
      <c r="AU138" s="50">
        <f t="shared" si="72"/>
        <v>10734.479999999998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6380.1099999999988</v>
      </c>
      <c r="AR139" s="189">
        <f t="shared" si="74"/>
        <v>6545.3399999999983</v>
      </c>
      <c r="AS139" s="189">
        <f t="shared" si="70"/>
        <v>6679.9799999999987</v>
      </c>
      <c r="AT139" s="189">
        <f t="shared" si="71"/>
        <v>13084.559999999998</v>
      </c>
      <c r="AU139" s="50">
        <f t="shared" si="72"/>
        <v>12080.879999999997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6823.4099999999989</v>
      </c>
      <c r="AR140" s="189">
        <f t="shared" si="74"/>
        <v>7065.5399999999981</v>
      </c>
      <c r="AS140" s="189">
        <f t="shared" si="70"/>
        <v>7037.9999999999982</v>
      </c>
      <c r="AT140" s="189">
        <f t="shared" si="71"/>
        <v>14075.999999999996</v>
      </c>
      <c r="AU140" s="50">
        <f t="shared" si="72"/>
        <v>13427.279999999997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7266.7099999999982</v>
      </c>
      <c r="AR141" s="189">
        <f t="shared" si="74"/>
        <v>7585.739999999998</v>
      </c>
      <c r="AS141" s="189">
        <f t="shared" si="70"/>
        <v>7037.9999999999982</v>
      </c>
      <c r="AT141" s="189">
        <f t="shared" si="71"/>
        <v>14075.999999999996</v>
      </c>
      <c r="AU141" s="50">
        <f t="shared" si="72"/>
        <v>14773.679999999997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7710.0099999999993</v>
      </c>
      <c r="AR142" s="189">
        <f t="shared" si="74"/>
        <v>8105.9399999999987</v>
      </c>
      <c r="AS142" s="189">
        <f t="shared" si="70"/>
        <v>7037.9999999999982</v>
      </c>
      <c r="AT142" s="189">
        <f t="shared" si="71"/>
        <v>14075.999999999996</v>
      </c>
      <c r="AU142" s="50">
        <f t="shared" si="72"/>
        <v>16120.079999999996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7842.9999999999982</v>
      </c>
      <c r="AR143" s="189">
        <f t="shared" si="74"/>
        <v>8261.9999999999982</v>
      </c>
      <c r="AS143" s="189">
        <f t="shared" si="70"/>
        <v>7037.9999999999982</v>
      </c>
      <c r="AT143" s="189">
        <f t="shared" si="71"/>
        <v>14075.999999999996</v>
      </c>
      <c r="AU143" s="50">
        <f t="shared" si="72"/>
        <v>16523.999999999996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7842.9999999999982</v>
      </c>
      <c r="AR144" s="189">
        <f t="shared" si="74"/>
        <v>8261.9999999999982</v>
      </c>
      <c r="AS144" s="189">
        <f t="shared" si="70"/>
        <v>7037.9999999999982</v>
      </c>
      <c r="AT144" s="189">
        <f t="shared" si="71"/>
        <v>14075.999999999996</v>
      </c>
      <c r="AU144" s="50">
        <f t="shared" si="72"/>
        <v>16523.999999999996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7842.9999999999982</v>
      </c>
      <c r="AR145" s="189">
        <f t="shared" si="74"/>
        <v>8261.9999999999982</v>
      </c>
      <c r="AS145" s="189">
        <f t="shared" si="70"/>
        <v>7037.9999999999982</v>
      </c>
      <c r="AT145" s="189">
        <f t="shared" si="71"/>
        <v>14075.999999999996</v>
      </c>
      <c r="AU145" s="50">
        <f t="shared" si="72"/>
        <v>16523.999999999996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4859.2499999999991</v>
      </c>
      <c r="AR146" s="189">
        <f t="shared" si="74"/>
        <v>5400.9</v>
      </c>
      <c r="AS146" s="189">
        <f t="shared" si="70"/>
        <v>4589.9999999999991</v>
      </c>
      <c r="AT146" s="189">
        <f t="shared" si="71"/>
        <v>9179.9999999999982</v>
      </c>
      <c r="AU146" s="50">
        <f t="shared" si="72"/>
        <v>10342.799999999997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5029.7499999999991</v>
      </c>
      <c r="AR147" s="189">
        <f t="shared" si="74"/>
        <v>5676.2999999999993</v>
      </c>
      <c r="AS147" s="189">
        <f t="shared" si="70"/>
        <v>4589.9999999999991</v>
      </c>
      <c r="AT147" s="189">
        <f t="shared" si="71"/>
        <v>9179.9999999999982</v>
      </c>
      <c r="AU147" s="50">
        <f t="shared" si="72"/>
        <v>11199.599999999997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5114.9999999999991</v>
      </c>
      <c r="AR148" s="189">
        <f t="shared" si="74"/>
        <v>5813.9999999999991</v>
      </c>
      <c r="AS148" s="189">
        <f t="shared" si="70"/>
        <v>4589.9999999999991</v>
      </c>
      <c r="AT148" s="189">
        <f t="shared" si="71"/>
        <v>9179.9999999999982</v>
      </c>
      <c r="AU148" s="50">
        <f t="shared" si="72"/>
        <v>11627.999999999998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5114.9999999999991</v>
      </c>
      <c r="AR149" s="189">
        <f t="shared" si="74"/>
        <v>5813.9999999999991</v>
      </c>
      <c r="AS149" s="189">
        <f t="shared" si="70"/>
        <v>4589.9999999999991</v>
      </c>
      <c r="AT149" s="189">
        <f t="shared" si="71"/>
        <v>9179.9999999999982</v>
      </c>
      <c r="AU149" s="50">
        <f t="shared" si="72"/>
        <v>11627.999999999998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5114.9999999999991</v>
      </c>
      <c r="AR150" s="189">
        <f t="shared" si="74"/>
        <v>5813.9999999999991</v>
      </c>
      <c r="AS150" s="189">
        <f t="shared" si="70"/>
        <v>4589.9999999999991</v>
      </c>
      <c r="AT150" s="189">
        <f t="shared" si="71"/>
        <v>9179.9999999999982</v>
      </c>
      <c r="AU150" s="50">
        <f t="shared" si="72"/>
        <v>11627.999999999998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5114.9999999999991</v>
      </c>
      <c r="AR151" s="189">
        <f t="shared" si="74"/>
        <v>5813.9999999999991</v>
      </c>
      <c r="AS151" s="189">
        <f t="shared" si="70"/>
        <v>4589.9999999999991</v>
      </c>
      <c r="AT151" s="189">
        <f t="shared" si="71"/>
        <v>9179.9999999999982</v>
      </c>
      <c r="AU151" s="50">
        <f t="shared" si="72"/>
        <v>11627.999999999998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5114.9999999999991</v>
      </c>
      <c r="AR152" s="189">
        <f t="shared" si="74"/>
        <v>5813.9999999999991</v>
      </c>
      <c r="AS152" s="189">
        <f t="shared" si="70"/>
        <v>4589.9999999999991</v>
      </c>
      <c r="AT152" s="189">
        <f t="shared" si="71"/>
        <v>9179.9999999999982</v>
      </c>
      <c r="AU152" s="50">
        <f t="shared" si="72"/>
        <v>11627.999999999998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5114.9999999999991</v>
      </c>
      <c r="AR153" s="189">
        <f t="shared" si="74"/>
        <v>5813.9999999999991</v>
      </c>
      <c r="AS153" s="189">
        <f t="shared" si="70"/>
        <v>4589.9999999999991</v>
      </c>
      <c r="AT153" s="189">
        <f t="shared" si="71"/>
        <v>9179.9999999999982</v>
      </c>
      <c r="AU153" s="50">
        <f t="shared" si="72"/>
        <v>11627.999999999998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5114.9999999999991</v>
      </c>
      <c r="AR154" s="189">
        <f t="shared" si="74"/>
        <v>5813.9999999999991</v>
      </c>
      <c r="AS154" s="189">
        <f t="shared" si="70"/>
        <v>4589.9999999999991</v>
      </c>
      <c r="AT154" s="189">
        <f t="shared" si="71"/>
        <v>9179.9999999999982</v>
      </c>
      <c r="AU154" s="50">
        <f t="shared" si="72"/>
        <v>11627.999999999998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5114.9999999999991</v>
      </c>
      <c r="AR155" s="189">
        <f t="shared" si="74"/>
        <v>5813.9999999999991</v>
      </c>
      <c r="AS155" s="189">
        <f t="shared" si="70"/>
        <v>4589.9999999999991</v>
      </c>
      <c r="AT155" s="189">
        <f t="shared" si="71"/>
        <v>9179.9999999999982</v>
      </c>
      <c r="AU155" s="50">
        <f t="shared" si="72"/>
        <v>11627.999999999998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5114.9999999999991</v>
      </c>
      <c r="AR156" s="189">
        <f t="shared" si="74"/>
        <v>5813.9999999999991</v>
      </c>
      <c r="AS156" s="189">
        <f t="shared" si="70"/>
        <v>4589.9999999999991</v>
      </c>
      <c r="AT156" s="189">
        <f t="shared" si="71"/>
        <v>9179.9999999999982</v>
      </c>
      <c r="AU156" s="50">
        <f t="shared" si="72"/>
        <v>11627.999999999998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4585.3999999999996</v>
      </c>
      <c r="AR157" s="189">
        <f t="shared" si="74"/>
        <v>4586.67</v>
      </c>
      <c r="AS157" s="189">
        <f t="shared" si="70"/>
        <v>4630.95</v>
      </c>
      <c r="AT157" s="189">
        <f t="shared" si="71"/>
        <v>7453.8000000000011</v>
      </c>
      <c r="AU157" s="50">
        <f t="shared" si="72"/>
        <v>6479.6400000000012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4787.4000000000005</v>
      </c>
      <c r="AR158" s="189">
        <f t="shared" si="74"/>
        <v>4918.7700000000004</v>
      </c>
      <c r="AS158" s="189">
        <f t="shared" si="70"/>
        <v>4815.4500000000016</v>
      </c>
      <c r="AT158" s="189">
        <f t="shared" si="71"/>
        <v>8191.800000000002</v>
      </c>
      <c r="AU158" s="50">
        <f t="shared" si="72"/>
        <v>7512.8400000000011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4989.3999999999996</v>
      </c>
      <c r="AR159" s="189">
        <f t="shared" si="74"/>
        <v>5250.87</v>
      </c>
      <c r="AS159" s="189">
        <f t="shared" si="70"/>
        <v>4999.9500000000007</v>
      </c>
      <c r="AT159" s="189">
        <f t="shared" si="71"/>
        <v>8929.8000000000011</v>
      </c>
      <c r="AU159" s="50">
        <f t="shared" si="72"/>
        <v>8546.0400000000009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5191.4000000000005</v>
      </c>
      <c r="AR160" s="189">
        <f t="shared" si="74"/>
        <v>5582.97</v>
      </c>
      <c r="AS160" s="189">
        <f t="shared" si="70"/>
        <v>5184.45</v>
      </c>
      <c r="AT160" s="189">
        <f t="shared" si="71"/>
        <v>9667.7999999999993</v>
      </c>
      <c r="AU160" s="50">
        <f t="shared" si="72"/>
        <v>9579.2400000000016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5393.4</v>
      </c>
      <c r="AR161" s="189">
        <f t="shared" si="74"/>
        <v>5915.07</v>
      </c>
      <c r="AS161" s="189">
        <f t="shared" si="70"/>
        <v>5368.9500000000007</v>
      </c>
      <c r="AT161" s="189">
        <f t="shared" si="71"/>
        <v>10405.800000000001</v>
      </c>
      <c r="AU161" s="50">
        <f t="shared" si="72"/>
        <v>10612.44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5595.4</v>
      </c>
      <c r="AR162" s="189">
        <f t="shared" si="74"/>
        <v>6247.17</v>
      </c>
      <c r="AS162" s="189">
        <f t="shared" si="70"/>
        <v>5535.0000000000009</v>
      </c>
      <c r="AT162" s="189">
        <f t="shared" si="71"/>
        <v>11070.000000000002</v>
      </c>
      <c r="AU162" s="50">
        <f t="shared" si="72"/>
        <v>11645.64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5797.4000000000005</v>
      </c>
      <c r="AR163" s="189">
        <f t="shared" si="74"/>
        <v>6579.27</v>
      </c>
      <c r="AS163" s="189">
        <f t="shared" si="70"/>
        <v>5535.0000000000009</v>
      </c>
      <c r="AT163" s="189">
        <f t="shared" si="71"/>
        <v>11070.000000000002</v>
      </c>
      <c r="AU163" s="50">
        <f t="shared" si="72"/>
        <v>12678.840000000002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5999.4000000000005</v>
      </c>
      <c r="AR164" s="189">
        <f t="shared" si="74"/>
        <v>6911.3700000000008</v>
      </c>
      <c r="AS164" s="189">
        <f t="shared" si="70"/>
        <v>5535.0000000000009</v>
      </c>
      <c r="AT164" s="189">
        <f t="shared" si="71"/>
        <v>11070.000000000002</v>
      </c>
      <c r="AU164" s="50">
        <f t="shared" si="72"/>
        <v>13712.040000000003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6060</v>
      </c>
      <c r="AR165" s="189">
        <f t="shared" si="74"/>
        <v>7011.0000000000009</v>
      </c>
      <c r="AS165" s="189">
        <f t="shared" si="70"/>
        <v>5535.0000000000009</v>
      </c>
      <c r="AT165" s="189">
        <f t="shared" si="71"/>
        <v>11070.000000000002</v>
      </c>
      <c r="AU165" s="50">
        <f t="shared" si="72"/>
        <v>14022.000000000002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6060</v>
      </c>
      <c r="AR166" s="189">
        <f t="shared" si="74"/>
        <v>7011.0000000000009</v>
      </c>
      <c r="AS166" s="189">
        <f t="shared" si="70"/>
        <v>5535.0000000000009</v>
      </c>
      <c r="AT166" s="189">
        <f t="shared" si="71"/>
        <v>11070.000000000002</v>
      </c>
      <c r="AU166" s="50">
        <f t="shared" si="72"/>
        <v>14022.000000000002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6060</v>
      </c>
      <c r="AR167" s="189">
        <f t="shared" si="74"/>
        <v>7011.0000000000009</v>
      </c>
      <c r="AS167" s="189">
        <f t="shared" si="70"/>
        <v>5535.0000000000009</v>
      </c>
      <c r="AT167" s="189">
        <f t="shared" si="71"/>
        <v>11070.000000000002</v>
      </c>
      <c r="AU167" s="50">
        <f t="shared" si="72"/>
        <v>14022.000000000002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4877.1099999999997</v>
      </c>
      <c r="AR168" s="189">
        <f t="shared" si="74"/>
        <v>4756.34</v>
      </c>
      <c r="AS168" s="189">
        <f t="shared" si="70"/>
        <v>5421.3799999999992</v>
      </c>
      <c r="AT168" s="189">
        <f t="shared" si="71"/>
        <v>9245.3599999999988</v>
      </c>
      <c r="AU168" s="50">
        <f t="shared" si="72"/>
        <v>7132.8799999999992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5346.41</v>
      </c>
      <c r="AR169" s="189">
        <f t="shared" si="74"/>
        <v>5310.54</v>
      </c>
      <c r="AS169" s="189">
        <f t="shared" si="70"/>
        <v>5845.1799999999994</v>
      </c>
      <c r="AT169" s="189">
        <f t="shared" si="71"/>
        <v>10418.959999999999</v>
      </c>
      <c r="AU169" s="50">
        <f t="shared" si="72"/>
        <v>8567.2799999999988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5815.7099999999991</v>
      </c>
      <c r="AR170" s="189">
        <f t="shared" si="74"/>
        <v>5864.74</v>
      </c>
      <c r="AS170" s="189">
        <f t="shared" si="70"/>
        <v>6268.9799999999987</v>
      </c>
      <c r="AT170" s="189">
        <f t="shared" si="71"/>
        <v>11592.56</v>
      </c>
      <c r="AU170" s="50">
        <f t="shared" si="72"/>
        <v>10001.679999999998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6285.0099999999984</v>
      </c>
      <c r="AR171" s="189">
        <f t="shared" si="74"/>
        <v>6418.94</v>
      </c>
      <c r="AS171" s="189">
        <f t="shared" si="70"/>
        <v>6692.78</v>
      </c>
      <c r="AT171" s="189">
        <f t="shared" si="71"/>
        <v>12766.159999999998</v>
      </c>
      <c r="AU171" s="50">
        <f t="shared" si="72"/>
        <v>11436.079999999998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6754.31</v>
      </c>
      <c r="AR172" s="189">
        <f t="shared" si="74"/>
        <v>6973.1399999999994</v>
      </c>
      <c r="AS172" s="189">
        <f t="shared" si="70"/>
        <v>7116.579999999999</v>
      </c>
      <c r="AT172" s="189">
        <f t="shared" si="71"/>
        <v>13939.76</v>
      </c>
      <c r="AU172" s="50">
        <f t="shared" si="72"/>
        <v>12870.48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7223.61</v>
      </c>
      <c r="AR173" s="189">
        <f t="shared" si="74"/>
        <v>7527.3399999999992</v>
      </c>
      <c r="AS173" s="189">
        <f t="shared" si="70"/>
        <v>7497.9999999999991</v>
      </c>
      <c r="AT173" s="189">
        <f t="shared" si="71"/>
        <v>14995.999999999998</v>
      </c>
      <c r="AU173" s="50">
        <f t="shared" si="72"/>
        <v>14304.88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7692.9099999999989</v>
      </c>
      <c r="AR174" s="189">
        <f t="shared" si="74"/>
        <v>8081.5399999999991</v>
      </c>
      <c r="AS174" s="189">
        <f t="shared" si="70"/>
        <v>7497.9999999999991</v>
      </c>
      <c r="AT174" s="189">
        <f t="shared" si="71"/>
        <v>14995.999999999998</v>
      </c>
      <c r="AU174" s="50">
        <f t="shared" si="72"/>
        <v>15739.279999999999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8162.21</v>
      </c>
      <c r="AR175" s="189">
        <f t="shared" si="74"/>
        <v>8635.74</v>
      </c>
      <c r="AS175" s="189">
        <f t="shared" si="70"/>
        <v>7497.9999999999991</v>
      </c>
      <c r="AT175" s="189">
        <f t="shared" si="71"/>
        <v>14995.999999999998</v>
      </c>
      <c r="AU175" s="50">
        <f t="shared" si="72"/>
        <v>17173.68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8303</v>
      </c>
      <c r="AR176" s="189">
        <f t="shared" si="74"/>
        <v>8802</v>
      </c>
      <c r="AS176" s="189">
        <f t="shared" si="70"/>
        <v>7497.9999999999991</v>
      </c>
      <c r="AT176" s="189">
        <f t="shared" si="71"/>
        <v>14995.999999999998</v>
      </c>
      <c r="AU176" s="50">
        <f t="shared" si="72"/>
        <v>17604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8303</v>
      </c>
      <c r="AR177" s="189">
        <f t="shared" si="74"/>
        <v>8802</v>
      </c>
      <c r="AS177" s="189">
        <f t="shared" si="70"/>
        <v>7497.9999999999991</v>
      </c>
      <c r="AT177" s="189">
        <f t="shared" si="71"/>
        <v>14995.999999999998</v>
      </c>
      <c r="AU177" s="50">
        <f t="shared" si="72"/>
        <v>17604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8303</v>
      </c>
      <c r="AR178" s="189">
        <f t="shared" si="74"/>
        <v>8802</v>
      </c>
      <c r="AS178" s="189">
        <f t="shared" si="70"/>
        <v>7497.9999999999991</v>
      </c>
      <c r="AT178" s="189">
        <f t="shared" si="71"/>
        <v>14995.999999999998</v>
      </c>
      <c r="AU178" s="50">
        <f t="shared" si="72"/>
        <v>17604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5144.2499999999991</v>
      </c>
      <c r="AR179" s="189">
        <f t="shared" si="74"/>
        <v>5753.9000000000005</v>
      </c>
      <c r="AS179" s="189">
        <f t="shared" si="70"/>
        <v>4890</v>
      </c>
      <c r="AT179" s="189">
        <f t="shared" si="71"/>
        <v>9780</v>
      </c>
      <c r="AU179" s="50">
        <f t="shared" si="72"/>
        <v>11018.8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5324.7499999999991</v>
      </c>
      <c r="AR180" s="189">
        <f t="shared" si="74"/>
        <v>6047.3</v>
      </c>
      <c r="AS180" s="189">
        <f t="shared" si="70"/>
        <v>4890</v>
      </c>
      <c r="AT180" s="189">
        <f t="shared" si="71"/>
        <v>9780</v>
      </c>
      <c r="AU180" s="50">
        <f t="shared" si="72"/>
        <v>11931.599999999999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5415</v>
      </c>
      <c r="AR181" s="189">
        <f t="shared" si="74"/>
        <v>6194</v>
      </c>
      <c r="AS181" s="189">
        <f t="shared" si="70"/>
        <v>4890</v>
      </c>
      <c r="AT181" s="189">
        <f t="shared" si="71"/>
        <v>9780</v>
      </c>
      <c r="AU181" s="50">
        <f t="shared" si="72"/>
        <v>12388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5415</v>
      </c>
      <c r="AR182" s="189">
        <f t="shared" si="74"/>
        <v>6194</v>
      </c>
      <c r="AS182" s="189">
        <f t="shared" si="70"/>
        <v>4890</v>
      </c>
      <c r="AT182" s="189">
        <f t="shared" si="71"/>
        <v>9780</v>
      </c>
      <c r="AU182" s="50">
        <f t="shared" si="72"/>
        <v>12388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5415</v>
      </c>
      <c r="AR183" s="189">
        <f t="shared" si="74"/>
        <v>6194</v>
      </c>
      <c r="AS183" s="189">
        <f t="shared" si="70"/>
        <v>4890</v>
      </c>
      <c r="AT183" s="189">
        <f t="shared" si="71"/>
        <v>9780</v>
      </c>
      <c r="AU183" s="50">
        <f t="shared" si="72"/>
        <v>12388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5415</v>
      </c>
      <c r="AR184" s="189">
        <f t="shared" si="74"/>
        <v>6194</v>
      </c>
      <c r="AS184" s="189">
        <f t="shared" si="70"/>
        <v>4890</v>
      </c>
      <c r="AT184" s="189">
        <f t="shared" si="71"/>
        <v>9780</v>
      </c>
      <c r="AU184" s="50">
        <f t="shared" si="72"/>
        <v>12388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5415</v>
      </c>
      <c r="AR185" s="189">
        <f t="shared" si="74"/>
        <v>6194</v>
      </c>
      <c r="AS185" s="189">
        <f t="shared" si="70"/>
        <v>4890</v>
      </c>
      <c r="AT185" s="189">
        <f t="shared" si="71"/>
        <v>9780</v>
      </c>
      <c r="AU185" s="50">
        <f t="shared" si="72"/>
        <v>12388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5415</v>
      </c>
      <c r="AR186" s="189">
        <f t="shared" si="74"/>
        <v>6194</v>
      </c>
      <c r="AS186" s="189">
        <f t="shared" si="70"/>
        <v>4890</v>
      </c>
      <c r="AT186" s="189">
        <f t="shared" si="71"/>
        <v>9780</v>
      </c>
      <c r="AU186" s="50">
        <f t="shared" si="72"/>
        <v>12388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5415</v>
      </c>
      <c r="AR187" s="189">
        <f t="shared" si="74"/>
        <v>6194</v>
      </c>
      <c r="AS187" s="189">
        <f t="shared" si="70"/>
        <v>4890</v>
      </c>
      <c r="AT187" s="189">
        <f t="shared" si="71"/>
        <v>9780</v>
      </c>
      <c r="AU187" s="50">
        <f t="shared" si="72"/>
        <v>12388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5415</v>
      </c>
      <c r="AR188" s="189">
        <f t="shared" si="74"/>
        <v>6194</v>
      </c>
      <c r="AS188" s="189">
        <f t="shared" si="70"/>
        <v>4890</v>
      </c>
      <c r="AT188" s="189">
        <f t="shared" si="71"/>
        <v>9780</v>
      </c>
      <c r="AU188" s="50">
        <f t="shared" si="72"/>
        <v>12388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5415</v>
      </c>
      <c r="AR189" s="189">
        <f t="shared" si="74"/>
        <v>6194</v>
      </c>
      <c r="AS189" s="189">
        <f t="shared" si="70"/>
        <v>4890</v>
      </c>
      <c r="AT189" s="189">
        <f t="shared" si="71"/>
        <v>9780</v>
      </c>
      <c r="AU189" s="50">
        <f t="shared" si="72"/>
        <v>12388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4812.3999999999996</v>
      </c>
      <c r="AR190" s="189">
        <f t="shared" si="74"/>
        <v>4835.2699999999995</v>
      </c>
      <c r="AS190" s="189">
        <f t="shared" si="70"/>
        <v>4881.95</v>
      </c>
      <c r="AT190" s="189">
        <f t="shared" si="71"/>
        <v>7857.8</v>
      </c>
      <c r="AU190" s="50">
        <f t="shared" si="72"/>
        <v>6830.84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5024.4000000000005</v>
      </c>
      <c r="AR191" s="189">
        <f t="shared" si="74"/>
        <v>5185.37</v>
      </c>
      <c r="AS191" s="189">
        <f t="shared" si="70"/>
        <v>5076.4500000000007</v>
      </c>
      <c r="AT191" s="189">
        <f t="shared" si="71"/>
        <v>8635.8000000000011</v>
      </c>
      <c r="AU191" s="50">
        <f t="shared" si="72"/>
        <v>7920.04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5236.3999999999996</v>
      </c>
      <c r="AR192" s="189">
        <f t="shared" si="74"/>
        <v>5535.4699999999993</v>
      </c>
      <c r="AS192" s="189">
        <f t="shared" si="70"/>
        <v>5270.95</v>
      </c>
      <c r="AT192" s="189">
        <f t="shared" si="71"/>
        <v>9413.7999999999993</v>
      </c>
      <c r="AU192" s="50">
        <f t="shared" si="72"/>
        <v>9009.24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5448.4000000000005</v>
      </c>
      <c r="AR193" s="189">
        <f t="shared" si="74"/>
        <v>5885.57</v>
      </c>
      <c r="AS193" s="189">
        <f t="shared" si="70"/>
        <v>5465.4499999999989</v>
      </c>
      <c r="AT193" s="189">
        <f t="shared" si="71"/>
        <v>10191.799999999999</v>
      </c>
      <c r="AU193" s="50">
        <f t="shared" si="72"/>
        <v>10098.44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5660.4</v>
      </c>
      <c r="AR194" s="189">
        <f t="shared" si="74"/>
        <v>6235.6699999999992</v>
      </c>
      <c r="AS194" s="189">
        <f t="shared" si="70"/>
        <v>5659.9500000000007</v>
      </c>
      <c r="AT194" s="189">
        <f t="shared" si="71"/>
        <v>10969.8</v>
      </c>
      <c r="AU194" s="50">
        <f t="shared" si="72"/>
        <v>11187.64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5872.4</v>
      </c>
      <c r="AR195" s="189">
        <f t="shared" si="74"/>
        <v>6585.7699999999995</v>
      </c>
      <c r="AS195" s="189">
        <f t="shared" ref="AS195:AS258" si="77">$AG$3*(1+$AJ195*$Y$2+$AN195)*(MAXA(1-$AI$3-$AL195*$AA$3-$AP195-0.36,0)+MINA($AI$3+$AL195*$AA$3+$AP195+0.36,1)*(1+$AH$3+$AO195+$AK195*$Z$4))</f>
        <v>5835</v>
      </c>
      <c r="AT195" s="189">
        <f t="shared" ref="AT195:AT258" si="78">$AG$3*(1+$AJ195*$Y$2+$AN195)*(MAXA(1-$AI$3-$AL195*$AA$3-$AP195-0.36,0)+2*MINA($AI$3+$AL195*$AA$3+$AP195+0.36,1)*(1+$AH$3+$AO195+$AK195*$Z$4))</f>
        <v>11670</v>
      </c>
      <c r="AU195" s="50">
        <f t="shared" ref="AU195:AU258" si="79">$AG$3*(1+$AJ195*$Y$2+$AN195)*(MAXA(1-$AI$3-$AL195*$AA$3-$AP195-0.12,0)+2*MINA($AI$3+$AL195*$AA$3+$AP195+0.12,1)*(1+$AH$3+$AO195+$AK195*$Z$4+0.4))</f>
        <v>12276.839999999998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6084.4000000000005</v>
      </c>
      <c r="AR196" s="189">
        <f t="shared" ref="AR196:AR259" si="81">$AG$3*(1+$AJ196*$Y$2+$AN196)*(MAXA(1-$AI$3-$AL196*$AA$3-$AP196-0.12,0)+MINA($AI$3+$AL196*$AA$3+$AP196+0.12,1)*(1+$AH$3+$AO196+$AK196*$Z$4+0.4))</f>
        <v>6935.87</v>
      </c>
      <c r="AS196" s="189">
        <f t="shared" si="77"/>
        <v>5835</v>
      </c>
      <c r="AT196" s="189">
        <f t="shared" si="78"/>
        <v>11670</v>
      </c>
      <c r="AU196" s="50">
        <f t="shared" si="79"/>
        <v>13366.039999999999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6296.4000000000005</v>
      </c>
      <c r="AR197" s="189">
        <f t="shared" si="81"/>
        <v>7285.97</v>
      </c>
      <c r="AS197" s="189">
        <f t="shared" si="77"/>
        <v>5835</v>
      </c>
      <c r="AT197" s="189">
        <f t="shared" si="78"/>
        <v>11670</v>
      </c>
      <c r="AU197" s="50">
        <f t="shared" si="79"/>
        <v>14455.240000000002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6360</v>
      </c>
      <c r="AR198" s="189">
        <f t="shared" si="81"/>
        <v>7391</v>
      </c>
      <c r="AS198" s="189">
        <f t="shared" si="77"/>
        <v>5835</v>
      </c>
      <c r="AT198" s="189">
        <f t="shared" si="78"/>
        <v>11670</v>
      </c>
      <c r="AU198" s="50">
        <f t="shared" si="79"/>
        <v>14782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6360</v>
      </c>
      <c r="AR199" s="189">
        <f t="shared" si="81"/>
        <v>7391</v>
      </c>
      <c r="AS199" s="189">
        <f t="shared" si="77"/>
        <v>5835</v>
      </c>
      <c r="AT199" s="189">
        <f t="shared" si="78"/>
        <v>11670</v>
      </c>
      <c r="AU199" s="50">
        <f t="shared" si="79"/>
        <v>14782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6360</v>
      </c>
      <c r="AR200" s="189">
        <f t="shared" si="81"/>
        <v>7391</v>
      </c>
      <c r="AS200" s="189">
        <f t="shared" si="77"/>
        <v>5835</v>
      </c>
      <c r="AT200" s="189">
        <f t="shared" si="78"/>
        <v>11670</v>
      </c>
      <c r="AU200" s="50">
        <f t="shared" si="79"/>
        <v>14782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3667.05</v>
      </c>
      <c r="AR201" s="189">
        <f t="shared" si="81"/>
        <v>3419.3799999999997</v>
      </c>
      <c r="AS201" s="189">
        <f t="shared" si="77"/>
        <v>3988.8999999999996</v>
      </c>
      <c r="AT201" s="189">
        <f t="shared" ref="AT201:AT233" si="82">$AG$3*(1+$AJ201*$Y$2+$AN201+0.35)*(MAXA(1-$AI$3-$AL201*$AA$3-$AP201-0.12,0)+2*MINA($AI$3+$AL201*$AA$3+$AP201+0.12,1)*(1+$AH$3+$AO201+$AK201*$Z$4))</f>
        <v>5428.8</v>
      </c>
      <c r="AU201" s="189">
        <f t="shared" si="79"/>
        <v>5188.9600000000009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4058.5500000000006</v>
      </c>
      <c r="AR202" s="189">
        <f t="shared" si="81"/>
        <v>3848.7799999999997</v>
      </c>
      <c r="AS202" s="189">
        <f t="shared" si="77"/>
        <v>4327.8999999999996</v>
      </c>
      <c r="AT202" s="189">
        <f t="shared" si="82"/>
        <v>6472.8</v>
      </c>
      <c r="AU202" s="189">
        <f t="shared" si="79"/>
        <v>6273.7599999999993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4450.0499999999993</v>
      </c>
      <c r="AR203" s="189">
        <f t="shared" si="81"/>
        <v>4278.1799999999994</v>
      </c>
      <c r="AS203" s="189">
        <f t="shared" si="77"/>
        <v>4666.8999999999996</v>
      </c>
      <c r="AT203" s="189">
        <f t="shared" si="82"/>
        <v>7516.7999999999984</v>
      </c>
      <c r="AU203" s="189">
        <f t="shared" si="79"/>
        <v>7358.5599999999995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4841.55</v>
      </c>
      <c r="AR204" s="189">
        <f t="shared" si="81"/>
        <v>4707.579999999999</v>
      </c>
      <c r="AS204" s="189">
        <f t="shared" si="77"/>
        <v>5005.8999999999996</v>
      </c>
      <c r="AT204" s="189">
        <f t="shared" si="82"/>
        <v>8560.7999999999993</v>
      </c>
      <c r="AU204" s="189">
        <f t="shared" si="79"/>
        <v>8443.3599999999988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5233.0499999999993</v>
      </c>
      <c r="AR205" s="189">
        <f t="shared" si="81"/>
        <v>5136.9800000000005</v>
      </c>
      <c r="AS205" s="189">
        <f t="shared" si="77"/>
        <v>5344.9</v>
      </c>
      <c r="AT205" s="189">
        <f t="shared" si="82"/>
        <v>9604.8000000000011</v>
      </c>
      <c r="AU205" s="189">
        <f t="shared" si="79"/>
        <v>9528.16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5624.5500000000011</v>
      </c>
      <c r="AR206" s="189">
        <f t="shared" si="81"/>
        <v>5566.38</v>
      </c>
      <c r="AS206" s="189">
        <f t="shared" si="77"/>
        <v>5650</v>
      </c>
      <c r="AT206" s="189">
        <f t="shared" si="82"/>
        <v>10648.800000000001</v>
      </c>
      <c r="AU206" s="189">
        <f t="shared" si="79"/>
        <v>10612.96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6016.0499999999993</v>
      </c>
      <c r="AR207" s="189">
        <f t="shared" si="81"/>
        <v>5995.78</v>
      </c>
      <c r="AS207" s="189">
        <f t="shared" si="77"/>
        <v>5650</v>
      </c>
      <c r="AT207" s="189">
        <f t="shared" si="82"/>
        <v>11692.8</v>
      </c>
      <c r="AU207" s="189">
        <f t="shared" si="79"/>
        <v>11697.76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6407.55</v>
      </c>
      <c r="AR208" s="189">
        <f t="shared" si="81"/>
        <v>6425.18</v>
      </c>
      <c r="AS208" s="189">
        <f t="shared" si="77"/>
        <v>5650</v>
      </c>
      <c r="AT208" s="189">
        <f t="shared" si="82"/>
        <v>12736.8</v>
      </c>
      <c r="AU208" s="189">
        <f t="shared" si="79"/>
        <v>12782.56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6525</v>
      </c>
      <c r="AR209" s="189">
        <f t="shared" si="81"/>
        <v>6554</v>
      </c>
      <c r="AS209" s="189">
        <f t="shared" si="77"/>
        <v>5650</v>
      </c>
      <c r="AT209" s="189">
        <f t="shared" si="82"/>
        <v>13050</v>
      </c>
      <c r="AU209" s="189">
        <f t="shared" si="79"/>
        <v>13108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6525</v>
      </c>
      <c r="AR210" s="189">
        <f t="shared" si="81"/>
        <v>6554</v>
      </c>
      <c r="AS210" s="189">
        <f t="shared" si="77"/>
        <v>5650</v>
      </c>
      <c r="AT210" s="189">
        <f t="shared" si="82"/>
        <v>13050</v>
      </c>
      <c r="AU210" s="189">
        <f t="shared" si="79"/>
        <v>13108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6525</v>
      </c>
      <c r="AR211" s="189">
        <f t="shared" si="81"/>
        <v>6554</v>
      </c>
      <c r="AS211" s="189">
        <f t="shared" si="77"/>
        <v>5650</v>
      </c>
      <c r="AT211" s="189">
        <f t="shared" si="82"/>
        <v>13050</v>
      </c>
      <c r="AU211" s="189">
        <f t="shared" si="79"/>
        <v>13108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4162.9499999999989</v>
      </c>
      <c r="AR212" s="189">
        <f t="shared" si="81"/>
        <v>4373.1000000000004</v>
      </c>
      <c r="AS212" s="189">
        <f t="shared" si="77"/>
        <v>3842</v>
      </c>
      <c r="AT212" s="189">
        <f t="shared" si="82"/>
        <v>7934.3999999999987</v>
      </c>
      <c r="AU212" s="189">
        <f t="shared" si="79"/>
        <v>8407.1999999999989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4345.6500000000005</v>
      </c>
      <c r="AR213" s="189">
        <f t="shared" si="81"/>
        <v>4621.7</v>
      </c>
      <c r="AS213" s="189">
        <f t="shared" si="77"/>
        <v>3842</v>
      </c>
      <c r="AT213" s="189">
        <f t="shared" si="82"/>
        <v>8560.7999999999993</v>
      </c>
      <c r="AU213" s="189">
        <f t="shared" si="79"/>
        <v>9130.4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4437</v>
      </c>
      <c r="AR214" s="189">
        <f t="shared" si="81"/>
        <v>4746</v>
      </c>
      <c r="AS214" s="189">
        <f t="shared" si="77"/>
        <v>3842</v>
      </c>
      <c r="AT214" s="189">
        <f t="shared" si="82"/>
        <v>8874</v>
      </c>
      <c r="AU214" s="189">
        <f t="shared" si="79"/>
        <v>9492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4437</v>
      </c>
      <c r="AR215" s="189">
        <f t="shared" si="81"/>
        <v>4746</v>
      </c>
      <c r="AS215" s="189">
        <f t="shared" si="77"/>
        <v>3842</v>
      </c>
      <c r="AT215" s="189">
        <f t="shared" si="82"/>
        <v>8874</v>
      </c>
      <c r="AU215" s="189">
        <f t="shared" si="79"/>
        <v>9492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4437</v>
      </c>
      <c r="AR216" s="189">
        <f t="shared" si="81"/>
        <v>4746</v>
      </c>
      <c r="AS216" s="189">
        <f t="shared" si="77"/>
        <v>3842</v>
      </c>
      <c r="AT216" s="189">
        <f t="shared" si="82"/>
        <v>8874</v>
      </c>
      <c r="AU216" s="189">
        <f t="shared" si="79"/>
        <v>9492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4437</v>
      </c>
      <c r="AR217" s="189">
        <f t="shared" si="81"/>
        <v>4746</v>
      </c>
      <c r="AS217" s="189">
        <f t="shared" si="77"/>
        <v>3842</v>
      </c>
      <c r="AT217" s="189">
        <f t="shared" si="82"/>
        <v>8874</v>
      </c>
      <c r="AU217" s="189">
        <f t="shared" si="79"/>
        <v>9492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4437</v>
      </c>
      <c r="AR218" s="189">
        <f t="shared" si="81"/>
        <v>4746</v>
      </c>
      <c r="AS218" s="189">
        <f t="shared" si="77"/>
        <v>3842</v>
      </c>
      <c r="AT218" s="189">
        <f t="shared" si="82"/>
        <v>8874</v>
      </c>
      <c r="AU218" s="189">
        <f t="shared" si="79"/>
        <v>9492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4437</v>
      </c>
      <c r="AR219" s="189">
        <f t="shared" si="81"/>
        <v>4746</v>
      </c>
      <c r="AS219" s="189">
        <f t="shared" si="77"/>
        <v>3842</v>
      </c>
      <c r="AT219" s="189">
        <f t="shared" si="82"/>
        <v>8874</v>
      </c>
      <c r="AU219" s="189">
        <f t="shared" si="79"/>
        <v>9492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4437</v>
      </c>
      <c r="AR220" s="189">
        <f t="shared" si="81"/>
        <v>4746</v>
      </c>
      <c r="AS220" s="189">
        <f t="shared" si="77"/>
        <v>3842</v>
      </c>
      <c r="AT220" s="189">
        <f t="shared" si="82"/>
        <v>8874</v>
      </c>
      <c r="AU220" s="189">
        <f t="shared" si="79"/>
        <v>9492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4437</v>
      </c>
      <c r="AR221" s="189">
        <f t="shared" si="81"/>
        <v>4746</v>
      </c>
      <c r="AS221" s="189">
        <f t="shared" si="77"/>
        <v>3842</v>
      </c>
      <c r="AT221" s="189">
        <f t="shared" si="82"/>
        <v>8874</v>
      </c>
      <c r="AU221" s="189">
        <f t="shared" si="79"/>
        <v>9492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4437</v>
      </c>
      <c r="AR222" s="189">
        <f t="shared" si="81"/>
        <v>4746</v>
      </c>
      <c r="AS222" s="189">
        <f t="shared" si="77"/>
        <v>3842</v>
      </c>
      <c r="AT222" s="189">
        <f t="shared" si="82"/>
        <v>8874</v>
      </c>
      <c r="AU222" s="189">
        <f t="shared" si="79"/>
        <v>9492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3852.36</v>
      </c>
      <c r="AR223" s="189">
        <f t="shared" si="81"/>
        <v>3748.3300000000004</v>
      </c>
      <c r="AS223" s="189">
        <f t="shared" si="77"/>
        <v>3921.73</v>
      </c>
      <c r="AT223" s="189">
        <f t="shared" si="82"/>
        <v>5339.52</v>
      </c>
      <c r="AU223" s="189">
        <f t="shared" si="79"/>
        <v>5386.96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4079.16</v>
      </c>
      <c r="AR224" s="189">
        <f t="shared" si="81"/>
        <v>4066.23</v>
      </c>
      <c r="AS224" s="189">
        <f t="shared" si="77"/>
        <v>4124.03</v>
      </c>
      <c r="AT224" s="189">
        <f t="shared" si="82"/>
        <v>6117.12</v>
      </c>
      <c r="AU224" s="189">
        <f t="shared" si="79"/>
        <v>6311.76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4305.9599999999991</v>
      </c>
      <c r="AR225" s="189">
        <f t="shared" si="81"/>
        <v>4384.13</v>
      </c>
      <c r="AS225" s="189">
        <f t="shared" si="77"/>
        <v>4326.33</v>
      </c>
      <c r="AT225" s="189">
        <f t="shared" si="82"/>
        <v>6894.7199999999993</v>
      </c>
      <c r="AU225" s="189">
        <f t="shared" si="79"/>
        <v>7236.56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4532.76</v>
      </c>
      <c r="AR226" s="189">
        <f t="shared" si="81"/>
        <v>4702.03</v>
      </c>
      <c r="AS226" s="189">
        <f t="shared" si="77"/>
        <v>4528.6299999999992</v>
      </c>
      <c r="AT226" s="189">
        <f t="shared" si="82"/>
        <v>7672.32</v>
      </c>
      <c r="AU226" s="189">
        <f t="shared" si="79"/>
        <v>8161.36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4759.5599999999995</v>
      </c>
      <c r="AR227" s="189">
        <f t="shared" si="81"/>
        <v>5019.93</v>
      </c>
      <c r="AS227" s="189">
        <f t="shared" si="77"/>
        <v>4730.93</v>
      </c>
      <c r="AT227" s="189">
        <f t="shared" si="82"/>
        <v>8449.92</v>
      </c>
      <c r="AU227" s="189">
        <f t="shared" si="79"/>
        <v>9086.1600000000017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4986.3599999999997</v>
      </c>
      <c r="AR228" s="189">
        <f t="shared" si="81"/>
        <v>5337.8300000000008</v>
      </c>
      <c r="AS228" s="189">
        <f t="shared" si="77"/>
        <v>4913</v>
      </c>
      <c r="AT228" s="189">
        <f t="shared" si="82"/>
        <v>9227.52</v>
      </c>
      <c r="AU228" s="189">
        <f t="shared" si="79"/>
        <v>10010.960000000001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5213.16</v>
      </c>
      <c r="AR229" s="189">
        <f t="shared" si="81"/>
        <v>5655.73</v>
      </c>
      <c r="AS229" s="189">
        <f t="shared" si="77"/>
        <v>4913</v>
      </c>
      <c r="AT229" s="189">
        <f t="shared" si="82"/>
        <v>10005.119999999999</v>
      </c>
      <c r="AU229" s="189">
        <f t="shared" si="79"/>
        <v>10935.76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5439.96</v>
      </c>
      <c r="AR230" s="189">
        <f t="shared" si="81"/>
        <v>5973.63</v>
      </c>
      <c r="AS230" s="189">
        <f t="shared" si="77"/>
        <v>4913</v>
      </c>
      <c r="AT230" s="189">
        <f t="shared" si="82"/>
        <v>10782.720000000001</v>
      </c>
      <c r="AU230" s="189">
        <f t="shared" si="79"/>
        <v>11860.56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5508</v>
      </c>
      <c r="AR231" s="189">
        <f t="shared" si="81"/>
        <v>6069</v>
      </c>
      <c r="AS231" s="189">
        <f t="shared" si="77"/>
        <v>4913</v>
      </c>
      <c r="AT231" s="189">
        <f t="shared" si="82"/>
        <v>11016</v>
      </c>
      <c r="AU231" s="189">
        <f t="shared" si="79"/>
        <v>12138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5508</v>
      </c>
      <c r="AR232" s="189">
        <f t="shared" si="81"/>
        <v>6069</v>
      </c>
      <c r="AS232" s="189">
        <f t="shared" si="77"/>
        <v>4913</v>
      </c>
      <c r="AT232" s="189">
        <f t="shared" si="82"/>
        <v>11016</v>
      </c>
      <c r="AU232" s="189">
        <f t="shared" si="79"/>
        <v>12138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5508</v>
      </c>
      <c r="AR233" s="189">
        <f t="shared" si="81"/>
        <v>6069</v>
      </c>
      <c r="AS233" s="189">
        <f t="shared" si="77"/>
        <v>4913</v>
      </c>
      <c r="AT233" s="189">
        <f t="shared" si="82"/>
        <v>11016</v>
      </c>
      <c r="AU233" s="189">
        <f t="shared" si="79"/>
        <v>12138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3948.05</v>
      </c>
      <c r="AR234" s="189">
        <f t="shared" si="81"/>
        <v>3721.9799999999996</v>
      </c>
      <c r="AS234" s="189">
        <f t="shared" si="77"/>
        <v>4341.8999999999996</v>
      </c>
      <c r="AT234" s="189">
        <f t="shared" si="78"/>
        <v>7478.4</v>
      </c>
      <c r="AU234" s="50">
        <f t="shared" si="79"/>
        <v>5648.1600000000008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4369.55</v>
      </c>
      <c r="AR235" s="189">
        <f t="shared" si="81"/>
        <v>4189.3799999999992</v>
      </c>
      <c r="AS235" s="189">
        <f t="shared" si="77"/>
        <v>4710.8999999999996</v>
      </c>
      <c r="AT235" s="189">
        <f t="shared" si="78"/>
        <v>8462.4</v>
      </c>
      <c r="AU235" s="50">
        <f t="shared" si="79"/>
        <v>6828.9599999999991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4791.0499999999993</v>
      </c>
      <c r="AR236" s="189">
        <f t="shared" si="81"/>
        <v>4656.78</v>
      </c>
      <c r="AS236" s="189">
        <f t="shared" si="77"/>
        <v>5079.8999999999996</v>
      </c>
      <c r="AT236" s="189">
        <f t="shared" si="78"/>
        <v>9446.4</v>
      </c>
      <c r="AU236" s="50">
        <f t="shared" si="79"/>
        <v>8009.7599999999993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5212.55</v>
      </c>
      <c r="AR237" s="189">
        <f t="shared" si="81"/>
        <v>5124.1799999999994</v>
      </c>
      <c r="AS237" s="189">
        <f t="shared" si="77"/>
        <v>5448.9</v>
      </c>
      <c r="AT237" s="189">
        <f t="shared" si="78"/>
        <v>10430.4</v>
      </c>
      <c r="AU237" s="50">
        <f t="shared" si="79"/>
        <v>9190.56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5634.0499999999993</v>
      </c>
      <c r="AR238" s="189">
        <f t="shared" si="81"/>
        <v>5591.58</v>
      </c>
      <c r="AS238" s="189">
        <f t="shared" si="77"/>
        <v>5817.9</v>
      </c>
      <c r="AT238" s="189">
        <f t="shared" si="78"/>
        <v>11414.4</v>
      </c>
      <c r="AU238" s="50">
        <f t="shared" si="79"/>
        <v>10371.36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6055.5500000000011</v>
      </c>
      <c r="AR239" s="189">
        <f t="shared" si="81"/>
        <v>6058.9800000000005</v>
      </c>
      <c r="AS239" s="189">
        <f t="shared" si="77"/>
        <v>6150</v>
      </c>
      <c r="AT239" s="189">
        <f t="shared" si="78"/>
        <v>12300</v>
      </c>
      <c r="AU239" s="50">
        <f t="shared" si="79"/>
        <v>11552.16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6477.0499999999993</v>
      </c>
      <c r="AR240" s="189">
        <f t="shared" si="81"/>
        <v>6526.38</v>
      </c>
      <c r="AS240" s="189">
        <f t="shared" si="77"/>
        <v>6150</v>
      </c>
      <c r="AT240" s="189">
        <f t="shared" si="78"/>
        <v>12300</v>
      </c>
      <c r="AU240" s="50">
        <f t="shared" si="79"/>
        <v>12732.960000000001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6898.55</v>
      </c>
      <c r="AR241" s="189">
        <f t="shared" si="81"/>
        <v>6993.78</v>
      </c>
      <c r="AS241" s="189">
        <f t="shared" si="77"/>
        <v>6150</v>
      </c>
      <c r="AT241" s="189">
        <f t="shared" si="78"/>
        <v>12300</v>
      </c>
      <c r="AU241" s="50">
        <f t="shared" si="79"/>
        <v>13913.759999999998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7025</v>
      </c>
      <c r="AR242" s="189">
        <f t="shared" si="81"/>
        <v>7134</v>
      </c>
      <c r="AS242" s="189">
        <f t="shared" si="77"/>
        <v>6150</v>
      </c>
      <c r="AT242" s="189">
        <f t="shared" si="78"/>
        <v>12300</v>
      </c>
      <c r="AU242" s="50">
        <f t="shared" si="79"/>
        <v>14268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7025</v>
      </c>
      <c r="AR243" s="189">
        <f t="shared" si="81"/>
        <v>7134</v>
      </c>
      <c r="AS243" s="189">
        <f t="shared" si="77"/>
        <v>6150</v>
      </c>
      <c r="AT243" s="189">
        <f t="shared" si="78"/>
        <v>12300</v>
      </c>
      <c r="AU243" s="50">
        <f t="shared" si="79"/>
        <v>14268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7025</v>
      </c>
      <c r="AR244" s="189">
        <f t="shared" si="81"/>
        <v>7134</v>
      </c>
      <c r="AS244" s="189">
        <f t="shared" si="77"/>
        <v>6150</v>
      </c>
      <c r="AT244" s="189">
        <f t="shared" si="78"/>
        <v>12300</v>
      </c>
      <c r="AU244" s="50">
        <f t="shared" si="79"/>
        <v>14268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4481.9499999999989</v>
      </c>
      <c r="AR245" s="189">
        <f t="shared" si="81"/>
        <v>4760.1000000000004</v>
      </c>
      <c r="AS245" s="189">
        <f t="shared" si="77"/>
        <v>4182</v>
      </c>
      <c r="AT245" s="189">
        <f t="shared" si="78"/>
        <v>8364</v>
      </c>
      <c r="AU245" s="50">
        <f t="shared" si="79"/>
        <v>9151.1999999999989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4678.6500000000005</v>
      </c>
      <c r="AR246" s="189">
        <f t="shared" si="81"/>
        <v>5030.7</v>
      </c>
      <c r="AS246" s="189">
        <f t="shared" si="77"/>
        <v>4182</v>
      </c>
      <c r="AT246" s="189">
        <f t="shared" si="78"/>
        <v>8364</v>
      </c>
      <c r="AU246" s="50">
        <f t="shared" si="79"/>
        <v>9938.4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4777</v>
      </c>
      <c r="AR247" s="189">
        <f t="shared" si="81"/>
        <v>5166</v>
      </c>
      <c r="AS247" s="189">
        <f t="shared" si="77"/>
        <v>4182</v>
      </c>
      <c r="AT247" s="189">
        <f t="shared" si="78"/>
        <v>8364</v>
      </c>
      <c r="AU247" s="50">
        <f t="shared" si="79"/>
        <v>10332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4777</v>
      </c>
      <c r="AR248" s="189">
        <f t="shared" si="81"/>
        <v>5166</v>
      </c>
      <c r="AS248" s="189">
        <f t="shared" si="77"/>
        <v>4182</v>
      </c>
      <c r="AT248" s="189">
        <f t="shared" si="78"/>
        <v>8364</v>
      </c>
      <c r="AU248" s="50">
        <f t="shared" si="79"/>
        <v>10332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4777</v>
      </c>
      <c r="AR249" s="189">
        <f t="shared" si="81"/>
        <v>5166</v>
      </c>
      <c r="AS249" s="189">
        <f t="shared" si="77"/>
        <v>4182</v>
      </c>
      <c r="AT249" s="189">
        <f t="shared" si="78"/>
        <v>8364</v>
      </c>
      <c r="AU249" s="50">
        <f t="shared" si="79"/>
        <v>10332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4777</v>
      </c>
      <c r="AR250" s="189">
        <f t="shared" si="81"/>
        <v>5166</v>
      </c>
      <c r="AS250" s="189">
        <f t="shared" si="77"/>
        <v>4182</v>
      </c>
      <c r="AT250" s="189">
        <f t="shared" si="78"/>
        <v>8364</v>
      </c>
      <c r="AU250" s="50">
        <f t="shared" si="79"/>
        <v>10332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4777</v>
      </c>
      <c r="AR251" s="189">
        <f t="shared" si="81"/>
        <v>5166</v>
      </c>
      <c r="AS251" s="189">
        <f t="shared" si="77"/>
        <v>4182</v>
      </c>
      <c r="AT251" s="189">
        <f t="shared" si="78"/>
        <v>8364</v>
      </c>
      <c r="AU251" s="50">
        <f t="shared" si="79"/>
        <v>10332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4777</v>
      </c>
      <c r="AR252" s="189">
        <f t="shared" si="81"/>
        <v>5166</v>
      </c>
      <c r="AS252" s="189">
        <f t="shared" si="77"/>
        <v>4182</v>
      </c>
      <c r="AT252" s="189">
        <f t="shared" si="78"/>
        <v>8364</v>
      </c>
      <c r="AU252" s="50">
        <f t="shared" si="79"/>
        <v>10332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4777</v>
      </c>
      <c r="AR253" s="189">
        <f t="shared" si="81"/>
        <v>5166</v>
      </c>
      <c r="AS253" s="189">
        <f t="shared" si="77"/>
        <v>4182</v>
      </c>
      <c r="AT253" s="189">
        <f t="shared" si="78"/>
        <v>8364</v>
      </c>
      <c r="AU253" s="50">
        <f t="shared" si="79"/>
        <v>10332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4777</v>
      </c>
      <c r="AR254" s="189">
        <f t="shared" si="81"/>
        <v>5166</v>
      </c>
      <c r="AS254" s="189">
        <f t="shared" si="77"/>
        <v>4182</v>
      </c>
      <c r="AT254" s="189">
        <f t="shared" si="78"/>
        <v>8364</v>
      </c>
      <c r="AU254" s="50">
        <f t="shared" si="79"/>
        <v>10332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4777</v>
      </c>
      <c r="AR255" s="189">
        <f t="shared" si="81"/>
        <v>5166</v>
      </c>
      <c r="AS255" s="189">
        <f t="shared" si="77"/>
        <v>4182</v>
      </c>
      <c r="AT255" s="189">
        <f t="shared" si="78"/>
        <v>8364</v>
      </c>
      <c r="AU255" s="50">
        <f t="shared" si="79"/>
        <v>10332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4090.1600000000008</v>
      </c>
      <c r="AR256" s="189">
        <f t="shared" si="81"/>
        <v>4007.7300000000009</v>
      </c>
      <c r="AS256" s="189">
        <f t="shared" si="77"/>
        <v>4193.130000000001</v>
      </c>
      <c r="AT256" s="189">
        <f t="shared" si="78"/>
        <v>6872.1600000000017</v>
      </c>
      <c r="AU256" s="50">
        <f t="shared" si="79"/>
        <v>5759.7600000000011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4330.96</v>
      </c>
      <c r="AR257" s="189">
        <f t="shared" si="81"/>
        <v>4347.630000000001</v>
      </c>
      <c r="AS257" s="189">
        <f t="shared" si="77"/>
        <v>4409.4300000000012</v>
      </c>
      <c r="AT257" s="189">
        <f t="shared" si="78"/>
        <v>7613.7600000000011</v>
      </c>
      <c r="AU257" s="50">
        <f t="shared" si="79"/>
        <v>6748.5600000000013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4571.7599999999993</v>
      </c>
      <c r="AR258" s="189">
        <f t="shared" si="81"/>
        <v>4687.5300000000007</v>
      </c>
      <c r="AS258" s="189">
        <f t="shared" si="77"/>
        <v>4625.7300000000005</v>
      </c>
      <c r="AT258" s="189">
        <f t="shared" si="78"/>
        <v>8355.36</v>
      </c>
      <c r="AU258" s="50">
        <f t="shared" si="79"/>
        <v>7737.3600000000015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4812.5600000000004</v>
      </c>
      <c r="AR259" s="189">
        <f t="shared" si="81"/>
        <v>5027.43</v>
      </c>
      <c r="AS259" s="189">
        <f t="shared" ref="AS259:AS322" si="83">$AG$3*(1+$AJ259*$Y$2+$AN259)*(MAXA(1-$AI$3-$AL259*$AA$3-$AP259-0.36,0)+MINA($AI$3+$AL259*$AA$3+$AP259+0.36,1)*(1+$AH$3+$AO259+$AK259*$Z$4))</f>
        <v>4842.03</v>
      </c>
      <c r="AT259" s="189">
        <f t="shared" ref="AT259:AT322" si="84">$AG$3*(1+$AJ259*$Y$2+$AN259)*(MAXA(1-$AI$3-$AL259*$AA$3-$AP259-0.36,0)+2*MINA($AI$3+$AL259*$AA$3+$AP259+0.36,1)*(1+$AH$3+$AO259+$AK259*$Z$4))</f>
        <v>9096.9599999999991</v>
      </c>
      <c r="AU259" s="50">
        <f t="shared" ref="AU259:AU322" si="85">$AG$3*(1+$AJ259*$Y$2+$AN259)*(MAXA(1-$AI$3-$AL259*$AA$3-$AP259-0.12,0)+2*MINA($AI$3+$AL259*$AA$3+$AP259+0.12,1)*(1+$AH$3+$AO259+$AK259*$Z$4+0.4))</f>
        <v>8726.1600000000017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5053.3600000000006</v>
      </c>
      <c r="AR260" s="189">
        <f t="shared" ref="AR260:AR323" si="87">$AG$3*(1+$AJ260*$Y$2+$AN260)*(MAXA(1-$AI$3-$AL260*$AA$3-$AP260-0.12,0)+MINA($AI$3+$AL260*$AA$3+$AP260+0.12,1)*(1+$AH$3+$AO260+$AK260*$Z$4+0.4))</f>
        <v>5367.3300000000008</v>
      </c>
      <c r="AS260" s="189">
        <f t="shared" si="83"/>
        <v>5058.3300000000008</v>
      </c>
      <c r="AT260" s="189">
        <f t="shared" si="84"/>
        <v>9838.5600000000013</v>
      </c>
      <c r="AU260" s="50">
        <f t="shared" si="85"/>
        <v>9714.9600000000028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5294.1600000000008</v>
      </c>
      <c r="AR261" s="189">
        <f t="shared" si="87"/>
        <v>5707.2300000000014</v>
      </c>
      <c r="AS261" s="189">
        <f t="shared" si="83"/>
        <v>5253.0000000000009</v>
      </c>
      <c r="AT261" s="189">
        <f t="shared" si="84"/>
        <v>10506.000000000002</v>
      </c>
      <c r="AU261" s="50">
        <f t="shared" si="85"/>
        <v>10703.760000000002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5534.9600000000009</v>
      </c>
      <c r="AR262" s="189">
        <f t="shared" si="87"/>
        <v>6047.13</v>
      </c>
      <c r="AS262" s="189">
        <f t="shared" si="83"/>
        <v>5253.0000000000009</v>
      </c>
      <c r="AT262" s="189">
        <f t="shared" si="84"/>
        <v>10506.000000000002</v>
      </c>
      <c r="AU262" s="50">
        <f t="shared" si="85"/>
        <v>11692.560000000001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5775.7600000000011</v>
      </c>
      <c r="AR263" s="189">
        <f t="shared" si="87"/>
        <v>6387.0300000000016</v>
      </c>
      <c r="AS263" s="189">
        <f t="shared" si="83"/>
        <v>5253.0000000000009</v>
      </c>
      <c r="AT263" s="189">
        <f t="shared" si="84"/>
        <v>10506.000000000002</v>
      </c>
      <c r="AU263" s="50">
        <f t="shared" si="85"/>
        <v>12681.360000000002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5848.0000000000009</v>
      </c>
      <c r="AR264" s="189">
        <f t="shared" si="87"/>
        <v>6489.0000000000009</v>
      </c>
      <c r="AS264" s="189">
        <f t="shared" si="83"/>
        <v>5253.0000000000009</v>
      </c>
      <c r="AT264" s="189">
        <f t="shared" si="84"/>
        <v>10506.000000000002</v>
      </c>
      <c r="AU264" s="50">
        <f t="shared" si="85"/>
        <v>12978.000000000002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5848.0000000000009</v>
      </c>
      <c r="AR265" s="189">
        <f t="shared" si="87"/>
        <v>6489.0000000000009</v>
      </c>
      <c r="AS265" s="189">
        <f t="shared" si="83"/>
        <v>5253.0000000000009</v>
      </c>
      <c r="AT265" s="189">
        <f t="shared" si="84"/>
        <v>10506.000000000002</v>
      </c>
      <c r="AU265" s="50">
        <f t="shared" si="85"/>
        <v>12978.000000000002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5848.0000000000009</v>
      </c>
      <c r="AR266" s="189">
        <f t="shared" si="87"/>
        <v>6489.0000000000009</v>
      </c>
      <c r="AS266" s="189">
        <f t="shared" si="83"/>
        <v>5253.0000000000009</v>
      </c>
      <c r="AT266" s="189">
        <f t="shared" si="84"/>
        <v>10506.000000000002</v>
      </c>
      <c r="AU266" s="50">
        <f t="shared" si="85"/>
        <v>12978.000000000002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4229.05</v>
      </c>
      <c r="AR267" s="189">
        <f t="shared" si="87"/>
        <v>4024.579999999999</v>
      </c>
      <c r="AS267" s="189">
        <f t="shared" si="83"/>
        <v>4694.8999999999987</v>
      </c>
      <c r="AT267" s="189">
        <f t="shared" si="84"/>
        <v>8086.3999999999987</v>
      </c>
      <c r="AU267" s="50">
        <f t="shared" si="85"/>
        <v>6107.36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4680.55</v>
      </c>
      <c r="AR268" s="189">
        <f t="shared" si="87"/>
        <v>4529.9799999999987</v>
      </c>
      <c r="AS268" s="189">
        <f t="shared" si="83"/>
        <v>5093.8999999999996</v>
      </c>
      <c r="AT268" s="189">
        <f t="shared" si="84"/>
        <v>9150.3999999999978</v>
      </c>
      <c r="AU268" s="50">
        <f t="shared" si="85"/>
        <v>7384.159999999998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5132.0499999999993</v>
      </c>
      <c r="AR269" s="189">
        <f t="shared" si="87"/>
        <v>5035.3799999999983</v>
      </c>
      <c r="AS269" s="189">
        <f t="shared" si="83"/>
        <v>5492.8999999999987</v>
      </c>
      <c r="AT269" s="189">
        <f t="shared" si="84"/>
        <v>10214.399999999998</v>
      </c>
      <c r="AU269" s="50">
        <f t="shared" si="85"/>
        <v>8660.9599999999973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5583.55</v>
      </c>
      <c r="AR270" s="189">
        <f t="shared" si="87"/>
        <v>5540.7799999999979</v>
      </c>
      <c r="AS270" s="189">
        <f t="shared" si="83"/>
        <v>5891.8999999999987</v>
      </c>
      <c r="AT270" s="189">
        <f t="shared" si="84"/>
        <v>11278.399999999998</v>
      </c>
      <c r="AU270" s="50">
        <f t="shared" si="85"/>
        <v>9937.7599999999984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6035.0499999999993</v>
      </c>
      <c r="AR271" s="189">
        <f t="shared" si="87"/>
        <v>6046.1799999999994</v>
      </c>
      <c r="AS271" s="189">
        <f t="shared" si="83"/>
        <v>6290.8999999999987</v>
      </c>
      <c r="AT271" s="189">
        <f t="shared" si="84"/>
        <v>12342.399999999998</v>
      </c>
      <c r="AU271" s="50">
        <f t="shared" si="85"/>
        <v>11214.56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6486.5500000000011</v>
      </c>
      <c r="AR272" s="189">
        <f t="shared" si="87"/>
        <v>6551.579999999999</v>
      </c>
      <c r="AS272" s="189">
        <f t="shared" si="83"/>
        <v>6649.9999999999991</v>
      </c>
      <c r="AT272" s="189">
        <f t="shared" si="84"/>
        <v>13299.999999999998</v>
      </c>
      <c r="AU272" s="50">
        <f t="shared" si="85"/>
        <v>12491.359999999997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6938.0499999999993</v>
      </c>
      <c r="AR273" s="189">
        <f t="shared" si="87"/>
        <v>7056.9799999999987</v>
      </c>
      <c r="AS273" s="189">
        <f t="shared" si="83"/>
        <v>6649.9999999999991</v>
      </c>
      <c r="AT273" s="189">
        <f t="shared" si="84"/>
        <v>13299.999999999998</v>
      </c>
      <c r="AU273" s="50">
        <f t="shared" si="85"/>
        <v>13768.159999999998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7389.55</v>
      </c>
      <c r="AR274" s="189">
        <f t="shared" si="87"/>
        <v>7562.3799999999983</v>
      </c>
      <c r="AS274" s="189">
        <f t="shared" si="83"/>
        <v>6649.9999999999991</v>
      </c>
      <c r="AT274" s="189">
        <f t="shared" si="84"/>
        <v>13299.999999999998</v>
      </c>
      <c r="AU274" s="50">
        <f t="shared" si="85"/>
        <v>15044.959999999997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7525</v>
      </c>
      <c r="AR275" s="189">
        <f t="shared" si="87"/>
        <v>7713.9999999999982</v>
      </c>
      <c r="AS275" s="189">
        <f t="shared" si="83"/>
        <v>6649.9999999999991</v>
      </c>
      <c r="AT275" s="189">
        <f t="shared" si="84"/>
        <v>13299.999999999998</v>
      </c>
      <c r="AU275" s="50">
        <f t="shared" si="85"/>
        <v>15427.999999999996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7525</v>
      </c>
      <c r="AR276" s="189">
        <f t="shared" si="87"/>
        <v>7713.9999999999982</v>
      </c>
      <c r="AS276" s="189">
        <f t="shared" si="83"/>
        <v>6649.9999999999991</v>
      </c>
      <c r="AT276" s="189">
        <f t="shared" si="84"/>
        <v>13299.999999999998</v>
      </c>
      <c r="AU276" s="50">
        <f t="shared" si="85"/>
        <v>15427.999999999996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7525</v>
      </c>
      <c r="AR277" s="189">
        <f t="shared" si="87"/>
        <v>7713.9999999999982</v>
      </c>
      <c r="AS277" s="189">
        <f t="shared" si="83"/>
        <v>6649.9999999999991</v>
      </c>
      <c r="AT277" s="189">
        <f t="shared" si="84"/>
        <v>13299.999999999998</v>
      </c>
      <c r="AU277" s="50">
        <f t="shared" si="85"/>
        <v>15427.999999999996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4800.9499999999989</v>
      </c>
      <c r="AR278" s="189">
        <f t="shared" si="87"/>
        <v>5147.0999999999995</v>
      </c>
      <c r="AS278" s="189">
        <f t="shared" si="83"/>
        <v>4521.9999999999991</v>
      </c>
      <c r="AT278" s="189">
        <f t="shared" si="84"/>
        <v>9043.9999999999982</v>
      </c>
      <c r="AU278" s="50">
        <f t="shared" si="85"/>
        <v>9895.1999999999971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5011.6500000000005</v>
      </c>
      <c r="AR279" s="189">
        <f t="shared" si="87"/>
        <v>5439.6999999999989</v>
      </c>
      <c r="AS279" s="189">
        <f t="shared" si="83"/>
        <v>4521.9999999999991</v>
      </c>
      <c r="AT279" s="189">
        <f t="shared" si="84"/>
        <v>9043.9999999999982</v>
      </c>
      <c r="AU279" s="50">
        <f t="shared" si="85"/>
        <v>10746.399999999998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5117</v>
      </c>
      <c r="AR280" s="189">
        <f t="shared" si="87"/>
        <v>5585.9999999999991</v>
      </c>
      <c r="AS280" s="189">
        <f t="shared" si="83"/>
        <v>4521.9999999999991</v>
      </c>
      <c r="AT280" s="189">
        <f t="shared" si="84"/>
        <v>9043.9999999999982</v>
      </c>
      <c r="AU280" s="50">
        <f t="shared" si="85"/>
        <v>11171.999999999998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5117</v>
      </c>
      <c r="AR281" s="189">
        <f t="shared" si="87"/>
        <v>5585.9999999999991</v>
      </c>
      <c r="AS281" s="189">
        <f t="shared" si="83"/>
        <v>4521.9999999999991</v>
      </c>
      <c r="AT281" s="189">
        <f t="shared" si="84"/>
        <v>9043.9999999999982</v>
      </c>
      <c r="AU281" s="50">
        <f t="shared" si="85"/>
        <v>11171.999999999998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5117</v>
      </c>
      <c r="AR282" s="189">
        <f t="shared" si="87"/>
        <v>5585.9999999999991</v>
      </c>
      <c r="AS282" s="189">
        <f t="shared" si="83"/>
        <v>4521.9999999999991</v>
      </c>
      <c r="AT282" s="189">
        <f t="shared" si="84"/>
        <v>9043.9999999999982</v>
      </c>
      <c r="AU282" s="50">
        <f t="shared" si="85"/>
        <v>11171.999999999998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5117</v>
      </c>
      <c r="AR283" s="189">
        <f t="shared" si="87"/>
        <v>5585.9999999999991</v>
      </c>
      <c r="AS283" s="189">
        <f t="shared" si="83"/>
        <v>4521.9999999999991</v>
      </c>
      <c r="AT283" s="189">
        <f t="shared" si="84"/>
        <v>9043.9999999999982</v>
      </c>
      <c r="AU283" s="50">
        <f t="shared" si="85"/>
        <v>11171.999999999998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5117</v>
      </c>
      <c r="AR284" s="189">
        <f t="shared" si="87"/>
        <v>5585.9999999999991</v>
      </c>
      <c r="AS284" s="189">
        <f t="shared" si="83"/>
        <v>4521.9999999999991</v>
      </c>
      <c r="AT284" s="189">
        <f t="shared" si="84"/>
        <v>9043.9999999999982</v>
      </c>
      <c r="AU284" s="50">
        <f t="shared" si="85"/>
        <v>11171.999999999998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5117</v>
      </c>
      <c r="AR285" s="189">
        <f t="shared" si="87"/>
        <v>5585.9999999999991</v>
      </c>
      <c r="AS285" s="189">
        <f t="shared" si="83"/>
        <v>4521.9999999999991</v>
      </c>
      <c r="AT285" s="189">
        <f t="shared" si="84"/>
        <v>9043.9999999999982</v>
      </c>
      <c r="AU285" s="50">
        <f t="shared" si="85"/>
        <v>11171.999999999998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5117</v>
      </c>
      <c r="AR286" s="189">
        <f t="shared" si="87"/>
        <v>5585.9999999999991</v>
      </c>
      <c r="AS286" s="189">
        <f t="shared" si="83"/>
        <v>4521.9999999999991</v>
      </c>
      <c r="AT286" s="189">
        <f t="shared" si="84"/>
        <v>9043.9999999999982</v>
      </c>
      <c r="AU286" s="50">
        <f t="shared" si="85"/>
        <v>11171.999999999998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5117</v>
      </c>
      <c r="AR287" s="189">
        <f t="shared" si="87"/>
        <v>5585.9999999999991</v>
      </c>
      <c r="AS287" s="189">
        <f t="shared" si="83"/>
        <v>4521.9999999999991</v>
      </c>
      <c r="AT287" s="189">
        <f t="shared" si="84"/>
        <v>9043.9999999999982</v>
      </c>
      <c r="AU287" s="50">
        <f t="shared" si="85"/>
        <v>11171.999999999998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5117</v>
      </c>
      <c r="AR288" s="189">
        <f t="shared" si="87"/>
        <v>5585.9999999999991</v>
      </c>
      <c r="AS288" s="189">
        <f t="shared" si="83"/>
        <v>4521.9999999999991</v>
      </c>
      <c r="AT288" s="189">
        <f t="shared" si="84"/>
        <v>9043.9999999999982</v>
      </c>
      <c r="AU288" s="50">
        <f t="shared" si="85"/>
        <v>11171.999999999998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4327.96</v>
      </c>
      <c r="AR289" s="189">
        <f t="shared" si="87"/>
        <v>4267.13</v>
      </c>
      <c r="AS289" s="189">
        <f t="shared" si="83"/>
        <v>4464.53</v>
      </c>
      <c r="AT289" s="189">
        <f t="shared" si="84"/>
        <v>7316.9600000000009</v>
      </c>
      <c r="AU289" s="50">
        <f t="shared" si="85"/>
        <v>6132.56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4582.7599999999993</v>
      </c>
      <c r="AR290" s="189">
        <f t="shared" si="87"/>
        <v>4629.03</v>
      </c>
      <c r="AS290" s="189">
        <f t="shared" si="83"/>
        <v>4694.83</v>
      </c>
      <c r="AT290" s="189">
        <f t="shared" si="84"/>
        <v>8106.5599999999995</v>
      </c>
      <c r="AU290" s="50">
        <f t="shared" si="85"/>
        <v>7185.3600000000006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4837.5599999999995</v>
      </c>
      <c r="AR291" s="189">
        <f t="shared" si="87"/>
        <v>4990.9299999999994</v>
      </c>
      <c r="AS291" s="189">
        <f t="shared" si="83"/>
        <v>4925.1299999999992</v>
      </c>
      <c r="AT291" s="189">
        <f t="shared" si="84"/>
        <v>8896.16</v>
      </c>
      <c r="AU291" s="50">
        <f t="shared" si="85"/>
        <v>8238.16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5092.3599999999997</v>
      </c>
      <c r="AR292" s="189">
        <f t="shared" si="87"/>
        <v>5352.829999999999</v>
      </c>
      <c r="AS292" s="189">
        <f t="shared" si="83"/>
        <v>5155.4299999999994</v>
      </c>
      <c r="AT292" s="189">
        <f t="shared" si="84"/>
        <v>9685.7599999999984</v>
      </c>
      <c r="AU292" s="50">
        <f t="shared" si="85"/>
        <v>9290.9599999999991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5347.16</v>
      </c>
      <c r="AR293" s="189">
        <f t="shared" si="87"/>
        <v>5714.7300000000005</v>
      </c>
      <c r="AS293" s="189">
        <f t="shared" si="83"/>
        <v>5385.7300000000005</v>
      </c>
      <c r="AT293" s="189">
        <f t="shared" si="84"/>
        <v>10475.359999999999</v>
      </c>
      <c r="AU293" s="50">
        <f t="shared" si="85"/>
        <v>10343.760000000002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5601.96</v>
      </c>
      <c r="AR294" s="189">
        <f t="shared" si="87"/>
        <v>6076.630000000001</v>
      </c>
      <c r="AS294" s="189">
        <f t="shared" si="83"/>
        <v>5593</v>
      </c>
      <c r="AT294" s="189">
        <f t="shared" si="84"/>
        <v>11186</v>
      </c>
      <c r="AU294" s="50">
        <f t="shared" si="85"/>
        <v>11396.560000000001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5856.76</v>
      </c>
      <c r="AR295" s="189">
        <f t="shared" si="87"/>
        <v>6438.53</v>
      </c>
      <c r="AS295" s="189">
        <f t="shared" si="83"/>
        <v>5593</v>
      </c>
      <c r="AT295" s="189">
        <f t="shared" si="84"/>
        <v>11186</v>
      </c>
      <c r="AU295" s="50">
        <f t="shared" si="85"/>
        <v>12449.359999999999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6111.56</v>
      </c>
      <c r="AR296" s="189">
        <f t="shared" si="87"/>
        <v>6800.43</v>
      </c>
      <c r="AS296" s="189">
        <f t="shared" si="83"/>
        <v>5593</v>
      </c>
      <c r="AT296" s="189">
        <f t="shared" si="84"/>
        <v>11186</v>
      </c>
      <c r="AU296" s="50">
        <f t="shared" si="85"/>
        <v>13502.16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6188</v>
      </c>
      <c r="AR297" s="189">
        <f t="shared" si="87"/>
        <v>6909</v>
      </c>
      <c r="AS297" s="189">
        <f t="shared" si="83"/>
        <v>5593</v>
      </c>
      <c r="AT297" s="189">
        <f t="shared" si="84"/>
        <v>11186</v>
      </c>
      <c r="AU297" s="50">
        <f t="shared" si="85"/>
        <v>13818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6188</v>
      </c>
      <c r="AR298" s="189">
        <f t="shared" si="87"/>
        <v>6909</v>
      </c>
      <c r="AS298" s="189">
        <f t="shared" si="83"/>
        <v>5593</v>
      </c>
      <c r="AT298" s="189">
        <f t="shared" si="84"/>
        <v>11186</v>
      </c>
      <c r="AU298" s="50">
        <f t="shared" si="85"/>
        <v>13818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6188</v>
      </c>
      <c r="AR299" s="189">
        <f t="shared" si="87"/>
        <v>6909</v>
      </c>
      <c r="AS299" s="189">
        <f t="shared" si="83"/>
        <v>5593</v>
      </c>
      <c r="AT299" s="189">
        <f t="shared" si="84"/>
        <v>11186</v>
      </c>
      <c r="AU299" s="50">
        <f t="shared" si="85"/>
        <v>13818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4510.05</v>
      </c>
      <c r="AR300" s="189">
        <f t="shared" si="87"/>
        <v>4327.1799999999994</v>
      </c>
      <c r="AS300" s="189">
        <f t="shared" si="83"/>
        <v>5047.8999999999996</v>
      </c>
      <c r="AT300" s="189">
        <f t="shared" si="84"/>
        <v>8694.4</v>
      </c>
      <c r="AU300" s="50">
        <f t="shared" si="85"/>
        <v>6566.56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4991.55</v>
      </c>
      <c r="AR301" s="189">
        <f t="shared" si="87"/>
        <v>4870.58</v>
      </c>
      <c r="AS301" s="189">
        <f t="shared" si="83"/>
        <v>5476.9000000000005</v>
      </c>
      <c r="AT301" s="189">
        <f t="shared" si="84"/>
        <v>9838.4</v>
      </c>
      <c r="AU301" s="50">
        <f t="shared" si="85"/>
        <v>7939.36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5473.0499999999984</v>
      </c>
      <c r="AR302" s="189">
        <f t="shared" si="87"/>
        <v>5413.98</v>
      </c>
      <c r="AS302" s="189">
        <f t="shared" si="83"/>
        <v>5905.9</v>
      </c>
      <c r="AT302" s="189">
        <f t="shared" si="84"/>
        <v>10982.4</v>
      </c>
      <c r="AU302" s="50">
        <f t="shared" si="85"/>
        <v>9312.16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5954.55</v>
      </c>
      <c r="AR303" s="189">
        <f t="shared" si="87"/>
        <v>5957.3799999999992</v>
      </c>
      <c r="AS303" s="189">
        <f t="shared" si="83"/>
        <v>6334.9</v>
      </c>
      <c r="AT303" s="189">
        <f t="shared" si="84"/>
        <v>12126.400000000001</v>
      </c>
      <c r="AU303" s="50">
        <f t="shared" si="85"/>
        <v>10684.96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6436.0499999999993</v>
      </c>
      <c r="AR304" s="189">
        <f t="shared" si="87"/>
        <v>6500.7800000000007</v>
      </c>
      <c r="AS304" s="189">
        <f t="shared" si="83"/>
        <v>6763.9</v>
      </c>
      <c r="AT304" s="189">
        <f t="shared" si="84"/>
        <v>13270.4</v>
      </c>
      <c r="AU304" s="50">
        <f t="shared" si="85"/>
        <v>12057.76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6917.5500000000011</v>
      </c>
      <c r="AR305" s="189">
        <f t="shared" si="87"/>
        <v>7044.18</v>
      </c>
      <c r="AS305" s="189">
        <f t="shared" si="83"/>
        <v>7150</v>
      </c>
      <c r="AT305" s="189">
        <f t="shared" si="84"/>
        <v>14300</v>
      </c>
      <c r="AU305" s="50">
        <f t="shared" si="85"/>
        <v>13430.56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7399.0499999999993</v>
      </c>
      <c r="AR306" s="189">
        <f t="shared" si="87"/>
        <v>7587.58</v>
      </c>
      <c r="AS306" s="189">
        <f t="shared" si="83"/>
        <v>7150</v>
      </c>
      <c r="AT306" s="189">
        <f t="shared" si="84"/>
        <v>14300</v>
      </c>
      <c r="AU306" s="50">
        <f t="shared" si="85"/>
        <v>14803.36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7880.55</v>
      </c>
      <c r="AR307" s="189">
        <f t="shared" si="87"/>
        <v>8130.98</v>
      </c>
      <c r="AS307" s="189">
        <f t="shared" si="83"/>
        <v>7150</v>
      </c>
      <c r="AT307" s="189">
        <f t="shared" si="84"/>
        <v>14300</v>
      </c>
      <c r="AU307" s="50">
        <f t="shared" si="85"/>
        <v>16176.16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8025</v>
      </c>
      <c r="AR308" s="189">
        <f t="shared" si="87"/>
        <v>8294</v>
      </c>
      <c r="AS308" s="189">
        <f t="shared" si="83"/>
        <v>7150</v>
      </c>
      <c r="AT308" s="189">
        <f t="shared" si="84"/>
        <v>14300</v>
      </c>
      <c r="AU308" s="50">
        <f t="shared" si="85"/>
        <v>16588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8025</v>
      </c>
      <c r="AR309" s="189">
        <f t="shared" si="87"/>
        <v>8294</v>
      </c>
      <c r="AS309" s="189">
        <f t="shared" si="83"/>
        <v>7150</v>
      </c>
      <c r="AT309" s="189">
        <f t="shared" si="84"/>
        <v>14300</v>
      </c>
      <c r="AU309" s="50">
        <f t="shared" si="85"/>
        <v>16588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8025</v>
      </c>
      <c r="AR310" s="189">
        <f t="shared" si="87"/>
        <v>8294</v>
      </c>
      <c r="AS310" s="189">
        <f t="shared" si="83"/>
        <v>7150</v>
      </c>
      <c r="AT310" s="189">
        <f t="shared" si="84"/>
        <v>14300</v>
      </c>
      <c r="AU310" s="50">
        <f t="shared" si="85"/>
        <v>16588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5119.9499999999989</v>
      </c>
      <c r="AR311" s="189">
        <f t="shared" si="87"/>
        <v>5534.1</v>
      </c>
      <c r="AS311" s="189">
        <f t="shared" si="83"/>
        <v>4862</v>
      </c>
      <c r="AT311" s="189">
        <f t="shared" si="84"/>
        <v>9724</v>
      </c>
      <c r="AU311" s="50">
        <f t="shared" si="85"/>
        <v>10639.199999999999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5344.6500000000005</v>
      </c>
      <c r="AR312" s="189">
        <f t="shared" si="87"/>
        <v>5848.7</v>
      </c>
      <c r="AS312" s="189">
        <f t="shared" si="83"/>
        <v>4862</v>
      </c>
      <c r="AT312" s="189">
        <f t="shared" si="84"/>
        <v>9724</v>
      </c>
      <c r="AU312" s="50">
        <f t="shared" si="85"/>
        <v>11554.4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5457</v>
      </c>
      <c r="AR313" s="189">
        <f t="shared" si="87"/>
        <v>6006</v>
      </c>
      <c r="AS313" s="189">
        <f t="shared" si="83"/>
        <v>4862</v>
      </c>
      <c r="AT313" s="189">
        <f t="shared" si="84"/>
        <v>9724</v>
      </c>
      <c r="AU313" s="50">
        <f t="shared" si="85"/>
        <v>12012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5457</v>
      </c>
      <c r="AR314" s="189">
        <f t="shared" si="87"/>
        <v>6006</v>
      </c>
      <c r="AS314" s="189">
        <f t="shared" si="83"/>
        <v>4862</v>
      </c>
      <c r="AT314" s="189">
        <f t="shared" si="84"/>
        <v>9724</v>
      </c>
      <c r="AU314" s="50">
        <f t="shared" si="85"/>
        <v>12012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5457</v>
      </c>
      <c r="AR315" s="189">
        <f t="shared" si="87"/>
        <v>6006</v>
      </c>
      <c r="AS315" s="189">
        <f t="shared" si="83"/>
        <v>4862</v>
      </c>
      <c r="AT315" s="189">
        <f t="shared" si="84"/>
        <v>9724</v>
      </c>
      <c r="AU315" s="50">
        <f t="shared" si="85"/>
        <v>12012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5457</v>
      </c>
      <c r="AR316" s="189">
        <f t="shared" si="87"/>
        <v>6006</v>
      </c>
      <c r="AS316" s="189">
        <f t="shared" si="83"/>
        <v>4862</v>
      </c>
      <c r="AT316" s="189">
        <f t="shared" si="84"/>
        <v>9724</v>
      </c>
      <c r="AU316" s="50">
        <f t="shared" si="85"/>
        <v>12012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5457</v>
      </c>
      <c r="AR317" s="189">
        <f t="shared" si="87"/>
        <v>6006</v>
      </c>
      <c r="AS317" s="189">
        <f t="shared" si="83"/>
        <v>4862</v>
      </c>
      <c r="AT317" s="189">
        <f t="shared" si="84"/>
        <v>9724</v>
      </c>
      <c r="AU317" s="50">
        <f t="shared" si="85"/>
        <v>12012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5457</v>
      </c>
      <c r="AR318" s="189">
        <f t="shared" si="87"/>
        <v>6006</v>
      </c>
      <c r="AS318" s="189">
        <f t="shared" si="83"/>
        <v>4862</v>
      </c>
      <c r="AT318" s="189">
        <f t="shared" si="84"/>
        <v>9724</v>
      </c>
      <c r="AU318" s="50">
        <f t="shared" si="85"/>
        <v>12012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5457</v>
      </c>
      <c r="AR319" s="189">
        <f t="shared" si="87"/>
        <v>6006</v>
      </c>
      <c r="AS319" s="189">
        <f t="shared" si="83"/>
        <v>4862</v>
      </c>
      <c r="AT319" s="189">
        <f t="shared" si="84"/>
        <v>9724</v>
      </c>
      <c r="AU319" s="50">
        <f t="shared" si="85"/>
        <v>12012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5457</v>
      </c>
      <c r="AR320" s="189">
        <f t="shared" si="87"/>
        <v>6006</v>
      </c>
      <c r="AS320" s="189">
        <f t="shared" si="83"/>
        <v>4862</v>
      </c>
      <c r="AT320" s="189">
        <f t="shared" si="84"/>
        <v>9724</v>
      </c>
      <c r="AU320" s="50">
        <f t="shared" si="85"/>
        <v>12012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5457</v>
      </c>
      <c r="AR321" s="189">
        <f t="shared" si="87"/>
        <v>6006</v>
      </c>
      <c r="AS321" s="189">
        <f t="shared" si="83"/>
        <v>4862</v>
      </c>
      <c r="AT321" s="189">
        <f t="shared" si="84"/>
        <v>9724</v>
      </c>
      <c r="AU321" s="50">
        <f t="shared" si="85"/>
        <v>12012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4565.7600000000011</v>
      </c>
      <c r="AR322" s="189">
        <f t="shared" si="87"/>
        <v>4526.5300000000007</v>
      </c>
      <c r="AS322" s="189">
        <f t="shared" si="83"/>
        <v>4735.93</v>
      </c>
      <c r="AT322" s="189">
        <f t="shared" si="84"/>
        <v>7761.7600000000011</v>
      </c>
      <c r="AU322" s="50">
        <f t="shared" si="85"/>
        <v>6505.3600000000006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4834.5600000000004</v>
      </c>
      <c r="AR323" s="189">
        <f t="shared" si="87"/>
        <v>4910.43</v>
      </c>
      <c r="AS323" s="189">
        <f t="shared" ref="AS323:AS386" si="88">$AG$3*(1+$AJ323*$Y$2+$AN323)*(MAXA(1-$AI$3-$AL323*$AA$3-$AP323-0.36,0)+MINA($AI$3+$AL323*$AA$3+$AP323+0.36,1)*(1+$AH$3+$AO323+$AK323*$Z$4))</f>
        <v>4980.2300000000005</v>
      </c>
      <c r="AT323" s="189">
        <f t="shared" ref="AT323:AT386" si="89">$AG$3*(1+$AJ323*$Y$2+$AN323)*(MAXA(1-$AI$3-$AL323*$AA$3-$AP323-0.36,0)+2*MINA($AI$3+$AL323*$AA$3+$AP323+0.36,1)*(1+$AH$3+$AO323+$AK323*$Z$4))</f>
        <v>8599.36</v>
      </c>
      <c r="AU323" s="50">
        <f t="shared" ref="AU323:AU386" si="90">$AG$3*(1+$AJ323*$Y$2+$AN323)*(MAXA(1-$AI$3-$AL323*$AA$3-$AP323-0.12,0)+2*MINA($AI$3+$AL323*$AA$3+$AP323+0.12,1)*(1+$AH$3+$AO323+$AK323*$Z$4+0.4))</f>
        <v>7622.1600000000008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5103.3599999999997</v>
      </c>
      <c r="AR324" s="189">
        <f t="shared" ref="AR324:AR387" si="92">$AG$3*(1+$AJ324*$Y$2+$AN324)*(MAXA(1-$AI$3-$AL324*$AA$3-$AP324-0.12,0)+MINA($AI$3+$AL324*$AA$3+$AP324+0.12,1)*(1+$AH$3+$AO324+$AK324*$Z$4+0.4))</f>
        <v>5294.33</v>
      </c>
      <c r="AS324" s="189">
        <f t="shared" si="88"/>
        <v>5224.53</v>
      </c>
      <c r="AT324" s="189">
        <f t="shared" si="89"/>
        <v>9436.9599999999991</v>
      </c>
      <c r="AU324" s="50">
        <f t="shared" si="90"/>
        <v>8738.9599999999991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5372.1600000000008</v>
      </c>
      <c r="AR325" s="189">
        <f t="shared" si="92"/>
        <v>5678.23</v>
      </c>
      <c r="AS325" s="189">
        <f t="shared" si="88"/>
        <v>5468.829999999999</v>
      </c>
      <c r="AT325" s="189">
        <f t="shared" si="89"/>
        <v>10274.559999999998</v>
      </c>
      <c r="AU325" s="50">
        <f t="shared" si="90"/>
        <v>9855.76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5640.96</v>
      </c>
      <c r="AR326" s="189">
        <f t="shared" si="92"/>
        <v>6062.13</v>
      </c>
      <c r="AS326" s="189">
        <f t="shared" si="88"/>
        <v>5713.13</v>
      </c>
      <c r="AT326" s="189">
        <f t="shared" si="89"/>
        <v>11112.16</v>
      </c>
      <c r="AU326" s="50">
        <f t="shared" si="90"/>
        <v>10972.560000000001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5909.76</v>
      </c>
      <c r="AR327" s="189">
        <f t="shared" si="92"/>
        <v>6446.0300000000007</v>
      </c>
      <c r="AS327" s="189">
        <f t="shared" si="88"/>
        <v>5933</v>
      </c>
      <c r="AT327" s="189">
        <f t="shared" si="89"/>
        <v>11866</v>
      </c>
      <c r="AU327" s="50">
        <f t="shared" si="90"/>
        <v>12089.36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6178.56</v>
      </c>
      <c r="AR328" s="189">
        <f t="shared" si="92"/>
        <v>6829.9299999999994</v>
      </c>
      <c r="AS328" s="189">
        <f t="shared" si="88"/>
        <v>5933</v>
      </c>
      <c r="AT328" s="189">
        <f t="shared" si="89"/>
        <v>11866</v>
      </c>
      <c r="AU328" s="50">
        <f t="shared" si="90"/>
        <v>13206.16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6447.3600000000006</v>
      </c>
      <c r="AR329" s="189">
        <f t="shared" si="92"/>
        <v>7213.8300000000008</v>
      </c>
      <c r="AS329" s="189">
        <f t="shared" si="88"/>
        <v>5933</v>
      </c>
      <c r="AT329" s="189">
        <f t="shared" si="89"/>
        <v>11866</v>
      </c>
      <c r="AU329" s="50">
        <f t="shared" si="90"/>
        <v>14322.960000000001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6528.0000000000009</v>
      </c>
      <c r="AR330" s="189">
        <f t="shared" si="92"/>
        <v>7329</v>
      </c>
      <c r="AS330" s="189">
        <f t="shared" si="88"/>
        <v>5933</v>
      </c>
      <c r="AT330" s="189">
        <f t="shared" si="89"/>
        <v>11866</v>
      </c>
      <c r="AU330" s="50">
        <f t="shared" si="90"/>
        <v>14658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6528.0000000000009</v>
      </c>
      <c r="AR331" s="189">
        <f t="shared" si="92"/>
        <v>7329</v>
      </c>
      <c r="AS331" s="189">
        <f t="shared" si="88"/>
        <v>5933</v>
      </c>
      <c r="AT331" s="189">
        <f t="shared" si="89"/>
        <v>11866</v>
      </c>
      <c r="AU331" s="50">
        <f t="shared" si="90"/>
        <v>14658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6528.0000000000009</v>
      </c>
      <c r="AR332" s="189">
        <f t="shared" si="92"/>
        <v>7329</v>
      </c>
      <c r="AS332" s="189">
        <f t="shared" si="88"/>
        <v>5933</v>
      </c>
      <c r="AT332" s="189">
        <f t="shared" si="89"/>
        <v>11866</v>
      </c>
      <c r="AU332" s="50">
        <f t="shared" si="90"/>
        <v>14658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4791.0499999999993</v>
      </c>
      <c r="AR333" s="189">
        <f t="shared" si="92"/>
        <v>4629.7799999999988</v>
      </c>
      <c r="AS333" s="189">
        <f t="shared" si="88"/>
        <v>5400.8999999999987</v>
      </c>
      <c r="AT333" s="189">
        <f t="shared" si="89"/>
        <v>9302.3999999999978</v>
      </c>
      <c r="AU333" s="50">
        <f t="shared" si="90"/>
        <v>7025.7599999999993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5302.55</v>
      </c>
      <c r="AR334" s="189">
        <f t="shared" si="92"/>
        <v>5211.1799999999985</v>
      </c>
      <c r="AS334" s="189">
        <f t="shared" si="88"/>
        <v>5859.9</v>
      </c>
      <c r="AT334" s="189">
        <f t="shared" si="89"/>
        <v>10526.399999999998</v>
      </c>
      <c r="AU334" s="50">
        <f t="shared" si="90"/>
        <v>8494.5599999999977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5814.0499999999984</v>
      </c>
      <c r="AR335" s="189">
        <f t="shared" si="92"/>
        <v>5792.5799999999981</v>
      </c>
      <c r="AS335" s="189">
        <f t="shared" si="88"/>
        <v>6318.8999999999987</v>
      </c>
      <c r="AT335" s="189">
        <f t="shared" si="89"/>
        <v>11750.399999999998</v>
      </c>
      <c r="AU335" s="50">
        <f t="shared" si="90"/>
        <v>9963.3599999999988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6325.5499999999993</v>
      </c>
      <c r="AR336" s="189">
        <f t="shared" si="92"/>
        <v>6373.9799999999987</v>
      </c>
      <c r="AS336" s="189">
        <f t="shared" si="88"/>
        <v>6777.8999999999987</v>
      </c>
      <c r="AT336" s="189">
        <f t="shared" si="89"/>
        <v>12974.399999999998</v>
      </c>
      <c r="AU336" s="50">
        <f t="shared" si="90"/>
        <v>11432.159999999998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6837.0499999999984</v>
      </c>
      <c r="AR337" s="189">
        <f t="shared" si="92"/>
        <v>6955.3799999999992</v>
      </c>
      <c r="AS337" s="189">
        <f t="shared" si="88"/>
        <v>7236.8999999999978</v>
      </c>
      <c r="AT337" s="189">
        <f t="shared" si="89"/>
        <v>14198.399999999998</v>
      </c>
      <c r="AU337" s="50">
        <f t="shared" si="90"/>
        <v>12900.96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7348.55</v>
      </c>
      <c r="AR338" s="189">
        <f t="shared" si="92"/>
        <v>7536.7799999999988</v>
      </c>
      <c r="AS338" s="189">
        <f t="shared" si="88"/>
        <v>7649.9999999999991</v>
      </c>
      <c r="AT338" s="189">
        <f t="shared" si="89"/>
        <v>15299.999999999998</v>
      </c>
      <c r="AU338" s="50">
        <f t="shared" si="90"/>
        <v>14369.759999999997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7860.0499999999984</v>
      </c>
      <c r="AR339" s="189">
        <f t="shared" si="92"/>
        <v>8118.1799999999985</v>
      </c>
      <c r="AS339" s="189">
        <f t="shared" si="88"/>
        <v>7649.9999999999991</v>
      </c>
      <c r="AT339" s="189">
        <f t="shared" si="89"/>
        <v>15299.999999999998</v>
      </c>
      <c r="AU339" s="50">
        <f t="shared" si="90"/>
        <v>15838.559999999998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8371.5499999999993</v>
      </c>
      <c r="AR340" s="189">
        <f t="shared" si="92"/>
        <v>8699.5799999999981</v>
      </c>
      <c r="AS340" s="189">
        <f t="shared" si="88"/>
        <v>7649.9999999999991</v>
      </c>
      <c r="AT340" s="189">
        <f t="shared" si="89"/>
        <v>15299.999999999998</v>
      </c>
      <c r="AU340" s="50">
        <f t="shared" si="90"/>
        <v>17307.359999999997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8524.9999999999982</v>
      </c>
      <c r="AR341" s="189">
        <f t="shared" si="92"/>
        <v>8873.9999999999982</v>
      </c>
      <c r="AS341" s="189">
        <f t="shared" si="88"/>
        <v>7649.9999999999991</v>
      </c>
      <c r="AT341" s="189">
        <f t="shared" si="89"/>
        <v>15299.999999999998</v>
      </c>
      <c r="AU341" s="50">
        <f t="shared" si="90"/>
        <v>17747.999999999996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8524.9999999999982</v>
      </c>
      <c r="AR342" s="189">
        <f t="shared" si="92"/>
        <v>8873.9999999999982</v>
      </c>
      <c r="AS342" s="189">
        <f t="shared" si="88"/>
        <v>7649.9999999999991</v>
      </c>
      <c r="AT342" s="189">
        <f t="shared" si="89"/>
        <v>15299.999999999998</v>
      </c>
      <c r="AU342" s="50">
        <f t="shared" si="90"/>
        <v>17747.999999999996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8524.9999999999982</v>
      </c>
      <c r="AR343" s="189">
        <f t="shared" si="92"/>
        <v>8873.9999999999982</v>
      </c>
      <c r="AS343" s="189">
        <f t="shared" si="88"/>
        <v>7649.9999999999991</v>
      </c>
      <c r="AT343" s="189">
        <f t="shared" si="89"/>
        <v>15299.999999999998</v>
      </c>
      <c r="AU343" s="50">
        <f t="shared" si="90"/>
        <v>17747.999999999996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5438.949999999998</v>
      </c>
      <c r="AR344" s="189">
        <f t="shared" si="92"/>
        <v>5921.0999999999995</v>
      </c>
      <c r="AS344" s="189">
        <f t="shared" si="88"/>
        <v>5201.9999999999991</v>
      </c>
      <c r="AT344" s="189">
        <f t="shared" si="89"/>
        <v>10403.999999999998</v>
      </c>
      <c r="AU344" s="50">
        <f t="shared" si="90"/>
        <v>11383.199999999997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5677.65</v>
      </c>
      <c r="AR345" s="189">
        <f t="shared" si="92"/>
        <v>6257.6999999999989</v>
      </c>
      <c r="AS345" s="189">
        <f t="shared" si="88"/>
        <v>5201.9999999999991</v>
      </c>
      <c r="AT345" s="189">
        <f t="shared" si="89"/>
        <v>10403.999999999998</v>
      </c>
      <c r="AU345" s="50">
        <f t="shared" si="90"/>
        <v>12362.399999999998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5796.9999999999991</v>
      </c>
      <c r="AR346" s="189">
        <f t="shared" si="92"/>
        <v>6425.9999999999991</v>
      </c>
      <c r="AS346" s="189">
        <f t="shared" si="88"/>
        <v>5201.9999999999991</v>
      </c>
      <c r="AT346" s="189">
        <f t="shared" si="89"/>
        <v>10403.999999999998</v>
      </c>
      <c r="AU346" s="50">
        <f t="shared" si="90"/>
        <v>12851.999999999998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5796.9999999999991</v>
      </c>
      <c r="AR347" s="189">
        <f t="shared" si="92"/>
        <v>6425.9999999999991</v>
      </c>
      <c r="AS347" s="189">
        <f t="shared" si="88"/>
        <v>5201.9999999999991</v>
      </c>
      <c r="AT347" s="189">
        <f t="shared" si="89"/>
        <v>10403.999999999998</v>
      </c>
      <c r="AU347" s="50">
        <f t="shared" si="90"/>
        <v>12851.999999999998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5796.9999999999991</v>
      </c>
      <c r="AR348" s="189">
        <f t="shared" si="92"/>
        <v>6425.9999999999991</v>
      </c>
      <c r="AS348" s="189">
        <f t="shared" si="88"/>
        <v>5201.9999999999991</v>
      </c>
      <c r="AT348" s="189">
        <f t="shared" si="89"/>
        <v>10403.999999999998</v>
      </c>
      <c r="AU348" s="50">
        <f t="shared" si="90"/>
        <v>12851.999999999998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5796.9999999999991</v>
      </c>
      <c r="AR349" s="189">
        <f t="shared" si="92"/>
        <v>6425.9999999999991</v>
      </c>
      <c r="AS349" s="189">
        <f t="shared" si="88"/>
        <v>5201.9999999999991</v>
      </c>
      <c r="AT349" s="189">
        <f t="shared" si="89"/>
        <v>10403.999999999998</v>
      </c>
      <c r="AU349" s="50">
        <f t="shared" si="90"/>
        <v>12851.999999999998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5796.9999999999991</v>
      </c>
      <c r="AR350" s="189">
        <f t="shared" si="92"/>
        <v>6425.9999999999991</v>
      </c>
      <c r="AS350" s="189">
        <f t="shared" si="88"/>
        <v>5201.9999999999991</v>
      </c>
      <c r="AT350" s="189">
        <f t="shared" si="89"/>
        <v>10403.999999999998</v>
      </c>
      <c r="AU350" s="50">
        <f t="shared" si="90"/>
        <v>12851.999999999998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5796.9999999999991</v>
      </c>
      <c r="AR351" s="189">
        <f t="shared" si="92"/>
        <v>6425.9999999999991</v>
      </c>
      <c r="AS351" s="189">
        <f t="shared" si="88"/>
        <v>5201.9999999999991</v>
      </c>
      <c r="AT351" s="189">
        <f t="shared" si="89"/>
        <v>10403.999999999998</v>
      </c>
      <c r="AU351" s="50">
        <f t="shared" si="90"/>
        <v>12851.999999999998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5796.9999999999991</v>
      </c>
      <c r="AR352" s="189">
        <f t="shared" si="92"/>
        <v>6425.9999999999991</v>
      </c>
      <c r="AS352" s="189">
        <f t="shared" si="88"/>
        <v>5201.9999999999991</v>
      </c>
      <c r="AT352" s="189">
        <f t="shared" si="89"/>
        <v>10403.999999999998</v>
      </c>
      <c r="AU352" s="50">
        <f t="shared" si="90"/>
        <v>12851.999999999998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5796.9999999999991</v>
      </c>
      <c r="AR353" s="189">
        <f t="shared" si="92"/>
        <v>6425.9999999999991</v>
      </c>
      <c r="AS353" s="189">
        <f t="shared" si="88"/>
        <v>5201.9999999999991</v>
      </c>
      <c r="AT353" s="189">
        <f t="shared" si="89"/>
        <v>10403.999999999998</v>
      </c>
      <c r="AU353" s="50">
        <f t="shared" si="90"/>
        <v>12851.999999999998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5796.9999999999991</v>
      </c>
      <c r="AR354" s="189">
        <f t="shared" si="92"/>
        <v>6425.9999999999991</v>
      </c>
      <c r="AS354" s="189">
        <f t="shared" si="88"/>
        <v>5201.9999999999991</v>
      </c>
      <c r="AT354" s="189">
        <f t="shared" si="89"/>
        <v>10403.999999999998</v>
      </c>
      <c r="AU354" s="50">
        <f t="shared" si="90"/>
        <v>12851.999999999998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4803.5600000000004</v>
      </c>
      <c r="AR355" s="189">
        <f t="shared" si="92"/>
        <v>4785.9300000000012</v>
      </c>
      <c r="AS355" s="189">
        <f t="shared" si="88"/>
        <v>5007.3300000000008</v>
      </c>
      <c r="AT355" s="189">
        <f t="shared" si="89"/>
        <v>8206.5600000000013</v>
      </c>
      <c r="AU355" s="50">
        <f t="shared" si="90"/>
        <v>6878.1600000000017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5086.3599999999997</v>
      </c>
      <c r="AR356" s="189">
        <f t="shared" si="92"/>
        <v>5191.8300000000008</v>
      </c>
      <c r="AS356" s="189">
        <f t="shared" si="88"/>
        <v>5265.630000000001</v>
      </c>
      <c r="AT356" s="189">
        <f t="shared" si="89"/>
        <v>9092.1600000000017</v>
      </c>
      <c r="AU356" s="50">
        <f t="shared" si="90"/>
        <v>8058.9600000000019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5369.1599999999989</v>
      </c>
      <c r="AR357" s="189">
        <f t="shared" si="92"/>
        <v>5597.7300000000005</v>
      </c>
      <c r="AS357" s="189">
        <f t="shared" si="88"/>
        <v>5523.93</v>
      </c>
      <c r="AT357" s="189">
        <f t="shared" si="89"/>
        <v>9977.76</v>
      </c>
      <c r="AU357" s="50">
        <f t="shared" si="90"/>
        <v>9239.760000000002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5651.96</v>
      </c>
      <c r="AR358" s="189">
        <f t="shared" si="92"/>
        <v>6003.63</v>
      </c>
      <c r="AS358" s="189">
        <f t="shared" si="88"/>
        <v>5782.23</v>
      </c>
      <c r="AT358" s="189">
        <f t="shared" si="89"/>
        <v>10863.359999999999</v>
      </c>
      <c r="AU358" s="50">
        <f t="shared" si="90"/>
        <v>10420.560000000001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5934.7599999999993</v>
      </c>
      <c r="AR359" s="189">
        <f t="shared" si="92"/>
        <v>6409.5300000000016</v>
      </c>
      <c r="AS359" s="189">
        <f t="shared" si="88"/>
        <v>6040.5300000000007</v>
      </c>
      <c r="AT359" s="189">
        <f t="shared" si="89"/>
        <v>11748.960000000001</v>
      </c>
      <c r="AU359" s="50">
        <f t="shared" si="90"/>
        <v>11601.360000000004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6217.5599999999995</v>
      </c>
      <c r="AR360" s="189">
        <f t="shared" si="92"/>
        <v>6815.4300000000012</v>
      </c>
      <c r="AS360" s="189">
        <f t="shared" si="88"/>
        <v>6273.0000000000009</v>
      </c>
      <c r="AT360" s="189">
        <f t="shared" si="89"/>
        <v>12546.000000000002</v>
      </c>
      <c r="AU360" s="50">
        <f t="shared" si="90"/>
        <v>12782.160000000003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6500.36</v>
      </c>
      <c r="AR361" s="189">
        <f t="shared" si="92"/>
        <v>7221.33</v>
      </c>
      <c r="AS361" s="189">
        <f t="shared" si="88"/>
        <v>6273.0000000000009</v>
      </c>
      <c r="AT361" s="189">
        <f t="shared" si="89"/>
        <v>12546.000000000002</v>
      </c>
      <c r="AU361" s="50">
        <f t="shared" si="90"/>
        <v>13962.960000000001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6783.16</v>
      </c>
      <c r="AR362" s="189">
        <f t="shared" si="92"/>
        <v>7627.2300000000014</v>
      </c>
      <c r="AS362" s="189">
        <f t="shared" si="88"/>
        <v>6273.0000000000009</v>
      </c>
      <c r="AT362" s="189">
        <f t="shared" si="89"/>
        <v>12546.000000000002</v>
      </c>
      <c r="AU362" s="50">
        <f t="shared" si="90"/>
        <v>15143.760000000002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6868</v>
      </c>
      <c r="AR363" s="189">
        <f t="shared" si="92"/>
        <v>7749.0000000000009</v>
      </c>
      <c r="AS363" s="189">
        <f t="shared" si="88"/>
        <v>6273.0000000000009</v>
      </c>
      <c r="AT363" s="189">
        <f t="shared" si="89"/>
        <v>12546.000000000002</v>
      </c>
      <c r="AU363" s="50">
        <f t="shared" si="90"/>
        <v>15498.000000000002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6868</v>
      </c>
      <c r="AR364" s="189">
        <f t="shared" si="92"/>
        <v>7749.0000000000009</v>
      </c>
      <c r="AS364" s="189">
        <f t="shared" si="88"/>
        <v>6273.0000000000009</v>
      </c>
      <c r="AT364" s="189">
        <f t="shared" si="89"/>
        <v>12546.000000000002</v>
      </c>
      <c r="AU364" s="50">
        <f t="shared" si="90"/>
        <v>15498.000000000002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6868</v>
      </c>
      <c r="AR365" s="189">
        <f t="shared" si="92"/>
        <v>7749.0000000000009</v>
      </c>
      <c r="AS365" s="189">
        <f t="shared" si="88"/>
        <v>6273.0000000000009</v>
      </c>
      <c r="AT365" s="189">
        <f t="shared" si="89"/>
        <v>12546.000000000002</v>
      </c>
      <c r="AU365" s="50">
        <f t="shared" si="90"/>
        <v>15498.000000000002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5072.05</v>
      </c>
      <c r="AR366" s="189">
        <f t="shared" si="92"/>
        <v>4932.38</v>
      </c>
      <c r="AS366" s="189">
        <f t="shared" si="88"/>
        <v>5753.9</v>
      </c>
      <c r="AT366" s="189">
        <f t="shared" si="89"/>
        <v>9910.4</v>
      </c>
      <c r="AU366" s="50">
        <f t="shared" si="90"/>
        <v>7484.9600000000009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5613.55</v>
      </c>
      <c r="AR367" s="189">
        <f t="shared" si="92"/>
        <v>5551.78</v>
      </c>
      <c r="AS367" s="189">
        <f t="shared" si="88"/>
        <v>6242.9000000000005</v>
      </c>
      <c r="AT367" s="189">
        <f t="shared" si="89"/>
        <v>11214.4</v>
      </c>
      <c r="AU367" s="50">
        <f t="shared" si="90"/>
        <v>9049.76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6155.0499999999984</v>
      </c>
      <c r="AR368" s="189">
        <f t="shared" si="92"/>
        <v>6171.1799999999994</v>
      </c>
      <c r="AS368" s="189">
        <f t="shared" si="88"/>
        <v>6731.9</v>
      </c>
      <c r="AT368" s="189">
        <f t="shared" si="89"/>
        <v>12518.4</v>
      </c>
      <c r="AU368" s="50">
        <f t="shared" si="90"/>
        <v>10614.56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6696.55</v>
      </c>
      <c r="AR369" s="189">
        <f t="shared" si="92"/>
        <v>6790.579999999999</v>
      </c>
      <c r="AS369" s="189">
        <f t="shared" si="88"/>
        <v>7220.9</v>
      </c>
      <c r="AT369" s="189">
        <f t="shared" si="89"/>
        <v>13822.400000000001</v>
      </c>
      <c r="AU369" s="50">
        <f t="shared" si="90"/>
        <v>12179.359999999999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7238.0499999999993</v>
      </c>
      <c r="AR370" s="189">
        <f t="shared" si="92"/>
        <v>7409.9800000000005</v>
      </c>
      <c r="AS370" s="189">
        <f t="shared" si="88"/>
        <v>7709.9</v>
      </c>
      <c r="AT370" s="189">
        <f t="shared" si="89"/>
        <v>15126.4</v>
      </c>
      <c r="AU370" s="50">
        <f t="shared" si="90"/>
        <v>13744.16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7779.5500000000011</v>
      </c>
      <c r="AR371" s="189">
        <f t="shared" si="92"/>
        <v>8029.38</v>
      </c>
      <c r="AS371" s="189">
        <f t="shared" si="88"/>
        <v>8150</v>
      </c>
      <c r="AT371" s="189">
        <f t="shared" si="89"/>
        <v>16300</v>
      </c>
      <c r="AU371" s="50">
        <f t="shared" si="90"/>
        <v>15308.96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8321.0499999999993</v>
      </c>
      <c r="AR372" s="189">
        <f t="shared" si="92"/>
        <v>8648.7800000000007</v>
      </c>
      <c r="AS372" s="189">
        <f t="shared" si="88"/>
        <v>8150</v>
      </c>
      <c r="AT372" s="189">
        <f t="shared" si="89"/>
        <v>16300</v>
      </c>
      <c r="AU372" s="50">
        <f t="shared" si="90"/>
        <v>16873.760000000002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8862.5500000000011</v>
      </c>
      <c r="AR373" s="189">
        <f t="shared" si="92"/>
        <v>9268.18</v>
      </c>
      <c r="AS373" s="189">
        <f t="shared" si="88"/>
        <v>8150</v>
      </c>
      <c r="AT373" s="189">
        <f t="shared" si="89"/>
        <v>16300</v>
      </c>
      <c r="AU373" s="50">
        <f t="shared" si="90"/>
        <v>18438.559999999998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9025</v>
      </c>
      <c r="AR374" s="189">
        <f t="shared" si="92"/>
        <v>9454</v>
      </c>
      <c r="AS374" s="189">
        <f t="shared" si="88"/>
        <v>8150</v>
      </c>
      <c r="AT374" s="189">
        <f t="shared" si="89"/>
        <v>16300</v>
      </c>
      <c r="AU374" s="50">
        <f t="shared" si="90"/>
        <v>18908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9025</v>
      </c>
      <c r="AR375" s="189">
        <f t="shared" si="92"/>
        <v>9454</v>
      </c>
      <c r="AS375" s="189">
        <f t="shared" si="88"/>
        <v>8150</v>
      </c>
      <c r="AT375" s="189">
        <f t="shared" si="89"/>
        <v>16300</v>
      </c>
      <c r="AU375" s="50">
        <f t="shared" si="90"/>
        <v>18908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9025</v>
      </c>
      <c r="AR376" s="189">
        <f t="shared" si="92"/>
        <v>9454</v>
      </c>
      <c r="AS376" s="189">
        <f t="shared" si="88"/>
        <v>8150</v>
      </c>
      <c r="AT376" s="189">
        <f t="shared" si="89"/>
        <v>16300</v>
      </c>
      <c r="AU376" s="50">
        <f t="shared" si="90"/>
        <v>18908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5757.9499999999989</v>
      </c>
      <c r="AR377" s="189">
        <f t="shared" si="92"/>
        <v>6308.1</v>
      </c>
      <c r="AS377" s="189">
        <f t="shared" si="88"/>
        <v>5542</v>
      </c>
      <c r="AT377" s="189">
        <f t="shared" si="89"/>
        <v>11084</v>
      </c>
      <c r="AU377" s="50">
        <f t="shared" si="90"/>
        <v>12127.199999999999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6010.6500000000005</v>
      </c>
      <c r="AR378" s="189">
        <f t="shared" si="92"/>
        <v>6666.7</v>
      </c>
      <c r="AS378" s="189">
        <f t="shared" si="88"/>
        <v>5542</v>
      </c>
      <c r="AT378" s="189">
        <f t="shared" si="89"/>
        <v>11084</v>
      </c>
      <c r="AU378" s="50">
        <f t="shared" si="90"/>
        <v>13170.4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6137</v>
      </c>
      <c r="AR379" s="189">
        <f t="shared" si="92"/>
        <v>6846</v>
      </c>
      <c r="AS379" s="189">
        <f t="shared" si="88"/>
        <v>5542</v>
      </c>
      <c r="AT379" s="189">
        <f t="shared" si="89"/>
        <v>11084</v>
      </c>
      <c r="AU379" s="50">
        <f t="shared" si="90"/>
        <v>13692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6137</v>
      </c>
      <c r="AR380" s="189">
        <f t="shared" si="92"/>
        <v>6846</v>
      </c>
      <c r="AS380" s="189">
        <f t="shared" si="88"/>
        <v>5542</v>
      </c>
      <c r="AT380" s="189">
        <f t="shared" si="89"/>
        <v>11084</v>
      </c>
      <c r="AU380" s="50">
        <f t="shared" si="90"/>
        <v>13692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6137</v>
      </c>
      <c r="AR381" s="189">
        <f t="shared" si="92"/>
        <v>6846</v>
      </c>
      <c r="AS381" s="189">
        <f t="shared" si="88"/>
        <v>5542</v>
      </c>
      <c r="AT381" s="189">
        <f t="shared" si="89"/>
        <v>11084</v>
      </c>
      <c r="AU381" s="50">
        <f t="shared" si="90"/>
        <v>13692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6137</v>
      </c>
      <c r="AR382" s="189">
        <f t="shared" si="92"/>
        <v>6846</v>
      </c>
      <c r="AS382" s="189">
        <f t="shared" si="88"/>
        <v>5542</v>
      </c>
      <c r="AT382" s="189">
        <f t="shared" si="89"/>
        <v>11084</v>
      </c>
      <c r="AU382" s="50">
        <f t="shared" si="90"/>
        <v>13692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6137</v>
      </c>
      <c r="AR383" s="189">
        <f t="shared" si="92"/>
        <v>6846</v>
      </c>
      <c r="AS383" s="189">
        <f t="shared" si="88"/>
        <v>5542</v>
      </c>
      <c r="AT383" s="189">
        <f t="shared" si="89"/>
        <v>11084</v>
      </c>
      <c r="AU383" s="50">
        <f t="shared" si="90"/>
        <v>13692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6137</v>
      </c>
      <c r="AR384" s="189">
        <f t="shared" si="92"/>
        <v>6846</v>
      </c>
      <c r="AS384" s="189">
        <f t="shared" si="88"/>
        <v>5542</v>
      </c>
      <c r="AT384" s="189">
        <f t="shared" si="89"/>
        <v>11084</v>
      </c>
      <c r="AU384" s="50">
        <f t="shared" si="90"/>
        <v>13692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6137</v>
      </c>
      <c r="AR385" s="189">
        <f t="shared" si="92"/>
        <v>6846</v>
      </c>
      <c r="AS385" s="189">
        <f t="shared" si="88"/>
        <v>5542</v>
      </c>
      <c r="AT385" s="189">
        <f t="shared" si="89"/>
        <v>11084</v>
      </c>
      <c r="AU385" s="50">
        <f t="shared" si="90"/>
        <v>13692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6137</v>
      </c>
      <c r="AR386" s="189">
        <f t="shared" si="92"/>
        <v>6846</v>
      </c>
      <c r="AS386" s="189">
        <f t="shared" si="88"/>
        <v>5542</v>
      </c>
      <c r="AT386" s="189">
        <f t="shared" si="89"/>
        <v>11084</v>
      </c>
      <c r="AU386" s="50">
        <f t="shared" si="90"/>
        <v>13692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6137</v>
      </c>
      <c r="AR387" s="189">
        <f t="shared" si="92"/>
        <v>6846</v>
      </c>
      <c r="AS387" s="189">
        <f t="shared" ref="AS387:AS450" si="93">$AG$3*(1+$AJ387*$Y$2+$AN387)*(MAXA(1-$AI$3-$AL387*$AA$3-$AP387-0.36,0)+MINA($AI$3+$AL387*$AA$3+$AP387+0.36,1)*(1+$AH$3+$AO387+$AK387*$Z$4))</f>
        <v>5542</v>
      </c>
      <c r="AT387" s="189">
        <f t="shared" ref="AT387:AT450" si="94">$AG$3*(1+$AJ387*$Y$2+$AN387)*(MAXA(1-$AI$3-$AL387*$AA$3-$AP387-0.36,0)+2*MINA($AI$3+$AL387*$AA$3+$AP387+0.36,1)*(1+$AH$3+$AO387+$AK387*$Z$4))</f>
        <v>11084</v>
      </c>
      <c r="AU387" s="50">
        <f t="shared" ref="AU387:AU450" si="95">$AG$3*(1+$AJ387*$Y$2+$AN387)*(MAXA(1-$AI$3-$AL387*$AA$3-$AP387-0.12,0)+2*MINA($AI$3+$AL387*$AA$3+$AP387+0.12,1)*(1+$AH$3+$AO387+$AK387*$Z$4+0.4))</f>
        <v>13692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5041.3600000000006</v>
      </c>
      <c r="AR388" s="189">
        <f t="shared" ref="AR388:AR451" si="97">$AG$3*(1+$AJ388*$Y$2+$AN388)*(MAXA(1-$AI$3-$AL388*$AA$3-$AP388-0.12,0)+MINA($AI$3+$AL388*$AA$3+$AP388+0.12,1)*(1+$AH$3+$AO388+$AK388*$Z$4+0.4))</f>
        <v>5045.3300000000008</v>
      </c>
      <c r="AS388" s="189">
        <f t="shared" si="93"/>
        <v>5278.73</v>
      </c>
      <c r="AT388" s="189">
        <f t="shared" si="94"/>
        <v>8651.36</v>
      </c>
      <c r="AU388" s="50">
        <f t="shared" si="95"/>
        <v>7250.96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5338.16</v>
      </c>
      <c r="AR389" s="189">
        <f t="shared" si="97"/>
        <v>5473.2300000000005</v>
      </c>
      <c r="AS389" s="189">
        <f t="shared" si="93"/>
        <v>5551.03</v>
      </c>
      <c r="AT389" s="189">
        <f t="shared" si="94"/>
        <v>9584.9599999999991</v>
      </c>
      <c r="AU389" s="50">
        <f t="shared" si="95"/>
        <v>8495.76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5634.9599999999991</v>
      </c>
      <c r="AR390" s="189">
        <f t="shared" si="97"/>
        <v>5901.1299999999992</v>
      </c>
      <c r="AS390" s="189">
        <f t="shared" si="93"/>
        <v>5823.33</v>
      </c>
      <c r="AT390" s="189">
        <f t="shared" si="94"/>
        <v>10518.56</v>
      </c>
      <c r="AU390" s="50">
        <f t="shared" si="95"/>
        <v>9740.56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5931.76</v>
      </c>
      <c r="AR391" s="189">
        <f t="shared" si="97"/>
        <v>6329.0299999999988</v>
      </c>
      <c r="AS391" s="189">
        <f t="shared" si="93"/>
        <v>6095.6299999999992</v>
      </c>
      <c r="AT391" s="189">
        <f t="shared" si="94"/>
        <v>11452.159999999998</v>
      </c>
      <c r="AU391" s="50">
        <f t="shared" si="95"/>
        <v>10985.359999999999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6228.5599999999995</v>
      </c>
      <c r="AR392" s="189">
        <f t="shared" si="97"/>
        <v>6756.93</v>
      </c>
      <c r="AS392" s="189">
        <f t="shared" si="93"/>
        <v>6367.93</v>
      </c>
      <c r="AT392" s="189">
        <f t="shared" si="94"/>
        <v>12385.759999999998</v>
      </c>
      <c r="AU392" s="50">
        <f t="shared" si="95"/>
        <v>12230.160000000002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6525.36</v>
      </c>
      <c r="AR393" s="189">
        <f t="shared" si="97"/>
        <v>7184.8300000000008</v>
      </c>
      <c r="AS393" s="189">
        <f t="shared" si="93"/>
        <v>6613</v>
      </c>
      <c r="AT393" s="189">
        <f t="shared" si="94"/>
        <v>13226</v>
      </c>
      <c r="AU393" s="50">
        <f t="shared" si="95"/>
        <v>13474.960000000001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6822.16</v>
      </c>
      <c r="AR394" s="189">
        <f t="shared" si="97"/>
        <v>7612.73</v>
      </c>
      <c r="AS394" s="189">
        <f t="shared" si="93"/>
        <v>6613</v>
      </c>
      <c r="AT394" s="189">
        <f t="shared" si="94"/>
        <v>13226</v>
      </c>
      <c r="AU394" s="50">
        <f t="shared" si="95"/>
        <v>14719.759999999998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7118.96</v>
      </c>
      <c r="AR395" s="189">
        <f t="shared" si="97"/>
        <v>8040.630000000001</v>
      </c>
      <c r="AS395" s="189">
        <f t="shared" si="93"/>
        <v>6613</v>
      </c>
      <c r="AT395" s="189">
        <f t="shared" si="94"/>
        <v>13226</v>
      </c>
      <c r="AU395" s="50">
        <f t="shared" si="95"/>
        <v>15964.56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7208</v>
      </c>
      <c r="AR396" s="189">
        <f t="shared" si="97"/>
        <v>8169</v>
      </c>
      <c r="AS396" s="189">
        <f t="shared" si="93"/>
        <v>6613</v>
      </c>
      <c r="AT396" s="189">
        <f t="shared" si="94"/>
        <v>13226</v>
      </c>
      <c r="AU396" s="50">
        <f t="shared" si="95"/>
        <v>16338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7208</v>
      </c>
      <c r="AR397" s="189">
        <f t="shared" si="97"/>
        <v>8169</v>
      </c>
      <c r="AS397" s="189">
        <f t="shared" si="93"/>
        <v>6613</v>
      </c>
      <c r="AT397" s="189">
        <f t="shared" si="94"/>
        <v>13226</v>
      </c>
      <c r="AU397" s="50">
        <f t="shared" si="95"/>
        <v>16338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7208</v>
      </c>
      <c r="AR398" s="189">
        <f t="shared" si="97"/>
        <v>8169</v>
      </c>
      <c r="AS398" s="189">
        <f t="shared" si="93"/>
        <v>6613</v>
      </c>
      <c r="AT398" s="189">
        <f t="shared" si="94"/>
        <v>13226</v>
      </c>
      <c r="AU398" s="50">
        <f t="shared" si="95"/>
        <v>16338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3807.9900000000002</v>
      </c>
      <c r="AR399" s="189">
        <f t="shared" si="97"/>
        <v>3541.4200000000005</v>
      </c>
      <c r="AS399" s="189">
        <f t="shared" si="93"/>
        <v>4219.42</v>
      </c>
      <c r="AT399" s="189">
        <f t="shared" si="94"/>
        <v>7331.4400000000014</v>
      </c>
      <c r="AU399" s="50">
        <f t="shared" si="95"/>
        <v>5433.04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4251.6899999999996</v>
      </c>
      <c r="AR400" s="189">
        <f t="shared" si="97"/>
        <v>4016.0200000000004</v>
      </c>
      <c r="AS400" s="189">
        <f t="shared" si="93"/>
        <v>4603.62</v>
      </c>
      <c r="AT400" s="189">
        <f t="shared" si="94"/>
        <v>8325.84</v>
      </c>
      <c r="AU400" s="50">
        <f t="shared" si="95"/>
        <v>6608.24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4695.3899999999994</v>
      </c>
      <c r="AR401" s="189">
        <f t="shared" si="97"/>
        <v>4490.619999999999</v>
      </c>
      <c r="AS401" s="189">
        <f t="shared" si="93"/>
        <v>4987.82</v>
      </c>
      <c r="AT401" s="189">
        <f t="shared" si="94"/>
        <v>9320.24</v>
      </c>
      <c r="AU401" s="50">
        <f t="shared" si="95"/>
        <v>7783.4399999999987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5139.0899999999992</v>
      </c>
      <c r="AR402" s="189">
        <f t="shared" si="97"/>
        <v>4965.22</v>
      </c>
      <c r="AS402" s="189">
        <f t="shared" si="93"/>
        <v>5372.0199999999995</v>
      </c>
      <c r="AT402" s="189">
        <f t="shared" si="94"/>
        <v>10314.64</v>
      </c>
      <c r="AU402" s="50">
        <f t="shared" si="95"/>
        <v>8958.64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5582.7900000000009</v>
      </c>
      <c r="AR403" s="189">
        <f t="shared" si="97"/>
        <v>5439.8200000000006</v>
      </c>
      <c r="AS403" s="189">
        <f t="shared" si="93"/>
        <v>5756.22</v>
      </c>
      <c r="AT403" s="189">
        <f t="shared" si="94"/>
        <v>11309.04</v>
      </c>
      <c r="AU403" s="50">
        <f t="shared" si="95"/>
        <v>10133.840000000002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6026.4900000000007</v>
      </c>
      <c r="AR404" s="189">
        <f t="shared" si="97"/>
        <v>5914.42</v>
      </c>
      <c r="AS404" s="189">
        <f t="shared" si="93"/>
        <v>6102</v>
      </c>
      <c r="AT404" s="189">
        <f t="shared" si="94"/>
        <v>12204</v>
      </c>
      <c r="AU404" s="50">
        <f t="shared" si="95"/>
        <v>11309.039999999999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6470.1900000000005</v>
      </c>
      <c r="AR405" s="189">
        <f t="shared" si="97"/>
        <v>6389.0199999999995</v>
      </c>
      <c r="AS405" s="189">
        <f t="shared" si="93"/>
        <v>6102</v>
      </c>
      <c r="AT405" s="189">
        <f t="shared" si="94"/>
        <v>12204</v>
      </c>
      <c r="AU405" s="50">
        <f t="shared" si="95"/>
        <v>12484.24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6913.89</v>
      </c>
      <c r="AR406" s="189">
        <f t="shared" si="97"/>
        <v>6863.62</v>
      </c>
      <c r="AS406" s="189">
        <f t="shared" si="93"/>
        <v>6102</v>
      </c>
      <c r="AT406" s="189">
        <f t="shared" si="94"/>
        <v>12204</v>
      </c>
      <c r="AU406" s="50">
        <f t="shared" si="95"/>
        <v>13659.44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7047.0000000000009</v>
      </c>
      <c r="AR407" s="189">
        <f t="shared" si="97"/>
        <v>7006</v>
      </c>
      <c r="AS407" s="189">
        <f t="shared" si="93"/>
        <v>6102</v>
      </c>
      <c r="AT407" s="189">
        <f t="shared" si="94"/>
        <v>12204</v>
      </c>
      <c r="AU407" s="50">
        <f t="shared" si="95"/>
        <v>14012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7047.0000000000009</v>
      </c>
      <c r="AR408" s="189">
        <f t="shared" si="97"/>
        <v>7006</v>
      </c>
      <c r="AS408" s="189">
        <f t="shared" si="93"/>
        <v>6102</v>
      </c>
      <c r="AT408" s="189">
        <f t="shared" si="94"/>
        <v>12204</v>
      </c>
      <c r="AU408" s="50">
        <f t="shared" si="95"/>
        <v>14012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7047.0000000000009</v>
      </c>
      <c r="AR409" s="189">
        <f t="shared" si="97"/>
        <v>7006</v>
      </c>
      <c r="AS409" s="189">
        <f t="shared" si="93"/>
        <v>6102</v>
      </c>
      <c r="AT409" s="189">
        <f t="shared" si="94"/>
        <v>12204</v>
      </c>
      <c r="AU409" s="50">
        <f t="shared" si="95"/>
        <v>14012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4606.6500000000005</v>
      </c>
      <c r="AR410" s="189">
        <f t="shared" si="97"/>
        <v>4757.3</v>
      </c>
      <c r="AS410" s="189">
        <f t="shared" si="93"/>
        <v>4294</v>
      </c>
      <c r="AT410" s="189">
        <f t="shared" si="94"/>
        <v>8588</v>
      </c>
      <c r="AU410" s="50">
        <f t="shared" si="95"/>
        <v>9175.5999999999985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4841.55</v>
      </c>
      <c r="AR411" s="189">
        <f t="shared" si="97"/>
        <v>5051.0999999999985</v>
      </c>
      <c r="AS411" s="189">
        <f t="shared" si="93"/>
        <v>4294</v>
      </c>
      <c r="AT411" s="189">
        <f t="shared" si="94"/>
        <v>8588</v>
      </c>
      <c r="AU411" s="50">
        <f t="shared" si="95"/>
        <v>9989.1999999999971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4959</v>
      </c>
      <c r="AR412" s="189">
        <f t="shared" si="97"/>
        <v>5198</v>
      </c>
      <c r="AS412" s="189">
        <f t="shared" si="93"/>
        <v>4294</v>
      </c>
      <c r="AT412" s="189">
        <f t="shared" si="94"/>
        <v>8588</v>
      </c>
      <c r="AU412" s="50">
        <f t="shared" si="95"/>
        <v>10396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4959</v>
      </c>
      <c r="AR413" s="189">
        <f t="shared" si="97"/>
        <v>5198</v>
      </c>
      <c r="AS413" s="189">
        <f t="shared" si="93"/>
        <v>4294</v>
      </c>
      <c r="AT413" s="189">
        <f t="shared" si="94"/>
        <v>8588</v>
      </c>
      <c r="AU413" s="50">
        <f t="shared" si="95"/>
        <v>10396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4959</v>
      </c>
      <c r="AR414" s="189">
        <f t="shared" si="97"/>
        <v>5198</v>
      </c>
      <c r="AS414" s="189">
        <f t="shared" si="93"/>
        <v>4294</v>
      </c>
      <c r="AT414" s="189">
        <f t="shared" si="94"/>
        <v>8588</v>
      </c>
      <c r="AU414" s="50">
        <f t="shared" si="95"/>
        <v>10396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4959</v>
      </c>
      <c r="AR415" s="189">
        <f t="shared" si="97"/>
        <v>5198</v>
      </c>
      <c r="AS415" s="189">
        <f t="shared" si="93"/>
        <v>4294</v>
      </c>
      <c r="AT415" s="189">
        <f t="shared" si="94"/>
        <v>8588</v>
      </c>
      <c r="AU415" s="50">
        <f t="shared" si="95"/>
        <v>10396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4959</v>
      </c>
      <c r="AR416" s="189">
        <f t="shared" si="97"/>
        <v>5198</v>
      </c>
      <c r="AS416" s="189">
        <f t="shared" si="93"/>
        <v>4294</v>
      </c>
      <c r="AT416" s="189">
        <f t="shared" si="94"/>
        <v>8588</v>
      </c>
      <c r="AU416" s="50">
        <f t="shared" si="95"/>
        <v>10396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4959</v>
      </c>
      <c r="AR417" s="189">
        <f t="shared" si="97"/>
        <v>5198</v>
      </c>
      <c r="AS417" s="189">
        <f t="shared" si="93"/>
        <v>4294</v>
      </c>
      <c r="AT417" s="189">
        <f t="shared" si="94"/>
        <v>8588</v>
      </c>
      <c r="AU417" s="50">
        <f t="shared" si="95"/>
        <v>10396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4959</v>
      </c>
      <c r="AR418" s="189">
        <f t="shared" si="97"/>
        <v>5198</v>
      </c>
      <c r="AS418" s="189">
        <f t="shared" si="93"/>
        <v>4294</v>
      </c>
      <c r="AT418" s="189">
        <f t="shared" si="94"/>
        <v>8588</v>
      </c>
      <c r="AU418" s="50">
        <f t="shared" si="95"/>
        <v>10396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4959</v>
      </c>
      <c r="AR419" s="189">
        <f t="shared" si="97"/>
        <v>5198</v>
      </c>
      <c r="AS419" s="189">
        <f t="shared" si="93"/>
        <v>4294</v>
      </c>
      <c r="AT419" s="189">
        <f t="shared" si="94"/>
        <v>8588</v>
      </c>
      <c r="AU419" s="50">
        <f t="shared" si="95"/>
        <v>10396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4959</v>
      </c>
      <c r="AR420" s="189">
        <f t="shared" si="97"/>
        <v>5198</v>
      </c>
      <c r="AS420" s="189">
        <f t="shared" si="93"/>
        <v>4294</v>
      </c>
      <c r="AT420" s="189">
        <f t="shared" si="94"/>
        <v>8588</v>
      </c>
      <c r="AU420" s="50">
        <f t="shared" si="95"/>
        <v>10396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4027.3199999999997</v>
      </c>
      <c r="AR421" s="189">
        <f t="shared" si="97"/>
        <v>3904.39</v>
      </c>
      <c r="AS421" s="189">
        <f t="shared" si="93"/>
        <v>4216.51</v>
      </c>
      <c r="AT421" s="189">
        <f t="shared" si="94"/>
        <v>7016.92</v>
      </c>
      <c r="AU421" s="50">
        <f t="shared" si="95"/>
        <v>5699.08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4318.92</v>
      </c>
      <c r="AR422" s="189">
        <f t="shared" si="97"/>
        <v>4280.0899999999992</v>
      </c>
      <c r="AS422" s="189">
        <f t="shared" si="93"/>
        <v>4476.6099999999997</v>
      </c>
      <c r="AT422" s="189">
        <f t="shared" si="94"/>
        <v>7826.1200000000008</v>
      </c>
      <c r="AU422" s="50">
        <f t="shared" si="95"/>
        <v>6739.48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4610.5199999999995</v>
      </c>
      <c r="AR423" s="189">
        <f t="shared" si="97"/>
        <v>4655.7899999999991</v>
      </c>
      <c r="AS423" s="189">
        <f t="shared" si="93"/>
        <v>4736.7099999999991</v>
      </c>
      <c r="AT423" s="189">
        <f t="shared" si="94"/>
        <v>8635.32</v>
      </c>
      <c r="AU423" s="50">
        <f t="shared" si="95"/>
        <v>7779.8799999999992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4902.12</v>
      </c>
      <c r="AR424" s="189">
        <f t="shared" si="97"/>
        <v>5031.4899999999989</v>
      </c>
      <c r="AS424" s="189">
        <f t="shared" si="93"/>
        <v>4996.8100000000004</v>
      </c>
      <c r="AT424" s="189">
        <f t="shared" si="94"/>
        <v>9444.5199999999986</v>
      </c>
      <c r="AU424" s="50">
        <f t="shared" si="95"/>
        <v>8820.2799999999988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5193.7199999999993</v>
      </c>
      <c r="AR425" s="189">
        <f t="shared" si="97"/>
        <v>5407.19</v>
      </c>
      <c r="AS425" s="189">
        <f t="shared" si="93"/>
        <v>5256.91</v>
      </c>
      <c r="AT425" s="189">
        <f t="shared" si="94"/>
        <v>10253.719999999999</v>
      </c>
      <c r="AU425" s="50">
        <f t="shared" si="95"/>
        <v>9860.68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5485.32</v>
      </c>
      <c r="AR426" s="189">
        <f t="shared" si="97"/>
        <v>5782.8899999999994</v>
      </c>
      <c r="AS426" s="189">
        <f t="shared" si="93"/>
        <v>5491</v>
      </c>
      <c r="AT426" s="189">
        <f t="shared" si="94"/>
        <v>10982</v>
      </c>
      <c r="AU426" s="50">
        <f t="shared" si="95"/>
        <v>10901.08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5776.92</v>
      </c>
      <c r="AR427" s="189">
        <f t="shared" si="97"/>
        <v>6158.5899999999992</v>
      </c>
      <c r="AS427" s="189">
        <f t="shared" si="93"/>
        <v>5491</v>
      </c>
      <c r="AT427" s="189">
        <f t="shared" si="94"/>
        <v>10982</v>
      </c>
      <c r="AU427" s="50">
        <f t="shared" si="95"/>
        <v>11941.48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6068.52</v>
      </c>
      <c r="AR428" s="189">
        <f t="shared" si="97"/>
        <v>6534.29</v>
      </c>
      <c r="AS428" s="189">
        <f t="shared" si="93"/>
        <v>5491</v>
      </c>
      <c r="AT428" s="189">
        <f t="shared" si="94"/>
        <v>10982</v>
      </c>
      <c r="AU428" s="50">
        <f t="shared" si="95"/>
        <v>12981.88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6156</v>
      </c>
      <c r="AR429" s="189">
        <f t="shared" si="97"/>
        <v>6646.9999999999991</v>
      </c>
      <c r="AS429" s="189">
        <f t="shared" si="93"/>
        <v>5491</v>
      </c>
      <c r="AT429" s="189">
        <f t="shared" si="94"/>
        <v>10982</v>
      </c>
      <c r="AU429" s="50">
        <f t="shared" si="95"/>
        <v>13293.999999999998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6156</v>
      </c>
      <c r="AR430" s="189">
        <f t="shared" si="97"/>
        <v>6646.9999999999991</v>
      </c>
      <c r="AS430" s="189">
        <f t="shared" si="93"/>
        <v>5491</v>
      </c>
      <c r="AT430" s="189">
        <f t="shared" si="94"/>
        <v>10982</v>
      </c>
      <c r="AU430" s="50">
        <f t="shared" si="95"/>
        <v>13293.999999999998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6156</v>
      </c>
      <c r="AR431" s="189">
        <f t="shared" si="97"/>
        <v>6646.9999999999991</v>
      </c>
      <c r="AS431" s="189">
        <f t="shared" si="93"/>
        <v>5491</v>
      </c>
      <c r="AT431" s="189">
        <f t="shared" si="94"/>
        <v>10982</v>
      </c>
      <c r="AU431" s="50">
        <f t="shared" si="95"/>
        <v>13293.999999999998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4099.79</v>
      </c>
      <c r="AR432" s="189">
        <f t="shared" si="97"/>
        <v>3854.8200000000006</v>
      </c>
      <c r="AS432" s="189">
        <f t="shared" si="93"/>
        <v>4592.8200000000006</v>
      </c>
      <c r="AT432" s="189">
        <f t="shared" si="94"/>
        <v>7980.2400000000016</v>
      </c>
      <c r="AU432" s="50">
        <f t="shared" si="95"/>
        <v>5913.84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4577.49</v>
      </c>
      <c r="AR433" s="189">
        <f t="shared" si="97"/>
        <v>4371.42</v>
      </c>
      <c r="AS433" s="189">
        <f t="shared" si="93"/>
        <v>5011.0199999999995</v>
      </c>
      <c r="AT433" s="189">
        <f t="shared" si="94"/>
        <v>9062.6400000000012</v>
      </c>
      <c r="AU433" s="50">
        <f t="shared" si="95"/>
        <v>7193.04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5055.1899999999996</v>
      </c>
      <c r="AR434" s="189">
        <f t="shared" si="97"/>
        <v>4888.0199999999995</v>
      </c>
      <c r="AS434" s="189">
        <f t="shared" si="93"/>
        <v>5429.2199999999993</v>
      </c>
      <c r="AT434" s="189">
        <f t="shared" si="94"/>
        <v>10145.039999999999</v>
      </c>
      <c r="AU434" s="50">
        <f t="shared" si="95"/>
        <v>8472.239999999998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5532.8899999999994</v>
      </c>
      <c r="AR435" s="189">
        <f t="shared" si="97"/>
        <v>5404.62</v>
      </c>
      <c r="AS435" s="189">
        <f t="shared" si="93"/>
        <v>5847.4199999999992</v>
      </c>
      <c r="AT435" s="189">
        <f t="shared" si="94"/>
        <v>11227.44</v>
      </c>
      <c r="AU435" s="50">
        <f t="shared" si="95"/>
        <v>9751.44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6010.5900000000011</v>
      </c>
      <c r="AR436" s="189">
        <f t="shared" si="97"/>
        <v>5921.2200000000012</v>
      </c>
      <c r="AS436" s="189">
        <f t="shared" si="93"/>
        <v>6265.6200000000008</v>
      </c>
      <c r="AT436" s="189">
        <f t="shared" si="94"/>
        <v>12309.840000000002</v>
      </c>
      <c r="AU436" s="50">
        <f t="shared" si="95"/>
        <v>11030.640000000003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6488.2900000000009</v>
      </c>
      <c r="AR437" s="189">
        <f t="shared" si="97"/>
        <v>6437.82</v>
      </c>
      <c r="AS437" s="189">
        <f t="shared" si="93"/>
        <v>6642</v>
      </c>
      <c r="AT437" s="189">
        <f t="shared" si="94"/>
        <v>13284</v>
      </c>
      <c r="AU437" s="50">
        <f t="shared" si="95"/>
        <v>12309.839999999998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6965.9900000000007</v>
      </c>
      <c r="AR438" s="189">
        <f t="shared" si="97"/>
        <v>6954.42</v>
      </c>
      <c r="AS438" s="189">
        <f t="shared" si="93"/>
        <v>6642</v>
      </c>
      <c r="AT438" s="189">
        <f t="shared" si="94"/>
        <v>13284</v>
      </c>
      <c r="AU438" s="50">
        <f t="shared" si="95"/>
        <v>13589.04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7443.6900000000005</v>
      </c>
      <c r="AR439" s="189">
        <f t="shared" si="97"/>
        <v>7471.0199999999995</v>
      </c>
      <c r="AS439" s="189">
        <f t="shared" si="93"/>
        <v>6642</v>
      </c>
      <c r="AT439" s="189">
        <f t="shared" si="94"/>
        <v>13284</v>
      </c>
      <c r="AU439" s="50">
        <f t="shared" si="95"/>
        <v>14868.240000000002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7587.0000000000009</v>
      </c>
      <c r="AR440" s="189">
        <f t="shared" si="97"/>
        <v>7626</v>
      </c>
      <c r="AS440" s="189">
        <f t="shared" si="93"/>
        <v>6642</v>
      </c>
      <c r="AT440" s="189">
        <f t="shared" si="94"/>
        <v>13284</v>
      </c>
      <c r="AU440" s="50">
        <f t="shared" si="95"/>
        <v>15252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7587.0000000000009</v>
      </c>
      <c r="AR441" s="189">
        <f t="shared" si="97"/>
        <v>7626</v>
      </c>
      <c r="AS441" s="189">
        <f t="shared" si="93"/>
        <v>6642</v>
      </c>
      <c r="AT441" s="189">
        <f t="shared" si="94"/>
        <v>13284</v>
      </c>
      <c r="AU441" s="50">
        <f t="shared" si="95"/>
        <v>15252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7587.0000000000009</v>
      </c>
      <c r="AR442" s="189">
        <f t="shared" si="97"/>
        <v>7626</v>
      </c>
      <c r="AS442" s="189">
        <f t="shared" si="93"/>
        <v>6642</v>
      </c>
      <c r="AT442" s="189">
        <f t="shared" si="94"/>
        <v>13284</v>
      </c>
      <c r="AU442" s="50">
        <f t="shared" si="95"/>
        <v>15252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4959.6500000000005</v>
      </c>
      <c r="AR443" s="189">
        <f t="shared" si="97"/>
        <v>5178.3</v>
      </c>
      <c r="AS443" s="189">
        <f t="shared" si="93"/>
        <v>4674</v>
      </c>
      <c r="AT443" s="189">
        <f t="shared" si="94"/>
        <v>9348</v>
      </c>
      <c r="AU443" s="50">
        <f t="shared" si="95"/>
        <v>9987.5999999999985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5212.55</v>
      </c>
      <c r="AR444" s="189">
        <f t="shared" si="97"/>
        <v>5498.0999999999985</v>
      </c>
      <c r="AS444" s="189">
        <f t="shared" si="93"/>
        <v>4674</v>
      </c>
      <c r="AT444" s="189">
        <f t="shared" si="94"/>
        <v>9348</v>
      </c>
      <c r="AU444" s="50">
        <f t="shared" si="95"/>
        <v>10873.199999999997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5339</v>
      </c>
      <c r="AR445" s="189">
        <f t="shared" si="97"/>
        <v>5658</v>
      </c>
      <c r="AS445" s="189">
        <f t="shared" si="93"/>
        <v>4674</v>
      </c>
      <c r="AT445" s="189">
        <f t="shared" si="94"/>
        <v>9348</v>
      </c>
      <c r="AU445" s="50">
        <f t="shared" si="95"/>
        <v>11316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5339</v>
      </c>
      <c r="AR446" s="189">
        <f t="shared" si="97"/>
        <v>5658</v>
      </c>
      <c r="AS446" s="189">
        <f t="shared" si="93"/>
        <v>4674</v>
      </c>
      <c r="AT446" s="189">
        <f t="shared" si="94"/>
        <v>9348</v>
      </c>
      <c r="AU446" s="50">
        <f t="shared" si="95"/>
        <v>11316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5339</v>
      </c>
      <c r="AR447" s="189">
        <f t="shared" si="97"/>
        <v>5658</v>
      </c>
      <c r="AS447" s="189">
        <f t="shared" si="93"/>
        <v>4674</v>
      </c>
      <c r="AT447" s="189">
        <f t="shared" si="94"/>
        <v>9348</v>
      </c>
      <c r="AU447" s="50">
        <f t="shared" si="95"/>
        <v>11316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5339</v>
      </c>
      <c r="AR448" s="189">
        <f t="shared" si="97"/>
        <v>5658</v>
      </c>
      <c r="AS448" s="189">
        <f t="shared" si="93"/>
        <v>4674</v>
      </c>
      <c r="AT448" s="189">
        <f t="shared" si="94"/>
        <v>9348</v>
      </c>
      <c r="AU448" s="50">
        <f t="shared" si="95"/>
        <v>11316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5339</v>
      </c>
      <c r="AR449" s="189">
        <f t="shared" si="97"/>
        <v>5658</v>
      </c>
      <c r="AS449" s="189">
        <f t="shared" si="93"/>
        <v>4674</v>
      </c>
      <c r="AT449" s="189">
        <f t="shared" si="94"/>
        <v>9348</v>
      </c>
      <c r="AU449" s="50">
        <f t="shared" si="95"/>
        <v>11316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5339</v>
      </c>
      <c r="AR450" s="189">
        <f t="shared" si="97"/>
        <v>5658</v>
      </c>
      <c r="AS450" s="189">
        <f t="shared" si="93"/>
        <v>4674</v>
      </c>
      <c r="AT450" s="189">
        <f t="shared" si="94"/>
        <v>9348</v>
      </c>
      <c r="AU450" s="50">
        <f t="shared" si="95"/>
        <v>11316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5339</v>
      </c>
      <c r="AR451" s="189">
        <f t="shared" si="97"/>
        <v>5658</v>
      </c>
      <c r="AS451" s="189">
        <f t="shared" ref="AS451:AS514" si="98">$AG$3*(1+$AJ451*$Y$2+$AN451)*(MAXA(1-$AI$3-$AL451*$AA$3-$AP451-0.36,0)+MINA($AI$3+$AL451*$AA$3+$AP451+0.36,1)*(1+$AH$3+$AO451+$AK451*$Z$4))</f>
        <v>4674</v>
      </c>
      <c r="AT451" s="189">
        <f t="shared" ref="AT451:AT514" si="99">$AG$3*(1+$AJ451*$Y$2+$AN451)*(MAXA(1-$AI$3-$AL451*$AA$3-$AP451-0.36,0)+2*MINA($AI$3+$AL451*$AA$3+$AP451+0.36,1)*(1+$AH$3+$AO451+$AK451*$Z$4))</f>
        <v>9348</v>
      </c>
      <c r="AU451" s="50">
        <f t="shared" ref="AU451:AU514" si="100">$AG$3*(1+$AJ451*$Y$2+$AN451)*(MAXA(1-$AI$3-$AL451*$AA$3-$AP451-0.12,0)+2*MINA($AI$3+$AL451*$AA$3+$AP451+0.12,1)*(1+$AH$3+$AO451+$AK451*$Z$4+0.4))</f>
        <v>11316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5339</v>
      </c>
      <c r="AR452" s="189">
        <f t="shared" ref="AR452:AR515" si="102">$AG$3*(1+$AJ452*$Y$2+$AN452)*(MAXA(1-$AI$3-$AL452*$AA$3-$AP452-0.12,0)+MINA($AI$3+$AL452*$AA$3+$AP452+0.12,1)*(1+$AH$3+$AO452+$AK452*$Z$4+0.4))</f>
        <v>5658</v>
      </c>
      <c r="AS452" s="189">
        <f t="shared" si="98"/>
        <v>4674</v>
      </c>
      <c r="AT452" s="189">
        <f t="shared" si="99"/>
        <v>9348</v>
      </c>
      <c r="AU452" s="50">
        <f t="shared" si="100"/>
        <v>11316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5339</v>
      </c>
      <c r="AR453" s="189">
        <f t="shared" si="102"/>
        <v>5658</v>
      </c>
      <c r="AS453" s="189">
        <f t="shared" si="98"/>
        <v>4674</v>
      </c>
      <c r="AT453" s="189">
        <f t="shared" si="99"/>
        <v>9348</v>
      </c>
      <c r="AU453" s="50">
        <f t="shared" si="100"/>
        <v>11316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4275.92</v>
      </c>
      <c r="AR454" s="189">
        <f t="shared" si="102"/>
        <v>4174.59</v>
      </c>
      <c r="AS454" s="189">
        <f t="shared" si="98"/>
        <v>4508.3100000000013</v>
      </c>
      <c r="AT454" s="189">
        <f t="shared" si="99"/>
        <v>7502.5200000000013</v>
      </c>
      <c r="AU454" s="50">
        <f t="shared" si="100"/>
        <v>6093.4800000000005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4585.5200000000004</v>
      </c>
      <c r="AR455" s="189">
        <f t="shared" si="102"/>
        <v>4576.29</v>
      </c>
      <c r="AS455" s="189">
        <f t="shared" si="98"/>
        <v>4786.4100000000008</v>
      </c>
      <c r="AT455" s="189">
        <f t="shared" si="99"/>
        <v>8367.7200000000012</v>
      </c>
      <c r="AU455" s="50">
        <f t="shared" si="100"/>
        <v>7205.880000000001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4895.12</v>
      </c>
      <c r="AR456" s="189">
        <f t="shared" si="102"/>
        <v>4977.99</v>
      </c>
      <c r="AS456" s="189">
        <f t="shared" si="98"/>
        <v>5064.51</v>
      </c>
      <c r="AT456" s="189">
        <f t="shared" si="99"/>
        <v>9232.9200000000019</v>
      </c>
      <c r="AU456" s="50">
        <f t="shared" si="100"/>
        <v>8318.2800000000007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5204.72</v>
      </c>
      <c r="AR457" s="189">
        <f t="shared" si="102"/>
        <v>5379.69</v>
      </c>
      <c r="AS457" s="189">
        <f t="shared" si="98"/>
        <v>5342.6100000000015</v>
      </c>
      <c r="AT457" s="189">
        <f t="shared" si="99"/>
        <v>10098.120000000001</v>
      </c>
      <c r="AU457" s="50">
        <f t="shared" si="100"/>
        <v>9430.68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5514.32</v>
      </c>
      <c r="AR458" s="189">
        <f t="shared" si="102"/>
        <v>5781.3900000000012</v>
      </c>
      <c r="AS458" s="189">
        <f t="shared" si="98"/>
        <v>5620.7100000000009</v>
      </c>
      <c r="AT458" s="189">
        <f t="shared" si="99"/>
        <v>10963.32</v>
      </c>
      <c r="AU458" s="50">
        <f t="shared" si="100"/>
        <v>10543.080000000002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5823.92</v>
      </c>
      <c r="AR459" s="189">
        <f t="shared" si="102"/>
        <v>6183.09</v>
      </c>
      <c r="AS459" s="189">
        <f t="shared" si="98"/>
        <v>5871.0000000000009</v>
      </c>
      <c r="AT459" s="189">
        <f t="shared" si="99"/>
        <v>11742.000000000002</v>
      </c>
      <c r="AU459" s="50">
        <f t="shared" si="100"/>
        <v>11655.480000000001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6133.52</v>
      </c>
      <c r="AR460" s="189">
        <f t="shared" si="102"/>
        <v>6584.79</v>
      </c>
      <c r="AS460" s="189">
        <f t="shared" si="98"/>
        <v>5871.0000000000009</v>
      </c>
      <c r="AT460" s="189">
        <f t="shared" si="99"/>
        <v>11742.000000000002</v>
      </c>
      <c r="AU460" s="50">
        <f t="shared" si="100"/>
        <v>12767.880000000001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6443.1200000000008</v>
      </c>
      <c r="AR461" s="189">
        <f t="shared" si="102"/>
        <v>6986.4900000000016</v>
      </c>
      <c r="AS461" s="189">
        <f t="shared" si="98"/>
        <v>5871.0000000000009</v>
      </c>
      <c r="AT461" s="189">
        <f t="shared" si="99"/>
        <v>11742.000000000002</v>
      </c>
      <c r="AU461" s="50">
        <f t="shared" si="100"/>
        <v>13880.280000000002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6536.0000000000009</v>
      </c>
      <c r="AR462" s="189">
        <f t="shared" si="102"/>
        <v>7107.0000000000009</v>
      </c>
      <c r="AS462" s="189">
        <f t="shared" si="98"/>
        <v>5871.0000000000009</v>
      </c>
      <c r="AT462" s="189">
        <f t="shared" si="99"/>
        <v>11742.000000000002</v>
      </c>
      <c r="AU462" s="50">
        <f t="shared" si="100"/>
        <v>14214.000000000002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6536.0000000000009</v>
      </c>
      <c r="AR463" s="189">
        <f t="shared" si="102"/>
        <v>7107.0000000000009</v>
      </c>
      <c r="AS463" s="189">
        <f t="shared" si="98"/>
        <v>5871.0000000000009</v>
      </c>
      <c r="AT463" s="189">
        <f t="shared" si="99"/>
        <v>11742.000000000002</v>
      </c>
      <c r="AU463" s="50">
        <f t="shared" si="100"/>
        <v>14214.000000000002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6536.0000000000009</v>
      </c>
      <c r="AR464" s="189">
        <f t="shared" si="102"/>
        <v>7107.0000000000009</v>
      </c>
      <c r="AS464" s="189">
        <f t="shared" si="98"/>
        <v>5871.0000000000009</v>
      </c>
      <c r="AT464" s="189">
        <f t="shared" si="99"/>
        <v>11742.000000000002</v>
      </c>
      <c r="AU464" s="50">
        <f t="shared" si="100"/>
        <v>14214.000000000002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4391.59</v>
      </c>
      <c r="AR465" s="189">
        <f t="shared" si="102"/>
        <v>4168.2199999999993</v>
      </c>
      <c r="AS465" s="189">
        <f t="shared" si="98"/>
        <v>4966.2199999999993</v>
      </c>
      <c r="AT465" s="189">
        <f t="shared" si="99"/>
        <v>8629.0400000000009</v>
      </c>
      <c r="AU465" s="50">
        <f t="shared" si="100"/>
        <v>6394.6399999999985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4903.29</v>
      </c>
      <c r="AR466" s="189">
        <f t="shared" si="102"/>
        <v>4726.82</v>
      </c>
      <c r="AS466" s="189">
        <f t="shared" si="98"/>
        <v>5418.4199999999992</v>
      </c>
      <c r="AT466" s="189">
        <f t="shared" si="99"/>
        <v>9799.4399999999987</v>
      </c>
      <c r="AU466" s="50">
        <f t="shared" si="100"/>
        <v>7777.8399999999983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5414.99</v>
      </c>
      <c r="AR467" s="189">
        <f t="shared" si="102"/>
        <v>5285.4199999999983</v>
      </c>
      <c r="AS467" s="189">
        <f t="shared" si="98"/>
        <v>5870.619999999999</v>
      </c>
      <c r="AT467" s="189">
        <f t="shared" si="99"/>
        <v>10969.839999999997</v>
      </c>
      <c r="AU467" s="50">
        <f t="shared" si="100"/>
        <v>9161.0399999999972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5926.69</v>
      </c>
      <c r="AR468" s="189">
        <f t="shared" si="102"/>
        <v>5844.0199999999995</v>
      </c>
      <c r="AS468" s="189">
        <f t="shared" si="98"/>
        <v>6322.8199999999979</v>
      </c>
      <c r="AT468" s="189">
        <f t="shared" si="99"/>
        <v>12140.239999999998</v>
      </c>
      <c r="AU468" s="50">
        <f t="shared" si="100"/>
        <v>10544.239999999998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6438.39</v>
      </c>
      <c r="AR469" s="189">
        <f t="shared" si="102"/>
        <v>6402.62</v>
      </c>
      <c r="AS469" s="189">
        <f t="shared" si="98"/>
        <v>6775.0199999999995</v>
      </c>
      <c r="AT469" s="189">
        <f t="shared" si="99"/>
        <v>13310.64</v>
      </c>
      <c r="AU469" s="50">
        <f t="shared" si="100"/>
        <v>11927.44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6950.09</v>
      </c>
      <c r="AR470" s="189">
        <f t="shared" si="102"/>
        <v>6961.2199999999984</v>
      </c>
      <c r="AS470" s="189">
        <f t="shared" si="98"/>
        <v>7181.9999999999991</v>
      </c>
      <c r="AT470" s="189">
        <f t="shared" si="99"/>
        <v>14363.999999999998</v>
      </c>
      <c r="AU470" s="50">
        <f t="shared" si="100"/>
        <v>13310.639999999996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7461.79</v>
      </c>
      <c r="AR471" s="189">
        <f t="shared" si="102"/>
        <v>7519.8199999999988</v>
      </c>
      <c r="AS471" s="189">
        <f t="shared" si="98"/>
        <v>7181.9999999999991</v>
      </c>
      <c r="AT471" s="189">
        <f t="shared" si="99"/>
        <v>14363.999999999998</v>
      </c>
      <c r="AU471" s="50">
        <f t="shared" si="100"/>
        <v>14693.839999999998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7973.49</v>
      </c>
      <c r="AR472" s="189">
        <f t="shared" si="102"/>
        <v>8078.4199999999983</v>
      </c>
      <c r="AS472" s="189">
        <f t="shared" si="98"/>
        <v>7181.9999999999991</v>
      </c>
      <c r="AT472" s="189">
        <f t="shared" si="99"/>
        <v>14363.999999999998</v>
      </c>
      <c r="AU472" s="50">
        <f t="shared" si="100"/>
        <v>16077.039999999999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8127.0000000000009</v>
      </c>
      <c r="AR473" s="189">
        <f t="shared" si="102"/>
        <v>8245.9999999999982</v>
      </c>
      <c r="AS473" s="189">
        <f t="shared" si="98"/>
        <v>7181.9999999999991</v>
      </c>
      <c r="AT473" s="189">
        <f t="shared" si="99"/>
        <v>14363.999999999998</v>
      </c>
      <c r="AU473" s="50">
        <f t="shared" si="100"/>
        <v>16491.999999999996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8127.0000000000009</v>
      </c>
      <c r="AR474" s="189">
        <f t="shared" si="102"/>
        <v>8245.9999999999982</v>
      </c>
      <c r="AS474" s="189">
        <f t="shared" si="98"/>
        <v>7181.9999999999991</v>
      </c>
      <c r="AT474" s="189">
        <f t="shared" si="99"/>
        <v>14363.999999999998</v>
      </c>
      <c r="AU474" s="50">
        <f t="shared" si="100"/>
        <v>16491.999999999996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8127.0000000000009</v>
      </c>
      <c r="AR475" s="189">
        <f t="shared" si="102"/>
        <v>8245.9999999999982</v>
      </c>
      <c r="AS475" s="189">
        <f t="shared" si="98"/>
        <v>7181.9999999999991</v>
      </c>
      <c r="AT475" s="189">
        <f t="shared" si="99"/>
        <v>14363.999999999998</v>
      </c>
      <c r="AU475" s="50">
        <f t="shared" si="100"/>
        <v>16491.999999999996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5312.6500000000005</v>
      </c>
      <c r="AR476" s="189">
        <f t="shared" si="102"/>
        <v>5599.2999999999993</v>
      </c>
      <c r="AS476" s="189">
        <f t="shared" si="98"/>
        <v>5053.9999999999991</v>
      </c>
      <c r="AT476" s="189">
        <f t="shared" si="99"/>
        <v>10107.999999999998</v>
      </c>
      <c r="AU476" s="50">
        <f t="shared" si="100"/>
        <v>10799.599999999997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5583.55</v>
      </c>
      <c r="AR477" s="189">
        <f t="shared" si="102"/>
        <v>5945.0999999999976</v>
      </c>
      <c r="AS477" s="189">
        <f t="shared" si="98"/>
        <v>5053.9999999999991</v>
      </c>
      <c r="AT477" s="189">
        <f t="shared" si="99"/>
        <v>10107.999999999998</v>
      </c>
      <c r="AU477" s="50">
        <f t="shared" si="100"/>
        <v>11757.199999999995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5719</v>
      </c>
      <c r="AR478" s="189">
        <f t="shared" si="102"/>
        <v>6117.9999999999982</v>
      </c>
      <c r="AS478" s="189">
        <f t="shared" si="98"/>
        <v>5053.9999999999991</v>
      </c>
      <c r="AT478" s="189">
        <f t="shared" si="99"/>
        <v>10107.999999999998</v>
      </c>
      <c r="AU478" s="50">
        <f t="shared" si="100"/>
        <v>12235.999999999996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5719</v>
      </c>
      <c r="AR479" s="189">
        <f t="shared" si="102"/>
        <v>6117.9999999999982</v>
      </c>
      <c r="AS479" s="189">
        <f t="shared" si="98"/>
        <v>5053.9999999999991</v>
      </c>
      <c r="AT479" s="189">
        <f t="shared" si="99"/>
        <v>10107.999999999998</v>
      </c>
      <c r="AU479" s="50">
        <f t="shared" si="100"/>
        <v>12235.999999999996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5719</v>
      </c>
      <c r="AR480" s="189">
        <f t="shared" si="102"/>
        <v>6117.9999999999982</v>
      </c>
      <c r="AS480" s="189">
        <f t="shared" si="98"/>
        <v>5053.9999999999991</v>
      </c>
      <c r="AT480" s="189">
        <f t="shared" si="99"/>
        <v>10107.999999999998</v>
      </c>
      <c r="AU480" s="50">
        <f t="shared" si="100"/>
        <v>12235.999999999996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5719</v>
      </c>
      <c r="AR481" s="189">
        <f t="shared" si="102"/>
        <v>6117.9999999999982</v>
      </c>
      <c r="AS481" s="189">
        <f t="shared" si="98"/>
        <v>5053.9999999999991</v>
      </c>
      <c r="AT481" s="189">
        <f t="shared" si="99"/>
        <v>10107.999999999998</v>
      </c>
      <c r="AU481" s="50">
        <f t="shared" si="100"/>
        <v>12235.999999999996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5719</v>
      </c>
      <c r="AR482" s="189">
        <f t="shared" si="102"/>
        <v>6117.9999999999982</v>
      </c>
      <c r="AS482" s="189">
        <f t="shared" si="98"/>
        <v>5053.9999999999991</v>
      </c>
      <c r="AT482" s="189">
        <f t="shared" si="99"/>
        <v>10107.999999999998</v>
      </c>
      <c r="AU482" s="50">
        <f t="shared" si="100"/>
        <v>12235.999999999996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5719</v>
      </c>
      <c r="AR483" s="189">
        <f t="shared" si="102"/>
        <v>6117.9999999999982</v>
      </c>
      <c r="AS483" s="189">
        <f t="shared" si="98"/>
        <v>5053.9999999999991</v>
      </c>
      <c r="AT483" s="189">
        <f t="shared" si="99"/>
        <v>10107.999999999998</v>
      </c>
      <c r="AU483" s="50">
        <f t="shared" si="100"/>
        <v>12235.999999999996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5719</v>
      </c>
      <c r="AR484" s="189">
        <f t="shared" si="102"/>
        <v>6117.9999999999982</v>
      </c>
      <c r="AS484" s="189">
        <f t="shared" si="98"/>
        <v>5053.9999999999991</v>
      </c>
      <c r="AT484" s="189">
        <f t="shared" si="99"/>
        <v>10107.999999999998</v>
      </c>
      <c r="AU484" s="50">
        <f t="shared" si="100"/>
        <v>12235.999999999996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5719</v>
      </c>
      <c r="AR485" s="189">
        <f t="shared" si="102"/>
        <v>6117.9999999999982</v>
      </c>
      <c r="AS485" s="189">
        <f t="shared" si="98"/>
        <v>5053.9999999999991</v>
      </c>
      <c r="AT485" s="189">
        <f t="shared" si="99"/>
        <v>10107.999999999998</v>
      </c>
      <c r="AU485" s="50">
        <f t="shared" si="100"/>
        <v>12235.999999999996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5719</v>
      </c>
      <c r="AR486" s="189">
        <f t="shared" si="102"/>
        <v>6117.9999999999982</v>
      </c>
      <c r="AS486" s="189">
        <f t="shared" si="98"/>
        <v>5053.9999999999991</v>
      </c>
      <c r="AT486" s="189">
        <f t="shared" si="99"/>
        <v>10107.999999999998</v>
      </c>
      <c r="AU486" s="50">
        <f t="shared" si="100"/>
        <v>12235.999999999996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4524.5199999999995</v>
      </c>
      <c r="AR487" s="189">
        <f t="shared" si="102"/>
        <v>4444.79</v>
      </c>
      <c r="AS487" s="189">
        <f t="shared" si="98"/>
        <v>4800.1100000000006</v>
      </c>
      <c r="AT487" s="189">
        <f t="shared" si="99"/>
        <v>7988.12</v>
      </c>
      <c r="AU487" s="50">
        <f t="shared" si="100"/>
        <v>6487.88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4852.12</v>
      </c>
      <c r="AR488" s="189">
        <f t="shared" si="102"/>
        <v>4872.49</v>
      </c>
      <c r="AS488" s="189">
        <f t="shared" si="98"/>
        <v>5096.21</v>
      </c>
      <c r="AT488" s="189">
        <f t="shared" si="99"/>
        <v>8909.32</v>
      </c>
      <c r="AU488" s="50">
        <f t="shared" si="100"/>
        <v>7672.28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5179.7199999999993</v>
      </c>
      <c r="AR489" s="189">
        <f t="shared" si="102"/>
        <v>5300.19</v>
      </c>
      <c r="AS489" s="189">
        <f t="shared" si="98"/>
        <v>5392.3099999999995</v>
      </c>
      <c r="AT489" s="189">
        <f t="shared" si="99"/>
        <v>9830.52</v>
      </c>
      <c r="AU489" s="50">
        <f t="shared" si="100"/>
        <v>8856.6799999999985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5507.32</v>
      </c>
      <c r="AR490" s="189">
        <f t="shared" si="102"/>
        <v>5727.8899999999985</v>
      </c>
      <c r="AS490" s="189">
        <f t="shared" si="98"/>
        <v>5688.41</v>
      </c>
      <c r="AT490" s="189">
        <f t="shared" si="99"/>
        <v>10751.72</v>
      </c>
      <c r="AU490" s="50">
        <f t="shared" si="100"/>
        <v>10041.079999999998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5834.9199999999992</v>
      </c>
      <c r="AR491" s="189">
        <f t="shared" si="102"/>
        <v>6155.59</v>
      </c>
      <c r="AS491" s="189">
        <f t="shared" si="98"/>
        <v>5984.51</v>
      </c>
      <c r="AT491" s="189">
        <f t="shared" si="99"/>
        <v>11672.919999999998</v>
      </c>
      <c r="AU491" s="50">
        <f t="shared" si="100"/>
        <v>11225.48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6162.5199999999995</v>
      </c>
      <c r="AR492" s="189">
        <f t="shared" si="102"/>
        <v>6583.29</v>
      </c>
      <c r="AS492" s="189">
        <f t="shared" si="98"/>
        <v>6251</v>
      </c>
      <c r="AT492" s="189">
        <f t="shared" si="99"/>
        <v>12502</v>
      </c>
      <c r="AU492" s="50">
        <f t="shared" si="100"/>
        <v>12409.88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6490.12</v>
      </c>
      <c r="AR493" s="189">
        <f t="shared" si="102"/>
        <v>7010.9899999999989</v>
      </c>
      <c r="AS493" s="189">
        <f t="shared" si="98"/>
        <v>6251</v>
      </c>
      <c r="AT493" s="189">
        <f t="shared" si="99"/>
        <v>12502</v>
      </c>
      <c r="AU493" s="50">
        <f t="shared" si="100"/>
        <v>13594.279999999999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6817.72</v>
      </c>
      <c r="AR494" s="189">
        <f t="shared" si="102"/>
        <v>7438.6900000000005</v>
      </c>
      <c r="AS494" s="189">
        <f t="shared" si="98"/>
        <v>6251</v>
      </c>
      <c r="AT494" s="189">
        <f t="shared" si="99"/>
        <v>12502</v>
      </c>
      <c r="AU494" s="50">
        <f t="shared" si="100"/>
        <v>14778.68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6916</v>
      </c>
      <c r="AR495" s="189">
        <f t="shared" si="102"/>
        <v>7566.9999999999991</v>
      </c>
      <c r="AS495" s="189">
        <f t="shared" si="98"/>
        <v>6251</v>
      </c>
      <c r="AT495" s="189">
        <f t="shared" si="99"/>
        <v>12502</v>
      </c>
      <c r="AU495" s="50">
        <f t="shared" si="100"/>
        <v>15133.999999999998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6916</v>
      </c>
      <c r="AR496" s="189">
        <f t="shared" si="102"/>
        <v>7566.9999999999991</v>
      </c>
      <c r="AS496" s="189">
        <f t="shared" si="98"/>
        <v>6251</v>
      </c>
      <c r="AT496" s="189">
        <f t="shared" si="99"/>
        <v>12502</v>
      </c>
      <c r="AU496" s="50">
        <f t="shared" si="100"/>
        <v>15133.999999999998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6916</v>
      </c>
      <c r="AR497" s="189">
        <f t="shared" si="102"/>
        <v>7566.9999999999991</v>
      </c>
      <c r="AS497" s="189">
        <f t="shared" si="98"/>
        <v>6251</v>
      </c>
      <c r="AT497" s="189">
        <f t="shared" si="99"/>
        <v>12502</v>
      </c>
      <c r="AU497" s="50">
        <f t="shared" si="100"/>
        <v>15133.999999999998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4683.3900000000003</v>
      </c>
      <c r="AR498" s="189">
        <f t="shared" si="102"/>
        <v>4481.6200000000008</v>
      </c>
      <c r="AS498" s="189">
        <f t="shared" si="98"/>
        <v>5339.6200000000008</v>
      </c>
      <c r="AT498" s="189">
        <f t="shared" si="99"/>
        <v>9277.840000000002</v>
      </c>
      <c r="AU498" s="50">
        <f t="shared" si="100"/>
        <v>6875.44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5229.09</v>
      </c>
      <c r="AR499" s="189">
        <f t="shared" si="102"/>
        <v>5082.22</v>
      </c>
      <c r="AS499" s="189">
        <f t="shared" si="98"/>
        <v>5825.82</v>
      </c>
      <c r="AT499" s="189">
        <f t="shared" si="99"/>
        <v>10536.24</v>
      </c>
      <c r="AU499" s="50">
        <f t="shared" si="100"/>
        <v>8362.64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5774.79</v>
      </c>
      <c r="AR500" s="189">
        <f t="shared" si="102"/>
        <v>5682.8199999999988</v>
      </c>
      <c r="AS500" s="189">
        <f t="shared" si="98"/>
        <v>6312.0199999999995</v>
      </c>
      <c r="AT500" s="189">
        <f t="shared" si="99"/>
        <v>11794.64</v>
      </c>
      <c r="AU500" s="50">
        <f t="shared" si="100"/>
        <v>9849.8399999999983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6320.49</v>
      </c>
      <c r="AR501" s="189">
        <f t="shared" si="102"/>
        <v>6283.42</v>
      </c>
      <c r="AS501" s="189">
        <f t="shared" si="98"/>
        <v>6798.2199999999993</v>
      </c>
      <c r="AT501" s="189">
        <f t="shared" si="99"/>
        <v>13053.04</v>
      </c>
      <c r="AU501" s="50">
        <f t="shared" si="100"/>
        <v>11337.039999999999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6866.1900000000005</v>
      </c>
      <c r="AR502" s="189">
        <f t="shared" si="102"/>
        <v>6884.0200000000013</v>
      </c>
      <c r="AS502" s="189">
        <f t="shared" si="98"/>
        <v>7284.42</v>
      </c>
      <c r="AT502" s="189">
        <f t="shared" si="99"/>
        <v>14311.44</v>
      </c>
      <c r="AU502" s="50">
        <f t="shared" si="100"/>
        <v>12824.240000000002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7411.89</v>
      </c>
      <c r="AR503" s="189">
        <f t="shared" si="102"/>
        <v>7484.62</v>
      </c>
      <c r="AS503" s="189">
        <f t="shared" si="98"/>
        <v>7722.0000000000009</v>
      </c>
      <c r="AT503" s="189">
        <f t="shared" si="99"/>
        <v>15444.000000000002</v>
      </c>
      <c r="AU503" s="50">
        <f t="shared" si="100"/>
        <v>14311.439999999999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7957.59</v>
      </c>
      <c r="AR504" s="189">
        <f t="shared" si="102"/>
        <v>8085.22</v>
      </c>
      <c r="AS504" s="189">
        <f t="shared" si="98"/>
        <v>7722.0000000000009</v>
      </c>
      <c r="AT504" s="189">
        <f t="shared" si="99"/>
        <v>15444.000000000002</v>
      </c>
      <c r="AU504" s="50">
        <f t="shared" si="100"/>
        <v>15798.64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8503.2900000000009</v>
      </c>
      <c r="AR505" s="189">
        <f t="shared" si="102"/>
        <v>8685.82</v>
      </c>
      <c r="AS505" s="189">
        <f t="shared" si="98"/>
        <v>7722.0000000000009</v>
      </c>
      <c r="AT505" s="189">
        <f t="shared" si="99"/>
        <v>15444.000000000002</v>
      </c>
      <c r="AU505" s="50">
        <f t="shared" si="100"/>
        <v>17285.84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8667</v>
      </c>
      <c r="AR506" s="189">
        <f t="shared" si="102"/>
        <v>8866</v>
      </c>
      <c r="AS506" s="189">
        <f t="shared" si="98"/>
        <v>7722.0000000000009</v>
      </c>
      <c r="AT506" s="189">
        <f t="shared" si="99"/>
        <v>15444.000000000002</v>
      </c>
      <c r="AU506" s="50">
        <f t="shared" si="100"/>
        <v>17732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8667</v>
      </c>
      <c r="AR507" s="189">
        <f t="shared" si="102"/>
        <v>8866</v>
      </c>
      <c r="AS507" s="189">
        <f t="shared" si="98"/>
        <v>7722.0000000000009</v>
      </c>
      <c r="AT507" s="189">
        <f t="shared" si="99"/>
        <v>15444.000000000002</v>
      </c>
      <c r="AU507" s="50">
        <f t="shared" si="100"/>
        <v>17732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8667</v>
      </c>
      <c r="AR508" s="189">
        <f t="shared" si="102"/>
        <v>8866</v>
      </c>
      <c r="AS508" s="189">
        <f t="shared" si="98"/>
        <v>7722.0000000000009</v>
      </c>
      <c r="AT508" s="189">
        <f t="shared" si="99"/>
        <v>15444.000000000002</v>
      </c>
      <c r="AU508" s="50">
        <f t="shared" si="100"/>
        <v>17732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5665.6500000000005</v>
      </c>
      <c r="AR509" s="189">
        <f t="shared" si="102"/>
        <v>6020.3</v>
      </c>
      <c r="AS509" s="189">
        <f t="shared" si="98"/>
        <v>5434</v>
      </c>
      <c r="AT509" s="189">
        <f t="shared" si="99"/>
        <v>10868</v>
      </c>
      <c r="AU509" s="50">
        <f t="shared" si="100"/>
        <v>11611.599999999999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5954.55</v>
      </c>
      <c r="AR510" s="189">
        <f t="shared" si="102"/>
        <v>6392.0999999999985</v>
      </c>
      <c r="AS510" s="189">
        <f t="shared" si="98"/>
        <v>5434</v>
      </c>
      <c r="AT510" s="189">
        <f t="shared" si="99"/>
        <v>10868</v>
      </c>
      <c r="AU510" s="50">
        <f t="shared" si="100"/>
        <v>12641.199999999997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6099</v>
      </c>
      <c r="AR511" s="189">
        <f t="shared" si="102"/>
        <v>6577.9999999999991</v>
      </c>
      <c r="AS511" s="189">
        <f t="shared" si="98"/>
        <v>5434</v>
      </c>
      <c r="AT511" s="189">
        <f t="shared" si="99"/>
        <v>10868</v>
      </c>
      <c r="AU511" s="50">
        <f t="shared" si="100"/>
        <v>13155.999999999998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6099</v>
      </c>
      <c r="AR512" s="189">
        <f t="shared" si="102"/>
        <v>6577.9999999999991</v>
      </c>
      <c r="AS512" s="189">
        <f t="shared" si="98"/>
        <v>5434</v>
      </c>
      <c r="AT512" s="189">
        <f t="shared" si="99"/>
        <v>10868</v>
      </c>
      <c r="AU512" s="50">
        <f t="shared" si="100"/>
        <v>13155.999999999998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6099</v>
      </c>
      <c r="AR513" s="189">
        <f t="shared" si="102"/>
        <v>6577.9999999999991</v>
      </c>
      <c r="AS513" s="189">
        <f t="shared" si="98"/>
        <v>5434</v>
      </c>
      <c r="AT513" s="189">
        <f t="shared" si="99"/>
        <v>10868</v>
      </c>
      <c r="AU513" s="50">
        <f t="shared" si="100"/>
        <v>13155.999999999998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6099</v>
      </c>
      <c r="AR514" s="189">
        <f t="shared" si="102"/>
        <v>6577.9999999999991</v>
      </c>
      <c r="AS514" s="189">
        <f t="shared" si="98"/>
        <v>5434</v>
      </c>
      <c r="AT514" s="189">
        <f t="shared" si="99"/>
        <v>10868</v>
      </c>
      <c r="AU514" s="50">
        <f t="shared" si="100"/>
        <v>13155.999999999998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6099</v>
      </c>
      <c r="AR515" s="189">
        <f t="shared" si="102"/>
        <v>6577.9999999999991</v>
      </c>
      <c r="AS515" s="189">
        <f t="shared" ref="AS515:AS578" si="103">$AG$3*(1+$AJ515*$Y$2+$AN515)*(MAXA(1-$AI$3-$AL515*$AA$3-$AP515-0.36,0)+MINA($AI$3+$AL515*$AA$3+$AP515+0.36,1)*(1+$AH$3+$AO515+$AK515*$Z$4))</f>
        <v>5434</v>
      </c>
      <c r="AT515" s="189">
        <f t="shared" ref="AT515:AT578" si="104">$AG$3*(1+$AJ515*$Y$2+$AN515)*(MAXA(1-$AI$3-$AL515*$AA$3-$AP515-0.36,0)+2*MINA($AI$3+$AL515*$AA$3+$AP515+0.36,1)*(1+$AH$3+$AO515+$AK515*$Z$4))</f>
        <v>10868</v>
      </c>
      <c r="AU515" s="50">
        <f t="shared" ref="AU515:AU578" si="105">$AG$3*(1+$AJ515*$Y$2+$AN515)*(MAXA(1-$AI$3-$AL515*$AA$3-$AP515-0.12,0)+2*MINA($AI$3+$AL515*$AA$3+$AP515+0.12,1)*(1+$AH$3+$AO515+$AK515*$Z$4+0.4))</f>
        <v>13155.999999999998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6099</v>
      </c>
      <c r="AR516" s="189">
        <f t="shared" ref="AR516:AR579" si="107">$AG$3*(1+$AJ516*$Y$2+$AN516)*(MAXA(1-$AI$3-$AL516*$AA$3-$AP516-0.12,0)+MINA($AI$3+$AL516*$AA$3+$AP516+0.12,1)*(1+$AH$3+$AO516+$AK516*$Z$4+0.4))</f>
        <v>6577.9999999999991</v>
      </c>
      <c r="AS516" s="189">
        <f t="shared" si="103"/>
        <v>5434</v>
      </c>
      <c r="AT516" s="189">
        <f t="shared" si="104"/>
        <v>10868</v>
      </c>
      <c r="AU516" s="50">
        <f t="shared" si="105"/>
        <v>13155.999999999998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6099</v>
      </c>
      <c r="AR517" s="189">
        <f t="shared" si="107"/>
        <v>6577.9999999999991</v>
      </c>
      <c r="AS517" s="189">
        <f t="shared" si="103"/>
        <v>5434</v>
      </c>
      <c r="AT517" s="189">
        <f t="shared" si="104"/>
        <v>10868</v>
      </c>
      <c r="AU517" s="50">
        <f t="shared" si="105"/>
        <v>13155.999999999998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6099</v>
      </c>
      <c r="AR518" s="189">
        <f t="shared" si="107"/>
        <v>6577.9999999999991</v>
      </c>
      <c r="AS518" s="189">
        <f t="shared" si="103"/>
        <v>5434</v>
      </c>
      <c r="AT518" s="189">
        <f t="shared" si="104"/>
        <v>10868</v>
      </c>
      <c r="AU518" s="50">
        <f t="shared" si="105"/>
        <v>13155.999999999998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6099</v>
      </c>
      <c r="AR519" s="189">
        <f t="shared" si="107"/>
        <v>6577.9999999999991</v>
      </c>
      <c r="AS519" s="189">
        <f t="shared" si="103"/>
        <v>5434</v>
      </c>
      <c r="AT519" s="189">
        <f t="shared" si="104"/>
        <v>10868</v>
      </c>
      <c r="AU519" s="50">
        <f t="shared" si="105"/>
        <v>13155.999999999998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4773.12</v>
      </c>
      <c r="AR520" s="189">
        <f t="shared" si="107"/>
        <v>4714.99</v>
      </c>
      <c r="AS520" s="189">
        <f t="shared" si="103"/>
        <v>5091.91</v>
      </c>
      <c r="AT520" s="189">
        <f t="shared" si="104"/>
        <v>8473.7199999999993</v>
      </c>
      <c r="AU520" s="50">
        <f t="shared" si="105"/>
        <v>6882.28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5118.72</v>
      </c>
      <c r="AR521" s="189">
        <f t="shared" si="107"/>
        <v>5168.6899999999996</v>
      </c>
      <c r="AS521" s="189">
        <f t="shared" si="103"/>
        <v>5406.01</v>
      </c>
      <c r="AT521" s="189">
        <f t="shared" si="104"/>
        <v>9450.92</v>
      </c>
      <c r="AU521" s="50">
        <f t="shared" si="105"/>
        <v>8138.6799999999994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5464.32</v>
      </c>
      <c r="AR522" s="189">
        <f t="shared" si="107"/>
        <v>5622.3899999999994</v>
      </c>
      <c r="AS522" s="189">
        <f t="shared" si="103"/>
        <v>5720.11</v>
      </c>
      <c r="AT522" s="189">
        <f t="shared" si="104"/>
        <v>10428.120000000001</v>
      </c>
      <c r="AU522" s="50">
        <f t="shared" si="105"/>
        <v>9395.08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5809.92</v>
      </c>
      <c r="AR523" s="189">
        <f t="shared" si="107"/>
        <v>6076.0899999999992</v>
      </c>
      <c r="AS523" s="189">
        <f t="shared" si="103"/>
        <v>6034.21</v>
      </c>
      <c r="AT523" s="189">
        <f t="shared" si="104"/>
        <v>11405.32</v>
      </c>
      <c r="AU523" s="50">
        <f t="shared" si="105"/>
        <v>10651.479999999998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6155.5199999999995</v>
      </c>
      <c r="AR524" s="189">
        <f t="shared" si="107"/>
        <v>6529.79</v>
      </c>
      <c r="AS524" s="189">
        <f t="shared" si="103"/>
        <v>6348.3099999999995</v>
      </c>
      <c r="AT524" s="189">
        <f t="shared" si="104"/>
        <v>12382.519999999999</v>
      </c>
      <c r="AU524" s="50">
        <f t="shared" si="105"/>
        <v>11907.88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6501.12</v>
      </c>
      <c r="AR525" s="189">
        <f t="shared" si="107"/>
        <v>6983.49</v>
      </c>
      <c r="AS525" s="189">
        <f t="shared" si="103"/>
        <v>6631</v>
      </c>
      <c r="AT525" s="189">
        <f t="shared" si="104"/>
        <v>13262</v>
      </c>
      <c r="AU525" s="50">
        <f t="shared" si="105"/>
        <v>13164.279999999999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6846.72</v>
      </c>
      <c r="AR526" s="189">
        <f t="shared" si="107"/>
        <v>7437.19</v>
      </c>
      <c r="AS526" s="189">
        <f t="shared" si="103"/>
        <v>6631</v>
      </c>
      <c r="AT526" s="189">
        <f t="shared" si="104"/>
        <v>13262</v>
      </c>
      <c r="AU526" s="50">
        <f t="shared" si="105"/>
        <v>14420.679999999998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7192.3200000000006</v>
      </c>
      <c r="AR527" s="189">
        <f t="shared" si="107"/>
        <v>7890.89</v>
      </c>
      <c r="AS527" s="189">
        <f t="shared" si="103"/>
        <v>6631</v>
      </c>
      <c r="AT527" s="189">
        <f t="shared" si="104"/>
        <v>13262</v>
      </c>
      <c r="AU527" s="50">
        <f t="shared" si="105"/>
        <v>15677.08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7296.0000000000009</v>
      </c>
      <c r="AR528" s="189">
        <f t="shared" si="107"/>
        <v>8026.9999999999991</v>
      </c>
      <c r="AS528" s="189">
        <f t="shared" si="103"/>
        <v>6631</v>
      </c>
      <c r="AT528" s="189">
        <f t="shared" si="104"/>
        <v>13262</v>
      </c>
      <c r="AU528" s="50">
        <f t="shared" si="105"/>
        <v>16053.999999999998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7296.0000000000009</v>
      </c>
      <c r="AR529" s="189">
        <f t="shared" si="107"/>
        <v>8026.9999999999991</v>
      </c>
      <c r="AS529" s="189">
        <f t="shared" si="103"/>
        <v>6631</v>
      </c>
      <c r="AT529" s="189">
        <f t="shared" si="104"/>
        <v>13262</v>
      </c>
      <c r="AU529" s="50">
        <f t="shared" si="105"/>
        <v>16053.999999999998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7296.0000000000009</v>
      </c>
      <c r="AR530" s="189">
        <f t="shared" si="107"/>
        <v>8026.9999999999991</v>
      </c>
      <c r="AS530" s="189">
        <f t="shared" si="103"/>
        <v>6631</v>
      </c>
      <c r="AT530" s="189">
        <f t="shared" si="104"/>
        <v>13262</v>
      </c>
      <c r="AU530" s="50">
        <f t="shared" si="105"/>
        <v>16053.999999999998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4975.1899999999996</v>
      </c>
      <c r="AR531" s="189">
        <f t="shared" si="107"/>
        <v>4795.0199999999995</v>
      </c>
      <c r="AS531" s="189">
        <f t="shared" si="103"/>
        <v>5713.0199999999995</v>
      </c>
      <c r="AT531" s="189">
        <f t="shared" si="104"/>
        <v>9926.6400000000012</v>
      </c>
      <c r="AU531" s="50">
        <f t="shared" si="105"/>
        <v>7356.2399999999989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5554.8899999999994</v>
      </c>
      <c r="AR532" s="189">
        <f t="shared" si="107"/>
        <v>5437.62</v>
      </c>
      <c r="AS532" s="189">
        <f t="shared" si="103"/>
        <v>6233.2199999999984</v>
      </c>
      <c r="AT532" s="189">
        <f t="shared" si="104"/>
        <v>11273.039999999999</v>
      </c>
      <c r="AU532" s="50">
        <f t="shared" si="105"/>
        <v>8947.4399999999987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6134.5899999999992</v>
      </c>
      <c r="AR533" s="189">
        <f t="shared" si="107"/>
        <v>6080.2199999999984</v>
      </c>
      <c r="AS533" s="189">
        <f t="shared" si="103"/>
        <v>6753.4199999999983</v>
      </c>
      <c r="AT533" s="189">
        <f t="shared" si="104"/>
        <v>12619.439999999997</v>
      </c>
      <c r="AU533" s="50">
        <f t="shared" si="105"/>
        <v>10538.639999999998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6714.2899999999991</v>
      </c>
      <c r="AR534" s="189">
        <f t="shared" si="107"/>
        <v>6722.8199999999988</v>
      </c>
      <c r="AS534" s="189">
        <f t="shared" si="103"/>
        <v>7273.6199999999981</v>
      </c>
      <c r="AT534" s="189">
        <f t="shared" si="104"/>
        <v>13965.839999999998</v>
      </c>
      <c r="AU534" s="50">
        <f t="shared" si="105"/>
        <v>12129.839999999998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7293.99</v>
      </c>
      <c r="AR535" s="189">
        <f t="shared" si="107"/>
        <v>7365.42</v>
      </c>
      <c r="AS535" s="189">
        <f t="shared" si="103"/>
        <v>7793.82</v>
      </c>
      <c r="AT535" s="189">
        <f t="shared" si="104"/>
        <v>15312.24</v>
      </c>
      <c r="AU535" s="50">
        <f t="shared" si="105"/>
        <v>13721.04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7873.69</v>
      </c>
      <c r="AR536" s="189">
        <f t="shared" si="107"/>
        <v>8008.0199999999986</v>
      </c>
      <c r="AS536" s="189">
        <f t="shared" si="103"/>
        <v>8262</v>
      </c>
      <c r="AT536" s="189">
        <f t="shared" si="104"/>
        <v>16524</v>
      </c>
      <c r="AU536" s="50">
        <f t="shared" si="105"/>
        <v>15312.239999999996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8453.39</v>
      </c>
      <c r="AR537" s="189">
        <f t="shared" si="107"/>
        <v>8650.619999999999</v>
      </c>
      <c r="AS537" s="189">
        <f t="shared" si="103"/>
        <v>8262</v>
      </c>
      <c r="AT537" s="189">
        <f t="shared" si="104"/>
        <v>16524</v>
      </c>
      <c r="AU537" s="50">
        <f t="shared" si="105"/>
        <v>16903.439999999999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9033.0899999999983</v>
      </c>
      <c r="AR538" s="189">
        <f t="shared" si="107"/>
        <v>9293.2199999999975</v>
      </c>
      <c r="AS538" s="189">
        <f t="shared" si="103"/>
        <v>8262</v>
      </c>
      <c r="AT538" s="189">
        <f t="shared" si="104"/>
        <v>16524</v>
      </c>
      <c r="AU538" s="50">
        <f t="shared" si="105"/>
        <v>18494.64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9207</v>
      </c>
      <c r="AR539" s="189">
        <f t="shared" si="107"/>
        <v>9485.9999999999982</v>
      </c>
      <c r="AS539" s="189">
        <f t="shared" si="103"/>
        <v>8262</v>
      </c>
      <c r="AT539" s="189">
        <f t="shared" si="104"/>
        <v>16524</v>
      </c>
      <c r="AU539" s="50">
        <f t="shared" si="105"/>
        <v>18971.999999999996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9207</v>
      </c>
      <c r="AR540" s="189">
        <f t="shared" si="107"/>
        <v>9485.9999999999982</v>
      </c>
      <c r="AS540" s="189">
        <f t="shared" si="103"/>
        <v>8262</v>
      </c>
      <c r="AT540" s="189">
        <f t="shared" si="104"/>
        <v>16524</v>
      </c>
      <c r="AU540" s="50">
        <f t="shared" si="105"/>
        <v>18971.999999999996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9207</v>
      </c>
      <c r="AR541" s="189">
        <f t="shared" si="107"/>
        <v>9485.9999999999982</v>
      </c>
      <c r="AS541" s="189">
        <f t="shared" si="103"/>
        <v>8262</v>
      </c>
      <c r="AT541" s="189">
        <f t="shared" si="104"/>
        <v>16524</v>
      </c>
      <c r="AU541" s="50">
        <f t="shared" si="105"/>
        <v>18971.999999999996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6018.65</v>
      </c>
      <c r="AR542" s="189">
        <f t="shared" si="107"/>
        <v>6441.2999999999993</v>
      </c>
      <c r="AS542" s="189">
        <f t="shared" si="103"/>
        <v>5813.9999999999991</v>
      </c>
      <c r="AT542" s="189">
        <f t="shared" si="104"/>
        <v>11627.999999999998</v>
      </c>
      <c r="AU542" s="50">
        <f t="shared" si="105"/>
        <v>12423.599999999997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6325.5499999999993</v>
      </c>
      <c r="AR543" s="189">
        <f t="shared" si="107"/>
        <v>6839.0999999999976</v>
      </c>
      <c r="AS543" s="189">
        <f t="shared" si="103"/>
        <v>5813.9999999999991</v>
      </c>
      <c r="AT543" s="189">
        <f t="shared" si="104"/>
        <v>11627.999999999998</v>
      </c>
      <c r="AU543" s="50">
        <f t="shared" si="105"/>
        <v>13525.199999999995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6478.9999999999991</v>
      </c>
      <c r="AR544" s="189">
        <f t="shared" si="107"/>
        <v>7037.9999999999982</v>
      </c>
      <c r="AS544" s="189">
        <f t="shared" si="103"/>
        <v>5813.9999999999991</v>
      </c>
      <c r="AT544" s="189">
        <f t="shared" si="104"/>
        <v>11627.999999999998</v>
      </c>
      <c r="AU544" s="50">
        <f t="shared" si="105"/>
        <v>14075.999999999996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6478.9999999999991</v>
      </c>
      <c r="AR545" s="189">
        <f t="shared" si="107"/>
        <v>7037.9999999999982</v>
      </c>
      <c r="AS545" s="189">
        <f t="shared" si="103"/>
        <v>5813.9999999999991</v>
      </c>
      <c r="AT545" s="189">
        <f t="shared" si="104"/>
        <v>11627.999999999998</v>
      </c>
      <c r="AU545" s="50">
        <f t="shared" si="105"/>
        <v>14075.999999999996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6478.9999999999991</v>
      </c>
      <c r="AR546" s="189">
        <f t="shared" si="107"/>
        <v>7037.9999999999982</v>
      </c>
      <c r="AS546" s="189">
        <f t="shared" si="103"/>
        <v>5813.9999999999991</v>
      </c>
      <c r="AT546" s="189">
        <f t="shared" si="104"/>
        <v>11627.999999999998</v>
      </c>
      <c r="AU546" s="50">
        <f t="shared" si="105"/>
        <v>14075.999999999996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6478.9999999999991</v>
      </c>
      <c r="AR547" s="189">
        <f t="shared" si="107"/>
        <v>7037.9999999999982</v>
      </c>
      <c r="AS547" s="189">
        <f t="shared" si="103"/>
        <v>5813.9999999999991</v>
      </c>
      <c r="AT547" s="189">
        <f t="shared" si="104"/>
        <v>11627.999999999998</v>
      </c>
      <c r="AU547" s="50">
        <f t="shared" si="105"/>
        <v>14075.999999999996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6478.9999999999991</v>
      </c>
      <c r="AR548" s="189">
        <f t="shared" si="107"/>
        <v>7037.9999999999982</v>
      </c>
      <c r="AS548" s="189">
        <f t="shared" si="103"/>
        <v>5813.9999999999991</v>
      </c>
      <c r="AT548" s="189">
        <f t="shared" si="104"/>
        <v>11627.999999999998</v>
      </c>
      <c r="AU548" s="50">
        <f t="shared" si="105"/>
        <v>14075.999999999996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6478.9999999999991</v>
      </c>
      <c r="AR549" s="189">
        <f t="shared" si="107"/>
        <v>7037.9999999999982</v>
      </c>
      <c r="AS549" s="189">
        <f t="shared" si="103"/>
        <v>5813.9999999999991</v>
      </c>
      <c r="AT549" s="189">
        <f t="shared" si="104"/>
        <v>11627.999999999998</v>
      </c>
      <c r="AU549" s="50">
        <f t="shared" si="105"/>
        <v>14075.999999999996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6478.9999999999991</v>
      </c>
      <c r="AR550" s="189">
        <f t="shared" si="107"/>
        <v>7037.9999999999982</v>
      </c>
      <c r="AS550" s="189">
        <f t="shared" si="103"/>
        <v>5813.9999999999991</v>
      </c>
      <c r="AT550" s="189">
        <f t="shared" si="104"/>
        <v>11627.999999999998</v>
      </c>
      <c r="AU550" s="50">
        <f t="shared" si="105"/>
        <v>14075.999999999996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6478.9999999999991</v>
      </c>
      <c r="AR551" s="189">
        <f t="shared" si="107"/>
        <v>7037.9999999999982</v>
      </c>
      <c r="AS551" s="189">
        <f t="shared" si="103"/>
        <v>5813.9999999999991</v>
      </c>
      <c r="AT551" s="189">
        <f t="shared" si="104"/>
        <v>11627.999999999998</v>
      </c>
      <c r="AU551" s="50">
        <f t="shared" si="105"/>
        <v>14075.999999999996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6478.9999999999991</v>
      </c>
      <c r="AR552" s="189">
        <f t="shared" si="107"/>
        <v>7037.9999999999982</v>
      </c>
      <c r="AS552" s="189">
        <f t="shared" si="103"/>
        <v>5813.9999999999991</v>
      </c>
      <c r="AT552" s="189">
        <f t="shared" si="104"/>
        <v>11627.999999999998</v>
      </c>
      <c r="AU552" s="50">
        <f t="shared" si="105"/>
        <v>14075.999999999996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5021.7199999999993</v>
      </c>
      <c r="AR553" s="189">
        <f t="shared" si="107"/>
        <v>4985.1900000000005</v>
      </c>
      <c r="AS553" s="189">
        <f t="shared" si="103"/>
        <v>5383.7100000000009</v>
      </c>
      <c r="AT553" s="189">
        <f t="shared" si="104"/>
        <v>8959.3200000000015</v>
      </c>
      <c r="AU553" s="50">
        <f t="shared" si="105"/>
        <v>7276.6800000000012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5385.32</v>
      </c>
      <c r="AR554" s="189">
        <f t="shared" si="107"/>
        <v>5464.89</v>
      </c>
      <c r="AS554" s="189">
        <f t="shared" si="103"/>
        <v>5715.81</v>
      </c>
      <c r="AT554" s="189">
        <f t="shared" si="104"/>
        <v>9992.5200000000023</v>
      </c>
      <c r="AU554" s="50">
        <f t="shared" si="105"/>
        <v>8605.08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5748.9199999999992</v>
      </c>
      <c r="AR555" s="189">
        <f t="shared" si="107"/>
        <v>5944.59</v>
      </c>
      <c r="AS555" s="189">
        <f t="shared" si="103"/>
        <v>6047.91</v>
      </c>
      <c r="AT555" s="189">
        <f t="shared" si="104"/>
        <v>11025.720000000001</v>
      </c>
      <c r="AU555" s="50">
        <f t="shared" si="105"/>
        <v>9933.48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6112.5199999999995</v>
      </c>
      <c r="AR556" s="189">
        <f t="shared" si="107"/>
        <v>6424.29</v>
      </c>
      <c r="AS556" s="189">
        <f t="shared" si="103"/>
        <v>6380.0100000000011</v>
      </c>
      <c r="AT556" s="189">
        <f t="shared" si="104"/>
        <v>12058.92</v>
      </c>
      <c r="AU556" s="50">
        <f t="shared" si="105"/>
        <v>11261.88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6476.119999999999</v>
      </c>
      <c r="AR557" s="189">
        <f t="shared" si="107"/>
        <v>6903.9900000000007</v>
      </c>
      <c r="AS557" s="189">
        <f t="shared" si="103"/>
        <v>6712.1100000000006</v>
      </c>
      <c r="AT557" s="189">
        <f t="shared" si="104"/>
        <v>13092.12</v>
      </c>
      <c r="AU557" s="50">
        <f t="shared" si="105"/>
        <v>12590.28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6839.7199999999993</v>
      </c>
      <c r="AR558" s="189">
        <f t="shared" si="107"/>
        <v>7383.6900000000005</v>
      </c>
      <c r="AS558" s="189">
        <f t="shared" si="103"/>
        <v>7011.0000000000009</v>
      </c>
      <c r="AT558" s="189">
        <f t="shared" si="104"/>
        <v>14022.000000000002</v>
      </c>
      <c r="AU558" s="50">
        <f t="shared" si="105"/>
        <v>13918.68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7203.32</v>
      </c>
      <c r="AR559" s="189">
        <f t="shared" si="107"/>
        <v>7863.39</v>
      </c>
      <c r="AS559" s="189">
        <f t="shared" si="103"/>
        <v>7011.0000000000009</v>
      </c>
      <c r="AT559" s="189">
        <f t="shared" si="104"/>
        <v>14022.000000000002</v>
      </c>
      <c r="AU559" s="50">
        <f t="shared" si="105"/>
        <v>15247.08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7566.92</v>
      </c>
      <c r="AR560" s="189">
        <f t="shared" si="107"/>
        <v>8343.090000000002</v>
      </c>
      <c r="AS560" s="189">
        <f t="shared" si="103"/>
        <v>7011.0000000000009</v>
      </c>
      <c r="AT560" s="189">
        <f t="shared" si="104"/>
        <v>14022.000000000002</v>
      </c>
      <c r="AU560" s="50">
        <f t="shared" si="105"/>
        <v>16575.480000000003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7676</v>
      </c>
      <c r="AR561" s="189">
        <f t="shared" si="107"/>
        <v>8487</v>
      </c>
      <c r="AS561" s="189">
        <f t="shared" si="103"/>
        <v>7011.0000000000009</v>
      </c>
      <c r="AT561" s="189">
        <f t="shared" si="104"/>
        <v>14022.000000000002</v>
      </c>
      <c r="AU561" s="50">
        <f t="shared" si="105"/>
        <v>16974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7676</v>
      </c>
      <c r="AR562" s="189">
        <f t="shared" si="107"/>
        <v>8487</v>
      </c>
      <c r="AS562" s="189">
        <f t="shared" si="103"/>
        <v>7011.0000000000009</v>
      </c>
      <c r="AT562" s="189">
        <f t="shared" si="104"/>
        <v>14022.000000000002</v>
      </c>
      <c r="AU562" s="50">
        <f t="shared" si="105"/>
        <v>16974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7676</v>
      </c>
      <c r="AR563" s="189">
        <f t="shared" si="107"/>
        <v>8487</v>
      </c>
      <c r="AS563" s="189">
        <f t="shared" si="103"/>
        <v>7011.0000000000009</v>
      </c>
      <c r="AT563" s="189">
        <f t="shared" si="104"/>
        <v>14022.000000000002</v>
      </c>
      <c r="AU563" s="50">
        <f t="shared" si="105"/>
        <v>16974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5266.9900000000007</v>
      </c>
      <c r="AR564" s="189">
        <f t="shared" si="107"/>
        <v>5108.420000000001</v>
      </c>
      <c r="AS564" s="189">
        <f t="shared" si="103"/>
        <v>6086.420000000001</v>
      </c>
      <c r="AT564" s="189">
        <f t="shared" si="104"/>
        <v>10575.440000000002</v>
      </c>
      <c r="AU564" s="50">
        <f t="shared" si="105"/>
        <v>7837.04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5880.69</v>
      </c>
      <c r="AR565" s="189">
        <f t="shared" si="107"/>
        <v>5793.02</v>
      </c>
      <c r="AS565" s="189">
        <f t="shared" si="103"/>
        <v>6640.62</v>
      </c>
      <c r="AT565" s="189">
        <f t="shared" si="104"/>
        <v>12009.84</v>
      </c>
      <c r="AU565" s="50">
        <f t="shared" si="105"/>
        <v>9532.24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6494.3899999999994</v>
      </c>
      <c r="AR566" s="189">
        <f t="shared" si="107"/>
        <v>6477.619999999999</v>
      </c>
      <c r="AS566" s="189">
        <f t="shared" si="103"/>
        <v>7194.82</v>
      </c>
      <c r="AT566" s="189">
        <f t="shared" si="104"/>
        <v>13444.24</v>
      </c>
      <c r="AU566" s="50">
        <f t="shared" si="105"/>
        <v>11227.439999999999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7108.0899999999992</v>
      </c>
      <c r="AR567" s="189">
        <f t="shared" si="107"/>
        <v>7162.22</v>
      </c>
      <c r="AS567" s="189">
        <f t="shared" si="103"/>
        <v>7749.0199999999995</v>
      </c>
      <c r="AT567" s="189">
        <f t="shared" si="104"/>
        <v>14878.64</v>
      </c>
      <c r="AU567" s="50">
        <f t="shared" si="105"/>
        <v>12922.64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7721.7900000000009</v>
      </c>
      <c r="AR568" s="189">
        <f t="shared" si="107"/>
        <v>7846.8200000000015</v>
      </c>
      <c r="AS568" s="189">
        <f t="shared" si="103"/>
        <v>8303.2200000000012</v>
      </c>
      <c r="AT568" s="189">
        <f t="shared" si="104"/>
        <v>16313.04</v>
      </c>
      <c r="AU568" s="50">
        <f t="shared" si="105"/>
        <v>14617.840000000002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8335.49</v>
      </c>
      <c r="AR569" s="189">
        <f t="shared" si="107"/>
        <v>8531.42</v>
      </c>
      <c r="AS569" s="189">
        <f t="shared" si="103"/>
        <v>8802</v>
      </c>
      <c r="AT569" s="189">
        <f t="shared" si="104"/>
        <v>17604</v>
      </c>
      <c r="AU569" s="50">
        <f t="shared" si="105"/>
        <v>16313.039999999999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8949.19</v>
      </c>
      <c r="AR570" s="189">
        <f t="shared" si="107"/>
        <v>9216.02</v>
      </c>
      <c r="AS570" s="189">
        <f t="shared" si="103"/>
        <v>8802</v>
      </c>
      <c r="AT570" s="189">
        <f t="shared" si="104"/>
        <v>17604</v>
      </c>
      <c r="AU570" s="50">
        <f t="shared" si="105"/>
        <v>18008.240000000002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9562.89</v>
      </c>
      <c r="AR571" s="189">
        <f t="shared" si="107"/>
        <v>9900.619999999999</v>
      </c>
      <c r="AS571" s="189">
        <f t="shared" si="103"/>
        <v>8802</v>
      </c>
      <c r="AT571" s="189">
        <f t="shared" si="104"/>
        <v>17604</v>
      </c>
      <c r="AU571" s="50">
        <f t="shared" si="105"/>
        <v>19703.440000000002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9747</v>
      </c>
      <c r="AR572" s="189">
        <f t="shared" si="107"/>
        <v>10106</v>
      </c>
      <c r="AS572" s="189">
        <f t="shared" si="103"/>
        <v>8802</v>
      </c>
      <c r="AT572" s="189">
        <f t="shared" si="104"/>
        <v>17604</v>
      </c>
      <c r="AU572" s="50">
        <f t="shared" si="105"/>
        <v>20212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9747</v>
      </c>
      <c r="AR573" s="189">
        <f t="shared" si="107"/>
        <v>10106</v>
      </c>
      <c r="AS573" s="189">
        <f t="shared" si="103"/>
        <v>8802</v>
      </c>
      <c r="AT573" s="189">
        <f t="shared" si="104"/>
        <v>17604</v>
      </c>
      <c r="AU573" s="50">
        <f t="shared" si="105"/>
        <v>20212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9747</v>
      </c>
      <c r="AR574" s="189">
        <f t="shared" si="107"/>
        <v>10106</v>
      </c>
      <c r="AS574" s="189">
        <f t="shared" si="103"/>
        <v>8802</v>
      </c>
      <c r="AT574" s="189">
        <f t="shared" si="104"/>
        <v>17604</v>
      </c>
      <c r="AU574" s="50">
        <f t="shared" si="105"/>
        <v>20212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6371.6500000000005</v>
      </c>
      <c r="AR575" s="189">
        <f t="shared" si="107"/>
        <v>6862.3</v>
      </c>
      <c r="AS575" s="189">
        <f t="shared" si="103"/>
        <v>6194</v>
      </c>
      <c r="AT575" s="189">
        <f t="shared" si="104"/>
        <v>12388</v>
      </c>
      <c r="AU575" s="50">
        <f t="shared" si="105"/>
        <v>13235.599999999999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6696.55</v>
      </c>
      <c r="AR576" s="189">
        <f t="shared" si="107"/>
        <v>7286.0999999999985</v>
      </c>
      <c r="AS576" s="189">
        <f t="shared" si="103"/>
        <v>6194</v>
      </c>
      <c r="AT576" s="189">
        <f t="shared" si="104"/>
        <v>12388</v>
      </c>
      <c r="AU576" s="50">
        <f t="shared" si="105"/>
        <v>14409.199999999997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6859</v>
      </c>
      <c r="AR577" s="189">
        <f t="shared" si="107"/>
        <v>7497.9999999999991</v>
      </c>
      <c r="AS577" s="189">
        <f t="shared" si="103"/>
        <v>6194</v>
      </c>
      <c r="AT577" s="189">
        <f t="shared" si="104"/>
        <v>12388</v>
      </c>
      <c r="AU577" s="50">
        <f t="shared" si="105"/>
        <v>14995.999999999998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6859</v>
      </c>
      <c r="AR578" s="189">
        <f t="shared" si="107"/>
        <v>7497.9999999999991</v>
      </c>
      <c r="AS578" s="189">
        <f t="shared" si="103"/>
        <v>6194</v>
      </c>
      <c r="AT578" s="189">
        <f t="shared" si="104"/>
        <v>12388</v>
      </c>
      <c r="AU578" s="50">
        <f t="shared" si="105"/>
        <v>14995.999999999998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6859</v>
      </c>
      <c r="AR579" s="189">
        <f t="shared" si="107"/>
        <v>7497.9999999999991</v>
      </c>
      <c r="AS579" s="189">
        <f t="shared" ref="AS579:AS642" si="108">$AG$3*(1+$AJ579*$Y$2+$AN579)*(MAXA(1-$AI$3-$AL579*$AA$3-$AP579-0.36,0)+MINA($AI$3+$AL579*$AA$3+$AP579+0.36,1)*(1+$AH$3+$AO579+$AK579*$Z$4))</f>
        <v>6194</v>
      </c>
      <c r="AT579" s="189">
        <f t="shared" ref="AT579:AT642" si="109">$AG$3*(1+$AJ579*$Y$2+$AN579)*(MAXA(1-$AI$3-$AL579*$AA$3-$AP579-0.36,0)+2*MINA($AI$3+$AL579*$AA$3+$AP579+0.36,1)*(1+$AH$3+$AO579+$AK579*$Z$4))</f>
        <v>12388</v>
      </c>
      <c r="AU579" s="50">
        <f t="shared" ref="AU579:AU642" si="110">$AG$3*(1+$AJ579*$Y$2+$AN579)*(MAXA(1-$AI$3-$AL579*$AA$3-$AP579-0.12,0)+2*MINA($AI$3+$AL579*$AA$3+$AP579+0.12,1)*(1+$AH$3+$AO579+$AK579*$Z$4+0.4))</f>
        <v>14995.999999999998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6859</v>
      </c>
      <c r="AR580" s="189">
        <f t="shared" ref="AR580:AR643" si="112">$AG$3*(1+$AJ580*$Y$2+$AN580)*(MAXA(1-$AI$3-$AL580*$AA$3-$AP580-0.12,0)+MINA($AI$3+$AL580*$AA$3+$AP580+0.12,1)*(1+$AH$3+$AO580+$AK580*$Z$4+0.4))</f>
        <v>7497.9999999999991</v>
      </c>
      <c r="AS580" s="189">
        <f t="shared" si="108"/>
        <v>6194</v>
      </c>
      <c r="AT580" s="189">
        <f t="shared" si="109"/>
        <v>12388</v>
      </c>
      <c r="AU580" s="50">
        <f t="shared" si="110"/>
        <v>14995.999999999998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6859</v>
      </c>
      <c r="AR581" s="189">
        <f t="shared" si="112"/>
        <v>7497.9999999999991</v>
      </c>
      <c r="AS581" s="189">
        <f t="shared" si="108"/>
        <v>6194</v>
      </c>
      <c r="AT581" s="189">
        <f t="shared" si="109"/>
        <v>12388</v>
      </c>
      <c r="AU581" s="50">
        <f t="shared" si="110"/>
        <v>14995.999999999998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6859</v>
      </c>
      <c r="AR582" s="189">
        <f t="shared" si="112"/>
        <v>7497.9999999999991</v>
      </c>
      <c r="AS582" s="189">
        <f t="shared" si="108"/>
        <v>6194</v>
      </c>
      <c r="AT582" s="189">
        <f t="shared" si="109"/>
        <v>12388</v>
      </c>
      <c r="AU582" s="50">
        <f t="shared" si="110"/>
        <v>14995.999999999998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6859</v>
      </c>
      <c r="AR583" s="189">
        <f t="shared" si="112"/>
        <v>7497.9999999999991</v>
      </c>
      <c r="AS583" s="189">
        <f t="shared" si="108"/>
        <v>6194</v>
      </c>
      <c r="AT583" s="189">
        <f t="shared" si="109"/>
        <v>12388</v>
      </c>
      <c r="AU583" s="50">
        <f t="shared" si="110"/>
        <v>14995.999999999998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6859</v>
      </c>
      <c r="AR584" s="189">
        <f t="shared" si="112"/>
        <v>7497.9999999999991</v>
      </c>
      <c r="AS584" s="189">
        <f t="shared" si="108"/>
        <v>6194</v>
      </c>
      <c r="AT584" s="189">
        <f t="shared" si="109"/>
        <v>12388</v>
      </c>
      <c r="AU584" s="50">
        <f t="shared" si="110"/>
        <v>14995.999999999998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6859</v>
      </c>
      <c r="AR585" s="189">
        <f t="shared" si="112"/>
        <v>7497.9999999999991</v>
      </c>
      <c r="AS585" s="189">
        <f t="shared" si="108"/>
        <v>6194</v>
      </c>
      <c r="AT585" s="189">
        <f t="shared" si="109"/>
        <v>12388</v>
      </c>
      <c r="AU585" s="50">
        <f t="shared" si="110"/>
        <v>14995.999999999998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5270.32</v>
      </c>
      <c r="AR586" s="189">
        <f t="shared" si="112"/>
        <v>5255.39</v>
      </c>
      <c r="AS586" s="189">
        <f t="shared" si="108"/>
        <v>5675.51</v>
      </c>
      <c r="AT586" s="189">
        <f t="shared" si="109"/>
        <v>9444.92</v>
      </c>
      <c r="AU586" s="50">
        <f t="shared" si="110"/>
        <v>7671.08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5651.92</v>
      </c>
      <c r="AR587" s="189">
        <f t="shared" si="112"/>
        <v>5761.0899999999992</v>
      </c>
      <c r="AS587" s="189">
        <f t="shared" si="108"/>
        <v>6025.61</v>
      </c>
      <c r="AT587" s="189">
        <f t="shared" si="109"/>
        <v>10534.12</v>
      </c>
      <c r="AU587" s="50">
        <f t="shared" si="110"/>
        <v>9071.48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6033.5199999999995</v>
      </c>
      <c r="AR588" s="189">
        <f t="shared" si="112"/>
        <v>6266.7899999999991</v>
      </c>
      <c r="AS588" s="189">
        <f t="shared" si="108"/>
        <v>6375.7099999999991</v>
      </c>
      <c r="AT588" s="189">
        <f t="shared" si="109"/>
        <v>11623.32</v>
      </c>
      <c r="AU588" s="50">
        <f t="shared" si="110"/>
        <v>10471.879999999999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6415.12</v>
      </c>
      <c r="AR589" s="189">
        <f t="shared" si="112"/>
        <v>6772.4899999999989</v>
      </c>
      <c r="AS589" s="189">
        <f t="shared" si="108"/>
        <v>6725.81</v>
      </c>
      <c r="AT589" s="189">
        <f t="shared" si="109"/>
        <v>12712.519999999999</v>
      </c>
      <c r="AU589" s="50">
        <f t="shared" si="110"/>
        <v>11872.279999999999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6796.7199999999993</v>
      </c>
      <c r="AR590" s="189">
        <f t="shared" si="112"/>
        <v>7278.19</v>
      </c>
      <c r="AS590" s="189">
        <f t="shared" si="108"/>
        <v>7075.91</v>
      </c>
      <c r="AT590" s="189">
        <f t="shared" si="109"/>
        <v>13801.72</v>
      </c>
      <c r="AU590" s="50">
        <f t="shared" si="110"/>
        <v>13272.68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7178.32</v>
      </c>
      <c r="AR591" s="189">
        <f t="shared" si="112"/>
        <v>7783.8899999999994</v>
      </c>
      <c r="AS591" s="189">
        <f t="shared" si="108"/>
        <v>7391</v>
      </c>
      <c r="AT591" s="189">
        <f t="shared" si="109"/>
        <v>14782</v>
      </c>
      <c r="AU591" s="50">
        <f t="shared" si="110"/>
        <v>14673.08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7559.92</v>
      </c>
      <c r="AR592" s="189">
        <f t="shared" si="112"/>
        <v>8289.5899999999983</v>
      </c>
      <c r="AS592" s="189">
        <f t="shared" si="108"/>
        <v>7391</v>
      </c>
      <c r="AT592" s="189">
        <f t="shared" si="109"/>
        <v>14782</v>
      </c>
      <c r="AU592" s="50">
        <f t="shared" si="110"/>
        <v>16073.48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7941.52</v>
      </c>
      <c r="AR593" s="189">
        <f t="shared" si="112"/>
        <v>8795.2900000000009</v>
      </c>
      <c r="AS593" s="189">
        <f t="shared" si="108"/>
        <v>7391</v>
      </c>
      <c r="AT593" s="189">
        <f t="shared" si="109"/>
        <v>14782</v>
      </c>
      <c r="AU593" s="50">
        <f t="shared" si="110"/>
        <v>17473.88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8056</v>
      </c>
      <c r="AR594" s="189">
        <f t="shared" si="112"/>
        <v>8947</v>
      </c>
      <c r="AS594" s="189">
        <f t="shared" si="108"/>
        <v>7391</v>
      </c>
      <c r="AT594" s="189">
        <f t="shared" si="109"/>
        <v>14782</v>
      </c>
      <c r="AU594" s="50">
        <f t="shared" si="110"/>
        <v>17894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8056</v>
      </c>
      <c r="AR595" s="189">
        <f t="shared" si="112"/>
        <v>8947</v>
      </c>
      <c r="AS595" s="189">
        <f t="shared" si="108"/>
        <v>7391</v>
      </c>
      <c r="AT595" s="189">
        <f t="shared" si="109"/>
        <v>14782</v>
      </c>
      <c r="AU595" s="50">
        <f t="shared" si="110"/>
        <v>17894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8056</v>
      </c>
      <c r="AR596" s="189">
        <f t="shared" si="112"/>
        <v>8947</v>
      </c>
      <c r="AS596" s="189">
        <f t="shared" si="108"/>
        <v>7391</v>
      </c>
      <c r="AT596" s="189">
        <f t="shared" si="109"/>
        <v>14782</v>
      </c>
      <c r="AU596" s="50">
        <f t="shared" si="110"/>
        <v>17894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3948.9300000000003</v>
      </c>
      <c r="AR597" s="189">
        <f t="shared" si="112"/>
        <v>3663.46</v>
      </c>
      <c r="AS597" s="189">
        <f t="shared" si="108"/>
        <v>4449.9400000000005</v>
      </c>
      <c r="AT597" s="189">
        <f t="shared" si="109"/>
        <v>7792.4800000000005</v>
      </c>
      <c r="AU597" s="50">
        <f t="shared" si="110"/>
        <v>5677.1200000000008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4444.8300000000008</v>
      </c>
      <c r="AR598" s="189">
        <f t="shared" si="112"/>
        <v>4183.26</v>
      </c>
      <c r="AS598" s="189">
        <f t="shared" si="108"/>
        <v>4879.34</v>
      </c>
      <c r="AT598" s="189">
        <f t="shared" si="109"/>
        <v>8877.2800000000007</v>
      </c>
      <c r="AU598" s="50">
        <f t="shared" si="110"/>
        <v>6942.72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4940.7299999999996</v>
      </c>
      <c r="AR599" s="189">
        <f t="shared" si="112"/>
        <v>4703.0599999999995</v>
      </c>
      <c r="AS599" s="189">
        <f t="shared" si="108"/>
        <v>5308.7400000000007</v>
      </c>
      <c r="AT599" s="189">
        <f t="shared" si="109"/>
        <v>9962.08</v>
      </c>
      <c r="AU599" s="50">
        <f t="shared" si="110"/>
        <v>8208.32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5436.63</v>
      </c>
      <c r="AR600" s="189">
        <f t="shared" si="112"/>
        <v>5222.8599999999997</v>
      </c>
      <c r="AS600" s="189">
        <f t="shared" si="108"/>
        <v>5738.14</v>
      </c>
      <c r="AT600" s="189">
        <f t="shared" si="109"/>
        <v>11046.880000000001</v>
      </c>
      <c r="AU600" s="50">
        <f t="shared" si="110"/>
        <v>9473.92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5932.5300000000007</v>
      </c>
      <c r="AR601" s="189">
        <f t="shared" si="112"/>
        <v>5742.6600000000008</v>
      </c>
      <c r="AS601" s="189">
        <f t="shared" si="108"/>
        <v>6167.54</v>
      </c>
      <c r="AT601" s="189">
        <f t="shared" si="109"/>
        <v>12131.68</v>
      </c>
      <c r="AU601" s="50">
        <f t="shared" si="110"/>
        <v>10739.520000000002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6428.4300000000012</v>
      </c>
      <c r="AR602" s="189">
        <f t="shared" si="112"/>
        <v>6262.4600000000009</v>
      </c>
      <c r="AS602" s="189">
        <f t="shared" si="108"/>
        <v>6554.0000000000009</v>
      </c>
      <c r="AT602" s="189">
        <f t="shared" si="109"/>
        <v>13108.000000000002</v>
      </c>
      <c r="AU602" s="50">
        <f t="shared" si="110"/>
        <v>12005.120000000003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6924.33</v>
      </c>
      <c r="AR603" s="189">
        <f t="shared" si="112"/>
        <v>6782.2599999999993</v>
      </c>
      <c r="AS603" s="189">
        <f t="shared" si="108"/>
        <v>6554.0000000000009</v>
      </c>
      <c r="AT603" s="189">
        <f t="shared" si="109"/>
        <v>13108.000000000002</v>
      </c>
      <c r="AU603" s="50">
        <f t="shared" si="110"/>
        <v>13270.72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7420.23</v>
      </c>
      <c r="AR604" s="189">
        <f t="shared" si="112"/>
        <v>7302.0599999999995</v>
      </c>
      <c r="AS604" s="189">
        <f t="shared" si="108"/>
        <v>6554.0000000000009</v>
      </c>
      <c r="AT604" s="189">
        <f t="shared" si="109"/>
        <v>13108.000000000002</v>
      </c>
      <c r="AU604" s="50">
        <f t="shared" si="110"/>
        <v>14536.320000000002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7569.0000000000009</v>
      </c>
      <c r="AR605" s="189">
        <f t="shared" si="112"/>
        <v>7458.0000000000009</v>
      </c>
      <c r="AS605" s="189">
        <f t="shared" si="108"/>
        <v>6554.0000000000009</v>
      </c>
      <c r="AT605" s="189">
        <f t="shared" si="109"/>
        <v>13108.000000000002</v>
      </c>
      <c r="AU605" s="50">
        <f t="shared" si="110"/>
        <v>14916.000000000002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7569.0000000000009</v>
      </c>
      <c r="AR606" s="189">
        <f t="shared" si="112"/>
        <v>7458.0000000000009</v>
      </c>
      <c r="AS606" s="189">
        <f t="shared" si="108"/>
        <v>6554.0000000000009</v>
      </c>
      <c r="AT606" s="189">
        <f t="shared" si="109"/>
        <v>13108.000000000002</v>
      </c>
      <c r="AU606" s="50">
        <f t="shared" si="110"/>
        <v>14916.000000000002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7569.0000000000009</v>
      </c>
      <c r="AR607" s="189">
        <f t="shared" si="112"/>
        <v>7458.0000000000009</v>
      </c>
      <c r="AS607" s="189">
        <f t="shared" si="108"/>
        <v>6554.0000000000009</v>
      </c>
      <c r="AT607" s="189">
        <f t="shared" si="109"/>
        <v>13108.000000000002</v>
      </c>
      <c r="AU607" s="50">
        <f t="shared" si="110"/>
        <v>14916.000000000002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5050.3500000000004</v>
      </c>
      <c r="AR608" s="189">
        <f t="shared" si="112"/>
        <v>5141.5</v>
      </c>
      <c r="AS608" s="189">
        <f t="shared" si="108"/>
        <v>4746</v>
      </c>
      <c r="AT608" s="189">
        <f t="shared" si="109"/>
        <v>9492</v>
      </c>
      <c r="AU608" s="50">
        <f t="shared" si="110"/>
        <v>9944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5337.45</v>
      </c>
      <c r="AR609" s="189">
        <f t="shared" si="112"/>
        <v>5480.5</v>
      </c>
      <c r="AS609" s="189">
        <f t="shared" si="108"/>
        <v>4746</v>
      </c>
      <c r="AT609" s="189">
        <f t="shared" si="109"/>
        <v>9492</v>
      </c>
      <c r="AU609" s="50">
        <f t="shared" si="110"/>
        <v>10848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5481</v>
      </c>
      <c r="AR610" s="189">
        <f t="shared" si="112"/>
        <v>5650</v>
      </c>
      <c r="AS610" s="189">
        <f t="shared" si="108"/>
        <v>4746</v>
      </c>
      <c r="AT610" s="189">
        <f t="shared" si="109"/>
        <v>9492</v>
      </c>
      <c r="AU610" s="50">
        <f t="shared" si="110"/>
        <v>11300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5481</v>
      </c>
      <c r="AR611" s="189">
        <f t="shared" si="112"/>
        <v>5650</v>
      </c>
      <c r="AS611" s="189">
        <f t="shared" si="108"/>
        <v>4746</v>
      </c>
      <c r="AT611" s="189">
        <f t="shared" si="109"/>
        <v>9492</v>
      </c>
      <c r="AU611" s="50">
        <f t="shared" si="110"/>
        <v>11300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5481</v>
      </c>
      <c r="AR612" s="189">
        <f t="shared" si="112"/>
        <v>5650</v>
      </c>
      <c r="AS612" s="189">
        <f t="shared" si="108"/>
        <v>4746</v>
      </c>
      <c r="AT612" s="189">
        <f t="shared" si="109"/>
        <v>9492</v>
      </c>
      <c r="AU612" s="50">
        <f t="shared" si="110"/>
        <v>11300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5481</v>
      </c>
      <c r="AR613" s="189">
        <f t="shared" si="112"/>
        <v>5650</v>
      </c>
      <c r="AS613" s="189">
        <f t="shared" si="108"/>
        <v>4746</v>
      </c>
      <c r="AT613" s="189">
        <f t="shared" si="109"/>
        <v>9492</v>
      </c>
      <c r="AU613" s="50">
        <f t="shared" si="110"/>
        <v>11300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5481</v>
      </c>
      <c r="AR614" s="189">
        <f t="shared" si="112"/>
        <v>5650</v>
      </c>
      <c r="AS614" s="189">
        <f t="shared" si="108"/>
        <v>4746</v>
      </c>
      <c r="AT614" s="189">
        <f t="shared" si="109"/>
        <v>9492</v>
      </c>
      <c r="AU614" s="50">
        <f t="shared" si="110"/>
        <v>11300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5481</v>
      </c>
      <c r="AR615" s="189">
        <f t="shared" si="112"/>
        <v>5650</v>
      </c>
      <c r="AS615" s="189">
        <f t="shared" si="108"/>
        <v>4746</v>
      </c>
      <c r="AT615" s="189">
        <f t="shared" si="109"/>
        <v>9492</v>
      </c>
      <c r="AU615" s="50">
        <f t="shared" si="110"/>
        <v>11300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5481</v>
      </c>
      <c r="AR616" s="189">
        <f t="shared" si="112"/>
        <v>5650</v>
      </c>
      <c r="AS616" s="189">
        <f t="shared" si="108"/>
        <v>4746</v>
      </c>
      <c r="AT616" s="189">
        <f t="shared" si="109"/>
        <v>9492</v>
      </c>
      <c r="AU616" s="50">
        <f t="shared" si="110"/>
        <v>11300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5481</v>
      </c>
      <c r="AR617" s="189">
        <f t="shared" si="112"/>
        <v>5650</v>
      </c>
      <c r="AS617" s="189">
        <f t="shared" si="108"/>
        <v>4746</v>
      </c>
      <c r="AT617" s="189">
        <f t="shared" si="109"/>
        <v>9492</v>
      </c>
      <c r="AU617" s="50">
        <f t="shared" si="110"/>
        <v>11300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5481</v>
      </c>
      <c r="AR618" s="189">
        <f t="shared" si="112"/>
        <v>5650</v>
      </c>
      <c r="AS618" s="189">
        <f t="shared" si="108"/>
        <v>4746</v>
      </c>
      <c r="AT618" s="189">
        <f t="shared" si="109"/>
        <v>9492</v>
      </c>
      <c r="AU618" s="50">
        <f t="shared" si="110"/>
        <v>11300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4202.2800000000007</v>
      </c>
      <c r="AR619" s="189">
        <f t="shared" si="112"/>
        <v>4060.4500000000003</v>
      </c>
      <c r="AS619" s="189">
        <f t="shared" si="108"/>
        <v>4511.2900000000009</v>
      </c>
      <c r="AT619" s="189">
        <f t="shared" si="109"/>
        <v>7606.4800000000014</v>
      </c>
      <c r="AU619" s="50">
        <f t="shared" si="110"/>
        <v>6011.2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4558.68</v>
      </c>
      <c r="AR620" s="189">
        <f t="shared" si="112"/>
        <v>4493.9500000000007</v>
      </c>
      <c r="AS620" s="189">
        <f t="shared" si="108"/>
        <v>4829.1899999999996</v>
      </c>
      <c r="AT620" s="189">
        <f t="shared" si="109"/>
        <v>8531.2800000000007</v>
      </c>
      <c r="AU620" s="50">
        <f t="shared" si="110"/>
        <v>7167.2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4915.08</v>
      </c>
      <c r="AR621" s="189">
        <f t="shared" si="112"/>
        <v>4927.4499999999989</v>
      </c>
      <c r="AS621" s="189">
        <f t="shared" si="108"/>
        <v>5147.0899999999992</v>
      </c>
      <c r="AT621" s="189">
        <f t="shared" si="109"/>
        <v>9456.08</v>
      </c>
      <c r="AU621" s="50">
        <f t="shared" si="110"/>
        <v>8323.1999999999989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5271.48</v>
      </c>
      <c r="AR622" s="189">
        <f t="shared" si="112"/>
        <v>5360.95</v>
      </c>
      <c r="AS622" s="189">
        <f t="shared" si="108"/>
        <v>5464.99</v>
      </c>
      <c r="AT622" s="189">
        <f t="shared" si="109"/>
        <v>10380.879999999999</v>
      </c>
      <c r="AU622" s="50">
        <f t="shared" si="110"/>
        <v>9479.1999999999989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5627.88</v>
      </c>
      <c r="AR623" s="189">
        <f t="shared" si="112"/>
        <v>5794.45</v>
      </c>
      <c r="AS623" s="189">
        <f t="shared" si="108"/>
        <v>5782.8900000000012</v>
      </c>
      <c r="AT623" s="189">
        <f t="shared" si="109"/>
        <v>11305.68</v>
      </c>
      <c r="AU623" s="50">
        <f t="shared" si="110"/>
        <v>10635.2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5984.2800000000007</v>
      </c>
      <c r="AR624" s="189">
        <f t="shared" si="112"/>
        <v>6227.9500000000007</v>
      </c>
      <c r="AS624" s="189">
        <f t="shared" si="108"/>
        <v>6069</v>
      </c>
      <c r="AT624" s="189">
        <f t="shared" si="109"/>
        <v>12138</v>
      </c>
      <c r="AU624" s="50">
        <f t="shared" si="110"/>
        <v>11791.2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6340.6799999999994</v>
      </c>
      <c r="AR625" s="189">
        <f t="shared" si="112"/>
        <v>6661.4499999999989</v>
      </c>
      <c r="AS625" s="189">
        <f t="shared" si="108"/>
        <v>6069</v>
      </c>
      <c r="AT625" s="189">
        <f t="shared" si="109"/>
        <v>12138</v>
      </c>
      <c r="AU625" s="50">
        <f t="shared" si="110"/>
        <v>12947.199999999999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6697.0800000000008</v>
      </c>
      <c r="AR626" s="189">
        <f t="shared" si="112"/>
        <v>7094.95</v>
      </c>
      <c r="AS626" s="189">
        <f t="shared" si="108"/>
        <v>6069</v>
      </c>
      <c r="AT626" s="189">
        <f t="shared" si="109"/>
        <v>12138</v>
      </c>
      <c r="AU626" s="50">
        <f t="shared" si="110"/>
        <v>14103.199999999999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6804</v>
      </c>
      <c r="AR627" s="189">
        <f t="shared" si="112"/>
        <v>7225</v>
      </c>
      <c r="AS627" s="189">
        <f t="shared" si="108"/>
        <v>6069</v>
      </c>
      <c r="AT627" s="189">
        <f t="shared" si="109"/>
        <v>12138</v>
      </c>
      <c r="AU627" s="50">
        <f t="shared" si="110"/>
        <v>14450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6804</v>
      </c>
      <c r="AR628" s="189">
        <f t="shared" si="112"/>
        <v>7225</v>
      </c>
      <c r="AS628" s="189">
        <f t="shared" si="108"/>
        <v>6069</v>
      </c>
      <c r="AT628" s="189">
        <f t="shared" si="109"/>
        <v>12138</v>
      </c>
      <c r="AU628" s="50">
        <f t="shared" si="110"/>
        <v>14450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6804</v>
      </c>
      <c r="AR629" s="189">
        <f t="shared" si="112"/>
        <v>7225</v>
      </c>
      <c r="AS629" s="189">
        <f t="shared" si="108"/>
        <v>6069</v>
      </c>
      <c r="AT629" s="189">
        <f t="shared" si="109"/>
        <v>12138</v>
      </c>
      <c r="AU629" s="50">
        <f t="shared" si="110"/>
        <v>14450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4251.5300000000007</v>
      </c>
      <c r="AR630" s="189">
        <f t="shared" si="112"/>
        <v>3987.66</v>
      </c>
      <c r="AS630" s="189">
        <f t="shared" si="108"/>
        <v>4843.7400000000007</v>
      </c>
      <c r="AT630" s="189">
        <f t="shared" si="109"/>
        <v>8482.0800000000017</v>
      </c>
      <c r="AU630" s="50">
        <f t="shared" si="110"/>
        <v>6179.5200000000013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4785.4300000000012</v>
      </c>
      <c r="AR631" s="189">
        <f t="shared" si="112"/>
        <v>4553.46</v>
      </c>
      <c r="AS631" s="189">
        <f t="shared" si="108"/>
        <v>5311.14</v>
      </c>
      <c r="AT631" s="189">
        <f t="shared" si="109"/>
        <v>9662.880000000001</v>
      </c>
      <c r="AU631" s="50">
        <f t="shared" si="110"/>
        <v>7557.12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5319.329999999999</v>
      </c>
      <c r="AR632" s="189">
        <f t="shared" si="112"/>
        <v>5119.26</v>
      </c>
      <c r="AS632" s="189">
        <f t="shared" si="108"/>
        <v>5778.5400000000009</v>
      </c>
      <c r="AT632" s="189">
        <f t="shared" si="109"/>
        <v>10843.68</v>
      </c>
      <c r="AU632" s="50">
        <f t="shared" si="110"/>
        <v>8934.7199999999993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5853.2300000000005</v>
      </c>
      <c r="AR633" s="189">
        <f t="shared" si="112"/>
        <v>5685.0599999999995</v>
      </c>
      <c r="AS633" s="189">
        <f t="shared" si="108"/>
        <v>6245.9400000000005</v>
      </c>
      <c r="AT633" s="189">
        <f t="shared" si="109"/>
        <v>12024.480000000001</v>
      </c>
      <c r="AU633" s="50">
        <f t="shared" si="110"/>
        <v>10312.32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6387.13</v>
      </c>
      <c r="AR634" s="189">
        <f t="shared" si="112"/>
        <v>6250.8600000000006</v>
      </c>
      <c r="AS634" s="189">
        <f t="shared" si="108"/>
        <v>6713.34</v>
      </c>
      <c r="AT634" s="189">
        <f t="shared" si="109"/>
        <v>13205.28</v>
      </c>
      <c r="AU634" s="50">
        <f t="shared" si="110"/>
        <v>11689.920000000002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6921.0300000000016</v>
      </c>
      <c r="AR635" s="189">
        <f t="shared" si="112"/>
        <v>6816.6600000000008</v>
      </c>
      <c r="AS635" s="189">
        <f t="shared" si="108"/>
        <v>7134.0000000000009</v>
      </c>
      <c r="AT635" s="189">
        <f t="shared" si="109"/>
        <v>14268.000000000002</v>
      </c>
      <c r="AU635" s="50">
        <f t="shared" si="110"/>
        <v>13067.520000000002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7454.93</v>
      </c>
      <c r="AR636" s="189">
        <f t="shared" si="112"/>
        <v>7382.46</v>
      </c>
      <c r="AS636" s="189">
        <f t="shared" si="108"/>
        <v>7134.0000000000009</v>
      </c>
      <c r="AT636" s="189">
        <f t="shared" si="109"/>
        <v>14268.000000000002</v>
      </c>
      <c r="AU636" s="50">
        <f t="shared" si="110"/>
        <v>14445.119999999999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7988.83</v>
      </c>
      <c r="AR637" s="189">
        <f t="shared" si="112"/>
        <v>7948.2599999999993</v>
      </c>
      <c r="AS637" s="189">
        <f t="shared" si="108"/>
        <v>7134.0000000000009</v>
      </c>
      <c r="AT637" s="189">
        <f t="shared" si="109"/>
        <v>14268.000000000002</v>
      </c>
      <c r="AU637" s="50">
        <f t="shared" si="110"/>
        <v>15822.720000000001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8149.0000000000009</v>
      </c>
      <c r="AR638" s="189">
        <f t="shared" si="112"/>
        <v>8118.0000000000009</v>
      </c>
      <c r="AS638" s="189">
        <f t="shared" si="108"/>
        <v>7134.0000000000009</v>
      </c>
      <c r="AT638" s="189">
        <f t="shared" si="109"/>
        <v>14268.000000000002</v>
      </c>
      <c r="AU638" s="50">
        <f t="shared" si="110"/>
        <v>16236.000000000002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8149.0000000000009</v>
      </c>
      <c r="AR639" s="189">
        <f t="shared" si="112"/>
        <v>8118.0000000000009</v>
      </c>
      <c r="AS639" s="189">
        <f t="shared" si="108"/>
        <v>7134.0000000000009</v>
      </c>
      <c r="AT639" s="189">
        <f t="shared" si="109"/>
        <v>14268.000000000002</v>
      </c>
      <c r="AU639" s="50">
        <f t="shared" si="110"/>
        <v>16236.000000000002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8149.0000000000009</v>
      </c>
      <c r="AR640" s="189">
        <f t="shared" si="112"/>
        <v>8118.0000000000009</v>
      </c>
      <c r="AS640" s="189">
        <f t="shared" si="108"/>
        <v>7134.0000000000009</v>
      </c>
      <c r="AT640" s="189">
        <f t="shared" si="109"/>
        <v>14268.000000000002</v>
      </c>
      <c r="AU640" s="50">
        <f t="shared" si="110"/>
        <v>16236.000000000002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5437.35</v>
      </c>
      <c r="AR641" s="189">
        <f t="shared" si="112"/>
        <v>5596.5</v>
      </c>
      <c r="AS641" s="189">
        <f t="shared" si="108"/>
        <v>5166</v>
      </c>
      <c r="AT641" s="189">
        <f t="shared" si="109"/>
        <v>10332</v>
      </c>
      <c r="AU641" s="50">
        <f t="shared" si="110"/>
        <v>10824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5746.45</v>
      </c>
      <c r="AR642" s="189">
        <f t="shared" si="112"/>
        <v>5965.5</v>
      </c>
      <c r="AS642" s="189">
        <f t="shared" si="108"/>
        <v>5166</v>
      </c>
      <c r="AT642" s="189">
        <f t="shared" si="109"/>
        <v>10332</v>
      </c>
      <c r="AU642" s="50">
        <f t="shared" si="110"/>
        <v>11808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5901</v>
      </c>
      <c r="AR643" s="189">
        <f t="shared" si="112"/>
        <v>6150</v>
      </c>
      <c r="AS643" s="189">
        <f t="shared" ref="AS643:AS706" si="113">$AG$3*(1+$AJ643*$Y$2+$AN643)*(MAXA(1-$AI$3-$AL643*$AA$3-$AP643-0.36,0)+MINA($AI$3+$AL643*$AA$3+$AP643+0.36,1)*(1+$AH$3+$AO643+$AK643*$Z$4))</f>
        <v>5166</v>
      </c>
      <c r="AT643" s="189">
        <f t="shared" ref="AT643:AT706" si="114">$AG$3*(1+$AJ643*$Y$2+$AN643)*(MAXA(1-$AI$3-$AL643*$AA$3-$AP643-0.36,0)+2*MINA($AI$3+$AL643*$AA$3+$AP643+0.36,1)*(1+$AH$3+$AO643+$AK643*$Z$4))</f>
        <v>10332</v>
      </c>
      <c r="AU643" s="50">
        <f t="shared" ref="AU643:AU706" si="115">$AG$3*(1+$AJ643*$Y$2+$AN643)*(MAXA(1-$AI$3-$AL643*$AA$3-$AP643-0.12,0)+2*MINA($AI$3+$AL643*$AA$3+$AP643+0.12,1)*(1+$AH$3+$AO643+$AK643*$Z$4+0.4))</f>
        <v>12300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5901</v>
      </c>
      <c r="AR644" s="189">
        <f t="shared" ref="AR644:AR707" si="117">$AG$3*(1+$AJ644*$Y$2+$AN644)*(MAXA(1-$AI$3-$AL644*$AA$3-$AP644-0.12,0)+MINA($AI$3+$AL644*$AA$3+$AP644+0.12,1)*(1+$AH$3+$AO644+$AK644*$Z$4+0.4))</f>
        <v>6150</v>
      </c>
      <c r="AS644" s="189">
        <f t="shared" si="113"/>
        <v>5166</v>
      </c>
      <c r="AT644" s="189">
        <f t="shared" si="114"/>
        <v>10332</v>
      </c>
      <c r="AU644" s="50">
        <f t="shared" si="115"/>
        <v>12300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5901</v>
      </c>
      <c r="AR645" s="189">
        <f t="shared" si="117"/>
        <v>6150</v>
      </c>
      <c r="AS645" s="189">
        <f t="shared" si="113"/>
        <v>5166</v>
      </c>
      <c r="AT645" s="189">
        <f t="shared" si="114"/>
        <v>10332</v>
      </c>
      <c r="AU645" s="50">
        <f t="shared" si="115"/>
        <v>12300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5901</v>
      </c>
      <c r="AR646" s="189">
        <f t="shared" si="117"/>
        <v>6150</v>
      </c>
      <c r="AS646" s="189">
        <f t="shared" si="113"/>
        <v>5166</v>
      </c>
      <c r="AT646" s="189">
        <f t="shared" si="114"/>
        <v>10332</v>
      </c>
      <c r="AU646" s="50">
        <f t="shared" si="115"/>
        <v>12300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5901</v>
      </c>
      <c r="AR647" s="189">
        <f t="shared" si="117"/>
        <v>6150</v>
      </c>
      <c r="AS647" s="189">
        <f t="shared" si="113"/>
        <v>5166</v>
      </c>
      <c r="AT647" s="189">
        <f t="shared" si="114"/>
        <v>10332</v>
      </c>
      <c r="AU647" s="50">
        <f t="shared" si="115"/>
        <v>12300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5901</v>
      </c>
      <c r="AR648" s="189">
        <f t="shared" si="117"/>
        <v>6150</v>
      </c>
      <c r="AS648" s="189">
        <f t="shared" si="113"/>
        <v>5166</v>
      </c>
      <c r="AT648" s="189">
        <f t="shared" si="114"/>
        <v>10332</v>
      </c>
      <c r="AU648" s="50">
        <f t="shared" si="115"/>
        <v>12300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5901</v>
      </c>
      <c r="AR649" s="189">
        <f t="shared" si="117"/>
        <v>6150</v>
      </c>
      <c r="AS649" s="189">
        <f t="shared" si="113"/>
        <v>5166</v>
      </c>
      <c r="AT649" s="189">
        <f t="shared" si="114"/>
        <v>10332</v>
      </c>
      <c r="AU649" s="50">
        <f t="shared" si="115"/>
        <v>12300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5901</v>
      </c>
      <c r="AR650" s="189">
        <f t="shared" si="117"/>
        <v>6150</v>
      </c>
      <c r="AS650" s="189">
        <f t="shared" si="113"/>
        <v>5166</v>
      </c>
      <c r="AT650" s="189">
        <f t="shared" si="114"/>
        <v>10332</v>
      </c>
      <c r="AU650" s="50">
        <f t="shared" si="115"/>
        <v>12300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5901</v>
      </c>
      <c r="AR651" s="189">
        <f t="shared" si="117"/>
        <v>6150</v>
      </c>
      <c r="AS651" s="189">
        <f t="shared" si="113"/>
        <v>5166</v>
      </c>
      <c r="AT651" s="189">
        <f t="shared" si="114"/>
        <v>10332</v>
      </c>
      <c r="AU651" s="50">
        <f t="shared" si="115"/>
        <v>12300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4461.6800000000012</v>
      </c>
      <c r="AR652" s="189">
        <f t="shared" si="117"/>
        <v>4341.4500000000007</v>
      </c>
      <c r="AS652" s="189">
        <f t="shared" si="113"/>
        <v>4823.4900000000016</v>
      </c>
      <c r="AT652" s="189">
        <f t="shared" si="114"/>
        <v>8132.8800000000028</v>
      </c>
      <c r="AU652" s="50">
        <f t="shared" si="115"/>
        <v>6427.2000000000007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4840.0800000000008</v>
      </c>
      <c r="AR653" s="189">
        <f t="shared" si="117"/>
        <v>4804.9500000000016</v>
      </c>
      <c r="AS653" s="189">
        <f t="shared" si="113"/>
        <v>5163.3900000000003</v>
      </c>
      <c r="AT653" s="189">
        <f t="shared" si="114"/>
        <v>9121.6800000000021</v>
      </c>
      <c r="AU653" s="50">
        <f t="shared" si="115"/>
        <v>7663.2000000000007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5218.4800000000005</v>
      </c>
      <c r="AR654" s="189">
        <f t="shared" si="117"/>
        <v>5268.45</v>
      </c>
      <c r="AS654" s="189">
        <f t="shared" si="113"/>
        <v>5503.29</v>
      </c>
      <c r="AT654" s="189">
        <f t="shared" si="114"/>
        <v>10110.480000000001</v>
      </c>
      <c r="AU654" s="50">
        <f t="shared" si="115"/>
        <v>8899.1999999999989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5596.88</v>
      </c>
      <c r="AR655" s="189">
        <f t="shared" si="117"/>
        <v>5731.9500000000007</v>
      </c>
      <c r="AS655" s="189">
        <f t="shared" si="113"/>
        <v>5843.1900000000005</v>
      </c>
      <c r="AT655" s="189">
        <f t="shared" si="114"/>
        <v>11099.28</v>
      </c>
      <c r="AU655" s="50">
        <f t="shared" si="115"/>
        <v>10135.200000000001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5975.2800000000016</v>
      </c>
      <c r="AR656" s="189">
        <f t="shared" si="117"/>
        <v>6195.4500000000007</v>
      </c>
      <c r="AS656" s="189">
        <f t="shared" si="113"/>
        <v>6183.090000000002</v>
      </c>
      <c r="AT656" s="189">
        <f t="shared" si="114"/>
        <v>12088.080000000004</v>
      </c>
      <c r="AU656" s="50">
        <f t="shared" si="115"/>
        <v>11371.200000000003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6353.6800000000012</v>
      </c>
      <c r="AR657" s="189">
        <f t="shared" si="117"/>
        <v>6658.9500000000016</v>
      </c>
      <c r="AS657" s="189">
        <f t="shared" si="113"/>
        <v>6489.0000000000009</v>
      </c>
      <c r="AT657" s="189">
        <f t="shared" si="114"/>
        <v>12978.000000000002</v>
      </c>
      <c r="AU657" s="50">
        <f t="shared" si="115"/>
        <v>12607.200000000003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6732.08</v>
      </c>
      <c r="AR658" s="189">
        <f t="shared" si="117"/>
        <v>7122.45</v>
      </c>
      <c r="AS658" s="189">
        <f t="shared" si="113"/>
        <v>6489.0000000000009</v>
      </c>
      <c r="AT658" s="189">
        <f t="shared" si="114"/>
        <v>12978.000000000002</v>
      </c>
      <c r="AU658" s="50">
        <f t="shared" si="115"/>
        <v>13843.2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7110.4800000000014</v>
      </c>
      <c r="AR659" s="189">
        <f t="shared" si="117"/>
        <v>7585.9500000000016</v>
      </c>
      <c r="AS659" s="189">
        <f t="shared" si="113"/>
        <v>6489.0000000000009</v>
      </c>
      <c r="AT659" s="189">
        <f t="shared" si="114"/>
        <v>12978.000000000002</v>
      </c>
      <c r="AU659" s="50">
        <f t="shared" si="115"/>
        <v>15079.200000000003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7224.0000000000009</v>
      </c>
      <c r="AR660" s="189">
        <f t="shared" si="117"/>
        <v>7725.0000000000009</v>
      </c>
      <c r="AS660" s="189">
        <f t="shared" si="113"/>
        <v>6489.0000000000009</v>
      </c>
      <c r="AT660" s="189">
        <f t="shared" si="114"/>
        <v>12978.000000000002</v>
      </c>
      <c r="AU660" s="50">
        <f t="shared" si="115"/>
        <v>15450.000000000002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7224.0000000000009</v>
      </c>
      <c r="AR661" s="189">
        <f t="shared" si="117"/>
        <v>7725.0000000000009</v>
      </c>
      <c r="AS661" s="189">
        <f t="shared" si="113"/>
        <v>6489.0000000000009</v>
      </c>
      <c r="AT661" s="189">
        <f t="shared" si="114"/>
        <v>12978.000000000002</v>
      </c>
      <c r="AU661" s="50">
        <f t="shared" si="115"/>
        <v>15450.000000000002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7224.0000000000009</v>
      </c>
      <c r="AR662" s="189">
        <f t="shared" si="117"/>
        <v>7725.0000000000009</v>
      </c>
      <c r="AS662" s="189">
        <f t="shared" si="113"/>
        <v>6489.0000000000009</v>
      </c>
      <c r="AT662" s="189">
        <f t="shared" si="114"/>
        <v>12978.000000000002</v>
      </c>
      <c r="AU662" s="50">
        <f t="shared" si="115"/>
        <v>15450.000000000002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4554.13</v>
      </c>
      <c r="AR663" s="189">
        <f t="shared" si="117"/>
        <v>4311.8599999999997</v>
      </c>
      <c r="AS663" s="189">
        <f t="shared" si="113"/>
        <v>5237.54</v>
      </c>
      <c r="AT663" s="189">
        <f t="shared" si="114"/>
        <v>9171.68</v>
      </c>
      <c r="AU663" s="50">
        <f t="shared" si="115"/>
        <v>6681.92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5126.0300000000007</v>
      </c>
      <c r="AR664" s="189">
        <f t="shared" si="117"/>
        <v>4923.6599999999989</v>
      </c>
      <c r="AS664" s="189">
        <f t="shared" si="113"/>
        <v>5742.94</v>
      </c>
      <c r="AT664" s="189">
        <f t="shared" si="114"/>
        <v>10448.48</v>
      </c>
      <c r="AU664" s="50">
        <f t="shared" si="115"/>
        <v>8171.5199999999986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5697.9299999999994</v>
      </c>
      <c r="AR665" s="189">
        <f t="shared" si="117"/>
        <v>5535.4599999999991</v>
      </c>
      <c r="AS665" s="189">
        <f t="shared" si="113"/>
        <v>6248.3399999999992</v>
      </c>
      <c r="AT665" s="189">
        <f t="shared" si="114"/>
        <v>11725.279999999999</v>
      </c>
      <c r="AU665" s="50">
        <f t="shared" si="115"/>
        <v>9661.1199999999972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6269.8300000000008</v>
      </c>
      <c r="AR666" s="189">
        <f t="shared" si="117"/>
        <v>6147.2599999999984</v>
      </c>
      <c r="AS666" s="189">
        <f t="shared" si="113"/>
        <v>6753.7399999999989</v>
      </c>
      <c r="AT666" s="189">
        <f t="shared" si="114"/>
        <v>13002.08</v>
      </c>
      <c r="AU666" s="50">
        <f t="shared" si="115"/>
        <v>11150.72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6841.7300000000005</v>
      </c>
      <c r="AR667" s="189">
        <f t="shared" si="117"/>
        <v>6759.0599999999995</v>
      </c>
      <c r="AS667" s="189">
        <f t="shared" si="113"/>
        <v>7259.1399999999994</v>
      </c>
      <c r="AT667" s="189">
        <f t="shared" si="114"/>
        <v>14278.88</v>
      </c>
      <c r="AU667" s="50">
        <f t="shared" si="115"/>
        <v>12640.32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7413.6300000000019</v>
      </c>
      <c r="AR668" s="189">
        <f t="shared" si="117"/>
        <v>7370.86</v>
      </c>
      <c r="AS668" s="189">
        <f t="shared" si="113"/>
        <v>7714</v>
      </c>
      <c r="AT668" s="189">
        <f t="shared" si="114"/>
        <v>15428</v>
      </c>
      <c r="AU668" s="50">
        <f t="shared" si="115"/>
        <v>14129.92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7985.53</v>
      </c>
      <c r="AR669" s="189">
        <f t="shared" si="117"/>
        <v>7982.659999999998</v>
      </c>
      <c r="AS669" s="189">
        <f t="shared" si="113"/>
        <v>7714</v>
      </c>
      <c r="AT669" s="189">
        <f t="shared" si="114"/>
        <v>15428</v>
      </c>
      <c r="AU669" s="50">
        <f t="shared" si="115"/>
        <v>15619.519999999997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8557.43</v>
      </c>
      <c r="AR670" s="189">
        <f t="shared" si="117"/>
        <v>8594.4599999999973</v>
      </c>
      <c r="AS670" s="189">
        <f t="shared" si="113"/>
        <v>7714</v>
      </c>
      <c r="AT670" s="189">
        <f t="shared" si="114"/>
        <v>15428</v>
      </c>
      <c r="AU670" s="50">
        <f t="shared" si="115"/>
        <v>17109.12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8729.0000000000018</v>
      </c>
      <c r="AR671" s="189">
        <f t="shared" si="117"/>
        <v>8778</v>
      </c>
      <c r="AS671" s="189">
        <f t="shared" si="113"/>
        <v>7714</v>
      </c>
      <c r="AT671" s="189">
        <f t="shared" si="114"/>
        <v>15428</v>
      </c>
      <c r="AU671" s="50">
        <f t="shared" si="115"/>
        <v>17556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8729.0000000000018</v>
      </c>
      <c r="AR672" s="189">
        <f t="shared" si="117"/>
        <v>8778</v>
      </c>
      <c r="AS672" s="189">
        <f t="shared" si="113"/>
        <v>7714</v>
      </c>
      <c r="AT672" s="189">
        <f t="shared" si="114"/>
        <v>15428</v>
      </c>
      <c r="AU672" s="50">
        <f t="shared" si="115"/>
        <v>17556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8729.0000000000018</v>
      </c>
      <c r="AR673" s="189">
        <f t="shared" si="117"/>
        <v>8778</v>
      </c>
      <c r="AS673" s="189">
        <f t="shared" si="113"/>
        <v>7714</v>
      </c>
      <c r="AT673" s="189">
        <f t="shared" si="114"/>
        <v>15428</v>
      </c>
      <c r="AU673" s="50">
        <f t="shared" si="115"/>
        <v>17556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5824.35</v>
      </c>
      <c r="AR674" s="189">
        <f t="shared" si="117"/>
        <v>6051.4999999999991</v>
      </c>
      <c r="AS674" s="189">
        <f t="shared" si="113"/>
        <v>5585.9999999999991</v>
      </c>
      <c r="AT674" s="189">
        <f t="shared" si="114"/>
        <v>11171.999999999998</v>
      </c>
      <c r="AU674" s="50">
        <f t="shared" si="115"/>
        <v>11703.999999999998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6155.45</v>
      </c>
      <c r="AR675" s="189">
        <f t="shared" si="117"/>
        <v>6450.4999999999982</v>
      </c>
      <c r="AS675" s="189">
        <f t="shared" si="113"/>
        <v>5585.9999999999991</v>
      </c>
      <c r="AT675" s="189">
        <f t="shared" si="114"/>
        <v>11171.999999999998</v>
      </c>
      <c r="AU675" s="50">
        <f t="shared" si="115"/>
        <v>12767.999999999998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6321</v>
      </c>
      <c r="AR676" s="189">
        <f t="shared" si="117"/>
        <v>6649.9999999999991</v>
      </c>
      <c r="AS676" s="189">
        <f t="shared" si="113"/>
        <v>5585.9999999999991</v>
      </c>
      <c r="AT676" s="189">
        <f t="shared" si="114"/>
        <v>11171.999999999998</v>
      </c>
      <c r="AU676" s="50">
        <f t="shared" si="115"/>
        <v>13299.999999999998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6321</v>
      </c>
      <c r="AR677" s="189">
        <f t="shared" si="117"/>
        <v>6649.9999999999991</v>
      </c>
      <c r="AS677" s="189">
        <f t="shared" si="113"/>
        <v>5585.9999999999991</v>
      </c>
      <c r="AT677" s="189">
        <f t="shared" si="114"/>
        <v>11171.999999999998</v>
      </c>
      <c r="AU677" s="50">
        <f t="shared" si="115"/>
        <v>13299.999999999998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6321</v>
      </c>
      <c r="AR678" s="189">
        <f t="shared" si="117"/>
        <v>6649.9999999999991</v>
      </c>
      <c r="AS678" s="189">
        <f t="shared" si="113"/>
        <v>5585.9999999999991</v>
      </c>
      <c r="AT678" s="189">
        <f t="shared" si="114"/>
        <v>11171.999999999998</v>
      </c>
      <c r="AU678" s="50">
        <f t="shared" si="115"/>
        <v>13299.999999999998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6321</v>
      </c>
      <c r="AR679" s="189">
        <f t="shared" si="117"/>
        <v>6649.9999999999991</v>
      </c>
      <c r="AS679" s="189">
        <f t="shared" si="113"/>
        <v>5585.9999999999991</v>
      </c>
      <c r="AT679" s="189">
        <f t="shared" si="114"/>
        <v>11171.999999999998</v>
      </c>
      <c r="AU679" s="50">
        <f t="shared" si="115"/>
        <v>13299.999999999998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6321</v>
      </c>
      <c r="AR680" s="189">
        <f t="shared" si="117"/>
        <v>6649.9999999999991</v>
      </c>
      <c r="AS680" s="189">
        <f t="shared" si="113"/>
        <v>5585.9999999999991</v>
      </c>
      <c r="AT680" s="189">
        <f t="shared" si="114"/>
        <v>11171.999999999998</v>
      </c>
      <c r="AU680" s="50">
        <f t="shared" si="115"/>
        <v>13299.999999999998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6321</v>
      </c>
      <c r="AR681" s="189">
        <f t="shared" si="117"/>
        <v>6649.9999999999991</v>
      </c>
      <c r="AS681" s="189">
        <f t="shared" si="113"/>
        <v>5585.9999999999991</v>
      </c>
      <c r="AT681" s="189">
        <f t="shared" si="114"/>
        <v>11171.999999999998</v>
      </c>
      <c r="AU681" s="50">
        <f t="shared" si="115"/>
        <v>13299.999999999998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6321</v>
      </c>
      <c r="AR682" s="189">
        <f t="shared" si="117"/>
        <v>6649.9999999999991</v>
      </c>
      <c r="AS682" s="189">
        <f t="shared" si="113"/>
        <v>5585.9999999999991</v>
      </c>
      <c r="AT682" s="189">
        <f t="shared" si="114"/>
        <v>11171.999999999998</v>
      </c>
      <c r="AU682" s="50">
        <f t="shared" si="115"/>
        <v>13299.999999999998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6321</v>
      </c>
      <c r="AR683" s="189">
        <f t="shared" si="117"/>
        <v>6649.9999999999991</v>
      </c>
      <c r="AS683" s="189">
        <f t="shared" si="113"/>
        <v>5585.9999999999991</v>
      </c>
      <c r="AT683" s="189">
        <f t="shared" si="114"/>
        <v>11171.999999999998</v>
      </c>
      <c r="AU683" s="50">
        <f t="shared" si="115"/>
        <v>13299.999999999998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6321</v>
      </c>
      <c r="AR684" s="189">
        <f t="shared" si="117"/>
        <v>6649.9999999999991</v>
      </c>
      <c r="AS684" s="189">
        <f t="shared" si="113"/>
        <v>5585.9999999999991</v>
      </c>
      <c r="AT684" s="189">
        <f t="shared" si="114"/>
        <v>11171.999999999998</v>
      </c>
      <c r="AU684" s="50">
        <f t="shared" si="115"/>
        <v>13299.999999999998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4721.0800000000008</v>
      </c>
      <c r="AR685" s="189">
        <f t="shared" si="117"/>
        <v>4622.45</v>
      </c>
      <c r="AS685" s="189">
        <f t="shared" si="113"/>
        <v>5135.6900000000005</v>
      </c>
      <c r="AT685" s="189">
        <f t="shared" si="114"/>
        <v>8659.2800000000025</v>
      </c>
      <c r="AU685" s="50">
        <f t="shared" si="115"/>
        <v>6843.2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5121.4800000000005</v>
      </c>
      <c r="AR686" s="189">
        <f t="shared" si="117"/>
        <v>5115.9500000000007</v>
      </c>
      <c r="AS686" s="189">
        <f t="shared" si="113"/>
        <v>5497.5899999999992</v>
      </c>
      <c r="AT686" s="189">
        <f t="shared" si="114"/>
        <v>9712.08</v>
      </c>
      <c r="AU686" s="50">
        <f t="shared" si="115"/>
        <v>8159.2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5521.8799999999992</v>
      </c>
      <c r="AR687" s="189">
        <f t="shared" si="117"/>
        <v>5609.4499999999989</v>
      </c>
      <c r="AS687" s="189">
        <f t="shared" si="113"/>
        <v>5859.4899999999989</v>
      </c>
      <c r="AT687" s="189">
        <f t="shared" si="114"/>
        <v>10764.88</v>
      </c>
      <c r="AU687" s="50">
        <f t="shared" si="115"/>
        <v>9475.1999999999989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5922.2799999999988</v>
      </c>
      <c r="AR688" s="189">
        <f t="shared" si="117"/>
        <v>6102.95</v>
      </c>
      <c r="AS688" s="189">
        <f t="shared" si="113"/>
        <v>6221.39</v>
      </c>
      <c r="AT688" s="189">
        <f t="shared" si="114"/>
        <v>11817.679999999998</v>
      </c>
      <c r="AU688" s="50">
        <f t="shared" si="115"/>
        <v>10791.199999999999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6322.68</v>
      </c>
      <c r="AR689" s="189">
        <f t="shared" si="117"/>
        <v>6596.45</v>
      </c>
      <c r="AS689" s="189">
        <f t="shared" si="113"/>
        <v>6583.2900000000009</v>
      </c>
      <c r="AT689" s="189">
        <f t="shared" si="114"/>
        <v>12870.480000000001</v>
      </c>
      <c r="AU689" s="50">
        <f t="shared" si="115"/>
        <v>12107.2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6723.0800000000008</v>
      </c>
      <c r="AR690" s="189">
        <f t="shared" si="117"/>
        <v>7089.9500000000007</v>
      </c>
      <c r="AS690" s="189">
        <f t="shared" si="113"/>
        <v>6909</v>
      </c>
      <c r="AT690" s="189">
        <f t="shared" si="114"/>
        <v>13818</v>
      </c>
      <c r="AU690" s="50">
        <f t="shared" si="115"/>
        <v>13423.2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7123.48</v>
      </c>
      <c r="AR691" s="189">
        <f t="shared" si="117"/>
        <v>7583.4499999999989</v>
      </c>
      <c r="AS691" s="189">
        <f t="shared" si="113"/>
        <v>6909</v>
      </c>
      <c r="AT691" s="189">
        <f t="shared" si="114"/>
        <v>13818</v>
      </c>
      <c r="AU691" s="50">
        <f t="shared" si="115"/>
        <v>14739.199999999999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7523.880000000001</v>
      </c>
      <c r="AR692" s="189">
        <f t="shared" si="117"/>
        <v>8076.95</v>
      </c>
      <c r="AS692" s="189">
        <f t="shared" si="113"/>
        <v>6909</v>
      </c>
      <c r="AT692" s="189">
        <f t="shared" si="114"/>
        <v>13818</v>
      </c>
      <c r="AU692" s="50">
        <f t="shared" si="115"/>
        <v>16055.199999999999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7644</v>
      </c>
      <c r="AR693" s="189">
        <f t="shared" si="117"/>
        <v>8225</v>
      </c>
      <c r="AS693" s="189">
        <f t="shared" si="113"/>
        <v>6909</v>
      </c>
      <c r="AT693" s="189">
        <f t="shared" si="114"/>
        <v>13818</v>
      </c>
      <c r="AU693" s="50">
        <f t="shared" si="115"/>
        <v>16450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7644</v>
      </c>
      <c r="AR694" s="189">
        <f t="shared" si="117"/>
        <v>8225</v>
      </c>
      <c r="AS694" s="189">
        <f t="shared" si="113"/>
        <v>6909</v>
      </c>
      <c r="AT694" s="189">
        <f t="shared" si="114"/>
        <v>13818</v>
      </c>
      <c r="AU694" s="50">
        <f t="shared" si="115"/>
        <v>16450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7644</v>
      </c>
      <c r="AR695" s="189">
        <f t="shared" si="117"/>
        <v>8225</v>
      </c>
      <c r="AS695" s="189">
        <f t="shared" si="113"/>
        <v>6909</v>
      </c>
      <c r="AT695" s="189">
        <f t="shared" si="114"/>
        <v>13818</v>
      </c>
      <c r="AU695" s="50">
        <f t="shared" si="115"/>
        <v>16450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4856.7300000000005</v>
      </c>
      <c r="AR696" s="189">
        <f t="shared" si="117"/>
        <v>4636.0600000000004</v>
      </c>
      <c r="AS696" s="189">
        <f t="shared" si="113"/>
        <v>5631.3400000000011</v>
      </c>
      <c r="AT696" s="189">
        <f t="shared" si="114"/>
        <v>9861.2800000000007</v>
      </c>
      <c r="AU696" s="50">
        <f t="shared" si="115"/>
        <v>7184.3200000000015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5466.630000000001</v>
      </c>
      <c r="AR697" s="189">
        <f t="shared" si="117"/>
        <v>5293.86</v>
      </c>
      <c r="AS697" s="189">
        <f t="shared" si="113"/>
        <v>6174.7400000000007</v>
      </c>
      <c r="AT697" s="189">
        <f t="shared" si="114"/>
        <v>11234.080000000002</v>
      </c>
      <c r="AU697" s="50">
        <f t="shared" si="115"/>
        <v>8785.92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6076.53</v>
      </c>
      <c r="AR698" s="189">
        <f t="shared" si="117"/>
        <v>5951.66</v>
      </c>
      <c r="AS698" s="189">
        <f t="shared" si="113"/>
        <v>6718.14</v>
      </c>
      <c r="AT698" s="189">
        <f t="shared" si="114"/>
        <v>12606.880000000001</v>
      </c>
      <c r="AU698" s="50">
        <f t="shared" si="115"/>
        <v>10387.519999999999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6686.43</v>
      </c>
      <c r="AR699" s="189">
        <f t="shared" si="117"/>
        <v>6609.46</v>
      </c>
      <c r="AS699" s="189">
        <f t="shared" si="113"/>
        <v>7261.54</v>
      </c>
      <c r="AT699" s="189">
        <f t="shared" si="114"/>
        <v>13979.680000000002</v>
      </c>
      <c r="AU699" s="50">
        <f t="shared" si="115"/>
        <v>11989.12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7296.3300000000008</v>
      </c>
      <c r="AR700" s="189">
        <f t="shared" si="117"/>
        <v>7267.2600000000011</v>
      </c>
      <c r="AS700" s="189">
        <f t="shared" si="113"/>
        <v>7804.9400000000005</v>
      </c>
      <c r="AT700" s="189">
        <f t="shared" si="114"/>
        <v>15352.480000000001</v>
      </c>
      <c r="AU700" s="50">
        <f t="shared" si="115"/>
        <v>13590.720000000001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7906.2300000000014</v>
      </c>
      <c r="AR701" s="189">
        <f t="shared" si="117"/>
        <v>7925.0600000000013</v>
      </c>
      <c r="AS701" s="189">
        <f t="shared" si="113"/>
        <v>8294.0000000000018</v>
      </c>
      <c r="AT701" s="189">
        <f t="shared" si="114"/>
        <v>16588.000000000004</v>
      </c>
      <c r="AU701" s="50">
        <f t="shared" si="115"/>
        <v>15192.320000000003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8516.1299999999992</v>
      </c>
      <c r="AR702" s="189">
        <f t="shared" si="117"/>
        <v>8582.86</v>
      </c>
      <c r="AS702" s="189">
        <f t="shared" si="113"/>
        <v>8294.0000000000018</v>
      </c>
      <c r="AT702" s="189">
        <f t="shared" si="114"/>
        <v>16588.000000000004</v>
      </c>
      <c r="AU702" s="50">
        <f t="shared" si="115"/>
        <v>16793.919999999998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9126.0300000000007</v>
      </c>
      <c r="AR703" s="189">
        <f t="shared" si="117"/>
        <v>9240.66</v>
      </c>
      <c r="AS703" s="189">
        <f t="shared" si="113"/>
        <v>8294.0000000000018</v>
      </c>
      <c r="AT703" s="189">
        <f t="shared" si="114"/>
        <v>16588.000000000004</v>
      </c>
      <c r="AU703" s="50">
        <f t="shared" si="115"/>
        <v>18395.52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9309.0000000000018</v>
      </c>
      <c r="AR704" s="189">
        <f t="shared" si="117"/>
        <v>9438</v>
      </c>
      <c r="AS704" s="189">
        <f t="shared" si="113"/>
        <v>8294.0000000000018</v>
      </c>
      <c r="AT704" s="189">
        <f t="shared" si="114"/>
        <v>16588.000000000004</v>
      </c>
      <c r="AU704" s="50">
        <f t="shared" si="115"/>
        <v>18876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9309.0000000000018</v>
      </c>
      <c r="AR705" s="189">
        <f t="shared" si="117"/>
        <v>9438</v>
      </c>
      <c r="AS705" s="189">
        <f t="shared" si="113"/>
        <v>8294.0000000000018</v>
      </c>
      <c r="AT705" s="189">
        <f t="shared" si="114"/>
        <v>16588.000000000004</v>
      </c>
      <c r="AU705" s="50">
        <f t="shared" si="115"/>
        <v>18876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9309.0000000000018</v>
      </c>
      <c r="AR706" s="189">
        <f t="shared" si="117"/>
        <v>9438</v>
      </c>
      <c r="AS706" s="189">
        <f t="shared" si="113"/>
        <v>8294.0000000000018</v>
      </c>
      <c r="AT706" s="189">
        <f t="shared" si="114"/>
        <v>16588.000000000004</v>
      </c>
      <c r="AU706" s="50">
        <f t="shared" si="115"/>
        <v>18876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6211.35</v>
      </c>
      <c r="AR707" s="189">
        <f t="shared" si="117"/>
        <v>6506.5</v>
      </c>
      <c r="AS707" s="189">
        <f t="shared" ref="AS707:AS770" si="118">$AG$3*(1+$AJ707*$Y$2+$AN707)*(MAXA(1-$AI$3-$AL707*$AA$3-$AP707-0.36,0)+MINA($AI$3+$AL707*$AA$3+$AP707+0.36,1)*(1+$AH$3+$AO707+$AK707*$Z$4))</f>
        <v>6006</v>
      </c>
      <c r="AT707" s="189">
        <f t="shared" ref="AT707:AT770" si="119">$AG$3*(1+$AJ707*$Y$2+$AN707)*(MAXA(1-$AI$3-$AL707*$AA$3-$AP707-0.36,0)+2*MINA($AI$3+$AL707*$AA$3+$AP707+0.36,1)*(1+$AH$3+$AO707+$AK707*$Z$4))</f>
        <v>12012</v>
      </c>
      <c r="AU707" s="50">
        <f t="shared" ref="AU707:AU770" si="120">$AG$3*(1+$AJ707*$Y$2+$AN707)*(MAXA(1-$AI$3-$AL707*$AA$3-$AP707-0.12,0)+2*MINA($AI$3+$AL707*$AA$3+$AP707+0.12,1)*(1+$AH$3+$AO707+$AK707*$Z$4+0.4))</f>
        <v>12584.000000000002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6564.45</v>
      </c>
      <c r="AR708" s="189">
        <f t="shared" ref="AR708:AR771" si="122">$AG$3*(1+$AJ708*$Y$2+$AN708)*(MAXA(1-$AI$3-$AL708*$AA$3-$AP708-0.12,0)+MINA($AI$3+$AL708*$AA$3+$AP708+0.12,1)*(1+$AH$3+$AO708+$AK708*$Z$4+0.4))</f>
        <v>6935.4999999999991</v>
      </c>
      <c r="AS708" s="189">
        <f t="shared" si="118"/>
        <v>6006</v>
      </c>
      <c r="AT708" s="189">
        <f t="shared" si="119"/>
        <v>12012</v>
      </c>
      <c r="AU708" s="50">
        <f t="shared" si="120"/>
        <v>13728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6741</v>
      </c>
      <c r="AR709" s="189">
        <f t="shared" si="122"/>
        <v>7150</v>
      </c>
      <c r="AS709" s="189">
        <f t="shared" si="118"/>
        <v>6006</v>
      </c>
      <c r="AT709" s="189">
        <f t="shared" si="119"/>
        <v>12012</v>
      </c>
      <c r="AU709" s="50">
        <f t="shared" si="120"/>
        <v>14300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6741</v>
      </c>
      <c r="AR710" s="189">
        <f t="shared" si="122"/>
        <v>7150</v>
      </c>
      <c r="AS710" s="189">
        <f t="shared" si="118"/>
        <v>6006</v>
      </c>
      <c r="AT710" s="189">
        <f t="shared" si="119"/>
        <v>12012</v>
      </c>
      <c r="AU710" s="50">
        <f t="shared" si="120"/>
        <v>14300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6741</v>
      </c>
      <c r="AR711" s="189">
        <f t="shared" si="122"/>
        <v>7150</v>
      </c>
      <c r="AS711" s="189">
        <f t="shared" si="118"/>
        <v>6006</v>
      </c>
      <c r="AT711" s="189">
        <f t="shared" si="119"/>
        <v>12012</v>
      </c>
      <c r="AU711" s="50">
        <f t="shared" si="120"/>
        <v>14300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6741</v>
      </c>
      <c r="AR712" s="189">
        <f t="shared" si="122"/>
        <v>7150</v>
      </c>
      <c r="AS712" s="189">
        <f t="shared" si="118"/>
        <v>6006</v>
      </c>
      <c r="AT712" s="189">
        <f t="shared" si="119"/>
        <v>12012</v>
      </c>
      <c r="AU712" s="50">
        <f t="shared" si="120"/>
        <v>14300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6741</v>
      </c>
      <c r="AR713" s="189">
        <f t="shared" si="122"/>
        <v>7150</v>
      </c>
      <c r="AS713" s="189">
        <f t="shared" si="118"/>
        <v>6006</v>
      </c>
      <c r="AT713" s="189">
        <f t="shared" si="119"/>
        <v>12012</v>
      </c>
      <c r="AU713" s="50">
        <f t="shared" si="120"/>
        <v>14300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6741</v>
      </c>
      <c r="AR714" s="189">
        <f t="shared" si="122"/>
        <v>7150</v>
      </c>
      <c r="AS714" s="189">
        <f t="shared" si="118"/>
        <v>6006</v>
      </c>
      <c r="AT714" s="189">
        <f t="shared" si="119"/>
        <v>12012</v>
      </c>
      <c r="AU714" s="50">
        <f t="shared" si="120"/>
        <v>14300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6741</v>
      </c>
      <c r="AR715" s="189">
        <f t="shared" si="122"/>
        <v>7150</v>
      </c>
      <c r="AS715" s="189">
        <f t="shared" si="118"/>
        <v>6006</v>
      </c>
      <c r="AT715" s="189">
        <f t="shared" si="119"/>
        <v>12012</v>
      </c>
      <c r="AU715" s="50">
        <f t="shared" si="120"/>
        <v>14300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6741</v>
      </c>
      <c r="AR716" s="189">
        <f t="shared" si="122"/>
        <v>7150</v>
      </c>
      <c r="AS716" s="189">
        <f t="shared" si="118"/>
        <v>6006</v>
      </c>
      <c r="AT716" s="189">
        <f t="shared" si="119"/>
        <v>12012</v>
      </c>
      <c r="AU716" s="50">
        <f t="shared" si="120"/>
        <v>14300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6741</v>
      </c>
      <c r="AR717" s="189">
        <f t="shared" si="122"/>
        <v>7150</v>
      </c>
      <c r="AS717" s="189">
        <f t="shared" si="118"/>
        <v>6006</v>
      </c>
      <c r="AT717" s="189">
        <f t="shared" si="119"/>
        <v>12012</v>
      </c>
      <c r="AU717" s="50">
        <f t="shared" si="120"/>
        <v>14300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4980.4800000000014</v>
      </c>
      <c r="AR718" s="189">
        <f t="shared" si="122"/>
        <v>4903.45</v>
      </c>
      <c r="AS718" s="189">
        <f t="shared" si="118"/>
        <v>5447.89</v>
      </c>
      <c r="AT718" s="189">
        <f t="shared" si="119"/>
        <v>9185.6800000000021</v>
      </c>
      <c r="AU718" s="50">
        <f t="shared" si="120"/>
        <v>7259.2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5402.880000000001</v>
      </c>
      <c r="AR719" s="189">
        <f t="shared" si="122"/>
        <v>5426.9500000000007</v>
      </c>
      <c r="AS719" s="189">
        <f t="shared" si="118"/>
        <v>5831.7899999999991</v>
      </c>
      <c r="AT719" s="189">
        <f t="shared" si="119"/>
        <v>10302.48</v>
      </c>
      <c r="AU719" s="50">
        <f t="shared" si="120"/>
        <v>8655.2000000000007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5825.2800000000007</v>
      </c>
      <c r="AR720" s="189">
        <f t="shared" si="122"/>
        <v>5950.4499999999989</v>
      </c>
      <c r="AS720" s="189">
        <f t="shared" si="118"/>
        <v>6215.6899999999987</v>
      </c>
      <c r="AT720" s="189">
        <f t="shared" si="119"/>
        <v>11419.279999999999</v>
      </c>
      <c r="AU720" s="50">
        <f t="shared" si="120"/>
        <v>10051.199999999999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6247.68</v>
      </c>
      <c r="AR721" s="189">
        <f t="shared" si="122"/>
        <v>6473.95</v>
      </c>
      <c r="AS721" s="189">
        <f t="shared" si="118"/>
        <v>6599.59</v>
      </c>
      <c r="AT721" s="189">
        <f t="shared" si="119"/>
        <v>12536.079999999998</v>
      </c>
      <c r="AU721" s="50">
        <f t="shared" si="120"/>
        <v>11447.199999999999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6670.0800000000008</v>
      </c>
      <c r="AR722" s="189">
        <f t="shared" si="122"/>
        <v>6997.45</v>
      </c>
      <c r="AS722" s="189">
        <f t="shared" si="118"/>
        <v>6983.4900000000016</v>
      </c>
      <c r="AT722" s="189">
        <f t="shared" si="119"/>
        <v>13652.880000000001</v>
      </c>
      <c r="AU722" s="50">
        <f t="shared" si="120"/>
        <v>12843.2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7092.4800000000014</v>
      </c>
      <c r="AR723" s="189">
        <f t="shared" si="122"/>
        <v>7520.9500000000007</v>
      </c>
      <c r="AS723" s="189">
        <f t="shared" si="118"/>
        <v>7329</v>
      </c>
      <c r="AT723" s="189">
        <f t="shared" si="119"/>
        <v>14658</v>
      </c>
      <c r="AU723" s="50">
        <f t="shared" si="120"/>
        <v>14239.2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7514.88</v>
      </c>
      <c r="AR724" s="189">
        <f t="shared" si="122"/>
        <v>8044.4499999999989</v>
      </c>
      <c r="AS724" s="189">
        <f t="shared" si="118"/>
        <v>7329</v>
      </c>
      <c r="AT724" s="189">
        <f t="shared" si="119"/>
        <v>14658</v>
      </c>
      <c r="AU724" s="50">
        <f t="shared" si="120"/>
        <v>15635.199999999999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7937.2800000000016</v>
      </c>
      <c r="AR725" s="189">
        <f t="shared" si="122"/>
        <v>8567.9500000000007</v>
      </c>
      <c r="AS725" s="189">
        <f t="shared" si="118"/>
        <v>7329</v>
      </c>
      <c r="AT725" s="189">
        <f t="shared" si="119"/>
        <v>14658</v>
      </c>
      <c r="AU725" s="50">
        <f t="shared" si="120"/>
        <v>17031.2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8064.0000000000009</v>
      </c>
      <c r="AR726" s="189">
        <f t="shared" si="122"/>
        <v>8725</v>
      </c>
      <c r="AS726" s="189">
        <f t="shared" si="118"/>
        <v>7329</v>
      </c>
      <c r="AT726" s="189">
        <f t="shared" si="119"/>
        <v>14658</v>
      </c>
      <c r="AU726" s="50">
        <f t="shared" si="120"/>
        <v>17450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8064.0000000000009</v>
      </c>
      <c r="AR727" s="189">
        <f t="shared" si="122"/>
        <v>8725</v>
      </c>
      <c r="AS727" s="189">
        <f t="shared" si="118"/>
        <v>7329</v>
      </c>
      <c r="AT727" s="189">
        <f t="shared" si="119"/>
        <v>14658</v>
      </c>
      <c r="AU727" s="50">
        <f t="shared" si="120"/>
        <v>17450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8064.0000000000009</v>
      </c>
      <c r="AR728" s="189">
        <f t="shared" si="122"/>
        <v>8725</v>
      </c>
      <c r="AS728" s="189">
        <f t="shared" si="118"/>
        <v>7329</v>
      </c>
      <c r="AT728" s="189">
        <f t="shared" si="119"/>
        <v>14658</v>
      </c>
      <c r="AU728" s="50">
        <f t="shared" si="120"/>
        <v>17450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5159.33</v>
      </c>
      <c r="AR729" s="189">
        <f t="shared" si="122"/>
        <v>4960.2599999999993</v>
      </c>
      <c r="AS729" s="189">
        <f t="shared" si="118"/>
        <v>6025.14</v>
      </c>
      <c r="AT729" s="189">
        <f t="shared" si="119"/>
        <v>10550.88</v>
      </c>
      <c r="AU729" s="50">
        <f t="shared" si="120"/>
        <v>7686.72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5807.2300000000005</v>
      </c>
      <c r="AR730" s="189">
        <f t="shared" si="122"/>
        <v>5664.0599999999995</v>
      </c>
      <c r="AS730" s="189">
        <f t="shared" si="118"/>
        <v>6606.54</v>
      </c>
      <c r="AT730" s="189">
        <f t="shared" si="119"/>
        <v>12019.679999999998</v>
      </c>
      <c r="AU730" s="50">
        <f t="shared" si="120"/>
        <v>9400.3199999999979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6455.1299999999983</v>
      </c>
      <c r="AR731" s="189">
        <f t="shared" si="122"/>
        <v>6367.8599999999988</v>
      </c>
      <c r="AS731" s="189">
        <f t="shared" si="118"/>
        <v>7187.94</v>
      </c>
      <c r="AT731" s="189">
        <f t="shared" si="119"/>
        <v>13488.48</v>
      </c>
      <c r="AU731" s="50">
        <f t="shared" si="120"/>
        <v>11113.919999999998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7103.03</v>
      </c>
      <c r="AR732" s="189">
        <f t="shared" si="122"/>
        <v>7071.6599999999989</v>
      </c>
      <c r="AS732" s="189">
        <f t="shared" si="118"/>
        <v>7769.3399999999992</v>
      </c>
      <c r="AT732" s="189">
        <f t="shared" si="119"/>
        <v>14957.28</v>
      </c>
      <c r="AU732" s="50">
        <f t="shared" si="120"/>
        <v>12827.519999999999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7750.9299999999994</v>
      </c>
      <c r="AR733" s="189">
        <f t="shared" si="122"/>
        <v>7775.46</v>
      </c>
      <c r="AS733" s="189">
        <f t="shared" si="118"/>
        <v>8350.74</v>
      </c>
      <c r="AT733" s="189">
        <f t="shared" si="119"/>
        <v>16426.079999999998</v>
      </c>
      <c r="AU733" s="50">
        <f t="shared" si="120"/>
        <v>14541.119999999999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8398.83</v>
      </c>
      <c r="AR734" s="189">
        <f t="shared" si="122"/>
        <v>8479.26</v>
      </c>
      <c r="AS734" s="189">
        <f t="shared" si="118"/>
        <v>8874</v>
      </c>
      <c r="AT734" s="189">
        <f t="shared" si="119"/>
        <v>17748</v>
      </c>
      <c r="AU734" s="50">
        <f t="shared" si="120"/>
        <v>16254.720000000001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9046.73</v>
      </c>
      <c r="AR735" s="189">
        <f t="shared" si="122"/>
        <v>9183.0599999999977</v>
      </c>
      <c r="AS735" s="189">
        <f t="shared" si="118"/>
        <v>8874</v>
      </c>
      <c r="AT735" s="189">
        <f t="shared" si="119"/>
        <v>17748</v>
      </c>
      <c r="AU735" s="50">
        <f t="shared" si="120"/>
        <v>17968.319999999996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9694.6299999999992</v>
      </c>
      <c r="AR736" s="189">
        <f t="shared" si="122"/>
        <v>9886.8599999999988</v>
      </c>
      <c r="AS736" s="189">
        <f t="shared" si="118"/>
        <v>8874</v>
      </c>
      <c r="AT736" s="189">
        <f t="shared" si="119"/>
        <v>17748</v>
      </c>
      <c r="AU736" s="50">
        <f t="shared" si="120"/>
        <v>19681.919999999998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9889</v>
      </c>
      <c r="AR737" s="189">
        <f t="shared" si="122"/>
        <v>10098</v>
      </c>
      <c r="AS737" s="189">
        <f t="shared" si="118"/>
        <v>8874</v>
      </c>
      <c r="AT737" s="189">
        <f t="shared" si="119"/>
        <v>17748</v>
      </c>
      <c r="AU737" s="50">
        <f t="shared" si="120"/>
        <v>20196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9889</v>
      </c>
      <c r="AR738" s="189">
        <f t="shared" si="122"/>
        <v>10098</v>
      </c>
      <c r="AS738" s="189">
        <f t="shared" si="118"/>
        <v>8874</v>
      </c>
      <c r="AT738" s="189">
        <f t="shared" si="119"/>
        <v>17748</v>
      </c>
      <c r="AU738" s="50">
        <f t="shared" si="120"/>
        <v>20196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9889</v>
      </c>
      <c r="AR739" s="189">
        <f t="shared" si="122"/>
        <v>10098</v>
      </c>
      <c r="AS739" s="189">
        <f t="shared" si="118"/>
        <v>8874</v>
      </c>
      <c r="AT739" s="189">
        <f t="shared" si="119"/>
        <v>17748</v>
      </c>
      <c r="AU739" s="50">
        <f t="shared" si="120"/>
        <v>20196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6598.3499999999995</v>
      </c>
      <c r="AR740" s="189">
        <f t="shared" si="122"/>
        <v>6961.4999999999991</v>
      </c>
      <c r="AS740" s="189">
        <f t="shared" si="118"/>
        <v>6425.9999999999991</v>
      </c>
      <c r="AT740" s="189">
        <f t="shared" si="119"/>
        <v>12851.999999999998</v>
      </c>
      <c r="AU740" s="50">
        <f t="shared" si="120"/>
        <v>13463.999999999998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6973.4499999999989</v>
      </c>
      <c r="AR741" s="189">
        <f t="shared" si="122"/>
        <v>7420.4999999999982</v>
      </c>
      <c r="AS741" s="189">
        <f t="shared" si="118"/>
        <v>6425.9999999999991</v>
      </c>
      <c r="AT741" s="189">
        <f t="shared" si="119"/>
        <v>12851.999999999998</v>
      </c>
      <c r="AU741" s="50">
        <f t="shared" si="120"/>
        <v>14687.999999999998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7160.9999999999991</v>
      </c>
      <c r="AR742" s="189">
        <f t="shared" si="122"/>
        <v>7649.9999999999991</v>
      </c>
      <c r="AS742" s="189">
        <f t="shared" si="118"/>
        <v>6425.9999999999991</v>
      </c>
      <c r="AT742" s="189">
        <f t="shared" si="119"/>
        <v>12851.999999999998</v>
      </c>
      <c r="AU742" s="50">
        <f t="shared" si="120"/>
        <v>15299.999999999998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7160.9999999999991</v>
      </c>
      <c r="AR743" s="189">
        <f t="shared" si="122"/>
        <v>7649.9999999999991</v>
      </c>
      <c r="AS743" s="189">
        <f t="shared" si="118"/>
        <v>6425.9999999999991</v>
      </c>
      <c r="AT743" s="189">
        <f t="shared" si="119"/>
        <v>12851.999999999998</v>
      </c>
      <c r="AU743" s="50">
        <f t="shared" si="120"/>
        <v>15299.999999999998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7160.9999999999991</v>
      </c>
      <c r="AR744" s="189">
        <f t="shared" si="122"/>
        <v>7649.9999999999991</v>
      </c>
      <c r="AS744" s="189">
        <f t="shared" si="118"/>
        <v>6425.9999999999991</v>
      </c>
      <c r="AT744" s="189">
        <f t="shared" si="119"/>
        <v>12851.999999999998</v>
      </c>
      <c r="AU744" s="50">
        <f t="shared" si="120"/>
        <v>15299.999999999998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7160.9999999999991</v>
      </c>
      <c r="AR745" s="189">
        <f t="shared" si="122"/>
        <v>7649.9999999999991</v>
      </c>
      <c r="AS745" s="189">
        <f t="shared" si="118"/>
        <v>6425.9999999999991</v>
      </c>
      <c r="AT745" s="189">
        <f t="shared" si="119"/>
        <v>12851.999999999998</v>
      </c>
      <c r="AU745" s="50">
        <f t="shared" si="120"/>
        <v>15299.999999999998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7160.9999999999991</v>
      </c>
      <c r="AR746" s="189">
        <f t="shared" si="122"/>
        <v>7649.9999999999991</v>
      </c>
      <c r="AS746" s="189">
        <f t="shared" si="118"/>
        <v>6425.9999999999991</v>
      </c>
      <c r="AT746" s="189">
        <f t="shared" si="119"/>
        <v>12851.999999999998</v>
      </c>
      <c r="AU746" s="50">
        <f t="shared" si="120"/>
        <v>15299.999999999998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7160.9999999999991</v>
      </c>
      <c r="AR747" s="189">
        <f t="shared" si="122"/>
        <v>7649.9999999999991</v>
      </c>
      <c r="AS747" s="189">
        <f t="shared" si="118"/>
        <v>6425.9999999999991</v>
      </c>
      <c r="AT747" s="189">
        <f t="shared" si="119"/>
        <v>12851.999999999998</v>
      </c>
      <c r="AU747" s="50">
        <f t="shared" si="120"/>
        <v>15299.999999999998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7160.9999999999991</v>
      </c>
      <c r="AR748" s="189">
        <f t="shared" si="122"/>
        <v>7649.9999999999991</v>
      </c>
      <c r="AS748" s="189">
        <f t="shared" si="118"/>
        <v>6425.9999999999991</v>
      </c>
      <c r="AT748" s="189">
        <f t="shared" si="119"/>
        <v>12851.999999999998</v>
      </c>
      <c r="AU748" s="50">
        <f t="shared" si="120"/>
        <v>15299.999999999998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7160.9999999999991</v>
      </c>
      <c r="AR749" s="189">
        <f t="shared" si="122"/>
        <v>7649.9999999999991</v>
      </c>
      <c r="AS749" s="189">
        <f t="shared" si="118"/>
        <v>6425.9999999999991</v>
      </c>
      <c r="AT749" s="189">
        <f t="shared" si="119"/>
        <v>12851.999999999998</v>
      </c>
      <c r="AU749" s="50">
        <f t="shared" si="120"/>
        <v>15299.999999999998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7160.9999999999991</v>
      </c>
      <c r="AR750" s="189">
        <f t="shared" si="122"/>
        <v>7649.9999999999991</v>
      </c>
      <c r="AS750" s="189">
        <f t="shared" si="118"/>
        <v>6425.9999999999991</v>
      </c>
      <c r="AT750" s="189">
        <f t="shared" si="119"/>
        <v>12851.999999999998</v>
      </c>
      <c r="AU750" s="50">
        <f t="shared" si="120"/>
        <v>15299.999999999998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5239.880000000001</v>
      </c>
      <c r="AR751" s="189">
        <f t="shared" si="122"/>
        <v>5184.4500000000007</v>
      </c>
      <c r="AS751" s="189">
        <f t="shared" si="118"/>
        <v>5760.0900000000011</v>
      </c>
      <c r="AT751" s="189">
        <f t="shared" si="119"/>
        <v>9712.0800000000036</v>
      </c>
      <c r="AU751" s="50">
        <f t="shared" si="120"/>
        <v>7675.2000000000016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5684.28</v>
      </c>
      <c r="AR752" s="189">
        <f t="shared" si="122"/>
        <v>5737.9500000000016</v>
      </c>
      <c r="AS752" s="189">
        <f t="shared" si="118"/>
        <v>6165.99</v>
      </c>
      <c r="AT752" s="189">
        <f t="shared" si="119"/>
        <v>10892.880000000001</v>
      </c>
      <c r="AU752" s="50">
        <f t="shared" si="120"/>
        <v>9151.2000000000007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6128.6799999999994</v>
      </c>
      <c r="AR753" s="189">
        <f t="shared" si="122"/>
        <v>6291.45</v>
      </c>
      <c r="AS753" s="189">
        <f t="shared" si="118"/>
        <v>6571.8899999999994</v>
      </c>
      <c r="AT753" s="189">
        <f t="shared" si="119"/>
        <v>12073.68</v>
      </c>
      <c r="AU753" s="50">
        <f t="shared" si="120"/>
        <v>10627.199999999999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6573.079999999999</v>
      </c>
      <c r="AR754" s="189">
        <f t="shared" si="122"/>
        <v>6844.9500000000007</v>
      </c>
      <c r="AS754" s="189">
        <f t="shared" si="118"/>
        <v>6977.7900000000009</v>
      </c>
      <c r="AT754" s="189">
        <f t="shared" si="119"/>
        <v>13254.48</v>
      </c>
      <c r="AU754" s="50">
        <f t="shared" si="120"/>
        <v>12103.2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7017.4800000000005</v>
      </c>
      <c r="AR755" s="189">
        <f t="shared" si="122"/>
        <v>7398.4500000000007</v>
      </c>
      <c r="AS755" s="189">
        <f t="shared" si="118"/>
        <v>7383.6900000000023</v>
      </c>
      <c r="AT755" s="189">
        <f t="shared" si="119"/>
        <v>14435.280000000002</v>
      </c>
      <c r="AU755" s="50">
        <f t="shared" si="120"/>
        <v>13579.200000000003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7461.880000000001</v>
      </c>
      <c r="AR756" s="189">
        <f t="shared" si="122"/>
        <v>7951.9500000000016</v>
      </c>
      <c r="AS756" s="189">
        <f t="shared" si="118"/>
        <v>7749.0000000000009</v>
      </c>
      <c r="AT756" s="189">
        <f t="shared" si="119"/>
        <v>15498.000000000002</v>
      </c>
      <c r="AU756" s="50">
        <f t="shared" si="120"/>
        <v>15055.200000000003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7906.28</v>
      </c>
      <c r="AR757" s="189">
        <f t="shared" si="122"/>
        <v>8505.4500000000007</v>
      </c>
      <c r="AS757" s="189">
        <f t="shared" si="118"/>
        <v>7749.0000000000009</v>
      </c>
      <c r="AT757" s="189">
        <f t="shared" si="119"/>
        <v>15498.000000000002</v>
      </c>
      <c r="AU757" s="50">
        <f t="shared" si="120"/>
        <v>16531.2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8350.68</v>
      </c>
      <c r="AR758" s="189">
        <f t="shared" si="122"/>
        <v>9058.9500000000007</v>
      </c>
      <c r="AS758" s="189">
        <f t="shared" si="118"/>
        <v>7749.0000000000009</v>
      </c>
      <c r="AT758" s="189">
        <f t="shared" si="119"/>
        <v>15498.000000000002</v>
      </c>
      <c r="AU758" s="50">
        <f t="shared" si="120"/>
        <v>18007.2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8484</v>
      </c>
      <c r="AR759" s="189">
        <f t="shared" si="122"/>
        <v>9225.0000000000018</v>
      </c>
      <c r="AS759" s="189">
        <f t="shared" si="118"/>
        <v>7749.0000000000009</v>
      </c>
      <c r="AT759" s="189">
        <f t="shared" si="119"/>
        <v>15498.000000000002</v>
      </c>
      <c r="AU759" s="50">
        <f t="shared" si="120"/>
        <v>18450.000000000004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8484</v>
      </c>
      <c r="AR760" s="189">
        <f t="shared" si="122"/>
        <v>9225.0000000000018</v>
      </c>
      <c r="AS760" s="189">
        <f t="shared" si="118"/>
        <v>7749.0000000000009</v>
      </c>
      <c r="AT760" s="189">
        <f t="shared" si="119"/>
        <v>15498.000000000002</v>
      </c>
      <c r="AU760" s="50">
        <f t="shared" si="120"/>
        <v>18450.000000000004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8484</v>
      </c>
      <c r="AR761" s="189">
        <f t="shared" si="122"/>
        <v>9225.0000000000018</v>
      </c>
      <c r="AS761" s="189">
        <f t="shared" si="118"/>
        <v>7749.0000000000009</v>
      </c>
      <c r="AT761" s="189">
        <f t="shared" si="119"/>
        <v>15498.000000000002</v>
      </c>
      <c r="AU761" s="50">
        <f t="shared" si="120"/>
        <v>18450.000000000004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5461.93</v>
      </c>
      <c r="AR762" s="189">
        <f t="shared" si="122"/>
        <v>5284.46</v>
      </c>
      <c r="AS762" s="189">
        <f t="shared" si="118"/>
        <v>6418.9400000000014</v>
      </c>
      <c r="AT762" s="189">
        <f t="shared" si="119"/>
        <v>11240.480000000001</v>
      </c>
      <c r="AU762" s="50">
        <f t="shared" si="120"/>
        <v>8189.1200000000017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6147.8300000000008</v>
      </c>
      <c r="AR763" s="189">
        <f t="shared" si="122"/>
        <v>6034.26</v>
      </c>
      <c r="AS763" s="189">
        <f t="shared" si="118"/>
        <v>7038.3400000000011</v>
      </c>
      <c r="AT763" s="189">
        <f t="shared" si="119"/>
        <v>12805.28</v>
      </c>
      <c r="AU763" s="50">
        <f t="shared" si="120"/>
        <v>10014.719999999999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6833.73</v>
      </c>
      <c r="AR764" s="189">
        <f t="shared" si="122"/>
        <v>6784.0599999999995</v>
      </c>
      <c r="AS764" s="189">
        <f t="shared" si="118"/>
        <v>7657.7400000000007</v>
      </c>
      <c r="AT764" s="189">
        <f t="shared" si="119"/>
        <v>14370.080000000002</v>
      </c>
      <c r="AU764" s="50">
        <f t="shared" si="120"/>
        <v>11840.32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7519.630000000001</v>
      </c>
      <c r="AR765" s="189">
        <f t="shared" si="122"/>
        <v>7533.86</v>
      </c>
      <c r="AS765" s="189">
        <f t="shared" si="118"/>
        <v>8277.1400000000012</v>
      </c>
      <c r="AT765" s="189">
        <f t="shared" si="119"/>
        <v>15934.880000000003</v>
      </c>
      <c r="AU765" s="50">
        <f t="shared" si="120"/>
        <v>13665.92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8205.5300000000007</v>
      </c>
      <c r="AR766" s="189">
        <f t="shared" si="122"/>
        <v>8283.6600000000017</v>
      </c>
      <c r="AS766" s="189">
        <f t="shared" si="118"/>
        <v>8896.5400000000009</v>
      </c>
      <c r="AT766" s="189">
        <f t="shared" si="119"/>
        <v>17499.68</v>
      </c>
      <c r="AU766" s="50">
        <f t="shared" si="120"/>
        <v>15491.520000000002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8891.4300000000021</v>
      </c>
      <c r="AR767" s="189">
        <f t="shared" si="122"/>
        <v>9033.4600000000009</v>
      </c>
      <c r="AS767" s="189">
        <f t="shared" si="118"/>
        <v>9454.0000000000018</v>
      </c>
      <c r="AT767" s="189">
        <f t="shared" si="119"/>
        <v>18908.000000000004</v>
      </c>
      <c r="AU767" s="50">
        <f t="shared" si="120"/>
        <v>17317.120000000003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9577.33</v>
      </c>
      <c r="AR768" s="189">
        <f t="shared" si="122"/>
        <v>9783.26</v>
      </c>
      <c r="AS768" s="189">
        <f t="shared" si="118"/>
        <v>9454.0000000000018</v>
      </c>
      <c r="AT768" s="189">
        <f t="shared" si="119"/>
        <v>18908.000000000004</v>
      </c>
      <c r="AU768" s="50">
        <f t="shared" si="120"/>
        <v>19142.72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10263.23</v>
      </c>
      <c r="AR769" s="189">
        <f t="shared" si="122"/>
        <v>10533.06</v>
      </c>
      <c r="AS769" s="189">
        <f t="shared" si="118"/>
        <v>9454.0000000000018</v>
      </c>
      <c r="AT769" s="189">
        <f t="shared" si="119"/>
        <v>18908.000000000004</v>
      </c>
      <c r="AU769" s="50">
        <f t="shared" si="120"/>
        <v>20968.32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10469.000000000002</v>
      </c>
      <c r="AR770" s="189">
        <f t="shared" si="122"/>
        <v>10758</v>
      </c>
      <c r="AS770" s="189">
        <f t="shared" si="118"/>
        <v>9454.0000000000018</v>
      </c>
      <c r="AT770" s="189">
        <f t="shared" si="119"/>
        <v>18908.000000000004</v>
      </c>
      <c r="AU770" s="50">
        <f t="shared" si="120"/>
        <v>21516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10469.000000000002</v>
      </c>
      <c r="AR771" s="189">
        <f t="shared" si="122"/>
        <v>10758</v>
      </c>
      <c r="AS771" s="189">
        <f t="shared" ref="AS771:AS834" si="123">$AG$3*(1+$AJ771*$Y$2+$AN771)*(MAXA(1-$AI$3-$AL771*$AA$3-$AP771-0.36,0)+MINA($AI$3+$AL771*$AA$3+$AP771+0.36,1)*(1+$AH$3+$AO771+$AK771*$Z$4))</f>
        <v>9454.0000000000018</v>
      </c>
      <c r="AT771" s="189">
        <f t="shared" ref="AT771:AT834" si="124">$AG$3*(1+$AJ771*$Y$2+$AN771)*(MAXA(1-$AI$3-$AL771*$AA$3-$AP771-0.36,0)+2*MINA($AI$3+$AL771*$AA$3+$AP771+0.36,1)*(1+$AH$3+$AO771+$AK771*$Z$4))</f>
        <v>18908.000000000004</v>
      </c>
      <c r="AU771" s="50">
        <f t="shared" ref="AU771:AU834" si="125">$AG$3*(1+$AJ771*$Y$2+$AN771)*(MAXA(1-$AI$3-$AL771*$AA$3-$AP771-0.12,0)+2*MINA($AI$3+$AL771*$AA$3+$AP771+0.12,1)*(1+$AH$3+$AO771+$AK771*$Z$4+0.4))</f>
        <v>21516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10469.000000000002</v>
      </c>
      <c r="AR772" s="189">
        <f t="shared" ref="AR772:AR835" si="127">$AG$3*(1+$AJ772*$Y$2+$AN772)*(MAXA(1-$AI$3-$AL772*$AA$3-$AP772-0.12,0)+MINA($AI$3+$AL772*$AA$3+$AP772+0.12,1)*(1+$AH$3+$AO772+$AK772*$Z$4+0.4))</f>
        <v>10758</v>
      </c>
      <c r="AS772" s="189">
        <f t="shared" si="123"/>
        <v>9454.0000000000018</v>
      </c>
      <c r="AT772" s="189">
        <f t="shared" si="124"/>
        <v>18908.000000000004</v>
      </c>
      <c r="AU772" s="50">
        <f t="shared" si="125"/>
        <v>21516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6985.35</v>
      </c>
      <c r="AR773" s="189">
        <f t="shared" si="127"/>
        <v>7416.5</v>
      </c>
      <c r="AS773" s="189">
        <f t="shared" si="123"/>
        <v>6846</v>
      </c>
      <c r="AT773" s="189">
        <f t="shared" si="124"/>
        <v>13692</v>
      </c>
      <c r="AU773" s="50">
        <f t="shared" si="125"/>
        <v>14344.000000000002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7382.45</v>
      </c>
      <c r="AR774" s="189">
        <f t="shared" si="127"/>
        <v>7905.4999999999991</v>
      </c>
      <c r="AS774" s="189">
        <f t="shared" si="123"/>
        <v>6846</v>
      </c>
      <c r="AT774" s="189">
        <f t="shared" si="124"/>
        <v>13692</v>
      </c>
      <c r="AU774" s="50">
        <f t="shared" si="125"/>
        <v>15648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7581</v>
      </c>
      <c r="AR775" s="189">
        <f t="shared" si="127"/>
        <v>8150</v>
      </c>
      <c r="AS775" s="189">
        <f t="shared" si="123"/>
        <v>6846</v>
      </c>
      <c r="AT775" s="189">
        <f t="shared" si="124"/>
        <v>13692</v>
      </c>
      <c r="AU775" s="50">
        <f t="shared" si="125"/>
        <v>16300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7581</v>
      </c>
      <c r="AR776" s="189">
        <f t="shared" si="127"/>
        <v>8150</v>
      </c>
      <c r="AS776" s="189">
        <f t="shared" si="123"/>
        <v>6846</v>
      </c>
      <c r="AT776" s="189">
        <f t="shared" si="124"/>
        <v>13692</v>
      </c>
      <c r="AU776" s="50">
        <f t="shared" si="125"/>
        <v>16300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7581</v>
      </c>
      <c r="AR777" s="189">
        <f t="shared" si="127"/>
        <v>8150</v>
      </c>
      <c r="AS777" s="189">
        <f t="shared" si="123"/>
        <v>6846</v>
      </c>
      <c r="AT777" s="189">
        <f t="shared" si="124"/>
        <v>13692</v>
      </c>
      <c r="AU777" s="50">
        <f t="shared" si="125"/>
        <v>16300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7581</v>
      </c>
      <c r="AR778" s="189">
        <f t="shared" si="127"/>
        <v>8150</v>
      </c>
      <c r="AS778" s="189">
        <f t="shared" si="123"/>
        <v>6846</v>
      </c>
      <c r="AT778" s="189">
        <f t="shared" si="124"/>
        <v>13692</v>
      </c>
      <c r="AU778" s="50">
        <f t="shared" si="125"/>
        <v>16300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7581</v>
      </c>
      <c r="AR779" s="189">
        <f t="shared" si="127"/>
        <v>8150</v>
      </c>
      <c r="AS779" s="189">
        <f t="shared" si="123"/>
        <v>6846</v>
      </c>
      <c r="AT779" s="189">
        <f t="shared" si="124"/>
        <v>13692</v>
      </c>
      <c r="AU779" s="50">
        <f t="shared" si="125"/>
        <v>16300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7581</v>
      </c>
      <c r="AR780" s="189">
        <f t="shared" si="127"/>
        <v>8150</v>
      </c>
      <c r="AS780" s="189">
        <f t="shared" si="123"/>
        <v>6846</v>
      </c>
      <c r="AT780" s="189">
        <f t="shared" si="124"/>
        <v>13692</v>
      </c>
      <c r="AU780" s="50">
        <f t="shared" si="125"/>
        <v>16300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7581</v>
      </c>
      <c r="AR781" s="189">
        <f t="shared" si="127"/>
        <v>8150</v>
      </c>
      <c r="AS781" s="189">
        <f t="shared" si="123"/>
        <v>6846</v>
      </c>
      <c r="AT781" s="189">
        <f t="shared" si="124"/>
        <v>13692</v>
      </c>
      <c r="AU781" s="50">
        <f t="shared" si="125"/>
        <v>16300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7581</v>
      </c>
      <c r="AR782" s="189">
        <f t="shared" si="127"/>
        <v>8150</v>
      </c>
      <c r="AS782" s="189">
        <f t="shared" si="123"/>
        <v>6846</v>
      </c>
      <c r="AT782" s="189">
        <f t="shared" si="124"/>
        <v>13692</v>
      </c>
      <c r="AU782" s="50">
        <f t="shared" si="125"/>
        <v>16300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7581</v>
      </c>
      <c r="AR783" s="189">
        <f t="shared" si="127"/>
        <v>8150</v>
      </c>
      <c r="AS783" s="189">
        <f t="shared" si="123"/>
        <v>6846</v>
      </c>
      <c r="AT783" s="189">
        <f t="shared" si="124"/>
        <v>13692</v>
      </c>
      <c r="AU783" s="50">
        <f t="shared" si="125"/>
        <v>16300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5499.2800000000007</v>
      </c>
      <c r="AR784" s="189">
        <f t="shared" si="127"/>
        <v>5465.45</v>
      </c>
      <c r="AS784" s="189">
        <f t="shared" si="123"/>
        <v>6072.2900000000009</v>
      </c>
      <c r="AT784" s="189">
        <f t="shared" si="124"/>
        <v>10238.480000000001</v>
      </c>
      <c r="AU784" s="50">
        <f t="shared" si="125"/>
        <v>8091.2000000000007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5965.68</v>
      </c>
      <c r="AR785" s="189">
        <f t="shared" si="127"/>
        <v>6048.9500000000007</v>
      </c>
      <c r="AS785" s="189">
        <f t="shared" si="123"/>
        <v>6500.19</v>
      </c>
      <c r="AT785" s="189">
        <f t="shared" si="124"/>
        <v>11483.28</v>
      </c>
      <c r="AU785" s="50">
        <f t="shared" si="125"/>
        <v>9647.2000000000007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6432.08</v>
      </c>
      <c r="AR786" s="189">
        <f t="shared" si="127"/>
        <v>6632.4499999999989</v>
      </c>
      <c r="AS786" s="189">
        <f t="shared" si="123"/>
        <v>6928.0899999999992</v>
      </c>
      <c r="AT786" s="189">
        <f t="shared" si="124"/>
        <v>12728.08</v>
      </c>
      <c r="AU786" s="50">
        <f t="shared" si="125"/>
        <v>11203.199999999997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6898.4799999999987</v>
      </c>
      <c r="AR787" s="189">
        <f t="shared" si="127"/>
        <v>7215.95</v>
      </c>
      <c r="AS787" s="189">
        <f t="shared" si="123"/>
        <v>7355.99</v>
      </c>
      <c r="AT787" s="189">
        <f t="shared" si="124"/>
        <v>13972.88</v>
      </c>
      <c r="AU787" s="50">
        <f t="shared" si="125"/>
        <v>12759.199999999999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7364.88</v>
      </c>
      <c r="AR788" s="189">
        <f t="shared" si="127"/>
        <v>7799.45</v>
      </c>
      <c r="AS788" s="189">
        <f t="shared" si="123"/>
        <v>7783.8900000000012</v>
      </c>
      <c r="AT788" s="189">
        <f t="shared" si="124"/>
        <v>15217.680000000002</v>
      </c>
      <c r="AU788" s="50">
        <f t="shared" si="125"/>
        <v>14315.2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7831.2800000000007</v>
      </c>
      <c r="AR789" s="189">
        <f t="shared" si="127"/>
        <v>8382.9500000000007</v>
      </c>
      <c r="AS789" s="189">
        <f t="shared" si="123"/>
        <v>8169</v>
      </c>
      <c r="AT789" s="189">
        <f t="shared" si="124"/>
        <v>16338</v>
      </c>
      <c r="AU789" s="50">
        <f t="shared" si="125"/>
        <v>15871.2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8297.6799999999985</v>
      </c>
      <c r="AR790" s="189">
        <f t="shared" si="127"/>
        <v>8966.4499999999989</v>
      </c>
      <c r="AS790" s="189">
        <f t="shared" si="123"/>
        <v>8169</v>
      </c>
      <c r="AT790" s="189">
        <f t="shared" si="124"/>
        <v>16338</v>
      </c>
      <c r="AU790" s="50">
        <f t="shared" si="125"/>
        <v>17427.199999999997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8764.08</v>
      </c>
      <c r="AR791" s="189">
        <f t="shared" si="127"/>
        <v>9549.9500000000007</v>
      </c>
      <c r="AS791" s="189">
        <f t="shared" si="123"/>
        <v>8169</v>
      </c>
      <c r="AT791" s="189">
        <f t="shared" si="124"/>
        <v>16338</v>
      </c>
      <c r="AU791" s="50">
        <f t="shared" si="125"/>
        <v>18983.2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8904</v>
      </c>
      <c r="AR792" s="189">
        <f t="shared" si="127"/>
        <v>9725</v>
      </c>
      <c r="AS792" s="189">
        <f t="shared" si="123"/>
        <v>8169</v>
      </c>
      <c r="AT792" s="189">
        <f t="shared" si="124"/>
        <v>16338</v>
      </c>
      <c r="AU792" s="50">
        <f t="shared" si="125"/>
        <v>19450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8904</v>
      </c>
      <c r="AR793" s="189">
        <f t="shared" si="127"/>
        <v>9725</v>
      </c>
      <c r="AS793" s="189">
        <f t="shared" si="123"/>
        <v>8169</v>
      </c>
      <c r="AT793" s="189">
        <f t="shared" si="124"/>
        <v>16338</v>
      </c>
      <c r="AU793" s="50">
        <f t="shared" si="125"/>
        <v>19450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8904</v>
      </c>
      <c r="AR794" s="189">
        <f t="shared" si="127"/>
        <v>9725</v>
      </c>
      <c r="AS794" s="189">
        <f t="shared" si="123"/>
        <v>8169</v>
      </c>
      <c r="AT794" s="189">
        <f t="shared" si="124"/>
        <v>16338</v>
      </c>
      <c r="AU794" s="50">
        <f t="shared" si="125"/>
        <v>19450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4089.87</v>
      </c>
      <c r="AR795" s="189">
        <f t="shared" si="127"/>
        <v>3785.4999999999995</v>
      </c>
      <c r="AS795" s="189">
        <f t="shared" si="123"/>
        <v>4680.4599999999991</v>
      </c>
      <c r="AT795" s="189">
        <f t="shared" si="124"/>
        <v>8253.5199999999986</v>
      </c>
      <c r="AU795" s="50">
        <f t="shared" si="125"/>
        <v>5921.2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4637.9699999999993</v>
      </c>
      <c r="AR796" s="189">
        <f t="shared" si="127"/>
        <v>4350.5</v>
      </c>
      <c r="AS796" s="189">
        <f t="shared" si="123"/>
        <v>5155.0599999999995</v>
      </c>
      <c r="AT796" s="189">
        <f t="shared" si="124"/>
        <v>9428.7199999999993</v>
      </c>
      <c r="AU796" s="50">
        <f t="shared" si="125"/>
        <v>7277.2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5186.0699999999988</v>
      </c>
      <c r="AR797" s="189">
        <f t="shared" si="127"/>
        <v>4915.5</v>
      </c>
      <c r="AS797" s="189">
        <f t="shared" si="123"/>
        <v>5629.6599999999989</v>
      </c>
      <c r="AT797" s="189">
        <f t="shared" si="124"/>
        <v>10603.919999999998</v>
      </c>
      <c r="AU797" s="50">
        <f t="shared" si="125"/>
        <v>8633.1999999999989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5734.1699999999992</v>
      </c>
      <c r="AR798" s="189">
        <f t="shared" si="127"/>
        <v>5480.5</v>
      </c>
      <c r="AS798" s="189">
        <f t="shared" si="123"/>
        <v>6104.2599999999993</v>
      </c>
      <c r="AT798" s="189">
        <f t="shared" si="124"/>
        <v>11779.119999999999</v>
      </c>
      <c r="AU798" s="50">
        <f t="shared" si="125"/>
        <v>9989.1999999999971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6282.27</v>
      </c>
      <c r="AR799" s="189">
        <f t="shared" si="127"/>
        <v>6045.5</v>
      </c>
      <c r="AS799" s="189">
        <f t="shared" si="123"/>
        <v>6578.8599999999988</v>
      </c>
      <c r="AT799" s="189">
        <f t="shared" si="124"/>
        <v>12954.319999999998</v>
      </c>
      <c r="AU799" s="50">
        <f t="shared" si="125"/>
        <v>11345.199999999999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6830.369999999999</v>
      </c>
      <c r="AR800" s="189">
        <f t="shared" si="127"/>
        <v>6610.5</v>
      </c>
      <c r="AS800" s="189">
        <f t="shared" si="123"/>
        <v>7005.9999999999991</v>
      </c>
      <c r="AT800" s="189">
        <f t="shared" si="124"/>
        <v>14011.999999999998</v>
      </c>
      <c r="AU800" s="50">
        <f t="shared" si="125"/>
        <v>12701.199999999999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7378.4699999999984</v>
      </c>
      <c r="AR801" s="189">
        <f t="shared" si="127"/>
        <v>7175.4999999999982</v>
      </c>
      <c r="AS801" s="189">
        <f t="shared" si="123"/>
        <v>7005.9999999999991</v>
      </c>
      <c r="AT801" s="189">
        <f t="shared" si="124"/>
        <v>14011.999999999998</v>
      </c>
      <c r="AU801" s="50">
        <f t="shared" si="125"/>
        <v>14057.199999999997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7926.57</v>
      </c>
      <c r="AR802" s="189">
        <f t="shared" si="127"/>
        <v>7740.5</v>
      </c>
      <c r="AS802" s="189">
        <f t="shared" si="123"/>
        <v>7005.9999999999991</v>
      </c>
      <c r="AT802" s="189">
        <f t="shared" si="124"/>
        <v>14011.999999999998</v>
      </c>
      <c r="AU802" s="50">
        <f t="shared" si="125"/>
        <v>15413.199999999999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8090.9999999999991</v>
      </c>
      <c r="AR803" s="189">
        <f t="shared" si="127"/>
        <v>7909.9999999999991</v>
      </c>
      <c r="AS803" s="189">
        <f t="shared" si="123"/>
        <v>7005.9999999999991</v>
      </c>
      <c r="AT803" s="189">
        <f t="shared" si="124"/>
        <v>14011.999999999998</v>
      </c>
      <c r="AU803" s="50">
        <f t="shared" si="125"/>
        <v>15819.999999999998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8090.9999999999991</v>
      </c>
      <c r="AR804" s="189">
        <f t="shared" si="127"/>
        <v>7909.9999999999991</v>
      </c>
      <c r="AS804" s="189">
        <f t="shared" si="123"/>
        <v>7005.9999999999991</v>
      </c>
      <c r="AT804" s="189">
        <f t="shared" si="124"/>
        <v>14011.999999999998</v>
      </c>
      <c r="AU804" s="50">
        <f t="shared" si="125"/>
        <v>15819.999999999998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8090.9999999999991</v>
      </c>
      <c r="AR805" s="189">
        <f t="shared" si="127"/>
        <v>7909.9999999999991</v>
      </c>
      <c r="AS805" s="189">
        <f t="shared" si="123"/>
        <v>7005.9999999999991</v>
      </c>
      <c r="AT805" s="189">
        <f t="shared" si="124"/>
        <v>14011.999999999998</v>
      </c>
      <c r="AU805" s="50">
        <f t="shared" si="125"/>
        <v>15819.999999999998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5494.05</v>
      </c>
      <c r="AR806" s="189">
        <f t="shared" si="127"/>
        <v>5525.7</v>
      </c>
      <c r="AS806" s="189">
        <f t="shared" si="123"/>
        <v>5198</v>
      </c>
      <c r="AT806" s="189">
        <f t="shared" si="124"/>
        <v>10396</v>
      </c>
      <c r="AU806" s="50">
        <f t="shared" si="125"/>
        <v>10712.4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5833.3499999999985</v>
      </c>
      <c r="AR807" s="189">
        <f t="shared" si="127"/>
        <v>5909.8999999999987</v>
      </c>
      <c r="AS807" s="189">
        <f t="shared" si="123"/>
        <v>5198</v>
      </c>
      <c r="AT807" s="189">
        <f t="shared" si="124"/>
        <v>10396</v>
      </c>
      <c r="AU807" s="50">
        <f t="shared" si="125"/>
        <v>11706.799999999997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6002.9999999999991</v>
      </c>
      <c r="AR808" s="189">
        <f t="shared" si="127"/>
        <v>6101.9999999999991</v>
      </c>
      <c r="AS808" s="189">
        <f t="shared" si="123"/>
        <v>5198</v>
      </c>
      <c r="AT808" s="189">
        <f t="shared" si="124"/>
        <v>10396</v>
      </c>
      <c r="AU808" s="50">
        <f t="shared" si="125"/>
        <v>12203.999999999998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6002.9999999999991</v>
      </c>
      <c r="AR809" s="189">
        <f t="shared" si="127"/>
        <v>6101.9999999999991</v>
      </c>
      <c r="AS809" s="189">
        <f t="shared" si="123"/>
        <v>5198</v>
      </c>
      <c r="AT809" s="189">
        <f t="shared" si="124"/>
        <v>10396</v>
      </c>
      <c r="AU809" s="50">
        <f t="shared" si="125"/>
        <v>12203.999999999998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6002.9999999999991</v>
      </c>
      <c r="AR810" s="189">
        <f t="shared" si="127"/>
        <v>6101.9999999999991</v>
      </c>
      <c r="AS810" s="189">
        <f t="shared" si="123"/>
        <v>5198</v>
      </c>
      <c r="AT810" s="189">
        <f t="shared" si="124"/>
        <v>10396</v>
      </c>
      <c r="AU810" s="50">
        <f t="shared" si="125"/>
        <v>12203.999999999998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6002.9999999999991</v>
      </c>
      <c r="AR811" s="189">
        <f t="shared" si="127"/>
        <v>6101.9999999999991</v>
      </c>
      <c r="AS811" s="189">
        <f t="shared" si="123"/>
        <v>5198</v>
      </c>
      <c r="AT811" s="189">
        <f t="shared" si="124"/>
        <v>10396</v>
      </c>
      <c r="AU811" s="50">
        <f t="shared" si="125"/>
        <v>12203.999999999998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6002.9999999999991</v>
      </c>
      <c r="AR812" s="189">
        <f t="shared" si="127"/>
        <v>6101.9999999999991</v>
      </c>
      <c r="AS812" s="189">
        <f t="shared" si="123"/>
        <v>5198</v>
      </c>
      <c r="AT812" s="189">
        <f t="shared" si="124"/>
        <v>10396</v>
      </c>
      <c r="AU812" s="50">
        <f t="shared" si="125"/>
        <v>12203.999999999998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6002.9999999999991</v>
      </c>
      <c r="AR813" s="189">
        <f t="shared" si="127"/>
        <v>6101.9999999999991</v>
      </c>
      <c r="AS813" s="189">
        <f t="shared" si="123"/>
        <v>5198</v>
      </c>
      <c r="AT813" s="189">
        <f t="shared" si="124"/>
        <v>10396</v>
      </c>
      <c r="AU813" s="50">
        <f t="shared" si="125"/>
        <v>12203.999999999998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6002.9999999999991</v>
      </c>
      <c r="AR814" s="189">
        <f t="shared" si="127"/>
        <v>6101.9999999999991</v>
      </c>
      <c r="AS814" s="189">
        <f t="shared" si="123"/>
        <v>5198</v>
      </c>
      <c r="AT814" s="189">
        <f t="shared" si="124"/>
        <v>10396</v>
      </c>
      <c r="AU814" s="50">
        <f t="shared" si="125"/>
        <v>12203.999999999998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6002.9999999999991</v>
      </c>
      <c r="AR815" s="189">
        <f t="shared" si="127"/>
        <v>6101.9999999999991</v>
      </c>
      <c r="AS815" s="189">
        <f t="shared" si="123"/>
        <v>5198</v>
      </c>
      <c r="AT815" s="189">
        <f t="shared" si="124"/>
        <v>10396</v>
      </c>
      <c r="AU815" s="50">
        <f t="shared" si="125"/>
        <v>12203.999999999998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6002.9999999999991</v>
      </c>
      <c r="AR816" s="189">
        <f t="shared" si="127"/>
        <v>6101.9999999999991</v>
      </c>
      <c r="AS816" s="189">
        <f t="shared" si="123"/>
        <v>5198</v>
      </c>
      <c r="AT816" s="189">
        <f t="shared" si="124"/>
        <v>10396</v>
      </c>
      <c r="AU816" s="50">
        <f t="shared" si="125"/>
        <v>12203.999999999998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4377.24</v>
      </c>
      <c r="AR817" s="189">
        <f t="shared" si="127"/>
        <v>4216.51</v>
      </c>
      <c r="AS817" s="189">
        <f t="shared" si="123"/>
        <v>4806.07</v>
      </c>
      <c r="AT817" s="189">
        <f t="shared" si="124"/>
        <v>8196.0399999999991</v>
      </c>
      <c r="AU817" s="50">
        <f t="shared" si="125"/>
        <v>6323.3199999999988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4798.4399999999996</v>
      </c>
      <c r="AR818" s="189">
        <f t="shared" si="127"/>
        <v>4707.8100000000004</v>
      </c>
      <c r="AS818" s="189">
        <f t="shared" si="123"/>
        <v>5181.7699999999995</v>
      </c>
      <c r="AT818" s="189">
        <f t="shared" si="124"/>
        <v>9236.4399999999987</v>
      </c>
      <c r="AU818" s="50">
        <f t="shared" si="125"/>
        <v>7594.9199999999992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5219.6399999999994</v>
      </c>
      <c r="AR819" s="189">
        <f t="shared" si="127"/>
        <v>5199.1099999999997</v>
      </c>
      <c r="AS819" s="189">
        <f t="shared" si="123"/>
        <v>5557.4699999999984</v>
      </c>
      <c r="AT819" s="189">
        <f t="shared" si="124"/>
        <v>10276.839999999998</v>
      </c>
      <c r="AU819" s="50">
        <f t="shared" si="125"/>
        <v>8866.5199999999986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5640.8399999999992</v>
      </c>
      <c r="AR820" s="189">
        <f t="shared" si="127"/>
        <v>5690.41</v>
      </c>
      <c r="AS820" s="189">
        <f t="shared" si="123"/>
        <v>5933.17</v>
      </c>
      <c r="AT820" s="189">
        <f t="shared" si="124"/>
        <v>11317.239999999998</v>
      </c>
      <c r="AU820" s="50">
        <f t="shared" si="125"/>
        <v>10138.119999999999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6062.04</v>
      </c>
      <c r="AR821" s="189">
        <f t="shared" si="127"/>
        <v>6181.7099999999991</v>
      </c>
      <c r="AS821" s="189">
        <f t="shared" si="123"/>
        <v>6308.87</v>
      </c>
      <c r="AT821" s="189">
        <f t="shared" si="124"/>
        <v>12357.64</v>
      </c>
      <c r="AU821" s="50">
        <f t="shared" si="125"/>
        <v>11409.72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6483.24</v>
      </c>
      <c r="AR822" s="189">
        <f t="shared" si="127"/>
        <v>6673.0099999999993</v>
      </c>
      <c r="AS822" s="189">
        <f t="shared" si="123"/>
        <v>6646.9999999999991</v>
      </c>
      <c r="AT822" s="189">
        <f t="shared" si="124"/>
        <v>13293.999999999998</v>
      </c>
      <c r="AU822" s="50">
        <f t="shared" si="125"/>
        <v>12681.32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6904.44</v>
      </c>
      <c r="AR823" s="189">
        <f t="shared" si="127"/>
        <v>7164.3099999999986</v>
      </c>
      <c r="AS823" s="189">
        <f t="shared" si="123"/>
        <v>6646.9999999999991</v>
      </c>
      <c r="AT823" s="189">
        <f t="shared" si="124"/>
        <v>13293.999999999998</v>
      </c>
      <c r="AU823" s="50">
        <f t="shared" si="125"/>
        <v>13952.919999999998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7325.64</v>
      </c>
      <c r="AR824" s="189">
        <f t="shared" si="127"/>
        <v>7655.61</v>
      </c>
      <c r="AS824" s="189">
        <f t="shared" si="123"/>
        <v>6646.9999999999991</v>
      </c>
      <c r="AT824" s="189">
        <f t="shared" si="124"/>
        <v>13293.999999999998</v>
      </c>
      <c r="AU824" s="50">
        <f t="shared" si="125"/>
        <v>15224.519999999999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7451.9999999999991</v>
      </c>
      <c r="AR825" s="189">
        <f t="shared" si="127"/>
        <v>7802.9999999999991</v>
      </c>
      <c r="AS825" s="189">
        <f t="shared" si="123"/>
        <v>6646.9999999999991</v>
      </c>
      <c r="AT825" s="189">
        <f t="shared" si="124"/>
        <v>13293.999999999998</v>
      </c>
      <c r="AU825" s="50">
        <f t="shared" si="125"/>
        <v>15605.999999999998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7451.9999999999991</v>
      </c>
      <c r="AR826" s="189">
        <f t="shared" si="127"/>
        <v>7802.9999999999991</v>
      </c>
      <c r="AS826" s="189">
        <f t="shared" si="123"/>
        <v>6646.9999999999991</v>
      </c>
      <c r="AT826" s="189">
        <f t="shared" si="124"/>
        <v>13293.999999999998</v>
      </c>
      <c r="AU826" s="50">
        <f t="shared" si="125"/>
        <v>15605.999999999998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7451.9999999999991</v>
      </c>
      <c r="AR827" s="189">
        <f t="shared" si="127"/>
        <v>7802.9999999999991</v>
      </c>
      <c r="AS827" s="189">
        <f t="shared" si="123"/>
        <v>6646.9999999999991</v>
      </c>
      <c r="AT827" s="189">
        <f t="shared" si="124"/>
        <v>13293.999999999998</v>
      </c>
      <c r="AU827" s="50">
        <f t="shared" si="125"/>
        <v>15605.999999999998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4403.2699999999995</v>
      </c>
      <c r="AR828" s="189">
        <f t="shared" si="127"/>
        <v>4120.5</v>
      </c>
      <c r="AS828" s="189">
        <f t="shared" si="123"/>
        <v>5094.6599999999989</v>
      </c>
      <c r="AT828" s="189">
        <f t="shared" si="124"/>
        <v>8983.9199999999983</v>
      </c>
      <c r="AU828" s="50">
        <f t="shared" si="125"/>
        <v>6445.2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4993.369999999999</v>
      </c>
      <c r="AR829" s="189">
        <f t="shared" si="127"/>
        <v>4735.5</v>
      </c>
      <c r="AS829" s="189">
        <f t="shared" si="123"/>
        <v>5611.2599999999993</v>
      </c>
      <c r="AT829" s="189">
        <f t="shared" si="124"/>
        <v>10263.119999999999</v>
      </c>
      <c r="AU829" s="50">
        <f t="shared" si="125"/>
        <v>7921.2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5583.4699999999993</v>
      </c>
      <c r="AR830" s="189">
        <f t="shared" si="127"/>
        <v>5350.5</v>
      </c>
      <c r="AS830" s="189">
        <f t="shared" si="123"/>
        <v>6127.8599999999988</v>
      </c>
      <c r="AT830" s="189">
        <f t="shared" si="124"/>
        <v>11542.319999999998</v>
      </c>
      <c r="AU830" s="50">
        <f t="shared" si="125"/>
        <v>9397.1999999999989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6173.5699999999988</v>
      </c>
      <c r="AR831" s="189">
        <f t="shared" si="127"/>
        <v>5965.5</v>
      </c>
      <c r="AS831" s="189">
        <f t="shared" si="123"/>
        <v>6644.4599999999991</v>
      </c>
      <c r="AT831" s="189">
        <f t="shared" si="124"/>
        <v>12821.519999999999</v>
      </c>
      <c r="AU831" s="50">
        <f t="shared" si="125"/>
        <v>10873.199999999997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6763.67</v>
      </c>
      <c r="AR832" s="189">
        <f t="shared" si="127"/>
        <v>6580.5</v>
      </c>
      <c r="AS832" s="189">
        <f t="shared" si="123"/>
        <v>7161.0599999999986</v>
      </c>
      <c r="AT832" s="189">
        <f t="shared" si="124"/>
        <v>14100.719999999998</v>
      </c>
      <c r="AU832" s="50">
        <f t="shared" si="125"/>
        <v>12349.199999999999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7353.7699999999986</v>
      </c>
      <c r="AR833" s="189">
        <f t="shared" si="127"/>
        <v>7195.5</v>
      </c>
      <c r="AS833" s="189">
        <f t="shared" si="123"/>
        <v>7625.9999999999991</v>
      </c>
      <c r="AT833" s="189">
        <f t="shared" si="124"/>
        <v>15251.999999999998</v>
      </c>
      <c r="AU833" s="50">
        <f t="shared" si="125"/>
        <v>13825.199999999999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7943.869999999999</v>
      </c>
      <c r="AR834" s="189">
        <f t="shared" si="127"/>
        <v>7810.4999999999982</v>
      </c>
      <c r="AS834" s="189">
        <f t="shared" si="123"/>
        <v>7625.9999999999991</v>
      </c>
      <c r="AT834" s="189">
        <f t="shared" si="124"/>
        <v>15251.999999999998</v>
      </c>
      <c r="AU834" s="50">
        <f t="shared" si="125"/>
        <v>15301.199999999997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8533.9699999999993</v>
      </c>
      <c r="AR835" s="189">
        <f t="shared" si="127"/>
        <v>8425.5</v>
      </c>
      <c r="AS835" s="189">
        <f t="shared" ref="AS835:AS898" si="128">$AG$3*(1+$AJ835*$Y$2+$AN835)*(MAXA(1-$AI$3-$AL835*$AA$3-$AP835-0.36,0)+MINA($AI$3+$AL835*$AA$3+$AP835+0.36,1)*(1+$AH$3+$AO835+$AK835*$Z$4))</f>
        <v>7625.9999999999991</v>
      </c>
      <c r="AT835" s="189">
        <f t="shared" ref="AT835:AT898" si="129">$AG$3*(1+$AJ835*$Y$2+$AN835)*(MAXA(1-$AI$3-$AL835*$AA$3-$AP835-0.36,0)+2*MINA($AI$3+$AL835*$AA$3+$AP835+0.36,1)*(1+$AH$3+$AO835+$AK835*$Z$4))</f>
        <v>15251.999999999998</v>
      </c>
      <c r="AU835" s="50">
        <f t="shared" ref="AU835:AU898" si="130">$AG$3*(1+$AJ835*$Y$2+$AN835)*(MAXA(1-$AI$3-$AL835*$AA$3-$AP835-0.12,0)+2*MINA($AI$3+$AL835*$AA$3+$AP835+0.12,1)*(1+$AH$3+$AO835+$AK835*$Z$4+0.4))</f>
        <v>16777.199999999997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8710.9999999999982</v>
      </c>
      <c r="AR836" s="189">
        <f t="shared" ref="AR836:AR899" si="132">$AG$3*(1+$AJ836*$Y$2+$AN836)*(MAXA(1-$AI$3-$AL836*$AA$3-$AP836-0.12,0)+MINA($AI$3+$AL836*$AA$3+$AP836+0.12,1)*(1+$AH$3+$AO836+$AK836*$Z$4+0.4))</f>
        <v>8609.9999999999982</v>
      </c>
      <c r="AS836" s="189">
        <f t="shared" si="128"/>
        <v>7625.9999999999991</v>
      </c>
      <c r="AT836" s="189">
        <f t="shared" si="129"/>
        <v>15251.999999999998</v>
      </c>
      <c r="AU836" s="50">
        <f t="shared" si="130"/>
        <v>17219.999999999996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8710.9999999999982</v>
      </c>
      <c r="AR837" s="189">
        <f t="shared" si="132"/>
        <v>8609.9999999999982</v>
      </c>
      <c r="AS837" s="189">
        <f t="shared" si="128"/>
        <v>7625.9999999999991</v>
      </c>
      <c r="AT837" s="189">
        <f t="shared" si="129"/>
        <v>15251.999999999998</v>
      </c>
      <c r="AU837" s="50">
        <f t="shared" si="130"/>
        <v>17219.999999999996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8710.9999999999982</v>
      </c>
      <c r="AR838" s="189">
        <f t="shared" si="132"/>
        <v>8609.9999999999982</v>
      </c>
      <c r="AS838" s="189">
        <f t="shared" si="128"/>
        <v>7625.9999999999991</v>
      </c>
      <c r="AT838" s="189">
        <f t="shared" si="129"/>
        <v>15251.999999999998</v>
      </c>
      <c r="AU838" s="50">
        <f t="shared" si="130"/>
        <v>17219.999999999996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5915.05</v>
      </c>
      <c r="AR839" s="189">
        <f t="shared" si="132"/>
        <v>6014.7</v>
      </c>
      <c r="AS839" s="189">
        <f t="shared" si="128"/>
        <v>5658</v>
      </c>
      <c r="AT839" s="189">
        <f t="shared" si="129"/>
        <v>11316</v>
      </c>
      <c r="AU839" s="50">
        <f t="shared" si="130"/>
        <v>11660.4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6280.3499999999985</v>
      </c>
      <c r="AR840" s="189">
        <f t="shared" si="132"/>
        <v>6432.8999999999987</v>
      </c>
      <c r="AS840" s="189">
        <f t="shared" si="128"/>
        <v>5658</v>
      </c>
      <c r="AT840" s="189">
        <f t="shared" si="129"/>
        <v>11316</v>
      </c>
      <c r="AU840" s="50">
        <f t="shared" si="130"/>
        <v>12742.799999999997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6462.9999999999991</v>
      </c>
      <c r="AR841" s="189">
        <f t="shared" si="132"/>
        <v>6641.9999999999991</v>
      </c>
      <c r="AS841" s="189">
        <f t="shared" si="128"/>
        <v>5658</v>
      </c>
      <c r="AT841" s="189">
        <f t="shared" si="129"/>
        <v>11316</v>
      </c>
      <c r="AU841" s="50">
        <f t="shared" si="130"/>
        <v>13283.999999999998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6462.9999999999991</v>
      </c>
      <c r="AR842" s="189">
        <f t="shared" si="132"/>
        <v>6641.9999999999991</v>
      </c>
      <c r="AS842" s="189">
        <f t="shared" si="128"/>
        <v>5658</v>
      </c>
      <c r="AT842" s="189">
        <f t="shared" si="129"/>
        <v>11316</v>
      </c>
      <c r="AU842" s="50">
        <f t="shared" si="130"/>
        <v>13283.999999999998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6462.9999999999991</v>
      </c>
      <c r="AR843" s="189">
        <f t="shared" si="132"/>
        <v>6641.9999999999991</v>
      </c>
      <c r="AS843" s="189">
        <f t="shared" si="128"/>
        <v>5658</v>
      </c>
      <c r="AT843" s="189">
        <f t="shared" si="129"/>
        <v>11316</v>
      </c>
      <c r="AU843" s="50">
        <f t="shared" si="130"/>
        <v>13283.999999999998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6462.9999999999991</v>
      </c>
      <c r="AR844" s="189">
        <f t="shared" si="132"/>
        <v>6641.9999999999991</v>
      </c>
      <c r="AS844" s="189">
        <f t="shared" si="128"/>
        <v>5658</v>
      </c>
      <c r="AT844" s="189">
        <f t="shared" si="129"/>
        <v>11316</v>
      </c>
      <c r="AU844" s="50">
        <f t="shared" si="130"/>
        <v>13283.999999999998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6462.9999999999991</v>
      </c>
      <c r="AR845" s="189">
        <f t="shared" si="132"/>
        <v>6641.9999999999991</v>
      </c>
      <c r="AS845" s="189">
        <f t="shared" si="128"/>
        <v>5658</v>
      </c>
      <c r="AT845" s="189">
        <f t="shared" si="129"/>
        <v>11316</v>
      </c>
      <c r="AU845" s="50">
        <f t="shared" si="130"/>
        <v>13283.999999999998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6462.9999999999991</v>
      </c>
      <c r="AR846" s="189">
        <f t="shared" si="132"/>
        <v>6641.9999999999991</v>
      </c>
      <c r="AS846" s="189">
        <f t="shared" si="128"/>
        <v>5658</v>
      </c>
      <c r="AT846" s="189">
        <f t="shared" si="129"/>
        <v>11316</v>
      </c>
      <c r="AU846" s="50">
        <f t="shared" si="130"/>
        <v>13283.999999999998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6462.9999999999991</v>
      </c>
      <c r="AR847" s="189">
        <f t="shared" si="132"/>
        <v>6641.9999999999991</v>
      </c>
      <c r="AS847" s="189">
        <f t="shared" si="128"/>
        <v>5658</v>
      </c>
      <c r="AT847" s="189">
        <f t="shared" si="129"/>
        <v>11316</v>
      </c>
      <c r="AU847" s="50">
        <f t="shared" si="130"/>
        <v>13283.999999999998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6462.9999999999991</v>
      </c>
      <c r="AR848" s="189">
        <f t="shared" si="132"/>
        <v>6641.9999999999991</v>
      </c>
      <c r="AS848" s="189">
        <f t="shared" si="128"/>
        <v>5658</v>
      </c>
      <c r="AT848" s="189">
        <f t="shared" si="129"/>
        <v>11316</v>
      </c>
      <c r="AU848" s="50">
        <f t="shared" si="130"/>
        <v>13283.999999999998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6462.9999999999991</v>
      </c>
      <c r="AR849" s="189">
        <f t="shared" si="132"/>
        <v>6641.9999999999991</v>
      </c>
      <c r="AS849" s="189">
        <f t="shared" si="128"/>
        <v>5658</v>
      </c>
      <c r="AT849" s="189">
        <f t="shared" si="129"/>
        <v>11316</v>
      </c>
      <c r="AU849" s="50">
        <f t="shared" si="130"/>
        <v>13283.999999999998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4647.4400000000005</v>
      </c>
      <c r="AR850" s="189">
        <f t="shared" si="132"/>
        <v>4508.3100000000013</v>
      </c>
      <c r="AS850" s="189">
        <f t="shared" si="128"/>
        <v>5138.67</v>
      </c>
      <c r="AT850" s="189">
        <f t="shared" si="129"/>
        <v>8763.24</v>
      </c>
      <c r="AU850" s="50">
        <f t="shared" si="130"/>
        <v>6760.92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5094.6400000000003</v>
      </c>
      <c r="AR851" s="189">
        <f t="shared" si="132"/>
        <v>5033.6100000000006</v>
      </c>
      <c r="AS851" s="189">
        <f t="shared" si="128"/>
        <v>5540.37</v>
      </c>
      <c r="AT851" s="189">
        <f t="shared" si="129"/>
        <v>9875.6400000000012</v>
      </c>
      <c r="AU851" s="50">
        <f t="shared" si="130"/>
        <v>8120.52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5541.84</v>
      </c>
      <c r="AR852" s="189">
        <f t="shared" si="132"/>
        <v>5558.9100000000008</v>
      </c>
      <c r="AS852" s="189">
        <f t="shared" si="128"/>
        <v>5942.07</v>
      </c>
      <c r="AT852" s="189">
        <f t="shared" si="129"/>
        <v>10988.04</v>
      </c>
      <c r="AU852" s="50">
        <f t="shared" si="130"/>
        <v>9480.1200000000008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5989.04</v>
      </c>
      <c r="AR853" s="189">
        <f t="shared" si="132"/>
        <v>6084.21</v>
      </c>
      <c r="AS853" s="189">
        <f t="shared" si="128"/>
        <v>6343.77</v>
      </c>
      <c r="AT853" s="189">
        <f t="shared" si="129"/>
        <v>12100.44</v>
      </c>
      <c r="AU853" s="50">
        <f t="shared" si="130"/>
        <v>10839.72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6436.2400000000007</v>
      </c>
      <c r="AR854" s="189">
        <f t="shared" si="132"/>
        <v>6609.51</v>
      </c>
      <c r="AS854" s="189">
        <f t="shared" si="128"/>
        <v>6745.47</v>
      </c>
      <c r="AT854" s="189">
        <f t="shared" si="129"/>
        <v>13212.840000000002</v>
      </c>
      <c r="AU854" s="50">
        <f t="shared" si="130"/>
        <v>12199.320000000002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6883.4400000000005</v>
      </c>
      <c r="AR855" s="189">
        <f t="shared" si="132"/>
        <v>7134.81</v>
      </c>
      <c r="AS855" s="189">
        <f t="shared" si="128"/>
        <v>7107.0000000000009</v>
      </c>
      <c r="AT855" s="189">
        <f t="shared" si="129"/>
        <v>14214.000000000002</v>
      </c>
      <c r="AU855" s="50">
        <f t="shared" si="130"/>
        <v>13558.920000000002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7330.64</v>
      </c>
      <c r="AR856" s="189">
        <f t="shared" si="132"/>
        <v>7660.11</v>
      </c>
      <c r="AS856" s="189">
        <f t="shared" si="128"/>
        <v>7107.0000000000009</v>
      </c>
      <c r="AT856" s="189">
        <f t="shared" si="129"/>
        <v>14214.000000000002</v>
      </c>
      <c r="AU856" s="50">
        <f t="shared" si="130"/>
        <v>14918.52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7777.8400000000011</v>
      </c>
      <c r="AR857" s="189">
        <f t="shared" si="132"/>
        <v>8185.4100000000017</v>
      </c>
      <c r="AS857" s="189">
        <f t="shared" si="128"/>
        <v>7107.0000000000009</v>
      </c>
      <c r="AT857" s="189">
        <f t="shared" si="129"/>
        <v>14214.000000000002</v>
      </c>
      <c r="AU857" s="50">
        <f t="shared" si="130"/>
        <v>16278.120000000003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7912</v>
      </c>
      <c r="AR858" s="189">
        <f t="shared" si="132"/>
        <v>8343</v>
      </c>
      <c r="AS858" s="189">
        <f t="shared" si="128"/>
        <v>7107.0000000000009</v>
      </c>
      <c r="AT858" s="189">
        <f t="shared" si="129"/>
        <v>14214.000000000002</v>
      </c>
      <c r="AU858" s="50">
        <f t="shared" si="130"/>
        <v>16686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7912</v>
      </c>
      <c r="AR859" s="189">
        <f t="shared" si="132"/>
        <v>8343</v>
      </c>
      <c r="AS859" s="189">
        <f t="shared" si="128"/>
        <v>7107.0000000000009</v>
      </c>
      <c r="AT859" s="189">
        <f t="shared" si="129"/>
        <v>14214.000000000002</v>
      </c>
      <c r="AU859" s="50">
        <f t="shared" si="130"/>
        <v>16686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7912</v>
      </c>
      <c r="AR860" s="189">
        <f t="shared" si="132"/>
        <v>8343</v>
      </c>
      <c r="AS860" s="189">
        <f t="shared" si="128"/>
        <v>7107.0000000000009</v>
      </c>
      <c r="AT860" s="189">
        <f t="shared" si="129"/>
        <v>14214.000000000002</v>
      </c>
      <c r="AU860" s="50">
        <f t="shared" si="130"/>
        <v>16686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4716.67</v>
      </c>
      <c r="AR861" s="189">
        <f t="shared" si="132"/>
        <v>4455.4999999999991</v>
      </c>
      <c r="AS861" s="189">
        <f t="shared" si="128"/>
        <v>5508.8599999999988</v>
      </c>
      <c r="AT861" s="189">
        <f t="shared" si="129"/>
        <v>9714.3199999999961</v>
      </c>
      <c r="AU861" s="50">
        <f t="shared" si="130"/>
        <v>6969.1999999999989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5348.7699999999986</v>
      </c>
      <c r="AR862" s="189">
        <f t="shared" si="132"/>
        <v>5120.4999999999991</v>
      </c>
      <c r="AS862" s="189">
        <f t="shared" si="128"/>
        <v>6067.4599999999982</v>
      </c>
      <c r="AT862" s="189">
        <f t="shared" si="129"/>
        <v>11097.519999999997</v>
      </c>
      <c r="AU862" s="50">
        <f t="shared" si="130"/>
        <v>8565.1999999999971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5980.869999999999</v>
      </c>
      <c r="AR863" s="189">
        <f t="shared" si="132"/>
        <v>5785.4999999999982</v>
      </c>
      <c r="AS863" s="189">
        <f t="shared" si="128"/>
        <v>6626.0599999999977</v>
      </c>
      <c r="AT863" s="189">
        <f t="shared" si="129"/>
        <v>12480.719999999996</v>
      </c>
      <c r="AU863" s="50">
        <f t="shared" si="130"/>
        <v>10161.199999999997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6612.9699999999984</v>
      </c>
      <c r="AR864" s="189">
        <f t="shared" si="132"/>
        <v>6450.4999999999982</v>
      </c>
      <c r="AS864" s="189">
        <f t="shared" si="128"/>
        <v>7184.659999999998</v>
      </c>
      <c r="AT864" s="189">
        <f t="shared" si="129"/>
        <v>13863.919999999996</v>
      </c>
      <c r="AU864" s="50">
        <f t="shared" si="130"/>
        <v>11757.199999999995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7245.07</v>
      </c>
      <c r="AR865" s="189">
        <f t="shared" si="132"/>
        <v>7115.4999999999982</v>
      </c>
      <c r="AS865" s="189">
        <f t="shared" si="128"/>
        <v>7743.2599999999975</v>
      </c>
      <c r="AT865" s="189">
        <f t="shared" si="129"/>
        <v>15247.119999999995</v>
      </c>
      <c r="AU865" s="50">
        <f t="shared" si="130"/>
        <v>13353.199999999997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7877.1699999999983</v>
      </c>
      <c r="AR866" s="189">
        <f t="shared" si="132"/>
        <v>7780.4999999999982</v>
      </c>
      <c r="AS866" s="189">
        <f t="shared" si="128"/>
        <v>8245.9999999999982</v>
      </c>
      <c r="AT866" s="189">
        <f t="shared" si="129"/>
        <v>16491.999999999996</v>
      </c>
      <c r="AU866" s="50">
        <f t="shared" si="130"/>
        <v>14949.199999999995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8509.2699999999986</v>
      </c>
      <c r="AR867" s="189">
        <f t="shared" si="132"/>
        <v>8445.4999999999964</v>
      </c>
      <c r="AS867" s="189">
        <f t="shared" si="128"/>
        <v>8245.9999999999982</v>
      </c>
      <c r="AT867" s="189">
        <f t="shared" si="129"/>
        <v>16491.999999999996</v>
      </c>
      <c r="AU867" s="50">
        <f t="shared" si="130"/>
        <v>16545.199999999993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9141.369999999999</v>
      </c>
      <c r="AR868" s="189">
        <f t="shared" si="132"/>
        <v>9110.4999999999982</v>
      </c>
      <c r="AS868" s="189">
        <f t="shared" si="128"/>
        <v>8245.9999999999982</v>
      </c>
      <c r="AT868" s="189">
        <f t="shared" si="129"/>
        <v>16491.999999999996</v>
      </c>
      <c r="AU868" s="50">
        <f t="shared" si="130"/>
        <v>18141.199999999997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9330.9999999999982</v>
      </c>
      <c r="AR869" s="189">
        <f t="shared" si="132"/>
        <v>9309.9999999999964</v>
      </c>
      <c r="AS869" s="189">
        <f t="shared" si="128"/>
        <v>8245.9999999999982</v>
      </c>
      <c r="AT869" s="189">
        <f t="shared" si="129"/>
        <v>16491.999999999996</v>
      </c>
      <c r="AU869" s="50">
        <f t="shared" si="130"/>
        <v>18619.999999999993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9330.9999999999982</v>
      </c>
      <c r="AR870" s="189">
        <f t="shared" si="132"/>
        <v>9309.9999999999964</v>
      </c>
      <c r="AS870" s="189">
        <f t="shared" si="128"/>
        <v>8245.9999999999982</v>
      </c>
      <c r="AT870" s="189">
        <f t="shared" si="129"/>
        <v>16491.999999999996</v>
      </c>
      <c r="AU870" s="50">
        <f t="shared" si="130"/>
        <v>18619.999999999993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9330.9999999999982</v>
      </c>
      <c r="AR871" s="189">
        <f t="shared" si="132"/>
        <v>9309.9999999999964</v>
      </c>
      <c r="AS871" s="189">
        <f t="shared" si="128"/>
        <v>8245.9999999999982</v>
      </c>
      <c r="AT871" s="189">
        <f t="shared" si="129"/>
        <v>16491.999999999996</v>
      </c>
      <c r="AU871" s="50">
        <f t="shared" si="130"/>
        <v>18619.999999999993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6336.05</v>
      </c>
      <c r="AR872" s="189">
        <f t="shared" si="132"/>
        <v>6503.6999999999989</v>
      </c>
      <c r="AS872" s="189">
        <f t="shared" si="128"/>
        <v>6117.9999999999982</v>
      </c>
      <c r="AT872" s="189">
        <f t="shared" si="129"/>
        <v>12235.999999999996</v>
      </c>
      <c r="AU872" s="50">
        <f t="shared" si="130"/>
        <v>12608.399999999998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6727.3499999999985</v>
      </c>
      <c r="AR873" s="189">
        <f t="shared" si="132"/>
        <v>6955.8999999999969</v>
      </c>
      <c r="AS873" s="189">
        <f t="shared" si="128"/>
        <v>6117.9999999999982</v>
      </c>
      <c r="AT873" s="189">
        <f t="shared" si="129"/>
        <v>12235.999999999996</v>
      </c>
      <c r="AU873" s="50">
        <f t="shared" si="130"/>
        <v>13778.799999999994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6922.9999999999991</v>
      </c>
      <c r="AR874" s="189">
        <f t="shared" si="132"/>
        <v>7181.9999999999982</v>
      </c>
      <c r="AS874" s="189">
        <f t="shared" si="128"/>
        <v>6117.9999999999982</v>
      </c>
      <c r="AT874" s="189">
        <f t="shared" si="129"/>
        <v>12235.999999999996</v>
      </c>
      <c r="AU874" s="50">
        <f t="shared" si="130"/>
        <v>14363.999999999996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6922.9999999999991</v>
      </c>
      <c r="AR875" s="189">
        <f t="shared" si="132"/>
        <v>7181.9999999999982</v>
      </c>
      <c r="AS875" s="189">
        <f t="shared" si="128"/>
        <v>6117.9999999999982</v>
      </c>
      <c r="AT875" s="189">
        <f t="shared" si="129"/>
        <v>12235.999999999996</v>
      </c>
      <c r="AU875" s="50">
        <f t="shared" si="130"/>
        <v>14363.999999999996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6922.9999999999991</v>
      </c>
      <c r="AR876" s="189">
        <f t="shared" si="132"/>
        <v>7181.9999999999982</v>
      </c>
      <c r="AS876" s="189">
        <f t="shared" si="128"/>
        <v>6117.9999999999982</v>
      </c>
      <c r="AT876" s="189">
        <f t="shared" si="129"/>
        <v>12235.999999999996</v>
      </c>
      <c r="AU876" s="50">
        <f t="shared" si="130"/>
        <v>14363.999999999996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6922.9999999999991</v>
      </c>
      <c r="AR877" s="189">
        <f t="shared" si="132"/>
        <v>7181.9999999999982</v>
      </c>
      <c r="AS877" s="189">
        <f t="shared" si="128"/>
        <v>6117.9999999999982</v>
      </c>
      <c r="AT877" s="189">
        <f t="shared" si="129"/>
        <v>12235.999999999996</v>
      </c>
      <c r="AU877" s="50">
        <f t="shared" si="130"/>
        <v>14363.999999999996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6922.9999999999991</v>
      </c>
      <c r="AR878" s="189">
        <f t="shared" si="132"/>
        <v>7181.9999999999982</v>
      </c>
      <c r="AS878" s="189">
        <f t="shared" si="128"/>
        <v>6117.9999999999982</v>
      </c>
      <c r="AT878" s="189">
        <f t="shared" si="129"/>
        <v>12235.999999999996</v>
      </c>
      <c r="AU878" s="50">
        <f t="shared" si="130"/>
        <v>14363.999999999996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6922.9999999999991</v>
      </c>
      <c r="AR879" s="189">
        <f t="shared" si="132"/>
        <v>7181.9999999999982</v>
      </c>
      <c r="AS879" s="189">
        <f t="shared" si="128"/>
        <v>6117.9999999999982</v>
      </c>
      <c r="AT879" s="189">
        <f t="shared" si="129"/>
        <v>12235.999999999996</v>
      </c>
      <c r="AU879" s="50">
        <f t="shared" si="130"/>
        <v>14363.999999999996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6922.9999999999991</v>
      </c>
      <c r="AR880" s="189">
        <f t="shared" si="132"/>
        <v>7181.9999999999982</v>
      </c>
      <c r="AS880" s="189">
        <f t="shared" si="128"/>
        <v>6117.9999999999982</v>
      </c>
      <c r="AT880" s="189">
        <f t="shared" si="129"/>
        <v>12235.999999999996</v>
      </c>
      <c r="AU880" s="50">
        <f t="shared" si="130"/>
        <v>14363.999999999996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6922.9999999999991</v>
      </c>
      <c r="AR881" s="189">
        <f t="shared" si="132"/>
        <v>7181.9999999999982</v>
      </c>
      <c r="AS881" s="189">
        <f t="shared" si="128"/>
        <v>6117.9999999999982</v>
      </c>
      <c r="AT881" s="189">
        <f t="shared" si="129"/>
        <v>12235.999999999996</v>
      </c>
      <c r="AU881" s="50">
        <f t="shared" si="130"/>
        <v>14363.999999999996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6922.9999999999991</v>
      </c>
      <c r="AR882" s="189">
        <f t="shared" si="132"/>
        <v>7181.9999999999982</v>
      </c>
      <c r="AS882" s="189">
        <f t="shared" si="128"/>
        <v>6117.9999999999982</v>
      </c>
      <c r="AT882" s="189">
        <f t="shared" si="129"/>
        <v>12235.999999999996</v>
      </c>
      <c r="AU882" s="50">
        <f t="shared" si="130"/>
        <v>14363.999999999996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4917.6400000000003</v>
      </c>
      <c r="AR883" s="189">
        <f t="shared" si="132"/>
        <v>4800.1100000000006</v>
      </c>
      <c r="AS883" s="189">
        <f t="shared" si="128"/>
        <v>5471.2699999999995</v>
      </c>
      <c r="AT883" s="189">
        <f t="shared" si="129"/>
        <v>9330.4399999999987</v>
      </c>
      <c r="AU883" s="50">
        <f t="shared" si="130"/>
        <v>7198.5199999999995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5390.8399999999992</v>
      </c>
      <c r="AR884" s="189">
        <f t="shared" si="132"/>
        <v>5359.41</v>
      </c>
      <c r="AS884" s="189">
        <f t="shared" si="128"/>
        <v>5898.9699999999993</v>
      </c>
      <c r="AT884" s="189">
        <f t="shared" si="129"/>
        <v>10514.839999999998</v>
      </c>
      <c r="AU884" s="50">
        <f t="shared" si="130"/>
        <v>8646.119999999999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5864.0399999999991</v>
      </c>
      <c r="AR885" s="189">
        <f t="shared" si="132"/>
        <v>5918.71</v>
      </c>
      <c r="AS885" s="189">
        <f t="shared" si="128"/>
        <v>6326.6699999999983</v>
      </c>
      <c r="AT885" s="189">
        <f t="shared" si="129"/>
        <v>11699.239999999998</v>
      </c>
      <c r="AU885" s="50">
        <f t="shared" si="130"/>
        <v>10093.719999999999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6337.2399999999989</v>
      </c>
      <c r="AR886" s="189">
        <f t="shared" si="132"/>
        <v>6478.0099999999993</v>
      </c>
      <c r="AS886" s="189">
        <f t="shared" si="128"/>
        <v>6754.37</v>
      </c>
      <c r="AT886" s="189">
        <f t="shared" si="129"/>
        <v>12883.639999999998</v>
      </c>
      <c r="AU886" s="50">
        <f t="shared" si="130"/>
        <v>11541.319999999998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6810.44</v>
      </c>
      <c r="AR887" s="189">
        <f t="shared" si="132"/>
        <v>7037.3099999999995</v>
      </c>
      <c r="AS887" s="189">
        <f t="shared" si="128"/>
        <v>7182.07</v>
      </c>
      <c r="AT887" s="189">
        <f t="shared" si="129"/>
        <v>14068.039999999999</v>
      </c>
      <c r="AU887" s="50">
        <f t="shared" si="130"/>
        <v>12988.92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7283.6399999999994</v>
      </c>
      <c r="AR888" s="189">
        <f t="shared" si="132"/>
        <v>7596.6099999999988</v>
      </c>
      <c r="AS888" s="189">
        <f t="shared" si="128"/>
        <v>7566.9999999999991</v>
      </c>
      <c r="AT888" s="189">
        <f t="shared" si="129"/>
        <v>15133.999999999998</v>
      </c>
      <c r="AU888" s="50">
        <f t="shared" si="130"/>
        <v>14436.52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7756.8399999999992</v>
      </c>
      <c r="AR889" s="189">
        <f t="shared" si="132"/>
        <v>8155.9099999999989</v>
      </c>
      <c r="AS889" s="189">
        <f t="shared" si="128"/>
        <v>7566.9999999999991</v>
      </c>
      <c r="AT889" s="189">
        <f t="shared" si="129"/>
        <v>15133.999999999998</v>
      </c>
      <c r="AU889" s="50">
        <f t="shared" si="130"/>
        <v>15884.119999999997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8230.0400000000009</v>
      </c>
      <c r="AR890" s="189">
        <f t="shared" si="132"/>
        <v>8715.2100000000009</v>
      </c>
      <c r="AS890" s="189">
        <f t="shared" si="128"/>
        <v>7566.9999999999991</v>
      </c>
      <c r="AT890" s="189">
        <f t="shared" si="129"/>
        <v>15133.999999999998</v>
      </c>
      <c r="AU890" s="50">
        <f t="shared" si="130"/>
        <v>17331.719999999998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8372</v>
      </c>
      <c r="AR891" s="189">
        <f t="shared" si="132"/>
        <v>8883</v>
      </c>
      <c r="AS891" s="189">
        <f t="shared" si="128"/>
        <v>7566.9999999999991</v>
      </c>
      <c r="AT891" s="189">
        <f t="shared" si="129"/>
        <v>15133.999999999998</v>
      </c>
      <c r="AU891" s="50">
        <f t="shared" si="130"/>
        <v>17766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8372</v>
      </c>
      <c r="AR892" s="189">
        <f t="shared" si="132"/>
        <v>8883</v>
      </c>
      <c r="AS892" s="189">
        <f t="shared" si="128"/>
        <v>7566.9999999999991</v>
      </c>
      <c r="AT892" s="189">
        <f t="shared" si="129"/>
        <v>15133.999999999998</v>
      </c>
      <c r="AU892" s="50">
        <f t="shared" si="130"/>
        <v>17766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8372</v>
      </c>
      <c r="AR893" s="189">
        <f t="shared" si="132"/>
        <v>8883</v>
      </c>
      <c r="AS893" s="189">
        <f t="shared" si="128"/>
        <v>7566.9999999999991</v>
      </c>
      <c r="AT893" s="189">
        <f t="shared" si="129"/>
        <v>15133.999999999998</v>
      </c>
      <c r="AU893" s="50">
        <f t="shared" si="130"/>
        <v>17766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5030.07</v>
      </c>
      <c r="AR894" s="189">
        <f t="shared" si="132"/>
        <v>4790.4999999999991</v>
      </c>
      <c r="AS894" s="189">
        <f t="shared" si="128"/>
        <v>5923.0599999999995</v>
      </c>
      <c r="AT894" s="189">
        <f t="shared" si="129"/>
        <v>10444.719999999998</v>
      </c>
      <c r="AU894" s="50">
        <f t="shared" si="130"/>
        <v>7493.2000000000007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5704.1699999999992</v>
      </c>
      <c r="AR895" s="189">
        <f t="shared" si="132"/>
        <v>5505.4999999999991</v>
      </c>
      <c r="AS895" s="189">
        <f t="shared" si="128"/>
        <v>6523.6599999999989</v>
      </c>
      <c r="AT895" s="189">
        <f t="shared" si="129"/>
        <v>11931.92</v>
      </c>
      <c r="AU895" s="50">
        <f t="shared" si="130"/>
        <v>9209.1999999999989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6378.2699999999986</v>
      </c>
      <c r="AR896" s="189">
        <f t="shared" si="132"/>
        <v>6220.4999999999991</v>
      </c>
      <c r="AS896" s="189">
        <f t="shared" si="128"/>
        <v>7124.2599999999993</v>
      </c>
      <c r="AT896" s="189">
        <f t="shared" si="129"/>
        <v>13419.119999999997</v>
      </c>
      <c r="AU896" s="50">
        <f t="shared" si="130"/>
        <v>10925.199999999999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7052.369999999999</v>
      </c>
      <c r="AR897" s="189">
        <f t="shared" si="132"/>
        <v>6935.4999999999991</v>
      </c>
      <c r="AS897" s="189">
        <f t="shared" si="128"/>
        <v>7724.8599999999988</v>
      </c>
      <c r="AT897" s="189">
        <f t="shared" si="129"/>
        <v>14906.32</v>
      </c>
      <c r="AU897" s="50">
        <f t="shared" si="130"/>
        <v>12641.199999999997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7726.47</v>
      </c>
      <c r="AR898" s="189">
        <f t="shared" si="132"/>
        <v>7650.4999999999991</v>
      </c>
      <c r="AS898" s="189">
        <f t="shared" si="128"/>
        <v>8325.4599999999991</v>
      </c>
      <c r="AT898" s="189">
        <f t="shared" si="129"/>
        <v>16393.519999999997</v>
      </c>
      <c r="AU898" s="50">
        <f t="shared" si="130"/>
        <v>14357.199999999999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8400.5699999999979</v>
      </c>
      <c r="AR899" s="189">
        <f t="shared" si="132"/>
        <v>8365.5</v>
      </c>
      <c r="AS899" s="189">
        <f t="shared" ref="AS899:AS962" si="133">$AG$3*(1+$AJ899*$Y$2+$AN899)*(MAXA(1-$AI$3-$AL899*$AA$3-$AP899-0.36,0)+MINA($AI$3+$AL899*$AA$3+$AP899+0.36,1)*(1+$AH$3+$AO899+$AK899*$Z$4))</f>
        <v>8865.9999999999982</v>
      </c>
      <c r="AT899" s="189">
        <f t="shared" ref="AT899:AT962" si="134">$AG$3*(1+$AJ899*$Y$2+$AN899)*(MAXA(1-$AI$3-$AL899*$AA$3-$AP899-0.36,0)+2*MINA($AI$3+$AL899*$AA$3+$AP899+0.36,1)*(1+$AH$3+$AO899+$AK899*$Z$4))</f>
        <v>17731.999999999996</v>
      </c>
      <c r="AU899" s="50">
        <f t="shared" ref="AU899:AU962" si="135">$AG$3*(1+$AJ899*$Y$2+$AN899)*(MAXA(1-$AI$3-$AL899*$AA$3-$AP899-0.12,0)+2*MINA($AI$3+$AL899*$AA$3+$AP899+0.12,1)*(1+$AH$3+$AO899+$AK899*$Z$4+0.4))</f>
        <v>16073.199999999997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9074.6699999999983</v>
      </c>
      <c r="AR900" s="189">
        <f t="shared" ref="AR900:AR963" si="137">$AG$3*(1+$AJ900*$Y$2+$AN900)*(MAXA(1-$AI$3-$AL900*$AA$3-$AP900-0.12,0)+MINA($AI$3+$AL900*$AA$3+$AP900+0.12,1)*(1+$AH$3+$AO900+$AK900*$Z$4+0.4))</f>
        <v>9080.4999999999982</v>
      </c>
      <c r="AS900" s="189">
        <f t="shared" si="133"/>
        <v>8865.9999999999982</v>
      </c>
      <c r="AT900" s="189">
        <f t="shared" si="134"/>
        <v>17731.999999999996</v>
      </c>
      <c r="AU900" s="50">
        <f t="shared" si="135"/>
        <v>17789.199999999997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9748.77</v>
      </c>
      <c r="AR901" s="189">
        <f t="shared" si="137"/>
        <v>9795.5</v>
      </c>
      <c r="AS901" s="189">
        <f t="shared" si="133"/>
        <v>8865.9999999999982</v>
      </c>
      <c r="AT901" s="189">
        <f t="shared" si="134"/>
        <v>17731.999999999996</v>
      </c>
      <c r="AU901" s="50">
        <f t="shared" si="135"/>
        <v>19505.199999999997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9950.9999999999982</v>
      </c>
      <c r="AR902" s="189">
        <f t="shared" si="137"/>
        <v>10009.999999999998</v>
      </c>
      <c r="AS902" s="189">
        <f t="shared" si="133"/>
        <v>8865.9999999999982</v>
      </c>
      <c r="AT902" s="189">
        <f t="shared" si="134"/>
        <v>17731.999999999996</v>
      </c>
      <c r="AU902" s="50">
        <f t="shared" si="135"/>
        <v>20019.999999999996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9950.9999999999982</v>
      </c>
      <c r="AR903" s="189">
        <f t="shared" si="137"/>
        <v>10009.999999999998</v>
      </c>
      <c r="AS903" s="189">
        <f t="shared" si="133"/>
        <v>8865.9999999999982</v>
      </c>
      <c r="AT903" s="189">
        <f t="shared" si="134"/>
        <v>17731.999999999996</v>
      </c>
      <c r="AU903" s="50">
        <f t="shared" si="135"/>
        <v>20019.999999999996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9950.9999999999982</v>
      </c>
      <c r="AR904" s="189">
        <f t="shared" si="137"/>
        <v>10009.999999999998</v>
      </c>
      <c r="AS904" s="189">
        <f t="shared" si="133"/>
        <v>8865.9999999999982</v>
      </c>
      <c r="AT904" s="189">
        <f t="shared" si="134"/>
        <v>17731.999999999996</v>
      </c>
      <c r="AU904" s="50">
        <f t="shared" si="135"/>
        <v>20019.999999999996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6757.05</v>
      </c>
      <c r="AR905" s="189">
        <f t="shared" si="137"/>
        <v>6992.7</v>
      </c>
      <c r="AS905" s="189">
        <f t="shared" si="133"/>
        <v>6577.9999999999991</v>
      </c>
      <c r="AT905" s="189">
        <f t="shared" si="134"/>
        <v>13155.999999999998</v>
      </c>
      <c r="AU905" s="50">
        <f t="shared" si="135"/>
        <v>13556.400000000001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7174.3499999999985</v>
      </c>
      <c r="AR906" s="189">
        <f t="shared" si="137"/>
        <v>7478.8999999999978</v>
      </c>
      <c r="AS906" s="189">
        <f t="shared" si="133"/>
        <v>6577.9999999999991</v>
      </c>
      <c r="AT906" s="189">
        <f t="shared" si="134"/>
        <v>13155.999999999998</v>
      </c>
      <c r="AU906" s="50">
        <f t="shared" si="135"/>
        <v>14814.799999999997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7382.9999999999991</v>
      </c>
      <c r="AR907" s="189">
        <f t="shared" si="137"/>
        <v>7721.9999999999991</v>
      </c>
      <c r="AS907" s="189">
        <f t="shared" si="133"/>
        <v>6577.9999999999991</v>
      </c>
      <c r="AT907" s="189">
        <f t="shared" si="134"/>
        <v>13155.999999999998</v>
      </c>
      <c r="AU907" s="50">
        <f t="shared" si="135"/>
        <v>15443.999999999998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7382.9999999999991</v>
      </c>
      <c r="AR908" s="189">
        <f t="shared" si="137"/>
        <v>7721.9999999999991</v>
      </c>
      <c r="AS908" s="189">
        <f t="shared" si="133"/>
        <v>6577.9999999999991</v>
      </c>
      <c r="AT908" s="189">
        <f t="shared" si="134"/>
        <v>13155.999999999998</v>
      </c>
      <c r="AU908" s="50">
        <f t="shared" si="135"/>
        <v>15443.999999999998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7382.9999999999991</v>
      </c>
      <c r="AR909" s="189">
        <f t="shared" si="137"/>
        <v>7721.9999999999991</v>
      </c>
      <c r="AS909" s="189">
        <f t="shared" si="133"/>
        <v>6577.9999999999991</v>
      </c>
      <c r="AT909" s="189">
        <f t="shared" si="134"/>
        <v>13155.999999999998</v>
      </c>
      <c r="AU909" s="50">
        <f t="shared" si="135"/>
        <v>15443.999999999998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7382.9999999999991</v>
      </c>
      <c r="AR910" s="189">
        <f t="shared" si="137"/>
        <v>7721.9999999999991</v>
      </c>
      <c r="AS910" s="189">
        <f t="shared" si="133"/>
        <v>6577.9999999999991</v>
      </c>
      <c r="AT910" s="189">
        <f t="shared" si="134"/>
        <v>13155.999999999998</v>
      </c>
      <c r="AU910" s="50">
        <f t="shared" si="135"/>
        <v>15443.999999999998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7382.9999999999991</v>
      </c>
      <c r="AR911" s="189">
        <f t="shared" si="137"/>
        <v>7721.9999999999991</v>
      </c>
      <c r="AS911" s="189">
        <f t="shared" si="133"/>
        <v>6577.9999999999991</v>
      </c>
      <c r="AT911" s="189">
        <f t="shared" si="134"/>
        <v>13155.999999999998</v>
      </c>
      <c r="AU911" s="50">
        <f t="shared" si="135"/>
        <v>15443.999999999998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7382.9999999999991</v>
      </c>
      <c r="AR912" s="189">
        <f t="shared" si="137"/>
        <v>7721.9999999999991</v>
      </c>
      <c r="AS912" s="189">
        <f t="shared" si="133"/>
        <v>6577.9999999999991</v>
      </c>
      <c r="AT912" s="189">
        <f t="shared" si="134"/>
        <v>13155.999999999998</v>
      </c>
      <c r="AU912" s="50">
        <f t="shared" si="135"/>
        <v>15443.999999999998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7382.9999999999991</v>
      </c>
      <c r="AR913" s="189">
        <f t="shared" si="137"/>
        <v>7721.9999999999991</v>
      </c>
      <c r="AS913" s="189">
        <f t="shared" si="133"/>
        <v>6577.9999999999991</v>
      </c>
      <c r="AT913" s="189">
        <f t="shared" si="134"/>
        <v>13155.999999999998</v>
      </c>
      <c r="AU913" s="50">
        <f t="shared" si="135"/>
        <v>15443.999999999998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7382.9999999999991</v>
      </c>
      <c r="AR914" s="189">
        <f t="shared" si="137"/>
        <v>7721.9999999999991</v>
      </c>
      <c r="AS914" s="189">
        <f t="shared" si="133"/>
        <v>6577.9999999999991</v>
      </c>
      <c r="AT914" s="189">
        <f t="shared" si="134"/>
        <v>13155.999999999998</v>
      </c>
      <c r="AU914" s="50">
        <f t="shared" si="135"/>
        <v>15443.999999999998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7382.9999999999991</v>
      </c>
      <c r="AR915" s="189">
        <f t="shared" si="137"/>
        <v>7721.9999999999991</v>
      </c>
      <c r="AS915" s="189">
        <f t="shared" si="133"/>
        <v>6577.9999999999991</v>
      </c>
      <c r="AT915" s="189">
        <f t="shared" si="134"/>
        <v>13155.999999999998</v>
      </c>
      <c r="AU915" s="50">
        <f t="shared" si="135"/>
        <v>15443.999999999998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5187.84</v>
      </c>
      <c r="AR916" s="189">
        <f t="shared" si="137"/>
        <v>5091.91</v>
      </c>
      <c r="AS916" s="189">
        <f t="shared" si="133"/>
        <v>5803.869999999999</v>
      </c>
      <c r="AT916" s="189">
        <f t="shared" si="134"/>
        <v>9897.6399999999976</v>
      </c>
      <c r="AU916" s="50">
        <f t="shared" si="135"/>
        <v>7636.119999999999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5687.04</v>
      </c>
      <c r="AR917" s="189">
        <f t="shared" si="137"/>
        <v>5685.21</v>
      </c>
      <c r="AS917" s="189">
        <f t="shared" si="133"/>
        <v>6257.5699999999988</v>
      </c>
      <c r="AT917" s="189">
        <f t="shared" si="134"/>
        <v>11154.039999999999</v>
      </c>
      <c r="AU917" s="50">
        <f t="shared" si="135"/>
        <v>9171.7199999999993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6186.24</v>
      </c>
      <c r="AR918" s="189">
        <f t="shared" si="137"/>
        <v>6278.51</v>
      </c>
      <c r="AS918" s="189">
        <f t="shared" si="133"/>
        <v>6711.2699999999986</v>
      </c>
      <c r="AT918" s="189">
        <f t="shared" si="134"/>
        <v>12410.439999999999</v>
      </c>
      <c r="AU918" s="50">
        <f t="shared" si="135"/>
        <v>10707.319999999998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6685.44</v>
      </c>
      <c r="AR919" s="189">
        <f t="shared" si="137"/>
        <v>6871.8099999999995</v>
      </c>
      <c r="AS919" s="189">
        <f t="shared" si="133"/>
        <v>7164.9699999999993</v>
      </c>
      <c r="AT919" s="189">
        <f t="shared" si="134"/>
        <v>13666.839999999998</v>
      </c>
      <c r="AU919" s="50">
        <f t="shared" si="135"/>
        <v>12242.919999999998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7184.6400000000012</v>
      </c>
      <c r="AR920" s="189">
        <f t="shared" si="137"/>
        <v>7465.11</v>
      </c>
      <c r="AS920" s="189">
        <f t="shared" si="133"/>
        <v>7618.6699999999992</v>
      </c>
      <c r="AT920" s="189">
        <f t="shared" si="134"/>
        <v>14923.24</v>
      </c>
      <c r="AU920" s="50">
        <f t="shared" si="135"/>
        <v>13778.52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7683.84</v>
      </c>
      <c r="AR921" s="189">
        <f t="shared" si="137"/>
        <v>8058.4099999999989</v>
      </c>
      <c r="AS921" s="189">
        <f t="shared" si="133"/>
        <v>8026.9999999999991</v>
      </c>
      <c r="AT921" s="189">
        <f t="shared" si="134"/>
        <v>16053.999999999998</v>
      </c>
      <c r="AU921" s="50">
        <f t="shared" si="135"/>
        <v>15314.119999999999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8183.04</v>
      </c>
      <c r="AR922" s="189">
        <f t="shared" si="137"/>
        <v>8651.7099999999991</v>
      </c>
      <c r="AS922" s="189">
        <f t="shared" si="133"/>
        <v>8026.9999999999991</v>
      </c>
      <c r="AT922" s="189">
        <f t="shared" si="134"/>
        <v>16053.999999999998</v>
      </c>
      <c r="AU922" s="50">
        <f t="shared" si="135"/>
        <v>16849.719999999998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8682.2400000000016</v>
      </c>
      <c r="AR923" s="189">
        <f t="shared" si="137"/>
        <v>9245.01</v>
      </c>
      <c r="AS923" s="189">
        <f t="shared" si="133"/>
        <v>8026.9999999999991</v>
      </c>
      <c r="AT923" s="189">
        <f t="shared" si="134"/>
        <v>16053.999999999998</v>
      </c>
      <c r="AU923" s="50">
        <f t="shared" si="135"/>
        <v>18385.32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8832</v>
      </c>
      <c r="AR924" s="189">
        <f t="shared" si="137"/>
        <v>9422.9999999999982</v>
      </c>
      <c r="AS924" s="189">
        <f t="shared" si="133"/>
        <v>8026.9999999999991</v>
      </c>
      <c r="AT924" s="189">
        <f t="shared" si="134"/>
        <v>16053.999999999998</v>
      </c>
      <c r="AU924" s="50">
        <f t="shared" si="135"/>
        <v>18845.999999999996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8832</v>
      </c>
      <c r="AR925" s="189">
        <f t="shared" si="137"/>
        <v>9422.9999999999982</v>
      </c>
      <c r="AS925" s="189">
        <f t="shared" si="133"/>
        <v>8026.9999999999991</v>
      </c>
      <c r="AT925" s="189">
        <f t="shared" si="134"/>
        <v>16053.999999999998</v>
      </c>
      <c r="AU925" s="50">
        <f t="shared" si="135"/>
        <v>18845.999999999996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8832</v>
      </c>
      <c r="AR926" s="189">
        <f t="shared" si="137"/>
        <v>9422.9999999999982</v>
      </c>
      <c r="AS926" s="189">
        <f t="shared" si="133"/>
        <v>8026.9999999999991</v>
      </c>
      <c r="AT926" s="189">
        <f t="shared" si="134"/>
        <v>16053.999999999998</v>
      </c>
      <c r="AU926" s="50">
        <f t="shared" si="135"/>
        <v>18845.999999999996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5343.4699999999993</v>
      </c>
      <c r="AR927" s="189">
        <f t="shared" si="137"/>
        <v>5125.4999999999991</v>
      </c>
      <c r="AS927" s="189">
        <f t="shared" si="133"/>
        <v>6337.2599999999984</v>
      </c>
      <c r="AT927" s="189">
        <f t="shared" si="134"/>
        <v>11175.119999999995</v>
      </c>
      <c r="AU927" s="50">
        <f t="shared" si="135"/>
        <v>8017.1999999999989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6059.5699999999979</v>
      </c>
      <c r="AR928" s="189">
        <f t="shared" si="137"/>
        <v>5890.4999999999982</v>
      </c>
      <c r="AS928" s="189">
        <f t="shared" si="133"/>
        <v>6979.8599999999979</v>
      </c>
      <c r="AT928" s="189">
        <f t="shared" si="134"/>
        <v>12766.319999999998</v>
      </c>
      <c r="AU928" s="50">
        <f t="shared" si="135"/>
        <v>9853.1999999999971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6775.6699999999983</v>
      </c>
      <c r="AR929" s="189">
        <f t="shared" si="137"/>
        <v>6655.4999999999982</v>
      </c>
      <c r="AS929" s="189">
        <f t="shared" si="133"/>
        <v>7622.4599999999982</v>
      </c>
      <c r="AT929" s="189">
        <f t="shared" si="134"/>
        <v>14357.519999999995</v>
      </c>
      <c r="AU929" s="50">
        <f t="shared" si="135"/>
        <v>11689.199999999997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7491.7699999999977</v>
      </c>
      <c r="AR930" s="189">
        <f t="shared" si="137"/>
        <v>7420.4999999999982</v>
      </c>
      <c r="AS930" s="189">
        <f t="shared" si="133"/>
        <v>8265.0599999999977</v>
      </c>
      <c r="AT930" s="189">
        <f t="shared" si="134"/>
        <v>15948.719999999998</v>
      </c>
      <c r="AU930" s="50">
        <f t="shared" si="135"/>
        <v>13525.199999999995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8207.869999999999</v>
      </c>
      <c r="AR931" s="189">
        <f t="shared" si="137"/>
        <v>8185.4999999999982</v>
      </c>
      <c r="AS931" s="189">
        <f t="shared" si="133"/>
        <v>8907.659999999998</v>
      </c>
      <c r="AT931" s="189">
        <f t="shared" si="134"/>
        <v>17539.919999999995</v>
      </c>
      <c r="AU931" s="50">
        <f t="shared" si="135"/>
        <v>15361.199999999997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8923.9699999999975</v>
      </c>
      <c r="AR932" s="189">
        <f t="shared" si="137"/>
        <v>8950.4999999999982</v>
      </c>
      <c r="AS932" s="189">
        <f t="shared" si="133"/>
        <v>9485.9999999999982</v>
      </c>
      <c r="AT932" s="189">
        <f t="shared" si="134"/>
        <v>18971.999999999996</v>
      </c>
      <c r="AU932" s="50">
        <f t="shared" si="135"/>
        <v>17197.199999999993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9640.0699999999979</v>
      </c>
      <c r="AR933" s="189">
        <f t="shared" si="137"/>
        <v>9715.4999999999964</v>
      </c>
      <c r="AS933" s="189">
        <f t="shared" si="133"/>
        <v>9485.9999999999982</v>
      </c>
      <c r="AT933" s="189">
        <f t="shared" si="134"/>
        <v>18971.999999999996</v>
      </c>
      <c r="AU933" s="50">
        <f t="shared" si="135"/>
        <v>19033.199999999993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10356.169999999998</v>
      </c>
      <c r="AR934" s="189">
        <f t="shared" si="137"/>
        <v>10480.499999999998</v>
      </c>
      <c r="AS934" s="189">
        <f t="shared" si="133"/>
        <v>9485.9999999999982</v>
      </c>
      <c r="AT934" s="189">
        <f t="shared" si="134"/>
        <v>18971.999999999996</v>
      </c>
      <c r="AU934" s="50">
        <f t="shared" si="135"/>
        <v>20869.199999999993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10570.999999999998</v>
      </c>
      <c r="AR935" s="189">
        <f t="shared" si="137"/>
        <v>10709.999999999996</v>
      </c>
      <c r="AS935" s="189">
        <f t="shared" si="133"/>
        <v>9485.9999999999982</v>
      </c>
      <c r="AT935" s="189">
        <f t="shared" si="134"/>
        <v>18971.999999999996</v>
      </c>
      <c r="AU935" s="50">
        <f t="shared" si="135"/>
        <v>21419.999999999993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10570.999999999998</v>
      </c>
      <c r="AR936" s="189">
        <f t="shared" si="137"/>
        <v>10709.999999999996</v>
      </c>
      <c r="AS936" s="189">
        <f t="shared" si="133"/>
        <v>9485.9999999999982</v>
      </c>
      <c r="AT936" s="189">
        <f t="shared" si="134"/>
        <v>18971.999999999996</v>
      </c>
      <c r="AU936" s="50">
        <f t="shared" si="135"/>
        <v>21419.999999999993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10570.999999999998</v>
      </c>
      <c r="AR937" s="189">
        <f t="shared" si="137"/>
        <v>10709.999999999996</v>
      </c>
      <c r="AS937" s="189">
        <f t="shared" si="133"/>
        <v>9485.9999999999982</v>
      </c>
      <c r="AT937" s="189">
        <f t="shared" si="134"/>
        <v>18971.999999999996</v>
      </c>
      <c r="AU937" s="50">
        <f t="shared" si="135"/>
        <v>21419.999999999993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7178.0499999999993</v>
      </c>
      <c r="AR938" s="189">
        <f t="shared" si="137"/>
        <v>7481.699999999998</v>
      </c>
      <c r="AS938" s="189">
        <f t="shared" si="133"/>
        <v>7037.9999999999982</v>
      </c>
      <c r="AT938" s="189">
        <f t="shared" si="134"/>
        <v>14075.999999999996</v>
      </c>
      <c r="AU938" s="50">
        <f t="shared" si="135"/>
        <v>14504.399999999998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7621.3499999999967</v>
      </c>
      <c r="AR939" s="189">
        <f t="shared" si="137"/>
        <v>8001.8999999999969</v>
      </c>
      <c r="AS939" s="189">
        <f t="shared" si="133"/>
        <v>7037.9999999999982</v>
      </c>
      <c r="AT939" s="189">
        <f t="shared" si="134"/>
        <v>14075.999999999996</v>
      </c>
      <c r="AU939" s="50">
        <f t="shared" si="135"/>
        <v>15850.799999999994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7842.9999999999982</v>
      </c>
      <c r="AR940" s="189">
        <f t="shared" si="137"/>
        <v>8261.9999999999982</v>
      </c>
      <c r="AS940" s="189">
        <f t="shared" si="133"/>
        <v>7037.9999999999982</v>
      </c>
      <c r="AT940" s="189">
        <f t="shared" si="134"/>
        <v>14075.999999999996</v>
      </c>
      <c r="AU940" s="50">
        <f t="shared" si="135"/>
        <v>16523.999999999996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7842.9999999999982</v>
      </c>
      <c r="AR941" s="189">
        <f t="shared" si="137"/>
        <v>8261.9999999999982</v>
      </c>
      <c r="AS941" s="189">
        <f t="shared" si="133"/>
        <v>7037.9999999999982</v>
      </c>
      <c r="AT941" s="189">
        <f t="shared" si="134"/>
        <v>14075.999999999996</v>
      </c>
      <c r="AU941" s="50">
        <f t="shared" si="135"/>
        <v>16523.999999999996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7842.9999999999982</v>
      </c>
      <c r="AR942" s="189">
        <f t="shared" si="137"/>
        <v>8261.9999999999982</v>
      </c>
      <c r="AS942" s="189">
        <f t="shared" si="133"/>
        <v>7037.9999999999982</v>
      </c>
      <c r="AT942" s="189">
        <f t="shared" si="134"/>
        <v>14075.999999999996</v>
      </c>
      <c r="AU942" s="50">
        <f t="shared" si="135"/>
        <v>16523.999999999996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7842.9999999999982</v>
      </c>
      <c r="AR943" s="189">
        <f t="shared" si="137"/>
        <v>8261.9999999999982</v>
      </c>
      <c r="AS943" s="189">
        <f t="shared" si="133"/>
        <v>7037.9999999999982</v>
      </c>
      <c r="AT943" s="189">
        <f t="shared" si="134"/>
        <v>14075.999999999996</v>
      </c>
      <c r="AU943" s="50">
        <f t="shared" si="135"/>
        <v>16523.999999999996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7842.9999999999982</v>
      </c>
      <c r="AR944" s="189">
        <f t="shared" si="137"/>
        <v>8261.9999999999982</v>
      </c>
      <c r="AS944" s="189">
        <f t="shared" si="133"/>
        <v>7037.9999999999982</v>
      </c>
      <c r="AT944" s="189">
        <f t="shared" si="134"/>
        <v>14075.999999999996</v>
      </c>
      <c r="AU944" s="50">
        <f t="shared" si="135"/>
        <v>16523.999999999996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7842.9999999999982</v>
      </c>
      <c r="AR945" s="189">
        <f t="shared" si="137"/>
        <v>8261.9999999999982</v>
      </c>
      <c r="AS945" s="189">
        <f t="shared" si="133"/>
        <v>7037.9999999999982</v>
      </c>
      <c r="AT945" s="189">
        <f t="shared" si="134"/>
        <v>14075.999999999996</v>
      </c>
      <c r="AU945" s="50">
        <f t="shared" si="135"/>
        <v>16523.999999999996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7842.9999999999982</v>
      </c>
      <c r="AR946" s="189">
        <f t="shared" si="137"/>
        <v>8261.9999999999982</v>
      </c>
      <c r="AS946" s="189">
        <f t="shared" si="133"/>
        <v>7037.9999999999982</v>
      </c>
      <c r="AT946" s="189">
        <f t="shared" si="134"/>
        <v>14075.999999999996</v>
      </c>
      <c r="AU946" s="50">
        <f t="shared" si="135"/>
        <v>16523.999999999996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7842.9999999999982</v>
      </c>
      <c r="AR947" s="189">
        <f t="shared" si="137"/>
        <v>8261.9999999999982</v>
      </c>
      <c r="AS947" s="189">
        <f t="shared" si="133"/>
        <v>7037.9999999999982</v>
      </c>
      <c r="AT947" s="189">
        <f t="shared" si="134"/>
        <v>14075.999999999996</v>
      </c>
      <c r="AU947" s="50">
        <f t="shared" si="135"/>
        <v>16523.999999999996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7842.9999999999982</v>
      </c>
      <c r="AR948" s="189">
        <f t="shared" si="137"/>
        <v>8261.9999999999982</v>
      </c>
      <c r="AS948" s="189">
        <f t="shared" si="133"/>
        <v>7037.9999999999982</v>
      </c>
      <c r="AT948" s="189">
        <f t="shared" si="134"/>
        <v>14075.999999999996</v>
      </c>
      <c r="AU948" s="50">
        <f t="shared" si="135"/>
        <v>16523.999999999996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5458.04</v>
      </c>
      <c r="AR949" s="189">
        <f t="shared" si="137"/>
        <v>5383.7100000000009</v>
      </c>
      <c r="AS949" s="189">
        <f t="shared" si="133"/>
        <v>6136.47</v>
      </c>
      <c r="AT949" s="189">
        <f t="shared" si="134"/>
        <v>10464.839999999998</v>
      </c>
      <c r="AU949" s="50">
        <f t="shared" si="135"/>
        <v>8073.72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5983.24</v>
      </c>
      <c r="AR950" s="189">
        <f t="shared" si="137"/>
        <v>6011.0100000000011</v>
      </c>
      <c r="AS950" s="189">
        <f t="shared" si="133"/>
        <v>6616.17</v>
      </c>
      <c r="AT950" s="189">
        <f t="shared" si="134"/>
        <v>11793.24</v>
      </c>
      <c r="AU950" s="50">
        <f t="shared" si="135"/>
        <v>9697.32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6508.4399999999987</v>
      </c>
      <c r="AR951" s="189">
        <f t="shared" si="137"/>
        <v>6638.31</v>
      </c>
      <c r="AS951" s="189">
        <f t="shared" si="133"/>
        <v>7095.869999999999</v>
      </c>
      <c r="AT951" s="189">
        <f t="shared" si="134"/>
        <v>13121.64</v>
      </c>
      <c r="AU951" s="50">
        <f t="shared" si="135"/>
        <v>11320.92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7033.6399999999985</v>
      </c>
      <c r="AR952" s="189">
        <f t="shared" si="137"/>
        <v>7265.6100000000006</v>
      </c>
      <c r="AS952" s="189">
        <f t="shared" si="133"/>
        <v>7575.5700000000006</v>
      </c>
      <c r="AT952" s="189">
        <f t="shared" si="134"/>
        <v>14450.039999999999</v>
      </c>
      <c r="AU952" s="50">
        <f t="shared" si="135"/>
        <v>12944.52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7558.84</v>
      </c>
      <c r="AR953" s="189">
        <f t="shared" si="137"/>
        <v>7892.91</v>
      </c>
      <c r="AS953" s="189">
        <f t="shared" si="133"/>
        <v>8055.27</v>
      </c>
      <c r="AT953" s="189">
        <f t="shared" si="134"/>
        <v>15778.44</v>
      </c>
      <c r="AU953" s="50">
        <f t="shared" si="135"/>
        <v>14568.12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8084.04</v>
      </c>
      <c r="AR954" s="189">
        <f t="shared" si="137"/>
        <v>8520.2099999999991</v>
      </c>
      <c r="AS954" s="189">
        <f t="shared" si="133"/>
        <v>8487</v>
      </c>
      <c r="AT954" s="189">
        <f t="shared" si="134"/>
        <v>16974</v>
      </c>
      <c r="AU954" s="50">
        <f t="shared" si="135"/>
        <v>16191.720000000001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8609.24</v>
      </c>
      <c r="AR955" s="189">
        <f t="shared" si="137"/>
        <v>9147.51</v>
      </c>
      <c r="AS955" s="189">
        <f t="shared" si="133"/>
        <v>8487</v>
      </c>
      <c r="AT955" s="189">
        <f t="shared" si="134"/>
        <v>16974</v>
      </c>
      <c r="AU955" s="50">
        <f t="shared" si="135"/>
        <v>17815.32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9134.44</v>
      </c>
      <c r="AR956" s="189">
        <f t="shared" si="137"/>
        <v>9774.8100000000013</v>
      </c>
      <c r="AS956" s="189">
        <f t="shared" si="133"/>
        <v>8487</v>
      </c>
      <c r="AT956" s="189">
        <f t="shared" si="134"/>
        <v>16974</v>
      </c>
      <c r="AU956" s="50">
        <f t="shared" si="135"/>
        <v>19438.920000000002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9292</v>
      </c>
      <c r="AR957" s="189">
        <f t="shared" si="137"/>
        <v>9963</v>
      </c>
      <c r="AS957" s="189">
        <f t="shared" si="133"/>
        <v>8487</v>
      </c>
      <c r="AT957" s="189">
        <f t="shared" si="134"/>
        <v>16974</v>
      </c>
      <c r="AU957" s="50">
        <f t="shared" si="135"/>
        <v>19926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9292</v>
      </c>
      <c r="AR958" s="189">
        <f t="shared" si="137"/>
        <v>9963</v>
      </c>
      <c r="AS958" s="189">
        <f t="shared" si="133"/>
        <v>8487</v>
      </c>
      <c r="AT958" s="189">
        <f t="shared" si="134"/>
        <v>16974</v>
      </c>
      <c r="AU958" s="50">
        <f t="shared" si="135"/>
        <v>19926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9292</v>
      </c>
      <c r="AR959" s="189">
        <f t="shared" si="137"/>
        <v>9963</v>
      </c>
      <c r="AS959" s="189">
        <f t="shared" si="133"/>
        <v>8487</v>
      </c>
      <c r="AT959" s="189">
        <f t="shared" si="134"/>
        <v>16974</v>
      </c>
      <c r="AU959" s="50">
        <f t="shared" si="135"/>
        <v>19926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5656.87</v>
      </c>
      <c r="AR960" s="189">
        <f t="shared" si="137"/>
        <v>5460.4999999999991</v>
      </c>
      <c r="AS960" s="189">
        <f t="shared" si="133"/>
        <v>6751.4599999999991</v>
      </c>
      <c r="AT960" s="189">
        <f t="shared" si="134"/>
        <v>11905.519999999997</v>
      </c>
      <c r="AU960" s="50">
        <f t="shared" si="135"/>
        <v>8541.2000000000007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6414.9699999999984</v>
      </c>
      <c r="AR961" s="189">
        <f t="shared" si="137"/>
        <v>6275.4999999999991</v>
      </c>
      <c r="AS961" s="189">
        <f t="shared" si="133"/>
        <v>7436.0599999999986</v>
      </c>
      <c r="AT961" s="189">
        <f t="shared" si="134"/>
        <v>13600.72</v>
      </c>
      <c r="AU961" s="50">
        <f t="shared" si="135"/>
        <v>10497.199999999999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7173.0699999999988</v>
      </c>
      <c r="AR962" s="189">
        <f t="shared" si="137"/>
        <v>7090.4999999999991</v>
      </c>
      <c r="AS962" s="189">
        <f t="shared" si="133"/>
        <v>8120.6599999999989</v>
      </c>
      <c r="AT962" s="189">
        <f t="shared" si="134"/>
        <v>15295.919999999998</v>
      </c>
      <c r="AU962" s="50">
        <f t="shared" si="135"/>
        <v>12453.199999999999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7931.1699999999983</v>
      </c>
      <c r="AR963" s="189">
        <f t="shared" si="137"/>
        <v>7905.4999999999991</v>
      </c>
      <c r="AS963" s="189">
        <f t="shared" ref="AS963:AS1026" si="138">$AG$3*(1+$AJ963*$Y$2+$AN963)*(MAXA(1-$AI$3-$AL963*$AA$3-$AP963-0.36,0)+MINA($AI$3+$AL963*$AA$3+$AP963+0.36,1)*(1+$AH$3+$AO963+$AK963*$Z$4))</f>
        <v>8805.2599999999984</v>
      </c>
      <c r="AT963" s="189">
        <f t="shared" ref="AT963:AT1026" si="139">$AG$3*(1+$AJ963*$Y$2+$AN963)*(MAXA(1-$AI$3-$AL963*$AA$3-$AP963-0.36,0)+2*MINA($AI$3+$AL963*$AA$3+$AP963+0.36,1)*(1+$AH$3+$AO963+$AK963*$Z$4))</f>
        <v>16991.12</v>
      </c>
      <c r="AU963" s="50">
        <f t="shared" ref="AU963:AU1026" si="140">$AG$3*(1+$AJ963*$Y$2+$AN963)*(MAXA(1-$AI$3-$AL963*$AA$3-$AP963-0.12,0)+2*MINA($AI$3+$AL963*$AA$3+$AP963+0.12,1)*(1+$AH$3+$AO963+$AK963*$Z$4+0.4))</f>
        <v>14409.199999999997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8689.27</v>
      </c>
      <c r="AR964" s="189">
        <f t="shared" ref="AR964:AR1027" si="142">$AG$3*(1+$AJ964*$Y$2+$AN964)*(MAXA(1-$AI$3-$AL964*$AA$3-$AP964-0.12,0)+MINA($AI$3+$AL964*$AA$3+$AP964+0.12,1)*(1+$AH$3+$AO964+$AK964*$Z$4+0.4))</f>
        <v>8720.5</v>
      </c>
      <c r="AS964" s="189">
        <f t="shared" si="138"/>
        <v>9489.8599999999988</v>
      </c>
      <c r="AT964" s="189">
        <f t="shared" si="139"/>
        <v>18686.319999999996</v>
      </c>
      <c r="AU964" s="50">
        <f t="shared" si="140"/>
        <v>16365.199999999999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9447.369999999999</v>
      </c>
      <c r="AR965" s="189">
        <f t="shared" si="142"/>
        <v>9535.5</v>
      </c>
      <c r="AS965" s="189">
        <f t="shared" si="138"/>
        <v>10105.999999999998</v>
      </c>
      <c r="AT965" s="189">
        <f t="shared" si="139"/>
        <v>20211.999999999996</v>
      </c>
      <c r="AU965" s="50">
        <f t="shared" si="140"/>
        <v>18321.199999999997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10205.469999999998</v>
      </c>
      <c r="AR966" s="189">
        <f t="shared" si="142"/>
        <v>10350.499999999998</v>
      </c>
      <c r="AS966" s="189">
        <f t="shared" si="138"/>
        <v>10105.999999999998</v>
      </c>
      <c r="AT966" s="189">
        <f t="shared" si="139"/>
        <v>20211.999999999996</v>
      </c>
      <c r="AU966" s="50">
        <f t="shared" si="140"/>
        <v>20277.199999999997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10963.57</v>
      </c>
      <c r="AR967" s="189">
        <f t="shared" si="142"/>
        <v>11165.5</v>
      </c>
      <c r="AS967" s="189">
        <f t="shared" si="138"/>
        <v>10105.999999999998</v>
      </c>
      <c r="AT967" s="189">
        <f t="shared" si="139"/>
        <v>20211.999999999996</v>
      </c>
      <c r="AU967" s="50">
        <f t="shared" si="140"/>
        <v>22233.199999999997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11190.999999999998</v>
      </c>
      <c r="AR968" s="189">
        <f t="shared" si="142"/>
        <v>11409.999999999998</v>
      </c>
      <c r="AS968" s="189">
        <f t="shared" si="138"/>
        <v>10105.999999999998</v>
      </c>
      <c r="AT968" s="189">
        <f t="shared" si="139"/>
        <v>20211.999999999996</v>
      </c>
      <c r="AU968" s="50">
        <f t="shared" si="140"/>
        <v>22819.999999999996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11190.999999999998</v>
      </c>
      <c r="AR969" s="189">
        <f t="shared" si="142"/>
        <v>11409.999999999998</v>
      </c>
      <c r="AS969" s="189">
        <f t="shared" si="138"/>
        <v>10105.999999999998</v>
      </c>
      <c r="AT969" s="189">
        <f t="shared" si="139"/>
        <v>20211.999999999996</v>
      </c>
      <c r="AU969" s="50">
        <f t="shared" si="140"/>
        <v>22819.999999999996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11190.999999999998</v>
      </c>
      <c r="AR970" s="189">
        <f t="shared" si="142"/>
        <v>11409.999999999998</v>
      </c>
      <c r="AS970" s="189">
        <f t="shared" si="138"/>
        <v>10105.999999999998</v>
      </c>
      <c r="AT970" s="189">
        <f t="shared" si="139"/>
        <v>20211.999999999996</v>
      </c>
      <c r="AU970" s="50">
        <f t="shared" si="140"/>
        <v>22819.999999999996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7599.05</v>
      </c>
      <c r="AR971" s="189">
        <f t="shared" si="142"/>
        <v>7970.7</v>
      </c>
      <c r="AS971" s="189">
        <f t="shared" si="138"/>
        <v>7497.9999999999991</v>
      </c>
      <c r="AT971" s="189">
        <f t="shared" si="139"/>
        <v>14995.999999999998</v>
      </c>
      <c r="AU971" s="50">
        <f t="shared" si="140"/>
        <v>15452.400000000001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8068.3499999999976</v>
      </c>
      <c r="AR972" s="189">
        <f t="shared" si="142"/>
        <v>8524.8999999999978</v>
      </c>
      <c r="AS972" s="189">
        <f t="shared" si="138"/>
        <v>7497.9999999999991</v>
      </c>
      <c r="AT972" s="189">
        <f t="shared" si="139"/>
        <v>14995.999999999998</v>
      </c>
      <c r="AU972" s="50">
        <f t="shared" si="140"/>
        <v>16886.799999999996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8303</v>
      </c>
      <c r="AR973" s="189">
        <f t="shared" si="142"/>
        <v>8802</v>
      </c>
      <c r="AS973" s="189">
        <f t="shared" si="138"/>
        <v>7497.9999999999991</v>
      </c>
      <c r="AT973" s="189">
        <f t="shared" si="139"/>
        <v>14995.999999999998</v>
      </c>
      <c r="AU973" s="50">
        <f t="shared" si="140"/>
        <v>17604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8303</v>
      </c>
      <c r="AR974" s="189">
        <f t="shared" si="142"/>
        <v>8802</v>
      </c>
      <c r="AS974" s="189">
        <f t="shared" si="138"/>
        <v>7497.9999999999991</v>
      </c>
      <c r="AT974" s="189">
        <f t="shared" si="139"/>
        <v>14995.999999999998</v>
      </c>
      <c r="AU974" s="50">
        <f t="shared" si="140"/>
        <v>17604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8303</v>
      </c>
      <c r="AR975" s="189">
        <f t="shared" si="142"/>
        <v>8802</v>
      </c>
      <c r="AS975" s="189">
        <f t="shared" si="138"/>
        <v>7497.9999999999991</v>
      </c>
      <c r="AT975" s="189">
        <f t="shared" si="139"/>
        <v>14995.999999999998</v>
      </c>
      <c r="AU975" s="50">
        <f t="shared" si="140"/>
        <v>17604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8303</v>
      </c>
      <c r="AR976" s="189">
        <f t="shared" si="142"/>
        <v>8802</v>
      </c>
      <c r="AS976" s="189">
        <f t="shared" si="138"/>
        <v>7497.9999999999991</v>
      </c>
      <c r="AT976" s="189">
        <f t="shared" si="139"/>
        <v>14995.999999999998</v>
      </c>
      <c r="AU976" s="50">
        <f t="shared" si="140"/>
        <v>17604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8303</v>
      </c>
      <c r="AR977" s="189">
        <f t="shared" si="142"/>
        <v>8802</v>
      </c>
      <c r="AS977" s="189">
        <f t="shared" si="138"/>
        <v>7497.9999999999991</v>
      </c>
      <c r="AT977" s="189">
        <f t="shared" si="139"/>
        <v>14995.999999999998</v>
      </c>
      <c r="AU977" s="50">
        <f t="shared" si="140"/>
        <v>17604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8303</v>
      </c>
      <c r="AR978" s="189">
        <f t="shared" si="142"/>
        <v>8802</v>
      </c>
      <c r="AS978" s="189">
        <f t="shared" si="138"/>
        <v>7497.9999999999991</v>
      </c>
      <c r="AT978" s="189">
        <f t="shared" si="139"/>
        <v>14995.999999999998</v>
      </c>
      <c r="AU978" s="50">
        <f t="shared" si="140"/>
        <v>17604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8303</v>
      </c>
      <c r="AR979" s="189">
        <f t="shared" si="142"/>
        <v>8802</v>
      </c>
      <c r="AS979" s="189">
        <f t="shared" si="138"/>
        <v>7497.9999999999991</v>
      </c>
      <c r="AT979" s="189">
        <f t="shared" si="139"/>
        <v>14995.999999999998</v>
      </c>
      <c r="AU979" s="50">
        <f t="shared" si="140"/>
        <v>17604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8303</v>
      </c>
      <c r="AR980" s="189">
        <f t="shared" si="142"/>
        <v>8802</v>
      </c>
      <c r="AS980" s="189">
        <f t="shared" si="138"/>
        <v>7497.9999999999991</v>
      </c>
      <c r="AT980" s="189">
        <f t="shared" si="139"/>
        <v>14995.999999999998</v>
      </c>
      <c r="AU980" s="50">
        <f t="shared" si="140"/>
        <v>17604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8303</v>
      </c>
      <c r="AR981" s="189">
        <f t="shared" si="142"/>
        <v>8802</v>
      </c>
      <c r="AS981" s="189">
        <f t="shared" si="138"/>
        <v>7497.9999999999991</v>
      </c>
      <c r="AT981" s="189">
        <f t="shared" si="139"/>
        <v>14995.999999999998</v>
      </c>
      <c r="AU981" s="50">
        <f t="shared" si="140"/>
        <v>17604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5728.24</v>
      </c>
      <c r="AR982" s="189">
        <f t="shared" si="142"/>
        <v>5675.51</v>
      </c>
      <c r="AS982" s="189">
        <f t="shared" si="138"/>
        <v>6469.07</v>
      </c>
      <c r="AT982" s="189">
        <f t="shared" si="139"/>
        <v>11032.039999999997</v>
      </c>
      <c r="AU982" s="50">
        <f t="shared" si="140"/>
        <v>8511.32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6279.44</v>
      </c>
      <c r="AR983" s="189">
        <f t="shared" si="142"/>
        <v>6336.81</v>
      </c>
      <c r="AS983" s="189">
        <f t="shared" si="138"/>
        <v>6974.7699999999986</v>
      </c>
      <c r="AT983" s="189">
        <f t="shared" si="139"/>
        <v>12432.439999999999</v>
      </c>
      <c r="AU983" s="50">
        <f t="shared" si="140"/>
        <v>10222.919999999998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6830.6399999999994</v>
      </c>
      <c r="AR984" s="189">
        <f t="shared" si="142"/>
        <v>6998.11</v>
      </c>
      <c r="AS984" s="189">
        <f t="shared" si="138"/>
        <v>7480.4699999999984</v>
      </c>
      <c r="AT984" s="189">
        <f t="shared" si="139"/>
        <v>13832.839999999998</v>
      </c>
      <c r="AU984" s="50">
        <f t="shared" si="140"/>
        <v>11934.519999999999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7381.8399999999983</v>
      </c>
      <c r="AR985" s="189">
        <f t="shared" si="142"/>
        <v>7659.41</v>
      </c>
      <c r="AS985" s="189">
        <f t="shared" si="138"/>
        <v>7986.17</v>
      </c>
      <c r="AT985" s="189">
        <f t="shared" si="139"/>
        <v>15233.239999999998</v>
      </c>
      <c r="AU985" s="50">
        <f t="shared" si="140"/>
        <v>13646.119999999999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7933.04</v>
      </c>
      <c r="AR986" s="189">
        <f t="shared" si="142"/>
        <v>8320.7099999999991</v>
      </c>
      <c r="AS986" s="189">
        <f t="shared" si="138"/>
        <v>8491.869999999999</v>
      </c>
      <c r="AT986" s="189">
        <f t="shared" si="139"/>
        <v>16633.64</v>
      </c>
      <c r="AU986" s="50">
        <f t="shared" si="140"/>
        <v>15357.72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8484.24</v>
      </c>
      <c r="AR987" s="189">
        <f t="shared" si="142"/>
        <v>8982.0099999999984</v>
      </c>
      <c r="AS987" s="189">
        <f t="shared" si="138"/>
        <v>8947</v>
      </c>
      <c r="AT987" s="189">
        <f t="shared" si="139"/>
        <v>17894</v>
      </c>
      <c r="AU987" s="50">
        <f t="shared" si="140"/>
        <v>17069.32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9035.4399999999987</v>
      </c>
      <c r="AR988" s="189">
        <f t="shared" si="142"/>
        <v>9643.31</v>
      </c>
      <c r="AS988" s="189">
        <f t="shared" si="138"/>
        <v>8947</v>
      </c>
      <c r="AT988" s="189">
        <f t="shared" si="139"/>
        <v>17894</v>
      </c>
      <c r="AU988" s="50">
        <f t="shared" si="140"/>
        <v>18780.919999999998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9586.6400000000012</v>
      </c>
      <c r="AR989" s="189">
        <f t="shared" si="142"/>
        <v>10304.61</v>
      </c>
      <c r="AS989" s="189">
        <f t="shared" si="138"/>
        <v>8947</v>
      </c>
      <c r="AT989" s="189">
        <f t="shared" si="139"/>
        <v>17894</v>
      </c>
      <c r="AU989" s="50">
        <f t="shared" si="140"/>
        <v>20492.52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9752</v>
      </c>
      <c r="AR990" s="189">
        <f t="shared" si="142"/>
        <v>10502.999999999998</v>
      </c>
      <c r="AS990" s="189">
        <f t="shared" si="138"/>
        <v>8947</v>
      </c>
      <c r="AT990" s="189">
        <f t="shared" si="139"/>
        <v>17894</v>
      </c>
      <c r="AU990" s="50">
        <f t="shared" si="140"/>
        <v>21005.999999999996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9752</v>
      </c>
      <c r="AR991" s="189">
        <f t="shared" si="142"/>
        <v>10502.999999999998</v>
      </c>
      <c r="AS991" s="189">
        <f t="shared" si="138"/>
        <v>8947</v>
      </c>
      <c r="AT991" s="189">
        <f t="shared" si="139"/>
        <v>17894</v>
      </c>
      <c r="AU991" s="50">
        <f t="shared" si="140"/>
        <v>21005.999999999996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9752</v>
      </c>
      <c r="AR992" s="189">
        <f t="shared" si="142"/>
        <v>10502.999999999998</v>
      </c>
      <c r="AS992" s="189">
        <f t="shared" si="138"/>
        <v>8947</v>
      </c>
      <c r="AT992" s="189">
        <f t="shared" si="139"/>
        <v>17894</v>
      </c>
      <c r="AU992" s="50">
        <f t="shared" si="140"/>
        <v>21005.999999999996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4230.8100000000004</v>
      </c>
      <c r="AR993" s="189">
        <f t="shared" si="142"/>
        <v>3907.5400000000004</v>
      </c>
      <c r="AS993" s="189">
        <f t="shared" si="138"/>
        <v>4910.9800000000005</v>
      </c>
      <c r="AT993" s="189">
        <f t="shared" si="139"/>
        <v>8714.56</v>
      </c>
      <c r="AU993" s="50">
        <f t="shared" si="140"/>
        <v>6165.28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4831.1099999999997</v>
      </c>
      <c r="AR994" s="189">
        <f t="shared" si="142"/>
        <v>4517.7400000000007</v>
      </c>
      <c r="AS994" s="189">
        <f t="shared" si="138"/>
        <v>5430.78</v>
      </c>
      <c r="AT994" s="189">
        <f t="shared" si="139"/>
        <v>9980.159999999998</v>
      </c>
      <c r="AU994" s="50">
        <f t="shared" si="140"/>
        <v>7611.6799999999994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5431.41</v>
      </c>
      <c r="AR995" s="189">
        <f t="shared" si="142"/>
        <v>5127.9399999999996</v>
      </c>
      <c r="AS995" s="189">
        <f t="shared" si="138"/>
        <v>5950.58</v>
      </c>
      <c r="AT995" s="189">
        <f t="shared" si="139"/>
        <v>11245.76</v>
      </c>
      <c r="AU995" s="50">
        <f t="shared" si="140"/>
        <v>9058.08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6031.71</v>
      </c>
      <c r="AR996" s="189">
        <f t="shared" si="142"/>
        <v>5738.1399999999994</v>
      </c>
      <c r="AS996" s="189">
        <f t="shared" si="138"/>
        <v>6470.3799999999992</v>
      </c>
      <c r="AT996" s="189">
        <f t="shared" si="139"/>
        <v>12511.359999999999</v>
      </c>
      <c r="AU996" s="50">
        <f t="shared" si="140"/>
        <v>10504.479999999998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6632.01</v>
      </c>
      <c r="AR997" s="189">
        <f t="shared" si="142"/>
        <v>6348.34</v>
      </c>
      <c r="AS997" s="189">
        <f t="shared" si="138"/>
        <v>6990.18</v>
      </c>
      <c r="AT997" s="189">
        <f t="shared" si="139"/>
        <v>13776.960000000001</v>
      </c>
      <c r="AU997" s="50">
        <f t="shared" si="140"/>
        <v>11950.880000000001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7232.3099999999995</v>
      </c>
      <c r="AR998" s="189">
        <f t="shared" si="142"/>
        <v>6958.5399999999991</v>
      </c>
      <c r="AS998" s="189">
        <f t="shared" si="138"/>
        <v>7458</v>
      </c>
      <c r="AT998" s="189">
        <f t="shared" si="139"/>
        <v>14916</v>
      </c>
      <c r="AU998" s="50">
        <f t="shared" si="140"/>
        <v>13397.279999999997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7832.61</v>
      </c>
      <c r="AR999" s="189">
        <f t="shared" si="142"/>
        <v>7568.74</v>
      </c>
      <c r="AS999" s="189">
        <f t="shared" si="138"/>
        <v>7458</v>
      </c>
      <c r="AT999" s="189">
        <f t="shared" si="139"/>
        <v>14916</v>
      </c>
      <c r="AU999" s="50">
        <f t="shared" si="140"/>
        <v>14843.679999999998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8432.91</v>
      </c>
      <c r="AR1000" s="189">
        <f t="shared" si="142"/>
        <v>8178.94</v>
      </c>
      <c r="AS1000" s="189">
        <f t="shared" si="138"/>
        <v>7458</v>
      </c>
      <c r="AT1000" s="189">
        <f t="shared" si="139"/>
        <v>14916</v>
      </c>
      <c r="AU1000" s="50">
        <f t="shared" si="140"/>
        <v>16290.079999999998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8613</v>
      </c>
      <c r="AR1001" s="189">
        <f t="shared" si="142"/>
        <v>8362</v>
      </c>
      <c r="AS1001" s="189">
        <f t="shared" si="138"/>
        <v>7458</v>
      </c>
      <c r="AT1001" s="189">
        <f t="shared" si="139"/>
        <v>14916</v>
      </c>
      <c r="AU1001" s="50">
        <f t="shared" si="140"/>
        <v>16724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8613</v>
      </c>
      <c r="AR1002" s="189">
        <f t="shared" si="142"/>
        <v>8362</v>
      </c>
      <c r="AS1002" s="189">
        <f t="shared" si="138"/>
        <v>7458</v>
      </c>
      <c r="AT1002" s="189">
        <f t="shared" si="139"/>
        <v>14916</v>
      </c>
      <c r="AU1002" s="50">
        <f t="shared" si="140"/>
        <v>16724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8613</v>
      </c>
      <c r="AR1003" s="189">
        <f t="shared" si="142"/>
        <v>8362</v>
      </c>
      <c r="AS1003" s="189">
        <f t="shared" si="138"/>
        <v>7458</v>
      </c>
      <c r="AT1003" s="189">
        <f t="shared" si="139"/>
        <v>14916</v>
      </c>
      <c r="AU1003" s="50">
        <f t="shared" si="140"/>
        <v>16724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5937.75</v>
      </c>
      <c r="AR1004" s="189">
        <f t="shared" si="142"/>
        <v>5909.9</v>
      </c>
      <c r="AS1004" s="189">
        <f t="shared" si="138"/>
        <v>5650</v>
      </c>
      <c r="AT1004" s="189">
        <f t="shared" si="139"/>
        <v>11300</v>
      </c>
      <c r="AU1004" s="50">
        <f t="shared" si="140"/>
        <v>11480.8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6329.2499999999991</v>
      </c>
      <c r="AR1005" s="189">
        <f t="shared" si="142"/>
        <v>6339.2999999999993</v>
      </c>
      <c r="AS1005" s="189">
        <f t="shared" si="138"/>
        <v>5650</v>
      </c>
      <c r="AT1005" s="189">
        <f t="shared" si="139"/>
        <v>11300</v>
      </c>
      <c r="AU1005" s="50">
        <f t="shared" si="140"/>
        <v>12565.599999999999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6525</v>
      </c>
      <c r="AR1006" s="189">
        <f t="shared" si="142"/>
        <v>6554</v>
      </c>
      <c r="AS1006" s="189">
        <f t="shared" si="138"/>
        <v>5650</v>
      </c>
      <c r="AT1006" s="189">
        <f t="shared" si="139"/>
        <v>11300</v>
      </c>
      <c r="AU1006" s="50">
        <f t="shared" si="140"/>
        <v>13108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6525</v>
      </c>
      <c r="AR1007" s="189">
        <f t="shared" si="142"/>
        <v>6554</v>
      </c>
      <c r="AS1007" s="189">
        <f t="shared" si="138"/>
        <v>5650</v>
      </c>
      <c r="AT1007" s="189">
        <f t="shared" si="139"/>
        <v>11300</v>
      </c>
      <c r="AU1007" s="50">
        <f t="shared" si="140"/>
        <v>13108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6525</v>
      </c>
      <c r="AR1008" s="189">
        <f t="shared" si="142"/>
        <v>6554</v>
      </c>
      <c r="AS1008" s="189">
        <f t="shared" si="138"/>
        <v>5650</v>
      </c>
      <c r="AT1008" s="189">
        <f t="shared" si="139"/>
        <v>11300</v>
      </c>
      <c r="AU1008" s="50">
        <f t="shared" si="140"/>
        <v>13108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6525</v>
      </c>
      <c r="AR1009" s="189">
        <f t="shared" si="142"/>
        <v>6554</v>
      </c>
      <c r="AS1009" s="189">
        <f t="shared" si="138"/>
        <v>5650</v>
      </c>
      <c r="AT1009" s="189">
        <f t="shared" si="139"/>
        <v>11300</v>
      </c>
      <c r="AU1009" s="50">
        <f t="shared" si="140"/>
        <v>13108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6525</v>
      </c>
      <c r="AR1010" s="189">
        <f t="shared" si="142"/>
        <v>6554</v>
      </c>
      <c r="AS1010" s="189">
        <f t="shared" si="138"/>
        <v>5650</v>
      </c>
      <c r="AT1010" s="189">
        <f t="shared" si="139"/>
        <v>11300</v>
      </c>
      <c r="AU1010" s="50">
        <f t="shared" si="140"/>
        <v>13108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6525</v>
      </c>
      <c r="AR1011" s="189">
        <f t="shared" si="142"/>
        <v>6554</v>
      </c>
      <c r="AS1011" s="189">
        <f t="shared" si="138"/>
        <v>5650</v>
      </c>
      <c r="AT1011" s="189">
        <f t="shared" si="139"/>
        <v>11300</v>
      </c>
      <c r="AU1011" s="50">
        <f t="shared" si="140"/>
        <v>13108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6525</v>
      </c>
      <c r="AR1012" s="189">
        <f t="shared" si="142"/>
        <v>6554</v>
      </c>
      <c r="AS1012" s="189">
        <f t="shared" si="138"/>
        <v>5650</v>
      </c>
      <c r="AT1012" s="189">
        <f t="shared" si="139"/>
        <v>11300</v>
      </c>
      <c r="AU1012" s="50">
        <f t="shared" si="140"/>
        <v>13108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6525</v>
      </c>
      <c r="AR1013" s="189">
        <f t="shared" si="142"/>
        <v>6554</v>
      </c>
      <c r="AS1013" s="189">
        <f t="shared" si="138"/>
        <v>5650</v>
      </c>
      <c r="AT1013" s="189">
        <f t="shared" si="139"/>
        <v>11300</v>
      </c>
      <c r="AU1013" s="50">
        <f t="shared" si="140"/>
        <v>13108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6525</v>
      </c>
      <c r="AR1014" s="189">
        <f t="shared" si="142"/>
        <v>6554</v>
      </c>
      <c r="AS1014" s="189">
        <f t="shared" si="138"/>
        <v>5650</v>
      </c>
      <c r="AT1014" s="189">
        <f t="shared" si="139"/>
        <v>11300</v>
      </c>
      <c r="AU1014" s="50">
        <f t="shared" si="140"/>
        <v>13108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4552.2</v>
      </c>
      <c r="AR1015" s="189">
        <f t="shared" si="142"/>
        <v>4372.57</v>
      </c>
      <c r="AS1015" s="189">
        <f t="shared" si="138"/>
        <v>5100.8499999999995</v>
      </c>
      <c r="AT1015" s="189">
        <f t="shared" si="139"/>
        <v>8785.6</v>
      </c>
      <c r="AU1015" s="50">
        <f t="shared" si="140"/>
        <v>6635.4400000000005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5038.2000000000007</v>
      </c>
      <c r="AR1016" s="189">
        <f t="shared" si="142"/>
        <v>4921.6699999999992</v>
      </c>
      <c r="AS1016" s="189">
        <f t="shared" si="138"/>
        <v>5534.35</v>
      </c>
      <c r="AT1016" s="189">
        <f t="shared" si="139"/>
        <v>9941.6</v>
      </c>
      <c r="AU1016" s="50">
        <f t="shared" si="140"/>
        <v>8022.6399999999994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5524.1999999999989</v>
      </c>
      <c r="AR1017" s="189">
        <f t="shared" si="142"/>
        <v>5470.7699999999995</v>
      </c>
      <c r="AS1017" s="189">
        <f t="shared" si="138"/>
        <v>5967.8499999999995</v>
      </c>
      <c r="AT1017" s="189">
        <f t="shared" si="139"/>
        <v>11097.6</v>
      </c>
      <c r="AU1017" s="50">
        <f t="shared" si="140"/>
        <v>9409.84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6010.2</v>
      </c>
      <c r="AR1018" s="189">
        <f t="shared" si="142"/>
        <v>6019.869999999999</v>
      </c>
      <c r="AS1018" s="189">
        <f t="shared" si="138"/>
        <v>6401.3499999999995</v>
      </c>
      <c r="AT1018" s="189">
        <f t="shared" si="139"/>
        <v>12253.6</v>
      </c>
      <c r="AU1018" s="50">
        <f t="shared" si="140"/>
        <v>10797.039999999999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6496.2</v>
      </c>
      <c r="AR1019" s="189">
        <f t="shared" si="142"/>
        <v>6568.97</v>
      </c>
      <c r="AS1019" s="189">
        <f t="shared" si="138"/>
        <v>6834.8499999999995</v>
      </c>
      <c r="AT1019" s="189">
        <f t="shared" si="139"/>
        <v>13409.599999999999</v>
      </c>
      <c r="AU1019" s="50">
        <f t="shared" si="140"/>
        <v>12184.24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6982.2000000000007</v>
      </c>
      <c r="AR1020" s="189">
        <f t="shared" si="142"/>
        <v>7118.0700000000006</v>
      </c>
      <c r="AS1020" s="189">
        <f t="shared" si="138"/>
        <v>7225</v>
      </c>
      <c r="AT1020" s="189">
        <f t="shared" si="139"/>
        <v>14450</v>
      </c>
      <c r="AU1020" s="50">
        <f t="shared" si="140"/>
        <v>13571.439999999999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7468.1999999999989</v>
      </c>
      <c r="AR1021" s="189">
        <f t="shared" si="142"/>
        <v>7667.17</v>
      </c>
      <c r="AS1021" s="189">
        <f t="shared" si="138"/>
        <v>7225</v>
      </c>
      <c r="AT1021" s="189">
        <f t="shared" si="139"/>
        <v>14450</v>
      </c>
      <c r="AU1021" s="50">
        <f t="shared" si="140"/>
        <v>14958.640000000001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7954.2</v>
      </c>
      <c r="AR1022" s="189">
        <f t="shared" si="142"/>
        <v>8216.27</v>
      </c>
      <c r="AS1022" s="189">
        <f t="shared" si="138"/>
        <v>7225</v>
      </c>
      <c r="AT1022" s="189">
        <f t="shared" si="139"/>
        <v>14450</v>
      </c>
      <c r="AU1022" s="50">
        <f t="shared" si="140"/>
        <v>16345.839999999998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8100</v>
      </c>
      <c r="AR1023" s="189">
        <f t="shared" si="142"/>
        <v>8381</v>
      </c>
      <c r="AS1023" s="189">
        <f t="shared" si="138"/>
        <v>7225</v>
      </c>
      <c r="AT1023" s="189">
        <f t="shared" si="139"/>
        <v>14450</v>
      </c>
      <c r="AU1023" s="50">
        <f t="shared" si="140"/>
        <v>16762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8100</v>
      </c>
      <c r="AR1024" s="189">
        <f t="shared" si="142"/>
        <v>8381</v>
      </c>
      <c r="AS1024" s="189">
        <f t="shared" si="138"/>
        <v>7225</v>
      </c>
      <c r="AT1024" s="189">
        <f t="shared" si="139"/>
        <v>14450</v>
      </c>
      <c r="AU1024" s="50">
        <f t="shared" si="140"/>
        <v>16762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8100</v>
      </c>
      <c r="AR1025" s="189">
        <f t="shared" si="142"/>
        <v>8381</v>
      </c>
      <c r="AS1025" s="189">
        <f t="shared" si="138"/>
        <v>7225</v>
      </c>
      <c r="AT1025" s="189">
        <f t="shared" si="139"/>
        <v>14450</v>
      </c>
      <c r="AU1025" s="50">
        <f t="shared" si="140"/>
        <v>16762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4555.01</v>
      </c>
      <c r="AR1026" s="189">
        <f t="shared" si="142"/>
        <v>4253.34</v>
      </c>
      <c r="AS1026" s="189">
        <f t="shared" si="138"/>
        <v>5345.58</v>
      </c>
      <c r="AT1026" s="189">
        <f t="shared" si="139"/>
        <v>9485.76</v>
      </c>
      <c r="AU1026" s="50">
        <f t="shared" si="140"/>
        <v>6710.8799999999992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5201.3099999999995</v>
      </c>
      <c r="AR1027" s="189">
        <f t="shared" si="142"/>
        <v>4917.54</v>
      </c>
      <c r="AS1027" s="189">
        <f t="shared" ref="AS1027:AS1090" si="143">$AG$3*(1+$AJ1027*$Y$2+$AN1027)*(MAXA(1-$AI$3-$AL1027*$AA$3-$AP1027-0.36,0)+MINA($AI$3+$AL1027*$AA$3+$AP1027+0.36,1)*(1+$AH$3+$AO1027+$AK1027*$Z$4))</f>
        <v>5911.38</v>
      </c>
      <c r="AT1027" s="189">
        <f t="shared" ref="AT1027:AT1090" si="144">$AG$3*(1+$AJ1027*$Y$2+$AN1027)*(MAXA(1-$AI$3-$AL1027*$AA$3-$AP1027-0.36,0)+2*MINA($AI$3+$AL1027*$AA$3+$AP1027+0.36,1)*(1+$AH$3+$AO1027+$AK1027*$Z$4))</f>
        <v>10863.359999999999</v>
      </c>
      <c r="AU1027" s="50">
        <f t="shared" ref="AU1027:AU1090" si="145">$AG$3*(1+$AJ1027*$Y$2+$AN1027)*(MAXA(1-$AI$3-$AL1027*$AA$3-$AP1027-0.12,0)+2*MINA($AI$3+$AL1027*$AA$3+$AP1027+0.12,1)*(1+$AH$3+$AO1027+$AK1027*$Z$4+0.4))</f>
        <v>8285.2799999999988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5847.61</v>
      </c>
      <c r="AR1028" s="189">
        <f t="shared" ref="AR1028:AR1091" si="147">$AG$3*(1+$AJ1028*$Y$2+$AN1028)*(MAXA(1-$AI$3-$AL1028*$AA$3-$AP1028-0.12,0)+MINA($AI$3+$AL1028*$AA$3+$AP1028+0.12,1)*(1+$AH$3+$AO1028+$AK1028*$Z$4+0.4))</f>
        <v>5581.7399999999989</v>
      </c>
      <c r="AS1028" s="189">
        <f t="shared" si="143"/>
        <v>6477.18</v>
      </c>
      <c r="AT1028" s="189">
        <f t="shared" si="144"/>
        <v>12240.96</v>
      </c>
      <c r="AU1028" s="50">
        <f t="shared" si="145"/>
        <v>9859.68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6493.91</v>
      </c>
      <c r="AR1029" s="189">
        <f t="shared" si="147"/>
        <v>6245.94</v>
      </c>
      <c r="AS1029" s="189">
        <f t="shared" si="143"/>
        <v>7042.9799999999987</v>
      </c>
      <c r="AT1029" s="189">
        <f t="shared" si="144"/>
        <v>13618.56</v>
      </c>
      <c r="AU1029" s="50">
        <f t="shared" si="145"/>
        <v>11434.079999999996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7140.21</v>
      </c>
      <c r="AR1030" s="189">
        <f t="shared" si="147"/>
        <v>6910.14</v>
      </c>
      <c r="AS1030" s="189">
        <f t="shared" si="143"/>
        <v>7608.78</v>
      </c>
      <c r="AT1030" s="189">
        <f t="shared" si="144"/>
        <v>14996.16</v>
      </c>
      <c r="AU1030" s="50">
        <f t="shared" si="145"/>
        <v>13008.480000000001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7786.5099999999993</v>
      </c>
      <c r="AR1031" s="189">
        <f t="shared" si="147"/>
        <v>7574.3399999999992</v>
      </c>
      <c r="AS1031" s="189">
        <f t="shared" si="143"/>
        <v>8118</v>
      </c>
      <c r="AT1031" s="189">
        <f t="shared" si="144"/>
        <v>16236</v>
      </c>
      <c r="AU1031" s="50">
        <f t="shared" si="145"/>
        <v>14582.879999999997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8432.81</v>
      </c>
      <c r="AR1032" s="189">
        <f t="shared" si="147"/>
        <v>8238.5399999999991</v>
      </c>
      <c r="AS1032" s="189">
        <f t="shared" si="143"/>
        <v>8118</v>
      </c>
      <c r="AT1032" s="189">
        <f t="shared" si="144"/>
        <v>16236</v>
      </c>
      <c r="AU1032" s="50">
        <f t="shared" si="145"/>
        <v>16157.279999999999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9079.1099999999988</v>
      </c>
      <c r="AR1033" s="189">
        <f t="shared" si="147"/>
        <v>8902.74</v>
      </c>
      <c r="AS1033" s="189">
        <f t="shared" si="143"/>
        <v>8118</v>
      </c>
      <c r="AT1033" s="189">
        <f t="shared" si="144"/>
        <v>16236</v>
      </c>
      <c r="AU1033" s="50">
        <f t="shared" si="145"/>
        <v>17731.679999999997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9273</v>
      </c>
      <c r="AR1034" s="189">
        <f t="shared" si="147"/>
        <v>9102</v>
      </c>
      <c r="AS1034" s="189">
        <f t="shared" si="143"/>
        <v>8118</v>
      </c>
      <c r="AT1034" s="189">
        <f t="shared" si="144"/>
        <v>16236</v>
      </c>
      <c r="AU1034" s="50">
        <f t="shared" si="145"/>
        <v>18204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9273</v>
      </c>
      <c r="AR1035" s="189">
        <f t="shared" si="147"/>
        <v>9102</v>
      </c>
      <c r="AS1035" s="189">
        <f t="shared" si="143"/>
        <v>8118</v>
      </c>
      <c r="AT1035" s="189">
        <f t="shared" si="144"/>
        <v>16236</v>
      </c>
      <c r="AU1035" s="50">
        <f t="shared" si="145"/>
        <v>18204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9273</v>
      </c>
      <c r="AR1036" s="189">
        <f t="shared" si="147"/>
        <v>9102</v>
      </c>
      <c r="AS1036" s="189">
        <f t="shared" si="143"/>
        <v>8118</v>
      </c>
      <c r="AT1036" s="189">
        <f t="shared" si="144"/>
        <v>16236</v>
      </c>
      <c r="AU1036" s="50">
        <f t="shared" si="145"/>
        <v>18204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6392.75</v>
      </c>
      <c r="AR1037" s="189">
        <f t="shared" si="147"/>
        <v>6432.9</v>
      </c>
      <c r="AS1037" s="189">
        <f t="shared" si="143"/>
        <v>6150</v>
      </c>
      <c r="AT1037" s="189">
        <f t="shared" si="144"/>
        <v>12300</v>
      </c>
      <c r="AU1037" s="50">
        <f t="shared" si="145"/>
        <v>12496.8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6814.2499999999991</v>
      </c>
      <c r="AR1038" s="189">
        <f t="shared" si="147"/>
        <v>6900.2999999999993</v>
      </c>
      <c r="AS1038" s="189">
        <f t="shared" si="143"/>
        <v>6150</v>
      </c>
      <c r="AT1038" s="189">
        <f t="shared" si="144"/>
        <v>12300</v>
      </c>
      <c r="AU1038" s="50">
        <f t="shared" si="145"/>
        <v>13677.599999999999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7025</v>
      </c>
      <c r="AR1039" s="189">
        <f t="shared" si="147"/>
        <v>7134</v>
      </c>
      <c r="AS1039" s="189">
        <f t="shared" si="143"/>
        <v>6150</v>
      </c>
      <c r="AT1039" s="189">
        <f t="shared" si="144"/>
        <v>12300</v>
      </c>
      <c r="AU1039" s="50">
        <f t="shared" si="145"/>
        <v>14268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7025</v>
      </c>
      <c r="AR1040" s="189">
        <f t="shared" si="147"/>
        <v>7134</v>
      </c>
      <c r="AS1040" s="189">
        <f t="shared" si="143"/>
        <v>6150</v>
      </c>
      <c r="AT1040" s="189">
        <f t="shared" si="144"/>
        <v>12300</v>
      </c>
      <c r="AU1040" s="50">
        <f t="shared" si="145"/>
        <v>14268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7025</v>
      </c>
      <c r="AR1041" s="189">
        <f t="shared" si="147"/>
        <v>7134</v>
      </c>
      <c r="AS1041" s="189">
        <f t="shared" si="143"/>
        <v>6150</v>
      </c>
      <c r="AT1041" s="189">
        <f t="shared" si="144"/>
        <v>12300</v>
      </c>
      <c r="AU1041" s="50">
        <f t="shared" si="145"/>
        <v>14268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7025</v>
      </c>
      <c r="AR1042" s="189">
        <f t="shared" si="147"/>
        <v>7134</v>
      </c>
      <c r="AS1042" s="189">
        <f t="shared" si="143"/>
        <v>6150</v>
      </c>
      <c r="AT1042" s="189">
        <f t="shared" si="144"/>
        <v>12300</v>
      </c>
      <c r="AU1042" s="50">
        <f t="shared" si="145"/>
        <v>14268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7025</v>
      </c>
      <c r="AR1043" s="189">
        <f t="shared" si="147"/>
        <v>7134</v>
      </c>
      <c r="AS1043" s="189">
        <f t="shared" si="143"/>
        <v>6150</v>
      </c>
      <c r="AT1043" s="189">
        <f t="shared" si="144"/>
        <v>12300</v>
      </c>
      <c r="AU1043" s="50">
        <f t="shared" si="145"/>
        <v>14268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7025</v>
      </c>
      <c r="AR1044" s="189">
        <f t="shared" si="147"/>
        <v>7134</v>
      </c>
      <c r="AS1044" s="189">
        <f t="shared" si="143"/>
        <v>6150</v>
      </c>
      <c r="AT1044" s="189">
        <f t="shared" si="144"/>
        <v>12300</v>
      </c>
      <c r="AU1044" s="50">
        <f t="shared" si="145"/>
        <v>14268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7025</v>
      </c>
      <c r="AR1045" s="189">
        <f t="shared" si="147"/>
        <v>7134</v>
      </c>
      <c r="AS1045" s="189">
        <f t="shared" si="143"/>
        <v>6150</v>
      </c>
      <c r="AT1045" s="189">
        <f t="shared" si="144"/>
        <v>12300</v>
      </c>
      <c r="AU1045" s="50">
        <f t="shared" si="145"/>
        <v>14268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7025</v>
      </c>
      <c r="AR1046" s="189">
        <f t="shared" si="147"/>
        <v>7134</v>
      </c>
      <c r="AS1046" s="189">
        <f t="shared" si="143"/>
        <v>6150</v>
      </c>
      <c r="AT1046" s="189">
        <f t="shared" si="144"/>
        <v>12300</v>
      </c>
      <c r="AU1046" s="50">
        <f t="shared" si="145"/>
        <v>14268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7025</v>
      </c>
      <c r="AR1047" s="189">
        <f t="shared" si="147"/>
        <v>7134</v>
      </c>
      <c r="AS1047" s="189">
        <f t="shared" si="143"/>
        <v>6150</v>
      </c>
      <c r="AT1047" s="189">
        <f t="shared" si="144"/>
        <v>12300</v>
      </c>
      <c r="AU1047" s="50">
        <f t="shared" si="145"/>
        <v>14268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4833.2000000000007</v>
      </c>
      <c r="AR1048" s="189">
        <f t="shared" si="147"/>
        <v>4675.17</v>
      </c>
      <c r="AS1048" s="189">
        <f t="shared" si="143"/>
        <v>5453.85</v>
      </c>
      <c r="AT1048" s="189">
        <f t="shared" si="144"/>
        <v>9393.6000000000022</v>
      </c>
      <c r="AU1048" s="50">
        <f t="shared" si="145"/>
        <v>7094.6400000000021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5349.2000000000016</v>
      </c>
      <c r="AR1049" s="189">
        <f t="shared" si="147"/>
        <v>5262.27</v>
      </c>
      <c r="AS1049" s="189">
        <f t="shared" si="143"/>
        <v>5917.3500000000013</v>
      </c>
      <c r="AT1049" s="189">
        <f t="shared" si="144"/>
        <v>10629.600000000002</v>
      </c>
      <c r="AU1049" s="50">
        <f t="shared" si="145"/>
        <v>8577.84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5865.2</v>
      </c>
      <c r="AR1050" s="189">
        <f t="shared" si="147"/>
        <v>5849.37</v>
      </c>
      <c r="AS1050" s="189">
        <f t="shared" si="143"/>
        <v>6380.85</v>
      </c>
      <c r="AT1050" s="189">
        <f t="shared" si="144"/>
        <v>11865.600000000002</v>
      </c>
      <c r="AU1050" s="50">
        <f t="shared" si="145"/>
        <v>10061.040000000001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6381.2000000000007</v>
      </c>
      <c r="AR1051" s="189">
        <f t="shared" si="147"/>
        <v>6436.47</v>
      </c>
      <c r="AS1051" s="189">
        <f t="shared" si="143"/>
        <v>6844.35</v>
      </c>
      <c r="AT1051" s="189">
        <f t="shared" si="144"/>
        <v>13101.600000000002</v>
      </c>
      <c r="AU1051" s="50">
        <f t="shared" si="145"/>
        <v>11544.240000000002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6897.2000000000007</v>
      </c>
      <c r="AR1052" s="189">
        <f t="shared" si="147"/>
        <v>7023.5700000000015</v>
      </c>
      <c r="AS1052" s="189">
        <f t="shared" si="143"/>
        <v>7307.85</v>
      </c>
      <c r="AT1052" s="189">
        <f t="shared" si="144"/>
        <v>14337.6</v>
      </c>
      <c r="AU1052" s="50">
        <f t="shared" si="145"/>
        <v>13027.440000000002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7413.2000000000016</v>
      </c>
      <c r="AR1053" s="189">
        <f t="shared" si="147"/>
        <v>7610.670000000001</v>
      </c>
      <c r="AS1053" s="189">
        <f t="shared" si="143"/>
        <v>7725.0000000000009</v>
      </c>
      <c r="AT1053" s="189">
        <f t="shared" si="144"/>
        <v>15450.000000000002</v>
      </c>
      <c r="AU1053" s="50">
        <f t="shared" si="145"/>
        <v>14510.640000000001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7929.2</v>
      </c>
      <c r="AR1054" s="189">
        <f t="shared" si="147"/>
        <v>8197.77</v>
      </c>
      <c r="AS1054" s="189">
        <f t="shared" si="143"/>
        <v>7725.0000000000009</v>
      </c>
      <c r="AT1054" s="189">
        <f t="shared" si="144"/>
        <v>15450.000000000002</v>
      </c>
      <c r="AU1054" s="50">
        <f t="shared" si="145"/>
        <v>15993.840000000002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8445.2000000000007</v>
      </c>
      <c r="AR1055" s="189">
        <f t="shared" si="147"/>
        <v>8784.8700000000008</v>
      </c>
      <c r="AS1055" s="189">
        <f t="shared" si="143"/>
        <v>7725.0000000000009</v>
      </c>
      <c r="AT1055" s="189">
        <f t="shared" si="144"/>
        <v>15450.000000000002</v>
      </c>
      <c r="AU1055" s="50">
        <f t="shared" si="145"/>
        <v>17477.04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8600.0000000000018</v>
      </c>
      <c r="AR1056" s="189">
        <f t="shared" si="147"/>
        <v>8961.0000000000018</v>
      </c>
      <c r="AS1056" s="189">
        <f t="shared" si="143"/>
        <v>7725.0000000000009</v>
      </c>
      <c r="AT1056" s="189">
        <f t="shared" si="144"/>
        <v>15450.000000000002</v>
      </c>
      <c r="AU1056" s="50">
        <f t="shared" si="145"/>
        <v>17922.000000000004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8600.0000000000018</v>
      </c>
      <c r="AR1057" s="189">
        <f t="shared" si="147"/>
        <v>8961.0000000000018</v>
      </c>
      <c r="AS1057" s="189">
        <f t="shared" si="143"/>
        <v>7725.0000000000009</v>
      </c>
      <c r="AT1057" s="189">
        <f t="shared" si="144"/>
        <v>15450.000000000002</v>
      </c>
      <c r="AU1057" s="50">
        <f t="shared" si="145"/>
        <v>17922.000000000004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8600.0000000000018</v>
      </c>
      <c r="AR1058" s="189">
        <f t="shared" si="147"/>
        <v>8961.0000000000018</v>
      </c>
      <c r="AS1058" s="189">
        <f t="shared" si="143"/>
        <v>7725.0000000000009</v>
      </c>
      <c r="AT1058" s="189">
        <f t="shared" si="144"/>
        <v>15450.000000000002</v>
      </c>
      <c r="AU1058" s="50">
        <f t="shared" si="145"/>
        <v>17922.000000000004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4879.21</v>
      </c>
      <c r="AR1059" s="189">
        <f t="shared" si="147"/>
        <v>4599.1399999999994</v>
      </c>
      <c r="AS1059" s="189">
        <f t="shared" si="143"/>
        <v>5780.1799999999994</v>
      </c>
      <c r="AT1059" s="189">
        <f t="shared" si="144"/>
        <v>10256.959999999997</v>
      </c>
      <c r="AU1059" s="50">
        <f t="shared" si="145"/>
        <v>7256.4799999999977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5571.51</v>
      </c>
      <c r="AR1060" s="189">
        <f t="shared" si="147"/>
        <v>5317.3399999999992</v>
      </c>
      <c r="AS1060" s="189">
        <f t="shared" si="143"/>
        <v>6391.9799999999987</v>
      </c>
      <c r="AT1060" s="189">
        <f t="shared" si="144"/>
        <v>11746.559999999996</v>
      </c>
      <c r="AU1060" s="50">
        <f t="shared" si="145"/>
        <v>8958.8799999999974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6263.8099999999995</v>
      </c>
      <c r="AR1061" s="189">
        <f t="shared" si="147"/>
        <v>6035.5399999999981</v>
      </c>
      <c r="AS1061" s="189">
        <f t="shared" si="143"/>
        <v>7003.7799999999988</v>
      </c>
      <c r="AT1061" s="189">
        <f t="shared" si="144"/>
        <v>13236.159999999998</v>
      </c>
      <c r="AU1061" s="50">
        <f t="shared" si="145"/>
        <v>10661.279999999999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6956.11</v>
      </c>
      <c r="AR1062" s="189">
        <f t="shared" si="147"/>
        <v>6753.739999999998</v>
      </c>
      <c r="AS1062" s="189">
        <f t="shared" si="143"/>
        <v>7615.5799999999972</v>
      </c>
      <c r="AT1062" s="189">
        <f t="shared" si="144"/>
        <v>14725.759999999997</v>
      </c>
      <c r="AU1062" s="50">
        <f t="shared" si="145"/>
        <v>12363.679999999995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7648.41</v>
      </c>
      <c r="AR1063" s="189">
        <f t="shared" si="147"/>
        <v>7471.94</v>
      </c>
      <c r="AS1063" s="189">
        <f t="shared" si="143"/>
        <v>8227.3799999999992</v>
      </c>
      <c r="AT1063" s="189">
        <f t="shared" si="144"/>
        <v>16215.359999999997</v>
      </c>
      <c r="AU1063" s="50">
        <f t="shared" si="145"/>
        <v>14066.079999999998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8340.7099999999991</v>
      </c>
      <c r="AR1064" s="189">
        <f t="shared" si="147"/>
        <v>8190.1399999999976</v>
      </c>
      <c r="AS1064" s="189">
        <f t="shared" si="143"/>
        <v>8777.9999999999982</v>
      </c>
      <c r="AT1064" s="189">
        <f t="shared" si="144"/>
        <v>17555.999999999996</v>
      </c>
      <c r="AU1064" s="50">
        <f t="shared" si="145"/>
        <v>15768.479999999994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9033.01</v>
      </c>
      <c r="AR1065" s="189">
        <f t="shared" si="147"/>
        <v>8908.3399999999983</v>
      </c>
      <c r="AS1065" s="189">
        <f t="shared" si="143"/>
        <v>8777.9999999999982</v>
      </c>
      <c r="AT1065" s="189">
        <f t="shared" si="144"/>
        <v>17555.999999999996</v>
      </c>
      <c r="AU1065" s="50">
        <f t="shared" si="145"/>
        <v>17470.879999999997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9725.31</v>
      </c>
      <c r="AR1066" s="189">
        <f t="shared" si="147"/>
        <v>9626.5399999999972</v>
      </c>
      <c r="AS1066" s="189">
        <f t="shared" si="143"/>
        <v>8777.9999999999982</v>
      </c>
      <c r="AT1066" s="189">
        <f t="shared" si="144"/>
        <v>17555.999999999996</v>
      </c>
      <c r="AU1066" s="50">
        <f t="shared" si="145"/>
        <v>19173.279999999995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9933</v>
      </c>
      <c r="AR1067" s="189">
        <f t="shared" si="147"/>
        <v>9841.9999999999982</v>
      </c>
      <c r="AS1067" s="189">
        <f t="shared" si="143"/>
        <v>8777.9999999999982</v>
      </c>
      <c r="AT1067" s="189">
        <f t="shared" si="144"/>
        <v>17555.999999999996</v>
      </c>
      <c r="AU1067" s="50">
        <f t="shared" si="145"/>
        <v>19683.999999999996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9933</v>
      </c>
      <c r="AR1068" s="189">
        <f t="shared" si="147"/>
        <v>9841.9999999999982</v>
      </c>
      <c r="AS1068" s="189">
        <f t="shared" si="143"/>
        <v>8777.9999999999982</v>
      </c>
      <c r="AT1068" s="189">
        <f t="shared" si="144"/>
        <v>17555.999999999996</v>
      </c>
      <c r="AU1068" s="50">
        <f t="shared" si="145"/>
        <v>19683.999999999996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9933</v>
      </c>
      <c r="AR1069" s="189">
        <f t="shared" si="147"/>
        <v>9841.9999999999982</v>
      </c>
      <c r="AS1069" s="189">
        <f t="shared" si="143"/>
        <v>8777.9999999999982</v>
      </c>
      <c r="AT1069" s="189">
        <f t="shared" si="144"/>
        <v>17555.999999999996</v>
      </c>
      <c r="AU1069" s="50">
        <f t="shared" si="145"/>
        <v>19683.999999999996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6847.75</v>
      </c>
      <c r="AR1070" s="189">
        <f t="shared" si="147"/>
        <v>6955.8999999999978</v>
      </c>
      <c r="AS1070" s="189">
        <f t="shared" si="143"/>
        <v>6649.9999999999991</v>
      </c>
      <c r="AT1070" s="189">
        <f t="shared" si="144"/>
        <v>13299.999999999998</v>
      </c>
      <c r="AU1070" s="50">
        <f t="shared" si="145"/>
        <v>13512.799999999997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7299.2499999999991</v>
      </c>
      <c r="AR1071" s="189">
        <f t="shared" si="147"/>
        <v>7461.2999999999984</v>
      </c>
      <c r="AS1071" s="189">
        <f t="shared" si="143"/>
        <v>6649.9999999999991</v>
      </c>
      <c r="AT1071" s="189">
        <f t="shared" si="144"/>
        <v>13299.999999999998</v>
      </c>
      <c r="AU1071" s="50">
        <f t="shared" si="145"/>
        <v>14789.599999999997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7525</v>
      </c>
      <c r="AR1072" s="189">
        <f t="shared" si="147"/>
        <v>7713.9999999999982</v>
      </c>
      <c r="AS1072" s="189">
        <f t="shared" si="143"/>
        <v>6649.9999999999991</v>
      </c>
      <c r="AT1072" s="189">
        <f t="shared" si="144"/>
        <v>13299.999999999998</v>
      </c>
      <c r="AU1072" s="50">
        <f t="shared" si="145"/>
        <v>15427.999999999996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7525</v>
      </c>
      <c r="AR1073" s="189">
        <f t="shared" si="147"/>
        <v>7713.9999999999982</v>
      </c>
      <c r="AS1073" s="189">
        <f t="shared" si="143"/>
        <v>6649.9999999999991</v>
      </c>
      <c r="AT1073" s="189">
        <f t="shared" si="144"/>
        <v>13299.999999999998</v>
      </c>
      <c r="AU1073" s="50">
        <f t="shared" si="145"/>
        <v>15427.999999999996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7525</v>
      </c>
      <c r="AR1074" s="189">
        <f t="shared" si="147"/>
        <v>7713.9999999999982</v>
      </c>
      <c r="AS1074" s="189">
        <f t="shared" si="143"/>
        <v>6649.9999999999991</v>
      </c>
      <c r="AT1074" s="189">
        <f t="shared" si="144"/>
        <v>13299.999999999998</v>
      </c>
      <c r="AU1074" s="50">
        <f t="shared" si="145"/>
        <v>15427.999999999996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7525</v>
      </c>
      <c r="AR1075" s="189">
        <f t="shared" si="147"/>
        <v>7713.9999999999982</v>
      </c>
      <c r="AS1075" s="189">
        <f t="shared" si="143"/>
        <v>6649.9999999999991</v>
      </c>
      <c r="AT1075" s="189">
        <f t="shared" si="144"/>
        <v>13299.999999999998</v>
      </c>
      <c r="AU1075" s="50">
        <f t="shared" si="145"/>
        <v>15427.999999999996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7525</v>
      </c>
      <c r="AR1076" s="189">
        <f t="shared" si="147"/>
        <v>7713.9999999999982</v>
      </c>
      <c r="AS1076" s="189">
        <f t="shared" si="143"/>
        <v>6649.9999999999991</v>
      </c>
      <c r="AT1076" s="189">
        <f t="shared" si="144"/>
        <v>13299.999999999998</v>
      </c>
      <c r="AU1076" s="50">
        <f t="shared" si="145"/>
        <v>15427.999999999996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7525</v>
      </c>
      <c r="AR1077" s="189">
        <f t="shared" si="147"/>
        <v>7713.9999999999982</v>
      </c>
      <c r="AS1077" s="189">
        <f t="shared" si="143"/>
        <v>6649.9999999999991</v>
      </c>
      <c r="AT1077" s="189">
        <f t="shared" si="144"/>
        <v>13299.999999999998</v>
      </c>
      <c r="AU1077" s="50">
        <f t="shared" si="145"/>
        <v>15427.999999999996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7525</v>
      </c>
      <c r="AR1078" s="189">
        <f t="shared" si="147"/>
        <v>7713.9999999999982</v>
      </c>
      <c r="AS1078" s="189">
        <f t="shared" si="143"/>
        <v>6649.9999999999991</v>
      </c>
      <c r="AT1078" s="189">
        <f t="shared" si="144"/>
        <v>13299.999999999998</v>
      </c>
      <c r="AU1078" s="50">
        <f t="shared" si="145"/>
        <v>15427.999999999996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7525</v>
      </c>
      <c r="AR1079" s="189">
        <f t="shared" si="147"/>
        <v>7713.9999999999982</v>
      </c>
      <c r="AS1079" s="189">
        <f t="shared" si="143"/>
        <v>6649.9999999999991</v>
      </c>
      <c r="AT1079" s="189">
        <f t="shared" si="144"/>
        <v>13299.999999999998</v>
      </c>
      <c r="AU1079" s="50">
        <f t="shared" si="145"/>
        <v>15427.999999999996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7525</v>
      </c>
      <c r="AR1080" s="189">
        <f t="shared" si="147"/>
        <v>7713.9999999999982</v>
      </c>
      <c r="AS1080" s="189">
        <f t="shared" si="143"/>
        <v>6649.9999999999991</v>
      </c>
      <c r="AT1080" s="189">
        <f t="shared" si="144"/>
        <v>13299.999999999998</v>
      </c>
      <c r="AU1080" s="50">
        <f t="shared" si="145"/>
        <v>15427.999999999996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5114.2</v>
      </c>
      <c r="AR1081" s="189">
        <f t="shared" si="147"/>
        <v>4977.7699999999995</v>
      </c>
      <c r="AS1081" s="189">
        <f t="shared" si="143"/>
        <v>5806.8499999999995</v>
      </c>
      <c r="AT1081" s="189">
        <f t="shared" si="144"/>
        <v>10001.6</v>
      </c>
      <c r="AU1081" s="50">
        <f t="shared" si="145"/>
        <v>7553.8400000000011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5660.2000000000007</v>
      </c>
      <c r="AR1082" s="189">
        <f t="shared" si="147"/>
        <v>5602.87</v>
      </c>
      <c r="AS1082" s="189">
        <f t="shared" si="143"/>
        <v>6300.35</v>
      </c>
      <c r="AT1082" s="189">
        <f t="shared" si="144"/>
        <v>11317.6</v>
      </c>
      <c r="AU1082" s="50">
        <f t="shared" si="145"/>
        <v>9133.0399999999991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6206.1999999999989</v>
      </c>
      <c r="AR1083" s="189">
        <f t="shared" si="147"/>
        <v>6227.9699999999993</v>
      </c>
      <c r="AS1083" s="189">
        <f t="shared" si="143"/>
        <v>6793.8499999999995</v>
      </c>
      <c r="AT1083" s="189">
        <f t="shared" si="144"/>
        <v>12633.6</v>
      </c>
      <c r="AU1083" s="50">
        <f t="shared" si="145"/>
        <v>10712.24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6752.2</v>
      </c>
      <c r="AR1084" s="189">
        <f t="shared" si="147"/>
        <v>6853.0699999999988</v>
      </c>
      <c r="AS1084" s="189">
        <f t="shared" si="143"/>
        <v>7287.3499999999995</v>
      </c>
      <c r="AT1084" s="189">
        <f t="shared" si="144"/>
        <v>13949.6</v>
      </c>
      <c r="AU1084" s="50">
        <f t="shared" si="145"/>
        <v>12291.439999999999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7298.2</v>
      </c>
      <c r="AR1085" s="189">
        <f t="shared" si="147"/>
        <v>7478.17</v>
      </c>
      <c r="AS1085" s="189">
        <f t="shared" si="143"/>
        <v>7780.8499999999995</v>
      </c>
      <c r="AT1085" s="189">
        <f t="shared" si="144"/>
        <v>15265.599999999999</v>
      </c>
      <c r="AU1085" s="50">
        <f t="shared" si="145"/>
        <v>13870.640000000001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7844.2000000000007</v>
      </c>
      <c r="AR1086" s="189">
        <f t="shared" si="147"/>
        <v>8103.27</v>
      </c>
      <c r="AS1086" s="189">
        <f t="shared" si="143"/>
        <v>8225</v>
      </c>
      <c r="AT1086" s="189">
        <f t="shared" si="144"/>
        <v>16450</v>
      </c>
      <c r="AU1086" s="50">
        <f t="shared" si="145"/>
        <v>15449.839999999998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8390.1999999999989</v>
      </c>
      <c r="AR1087" s="189">
        <f t="shared" si="147"/>
        <v>8728.3700000000008</v>
      </c>
      <c r="AS1087" s="189">
        <f t="shared" si="143"/>
        <v>8225</v>
      </c>
      <c r="AT1087" s="189">
        <f t="shared" si="144"/>
        <v>16450</v>
      </c>
      <c r="AU1087" s="50">
        <f t="shared" si="145"/>
        <v>17029.04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8936.2000000000007</v>
      </c>
      <c r="AR1088" s="189">
        <f t="shared" si="147"/>
        <v>9353.4699999999993</v>
      </c>
      <c r="AS1088" s="189">
        <f t="shared" si="143"/>
        <v>8225</v>
      </c>
      <c r="AT1088" s="189">
        <f t="shared" si="144"/>
        <v>16450</v>
      </c>
      <c r="AU1088" s="50">
        <f t="shared" si="145"/>
        <v>18608.239999999998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9100</v>
      </c>
      <c r="AR1089" s="189">
        <f t="shared" si="147"/>
        <v>9541</v>
      </c>
      <c r="AS1089" s="189">
        <f t="shared" si="143"/>
        <v>8225</v>
      </c>
      <c r="AT1089" s="189">
        <f t="shared" si="144"/>
        <v>16450</v>
      </c>
      <c r="AU1089" s="50">
        <f t="shared" si="145"/>
        <v>19082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9100</v>
      </c>
      <c r="AR1090" s="189">
        <f t="shared" si="147"/>
        <v>9541</v>
      </c>
      <c r="AS1090" s="189">
        <f t="shared" si="143"/>
        <v>8225</v>
      </c>
      <c r="AT1090" s="189">
        <f t="shared" si="144"/>
        <v>16450</v>
      </c>
      <c r="AU1090" s="50">
        <f t="shared" si="145"/>
        <v>19082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9100</v>
      </c>
      <c r="AR1091" s="189">
        <f t="shared" si="147"/>
        <v>9541</v>
      </c>
      <c r="AS1091" s="189">
        <f t="shared" ref="AS1091:AS1154" si="148">$AG$3*(1+$AJ1091*$Y$2+$AN1091)*(MAXA(1-$AI$3-$AL1091*$AA$3-$AP1091-0.36,0)+MINA($AI$3+$AL1091*$AA$3+$AP1091+0.36,1)*(1+$AH$3+$AO1091+$AK1091*$Z$4))</f>
        <v>8225</v>
      </c>
      <c r="AT1091" s="189">
        <f t="shared" ref="AT1091:AT1154" si="149">$AG$3*(1+$AJ1091*$Y$2+$AN1091)*(MAXA(1-$AI$3-$AL1091*$AA$3-$AP1091-0.36,0)+2*MINA($AI$3+$AL1091*$AA$3+$AP1091+0.36,1)*(1+$AH$3+$AO1091+$AK1091*$Z$4))</f>
        <v>16450</v>
      </c>
      <c r="AU1091" s="50">
        <f t="shared" ref="AU1091:AU1154" si="150">$AG$3*(1+$AJ1091*$Y$2+$AN1091)*(MAXA(1-$AI$3-$AL1091*$AA$3-$AP1091-0.12,0)+2*MINA($AI$3+$AL1091*$AA$3+$AP1091+0.12,1)*(1+$AH$3+$AO1091+$AK1091*$Z$4+0.4))</f>
        <v>19082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5203.41</v>
      </c>
      <c r="AR1092" s="189">
        <f t="shared" ref="AR1092:AR1155" si="152">$AG$3*(1+$AJ1092*$Y$2+$AN1092)*(MAXA(1-$AI$3-$AL1092*$AA$3-$AP1092-0.12,0)+MINA($AI$3+$AL1092*$AA$3+$AP1092+0.12,1)*(1+$AH$3+$AO1092+$AK1092*$Z$4+0.4))</f>
        <v>4944.9400000000005</v>
      </c>
      <c r="AS1092" s="189">
        <f t="shared" si="148"/>
        <v>6214.78</v>
      </c>
      <c r="AT1092" s="189">
        <f t="shared" si="149"/>
        <v>11028.16</v>
      </c>
      <c r="AU1092" s="50">
        <f t="shared" si="150"/>
        <v>7802.079999999999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5941.71</v>
      </c>
      <c r="AR1093" s="189">
        <f t="shared" si="152"/>
        <v>5717.14</v>
      </c>
      <c r="AS1093" s="189">
        <f t="shared" si="148"/>
        <v>6872.58</v>
      </c>
      <c r="AT1093" s="189">
        <f t="shared" si="149"/>
        <v>12629.759999999998</v>
      </c>
      <c r="AU1093" s="50">
        <f t="shared" si="150"/>
        <v>9632.48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6680.01</v>
      </c>
      <c r="AR1094" s="189">
        <f t="shared" si="152"/>
        <v>6489.3399999999992</v>
      </c>
      <c r="AS1094" s="189">
        <f t="shared" si="148"/>
        <v>7530.38</v>
      </c>
      <c r="AT1094" s="189">
        <f t="shared" si="149"/>
        <v>14231.36</v>
      </c>
      <c r="AU1094" s="50">
        <f t="shared" si="150"/>
        <v>11462.88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7418.3099999999995</v>
      </c>
      <c r="AR1095" s="189">
        <f t="shared" si="152"/>
        <v>7261.5399999999991</v>
      </c>
      <c r="AS1095" s="189">
        <f t="shared" si="148"/>
        <v>8188.1799999999985</v>
      </c>
      <c r="AT1095" s="189">
        <f t="shared" si="149"/>
        <v>15832.96</v>
      </c>
      <c r="AU1095" s="50">
        <f t="shared" si="150"/>
        <v>13293.279999999997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8156.61</v>
      </c>
      <c r="AR1096" s="189">
        <f t="shared" si="152"/>
        <v>8033.7400000000007</v>
      </c>
      <c r="AS1096" s="189">
        <f t="shared" si="148"/>
        <v>8845.98</v>
      </c>
      <c r="AT1096" s="189">
        <f t="shared" si="149"/>
        <v>17434.560000000001</v>
      </c>
      <c r="AU1096" s="50">
        <f t="shared" si="150"/>
        <v>15123.68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8894.91</v>
      </c>
      <c r="AR1097" s="189">
        <f t="shared" si="152"/>
        <v>8805.9399999999987</v>
      </c>
      <c r="AS1097" s="189">
        <f t="shared" si="148"/>
        <v>9438</v>
      </c>
      <c r="AT1097" s="189">
        <f t="shared" si="149"/>
        <v>18876</v>
      </c>
      <c r="AU1097" s="50">
        <f t="shared" si="150"/>
        <v>16954.079999999998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9633.2099999999991</v>
      </c>
      <c r="AR1098" s="189">
        <f t="shared" si="152"/>
        <v>9578.14</v>
      </c>
      <c r="AS1098" s="189">
        <f t="shared" si="148"/>
        <v>9438</v>
      </c>
      <c r="AT1098" s="189">
        <f t="shared" si="149"/>
        <v>18876</v>
      </c>
      <c r="AU1098" s="50">
        <f t="shared" si="150"/>
        <v>18784.48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10371.51</v>
      </c>
      <c r="AR1099" s="189">
        <f t="shared" si="152"/>
        <v>10350.34</v>
      </c>
      <c r="AS1099" s="189">
        <f t="shared" si="148"/>
        <v>9438</v>
      </c>
      <c r="AT1099" s="189">
        <f t="shared" si="149"/>
        <v>18876</v>
      </c>
      <c r="AU1099" s="50">
        <f t="shared" si="150"/>
        <v>20614.879999999997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10593</v>
      </c>
      <c r="AR1100" s="189">
        <f t="shared" si="152"/>
        <v>10582</v>
      </c>
      <c r="AS1100" s="189">
        <f t="shared" si="148"/>
        <v>9438</v>
      </c>
      <c r="AT1100" s="189">
        <f t="shared" si="149"/>
        <v>18876</v>
      </c>
      <c r="AU1100" s="50">
        <f t="shared" si="150"/>
        <v>21164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10593</v>
      </c>
      <c r="AR1101" s="189">
        <f t="shared" si="152"/>
        <v>10582</v>
      </c>
      <c r="AS1101" s="189">
        <f t="shared" si="148"/>
        <v>9438</v>
      </c>
      <c r="AT1101" s="189">
        <f t="shared" si="149"/>
        <v>18876</v>
      </c>
      <c r="AU1101" s="50">
        <f t="shared" si="150"/>
        <v>21164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10593</v>
      </c>
      <c r="AR1102" s="189">
        <f t="shared" si="152"/>
        <v>10582</v>
      </c>
      <c r="AS1102" s="189">
        <f t="shared" si="148"/>
        <v>9438</v>
      </c>
      <c r="AT1102" s="189">
        <f t="shared" si="149"/>
        <v>18876</v>
      </c>
      <c r="AU1102" s="50">
        <f t="shared" si="150"/>
        <v>21164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7302.75</v>
      </c>
      <c r="AR1103" s="189">
        <f t="shared" si="152"/>
        <v>7478.9</v>
      </c>
      <c r="AS1103" s="189">
        <f t="shared" si="148"/>
        <v>7150</v>
      </c>
      <c r="AT1103" s="189">
        <f t="shared" si="149"/>
        <v>14300</v>
      </c>
      <c r="AU1103" s="50">
        <f t="shared" si="150"/>
        <v>14528.800000000001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7784.2499999999991</v>
      </c>
      <c r="AR1104" s="189">
        <f t="shared" si="152"/>
        <v>8022.2999999999993</v>
      </c>
      <c r="AS1104" s="189">
        <f t="shared" si="148"/>
        <v>7150</v>
      </c>
      <c r="AT1104" s="189">
        <f t="shared" si="149"/>
        <v>14300</v>
      </c>
      <c r="AU1104" s="50">
        <f t="shared" si="150"/>
        <v>15901.599999999999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8025</v>
      </c>
      <c r="AR1105" s="189">
        <f t="shared" si="152"/>
        <v>8294</v>
      </c>
      <c r="AS1105" s="189">
        <f t="shared" si="148"/>
        <v>7150</v>
      </c>
      <c r="AT1105" s="189">
        <f t="shared" si="149"/>
        <v>14300</v>
      </c>
      <c r="AU1105" s="50">
        <f t="shared" si="150"/>
        <v>16588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8025</v>
      </c>
      <c r="AR1106" s="189">
        <f t="shared" si="152"/>
        <v>8294</v>
      </c>
      <c r="AS1106" s="189">
        <f t="shared" si="148"/>
        <v>7150</v>
      </c>
      <c r="AT1106" s="189">
        <f t="shared" si="149"/>
        <v>14300</v>
      </c>
      <c r="AU1106" s="50">
        <f t="shared" si="150"/>
        <v>16588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8025</v>
      </c>
      <c r="AR1107" s="189">
        <f t="shared" si="152"/>
        <v>8294</v>
      </c>
      <c r="AS1107" s="189">
        <f t="shared" si="148"/>
        <v>7150</v>
      </c>
      <c r="AT1107" s="189">
        <f t="shared" si="149"/>
        <v>14300</v>
      </c>
      <c r="AU1107" s="50">
        <f t="shared" si="150"/>
        <v>16588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8025</v>
      </c>
      <c r="AR1108" s="189">
        <f t="shared" si="152"/>
        <v>8294</v>
      </c>
      <c r="AS1108" s="189">
        <f t="shared" si="148"/>
        <v>7150</v>
      </c>
      <c r="AT1108" s="189">
        <f t="shared" si="149"/>
        <v>14300</v>
      </c>
      <c r="AU1108" s="50">
        <f t="shared" si="150"/>
        <v>16588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8025</v>
      </c>
      <c r="AR1109" s="189">
        <f t="shared" si="152"/>
        <v>8294</v>
      </c>
      <c r="AS1109" s="189">
        <f t="shared" si="148"/>
        <v>7150</v>
      </c>
      <c r="AT1109" s="189">
        <f t="shared" si="149"/>
        <v>14300</v>
      </c>
      <c r="AU1109" s="50">
        <f t="shared" si="150"/>
        <v>16588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8025</v>
      </c>
      <c r="AR1110" s="189">
        <f t="shared" si="152"/>
        <v>8294</v>
      </c>
      <c r="AS1110" s="189">
        <f t="shared" si="148"/>
        <v>7150</v>
      </c>
      <c r="AT1110" s="189">
        <f t="shared" si="149"/>
        <v>14300</v>
      </c>
      <c r="AU1110" s="50">
        <f t="shared" si="150"/>
        <v>16588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8025</v>
      </c>
      <c r="AR1111" s="189">
        <f t="shared" si="152"/>
        <v>8294</v>
      </c>
      <c r="AS1111" s="189">
        <f t="shared" si="148"/>
        <v>7150</v>
      </c>
      <c r="AT1111" s="189">
        <f t="shared" si="149"/>
        <v>14300</v>
      </c>
      <c r="AU1111" s="50">
        <f t="shared" si="150"/>
        <v>16588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8025</v>
      </c>
      <c r="AR1112" s="189">
        <f t="shared" si="152"/>
        <v>8294</v>
      </c>
      <c r="AS1112" s="189">
        <f t="shared" si="148"/>
        <v>7150</v>
      </c>
      <c r="AT1112" s="189">
        <f t="shared" si="149"/>
        <v>14300</v>
      </c>
      <c r="AU1112" s="50">
        <f t="shared" si="150"/>
        <v>16588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8025</v>
      </c>
      <c r="AR1113" s="189">
        <f t="shared" si="152"/>
        <v>8294</v>
      </c>
      <c r="AS1113" s="189">
        <f t="shared" si="148"/>
        <v>7150</v>
      </c>
      <c r="AT1113" s="189">
        <f t="shared" si="149"/>
        <v>14300</v>
      </c>
      <c r="AU1113" s="50">
        <f t="shared" si="150"/>
        <v>16588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5395.2000000000007</v>
      </c>
      <c r="AR1114" s="189">
        <f t="shared" si="152"/>
        <v>5280.37</v>
      </c>
      <c r="AS1114" s="189">
        <f t="shared" si="148"/>
        <v>6159.8499999999995</v>
      </c>
      <c r="AT1114" s="189">
        <f t="shared" si="149"/>
        <v>10609.6</v>
      </c>
      <c r="AU1114" s="50">
        <f t="shared" si="150"/>
        <v>8013.0400000000009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5971.2000000000016</v>
      </c>
      <c r="AR1115" s="189">
        <f t="shared" si="152"/>
        <v>5943.4699999999993</v>
      </c>
      <c r="AS1115" s="189">
        <f t="shared" si="148"/>
        <v>6683.35</v>
      </c>
      <c r="AT1115" s="189">
        <f t="shared" si="149"/>
        <v>12005.6</v>
      </c>
      <c r="AU1115" s="50">
        <f t="shared" si="150"/>
        <v>9688.24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6547.1999999999989</v>
      </c>
      <c r="AR1116" s="189">
        <f t="shared" si="152"/>
        <v>6606.57</v>
      </c>
      <c r="AS1116" s="189">
        <f t="shared" si="148"/>
        <v>7206.8499999999995</v>
      </c>
      <c r="AT1116" s="189">
        <f t="shared" si="149"/>
        <v>13401.6</v>
      </c>
      <c r="AU1116" s="50">
        <f t="shared" si="150"/>
        <v>11363.439999999999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7123.2000000000007</v>
      </c>
      <c r="AR1117" s="189">
        <f t="shared" si="152"/>
        <v>7269.6699999999992</v>
      </c>
      <c r="AS1117" s="189">
        <f t="shared" si="148"/>
        <v>7730.3499999999995</v>
      </c>
      <c r="AT1117" s="189">
        <f t="shared" si="149"/>
        <v>14797.6</v>
      </c>
      <c r="AU1117" s="50">
        <f t="shared" si="150"/>
        <v>13038.64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7699.2000000000007</v>
      </c>
      <c r="AR1118" s="189">
        <f t="shared" si="152"/>
        <v>7932.77</v>
      </c>
      <c r="AS1118" s="189">
        <f t="shared" si="148"/>
        <v>8253.8499999999985</v>
      </c>
      <c r="AT1118" s="189">
        <f t="shared" si="149"/>
        <v>16193.599999999999</v>
      </c>
      <c r="AU1118" s="50">
        <f t="shared" si="150"/>
        <v>14713.84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8275.2000000000025</v>
      </c>
      <c r="AR1119" s="189">
        <f t="shared" si="152"/>
        <v>8595.8700000000008</v>
      </c>
      <c r="AS1119" s="189">
        <f t="shared" si="148"/>
        <v>8725</v>
      </c>
      <c r="AT1119" s="189">
        <f t="shared" si="149"/>
        <v>17450</v>
      </c>
      <c r="AU1119" s="50">
        <f t="shared" si="150"/>
        <v>16389.04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8851.2000000000007</v>
      </c>
      <c r="AR1120" s="189">
        <f t="shared" si="152"/>
        <v>9258.9699999999993</v>
      </c>
      <c r="AS1120" s="189">
        <f t="shared" si="148"/>
        <v>8725</v>
      </c>
      <c r="AT1120" s="189">
        <f t="shared" si="149"/>
        <v>17450</v>
      </c>
      <c r="AU1120" s="50">
        <f t="shared" si="150"/>
        <v>18064.240000000002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9427.2000000000007</v>
      </c>
      <c r="AR1121" s="189">
        <f t="shared" si="152"/>
        <v>9922.07</v>
      </c>
      <c r="AS1121" s="189">
        <f t="shared" si="148"/>
        <v>8725</v>
      </c>
      <c r="AT1121" s="189">
        <f t="shared" si="149"/>
        <v>17450</v>
      </c>
      <c r="AU1121" s="50">
        <f t="shared" si="150"/>
        <v>19739.439999999999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9600.0000000000018</v>
      </c>
      <c r="AR1122" s="189">
        <f t="shared" si="152"/>
        <v>10121</v>
      </c>
      <c r="AS1122" s="189">
        <f t="shared" si="148"/>
        <v>8725</v>
      </c>
      <c r="AT1122" s="189">
        <f t="shared" si="149"/>
        <v>17450</v>
      </c>
      <c r="AU1122" s="50">
        <f t="shared" si="150"/>
        <v>20242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9600.0000000000018</v>
      </c>
      <c r="AR1123" s="189">
        <f t="shared" si="152"/>
        <v>10121</v>
      </c>
      <c r="AS1123" s="189">
        <f t="shared" si="148"/>
        <v>8725</v>
      </c>
      <c r="AT1123" s="189">
        <f t="shared" si="149"/>
        <v>17450</v>
      </c>
      <c r="AU1123" s="50">
        <f t="shared" si="150"/>
        <v>20242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9600.0000000000018</v>
      </c>
      <c r="AR1124" s="189">
        <f t="shared" si="152"/>
        <v>10121</v>
      </c>
      <c r="AS1124" s="189">
        <f t="shared" si="148"/>
        <v>8725</v>
      </c>
      <c r="AT1124" s="189">
        <f t="shared" si="149"/>
        <v>17450</v>
      </c>
      <c r="AU1124" s="50">
        <f t="shared" si="150"/>
        <v>20242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5527.61</v>
      </c>
      <c r="AR1125" s="189">
        <f t="shared" si="152"/>
        <v>5290.74</v>
      </c>
      <c r="AS1125" s="189">
        <f t="shared" si="148"/>
        <v>6649.3799999999992</v>
      </c>
      <c r="AT1125" s="189">
        <f t="shared" si="149"/>
        <v>11799.359999999999</v>
      </c>
      <c r="AU1125" s="50">
        <f t="shared" si="150"/>
        <v>8347.6799999999985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6311.9099999999989</v>
      </c>
      <c r="AR1126" s="189">
        <f t="shared" si="152"/>
        <v>6116.94</v>
      </c>
      <c r="AS1126" s="189">
        <f t="shared" si="148"/>
        <v>7353.1799999999994</v>
      </c>
      <c r="AT1126" s="189">
        <f t="shared" si="149"/>
        <v>13512.959999999997</v>
      </c>
      <c r="AU1126" s="50">
        <f t="shared" si="150"/>
        <v>10306.079999999998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7096.2099999999991</v>
      </c>
      <c r="AR1127" s="189">
        <f t="shared" si="152"/>
        <v>6943.1399999999976</v>
      </c>
      <c r="AS1127" s="189">
        <f t="shared" si="148"/>
        <v>8056.9799999999987</v>
      </c>
      <c r="AT1127" s="189">
        <f t="shared" si="149"/>
        <v>15226.559999999998</v>
      </c>
      <c r="AU1127" s="50">
        <f t="shared" si="150"/>
        <v>12264.479999999998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7880.5099999999984</v>
      </c>
      <c r="AR1128" s="189">
        <f t="shared" si="152"/>
        <v>7769.3399999999983</v>
      </c>
      <c r="AS1128" s="189">
        <f t="shared" si="148"/>
        <v>8760.779999999997</v>
      </c>
      <c r="AT1128" s="189">
        <f t="shared" si="149"/>
        <v>16940.159999999996</v>
      </c>
      <c r="AU1128" s="50">
        <f t="shared" si="150"/>
        <v>14222.879999999994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8664.81</v>
      </c>
      <c r="AR1129" s="189">
        <f t="shared" si="152"/>
        <v>8595.5399999999991</v>
      </c>
      <c r="AS1129" s="189">
        <f t="shared" si="148"/>
        <v>9464.5799999999981</v>
      </c>
      <c r="AT1129" s="189">
        <f t="shared" si="149"/>
        <v>18653.759999999998</v>
      </c>
      <c r="AU1129" s="50">
        <f t="shared" si="150"/>
        <v>16181.279999999999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9449.1099999999988</v>
      </c>
      <c r="AR1130" s="189">
        <f t="shared" si="152"/>
        <v>9421.739999999998</v>
      </c>
      <c r="AS1130" s="189">
        <f t="shared" si="148"/>
        <v>10097.999999999998</v>
      </c>
      <c r="AT1130" s="189">
        <f t="shared" si="149"/>
        <v>20195.999999999996</v>
      </c>
      <c r="AU1130" s="50">
        <f t="shared" si="150"/>
        <v>18139.679999999993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10233.409999999998</v>
      </c>
      <c r="AR1131" s="189">
        <f t="shared" si="152"/>
        <v>10247.939999999997</v>
      </c>
      <c r="AS1131" s="189">
        <f t="shared" si="148"/>
        <v>10097.999999999998</v>
      </c>
      <c r="AT1131" s="189">
        <f t="shared" si="149"/>
        <v>20195.999999999996</v>
      </c>
      <c r="AU1131" s="50">
        <f t="shared" si="150"/>
        <v>20098.079999999994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11017.709999999997</v>
      </c>
      <c r="AR1132" s="189">
        <f t="shared" si="152"/>
        <v>11074.139999999998</v>
      </c>
      <c r="AS1132" s="189">
        <f t="shared" si="148"/>
        <v>10097.999999999998</v>
      </c>
      <c r="AT1132" s="189">
        <f t="shared" si="149"/>
        <v>20195.999999999996</v>
      </c>
      <c r="AU1132" s="50">
        <f t="shared" si="150"/>
        <v>22056.479999999996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11252.999999999998</v>
      </c>
      <c r="AR1133" s="189">
        <f t="shared" si="152"/>
        <v>11321.999999999998</v>
      </c>
      <c r="AS1133" s="189">
        <f t="shared" si="148"/>
        <v>10097.999999999998</v>
      </c>
      <c r="AT1133" s="189">
        <f t="shared" si="149"/>
        <v>20195.999999999996</v>
      </c>
      <c r="AU1133" s="50">
        <f t="shared" si="150"/>
        <v>22643.999999999996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11252.999999999998</v>
      </c>
      <c r="AR1134" s="189">
        <f t="shared" si="152"/>
        <v>11321.999999999998</v>
      </c>
      <c r="AS1134" s="189">
        <f t="shared" si="148"/>
        <v>10097.999999999998</v>
      </c>
      <c r="AT1134" s="189">
        <f t="shared" si="149"/>
        <v>20195.999999999996</v>
      </c>
      <c r="AU1134" s="50">
        <f t="shared" si="150"/>
        <v>22643.999999999996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11252.999999999998</v>
      </c>
      <c r="AR1135" s="189">
        <f t="shared" si="152"/>
        <v>11321.999999999998</v>
      </c>
      <c r="AS1135" s="189">
        <f t="shared" si="148"/>
        <v>10097.999999999998</v>
      </c>
      <c r="AT1135" s="189">
        <f t="shared" si="149"/>
        <v>20195.999999999996</v>
      </c>
      <c r="AU1135" s="50">
        <f t="shared" si="150"/>
        <v>22643.999999999996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7757.7499999999991</v>
      </c>
      <c r="AR1136" s="189">
        <f t="shared" si="152"/>
        <v>8001.8999999999978</v>
      </c>
      <c r="AS1136" s="189">
        <f t="shared" si="148"/>
        <v>7649.9999999999991</v>
      </c>
      <c r="AT1136" s="189">
        <f t="shared" si="149"/>
        <v>15299.999999999998</v>
      </c>
      <c r="AU1136" s="50">
        <f t="shared" si="150"/>
        <v>15544.799999999997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8269.2499999999982</v>
      </c>
      <c r="AR1137" s="189">
        <f t="shared" si="152"/>
        <v>8583.2999999999975</v>
      </c>
      <c r="AS1137" s="189">
        <f t="shared" si="148"/>
        <v>7649.9999999999991</v>
      </c>
      <c r="AT1137" s="189">
        <f t="shared" si="149"/>
        <v>15299.999999999998</v>
      </c>
      <c r="AU1137" s="50">
        <f t="shared" si="150"/>
        <v>17013.599999999995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8524.9999999999982</v>
      </c>
      <c r="AR1138" s="189">
        <f t="shared" si="152"/>
        <v>8873.9999999999982</v>
      </c>
      <c r="AS1138" s="189">
        <f t="shared" si="148"/>
        <v>7649.9999999999991</v>
      </c>
      <c r="AT1138" s="189">
        <f t="shared" si="149"/>
        <v>15299.999999999998</v>
      </c>
      <c r="AU1138" s="50">
        <f t="shared" si="150"/>
        <v>17747.999999999996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8524.9999999999982</v>
      </c>
      <c r="AR1139" s="189">
        <f t="shared" si="152"/>
        <v>8873.9999999999982</v>
      </c>
      <c r="AS1139" s="189">
        <f t="shared" si="148"/>
        <v>7649.9999999999991</v>
      </c>
      <c r="AT1139" s="189">
        <f t="shared" si="149"/>
        <v>15299.999999999998</v>
      </c>
      <c r="AU1139" s="50">
        <f t="shared" si="150"/>
        <v>17747.999999999996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8524.9999999999982</v>
      </c>
      <c r="AR1140" s="189">
        <f t="shared" si="152"/>
        <v>8873.9999999999982</v>
      </c>
      <c r="AS1140" s="189">
        <f t="shared" si="148"/>
        <v>7649.9999999999991</v>
      </c>
      <c r="AT1140" s="189">
        <f t="shared" si="149"/>
        <v>15299.999999999998</v>
      </c>
      <c r="AU1140" s="50">
        <f t="shared" si="150"/>
        <v>17747.999999999996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8524.9999999999982</v>
      </c>
      <c r="AR1141" s="189">
        <f t="shared" si="152"/>
        <v>8873.9999999999982</v>
      </c>
      <c r="AS1141" s="189">
        <f t="shared" si="148"/>
        <v>7649.9999999999991</v>
      </c>
      <c r="AT1141" s="189">
        <f t="shared" si="149"/>
        <v>15299.999999999998</v>
      </c>
      <c r="AU1141" s="50">
        <f t="shared" si="150"/>
        <v>17747.999999999996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8524.9999999999982</v>
      </c>
      <c r="AR1142" s="189">
        <f t="shared" si="152"/>
        <v>8873.9999999999982</v>
      </c>
      <c r="AS1142" s="189">
        <f t="shared" si="148"/>
        <v>7649.9999999999991</v>
      </c>
      <c r="AT1142" s="189">
        <f t="shared" si="149"/>
        <v>15299.999999999998</v>
      </c>
      <c r="AU1142" s="50">
        <f t="shared" si="150"/>
        <v>17747.999999999996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8524.9999999999982</v>
      </c>
      <c r="AR1143" s="189">
        <f t="shared" si="152"/>
        <v>8873.9999999999982</v>
      </c>
      <c r="AS1143" s="189">
        <f t="shared" si="148"/>
        <v>7649.9999999999991</v>
      </c>
      <c r="AT1143" s="189">
        <f t="shared" si="149"/>
        <v>15299.999999999998</v>
      </c>
      <c r="AU1143" s="50">
        <f t="shared" si="150"/>
        <v>17747.999999999996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8524.9999999999982</v>
      </c>
      <c r="AR1144" s="189">
        <f t="shared" si="152"/>
        <v>8873.9999999999982</v>
      </c>
      <c r="AS1144" s="189">
        <f t="shared" si="148"/>
        <v>7649.9999999999991</v>
      </c>
      <c r="AT1144" s="189">
        <f t="shared" si="149"/>
        <v>15299.999999999998</v>
      </c>
      <c r="AU1144" s="50">
        <f t="shared" si="150"/>
        <v>17747.999999999996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8524.9999999999982</v>
      </c>
      <c r="AR1145" s="189">
        <f t="shared" si="152"/>
        <v>8873.9999999999982</v>
      </c>
      <c r="AS1145" s="189">
        <f t="shared" si="148"/>
        <v>7649.9999999999991</v>
      </c>
      <c r="AT1145" s="189">
        <f t="shared" si="149"/>
        <v>15299.999999999998</v>
      </c>
      <c r="AU1145" s="50">
        <f t="shared" si="150"/>
        <v>17747.999999999996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8524.9999999999982</v>
      </c>
      <c r="AR1146" s="189">
        <f t="shared" si="152"/>
        <v>8873.9999999999982</v>
      </c>
      <c r="AS1146" s="189">
        <f t="shared" si="148"/>
        <v>7649.9999999999991</v>
      </c>
      <c r="AT1146" s="189">
        <f t="shared" si="149"/>
        <v>15299.999999999998</v>
      </c>
      <c r="AU1146" s="50">
        <f t="shared" si="150"/>
        <v>17747.999999999996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5676.2</v>
      </c>
      <c r="AR1147" s="189">
        <f t="shared" si="152"/>
        <v>5582.97</v>
      </c>
      <c r="AS1147" s="189">
        <f t="shared" si="148"/>
        <v>6512.85</v>
      </c>
      <c r="AT1147" s="189">
        <f t="shared" si="149"/>
        <v>11217.600000000002</v>
      </c>
      <c r="AU1147" s="50">
        <f t="shared" si="150"/>
        <v>8472.2400000000016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6282.2000000000007</v>
      </c>
      <c r="AR1148" s="189">
        <f t="shared" si="152"/>
        <v>6284.0700000000006</v>
      </c>
      <c r="AS1148" s="189">
        <f t="shared" si="148"/>
        <v>7066.3500000000013</v>
      </c>
      <c r="AT1148" s="189">
        <f t="shared" si="149"/>
        <v>12693.600000000002</v>
      </c>
      <c r="AU1148" s="50">
        <f t="shared" si="150"/>
        <v>10243.44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6888.1999999999989</v>
      </c>
      <c r="AR1149" s="189">
        <f t="shared" si="152"/>
        <v>6985.17</v>
      </c>
      <c r="AS1149" s="189">
        <f t="shared" si="148"/>
        <v>7619.85</v>
      </c>
      <c r="AT1149" s="189">
        <f t="shared" si="149"/>
        <v>14169.6</v>
      </c>
      <c r="AU1149" s="50">
        <f t="shared" si="150"/>
        <v>12014.640000000001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7494.2</v>
      </c>
      <c r="AR1150" s="189">
        <f t="shared" si="152"/>
        <v>7686.27</v>
      </c>
      <c r="AS1150" s="189">
        <f t="shared" si="148"/>
        <v>8173.35</v>
      </c>
      <c r="AT1150" s="189">
        <f t="shared" si="149"/>
        <v>15645.600000000002</v>
      </c>
      <c r="AU1150" s="50">
        <f t="shared" si="150"/>
        <v>13785.84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8100.2</v>
      </c>
      <c r="AR1151" s="189">
        <f t="shared" si="152"/>
        <v>8387.3700000000008</v>
      </c>
      <c r="AS1151" s="189">
        <f t="shared" si="148"/>
        <v>8726.85</v>
      </c>
      <c r="AT1151" s="189">
        <f t="shared" si="149"/>
        <v>17121.600000000002</v>
      </c>
      <c r="AU1151" s="50">
        <f t="shared" si="150"/>
        <v>15557.040000000003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8706.2000000000007</v>
      </c>
      <c r="AR1152" s="189">
        <f t="shared" si="152"/>
        <v>9088.4700000000012</v>
      </c>
      <c r="AS1152" s="189">
        <f t="shared" si="148"/>
        <v>9225.0000000000018</v>
      </c>
      <c r="AT1152" s="189">
        <f t="shared" si="149"/>
        <v>18450.000000000004</v>
      </c>
      <c r="AU1152" s="50">
        <f t="shared" si="150"/>
        <v>17328.240000000002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9312.1999999999989</v>
      </c>
      <c r="AR1153" s="189">
        <f t="shared" si="152"/>
        <v>9789.5700000000015</v>
      </c>
      <c r="AS1153" s="189">
        <f t="shared" si="148"/>
        <v>9225.0000000000018</v>
      </c>
      <c r="AT1153" s="189">
        <f t="shared" si="149"/>
        <v>18450.000000000004</v>
      </c>
      <c r="AU1153" s="50">
        <f t="shared" si="150"/>
        <v>19099.440000000002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9918.2000000000007</v>
      </c>
      <c r="AR1154" s="189">
        <f t="shared" si="152"/>
        <v>10490.670000000002</v>
      </c>
      <c r="AS1154" s="189">
        <f t="shared" si="148"/>
        <v>9225.0000000000018</v>
      </c>
      <c r="AT1154" s="189">
        <f t="shared" si="149"/>
        <v>18450.000000000004</v>
      </c>
      <c r="AU1154" s="50">
        <f t="shared" si="150"/>
        <v>20870.640000000003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10100</v>
      </c>
      <c r="AR1155" s="189">
        <f t="shared" si="152"/>
        <v>10701.000000000002</v>
      </c>
      <c r="AS1155" s="189">
        <f t="shared" ref="AS1155:AS1190" si="153">$AG$3*(1+$AJ1155*$Y$2+$AN1155)*(MAXA(1-$AI$3-$AL1155*$AA$3-$AP1155-0.36,0)+MINA($AI$3+$AL1155*$AA$3+$AP1155+0.36,1)*(1+$AH$3+$AO1155+$AK1155*$Z$4))</f>
        <v>9225.0000000000018</v>
      </c>
      <c r="AT1155" s="189">
        <f t="shared" ref="AT1155:AT1190" si="154">$AG$3*(1+$AJ1155*$Y$2+$AN1155)*(MAXA(1-$AI$3-$AL1155*$AA$3-$AP1155-0.36,0)+2*MINA($AI$3+$AL1155*$AA$3+$AP1155+0.36,1)*(1+$AH$3+$AO1155+$AK1155*$Z$4))</f>
        <v>18450.000000000004</v>
      </c>
      <c r="AU1155" s="50">
        <f t="shared" ref="AU1155:AU1190" si="155">$AG$3*(1+$AJ1155*$Y$2+$AN1155)*(MAXA(1-$AI$3-$AL1155*$AA$3-$AP1155-0.12,0)+2*MINA($AI$3+$AL1155*$AA$3+$AP1155+0.12,1)*(1+$AH$3+$AO1155+$AK1155*$Z$4+0.4))</f>
        <v>21402.000000000004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10100</v>
      </c>
      <c r="AR1156" s="189">
        <f t="shared" ref="AR1156:AR1190" si="157">$AG$3*(1+$AJ1156*$Y$2+$AN1156)*(MAXA(1-$AI$3-$AL1156*$AA$3-$AP1156-0.12,0)+MINA($AI$3+$AL1156*$AA$3+$AP1156+0.12,1)*(1+$AH$3+$AO1156+$AK1156*$Z$4+0.4))</f>
        <v>10701.000000000002</v>
      </c>
      <c r="AS1156" s="189">
        <f t="shared" si="153"/>
        <v>9225.0000000000018</v>
      </c>
      <c r="AT1156" s="189">
        <f t="shared" si="154"/>
        <v>18450.000000000004</v>
      </c>
      <c r="AU1156" s="50">
        <f t="shared" si="155"/>
        <v>21402.000000000004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10100</v>
      </c>
      <c r="AR1157" s="189">
        <f t="shared" si="157"/>
        <v>10701.000000000002</v>
      </c>
      <c r="AS1157" s="189">
        <f t="shared" si="153"/>
        <v>9225.0000000000018</v>
      </c>
      <c r="AT1157" s="189">
        <f t="shared" si="154"/>
        <v>18450.000000000004</v>
      </c>
      <c r="AU1157" s="50">
        <f t="shared" si="155"/>
        <v>21402.000000000004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5851.81</v>
      </c>
      <c r="AR1158" s="189">
        <f t="shared" si="157"/>
        <v>5636.54</v>
      </c>
      <c r="AS1158" s="189">
        <f t="shared" si="153"/>
        <v>7083.9800000000005</v>
      </c>
      <c r="AT1158" s="189">
        <f t="shared" si="154"/>
        <v>12570.56</v>
      </c>
      <c r="AU1158" s="50">
        <f t="shared" si="155"/>
        <v>8893.2799999999988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6682.11</v>
      </c>
      <c r="AR1159" s="189">
        <f t="shared" si="157"/>
        <v>6516.7400000000007</v>
      </c>
      <c r="AS1159" s="189">
        <f t="shared" si="153"/>
        <v>7833.78</v>
      </c>
      <c r="AT1159" s="189">
        <f t="shared" si="154"/>
        <v>14396.159999999998</v>
      </c>
      <c r="AU1159" s="50">
        <f t="shared" si="155"/>
        <v>10979.68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7512.41</v>
      </c>
      <c r="AR1160" s="189">
        <f t="shared" si="157"/>
        <v>7396.9399999999987</v>
      </c>
      <c r="AS1160" s="189">
        <f t="shared" si="153"/>
        <v>8583.58</v>
      </c>
      <c r="AT1160" s="189">
        <f t="shared" si="154"/>
        <v>16221.76</v>
      </c>
      <c r="AU1160" s="50">
        <f t="shared" si="155"/>
        <v>13066.08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8342.7099999999991</v>
      </c>
      <c r="AR1161" s="189">
        <f t="shared" si="157"/>
        <v>8277.14</v>
      </c>
      <c r="AS1161" s="189">
        <f t="shared" si="153"/>
        <v>9333.3799999999992</v>
      </c>
      <c r="AT1161" s="189">
        <f t="shared" si="154"/>
        <v>18047.359999999997</v>
      </c>
      <c r="AU1161" s="50">
        <f t="shared" si="155"/>
        <v>15152.479999999996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9173.01</v>
      </c>
      <c r="AR1162" s="189">
        <f t="shared" si="157"/>
        <v>9157.34</v>
      </c>
      <c r="AS1162" s="189">
        <f t="shared" si="153"/>
        <v>10083.18</v>
      </c>
      <c r="AT1162" s="189">
        <f t="shared" si="154"/>
        <v>19872.96</v>
      </c>
      <c r="AU1162" s="50">
        <f t="shared" si="155"/>
        <v>17238.88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10003.31</v>
      </c>
      <c r="AR1163" s="189">
        <f t="shared" si="157"/>
        <v>10037.539999999999</v>
      </c>
      <c r="AS1163" s="189">
        <f t="shared" si="153"/>
        <v>10758</v>
      </c>
      <c r="AT1163" s="189">
        <f t="shared" si="154"/>
        <v>21516</v>
      </c>
      <c r="AU1163" s="50">
        <f t="shared" si="155"/>
        <v>19325.279999999995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10833.609999999999</v>
      </c>
      <c r="AR1164" s="189">
        <f t="shared" si="157"/>
        <v>10917.74</v>
      </c>
      <c r="AS1164" s="189">
        <f t="shared" si="153"/>
        <v>10758</v>
      </c>
      <c r="AT1164" s="189">
        <f t="shared" si="154"/>
        <v>21516</v>
      </c>
      <c r="AU1164" s="50">
        <f t="shared" si="155"/>
        <v>21411.68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11663.91</v>
      </c>
      <c r="AR1165" s="189">
        <f t="shared" si="157"/>
        <v>11797.939999999999</v>
      </c>
      <c r="AS1165" s="189">
        <f t="shared" si="153"/>
        <v>10758</v>
      </c>
      <c r="AT1165" s="189">
        <f t="shared" si="154"/>
        <v>21516</v>
      </c>
      <c r="AU1165" s="50">
        <f t="shared" si="155"/>
        <v>23498.079999999998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11913</v>
      </c>
      <c r="AR1166" s="189">
        <f t="shared" si="157"/>
        <v>12062</v>
      </c>
      <c r="AS1166" s="189">
        <f t="shared" si="153"/>
        <v>10758</v>
      </c>
      <c r="AT1166" s="189">
        <f t="shared" si="154"/>
        <v>21516</v>
      </c>
      <c r="AU1166" s="50">
        <f t="shared" si="155"/>
        <v>24124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11913</v>
      </c>
      <c r="AR1167" s="189">
        <f t="shared" si="157"/>
        <v>12062</v>
      </c>
      <c r="AS1167" s="189">
        <f t="shared" si="153"/>
        <v>10758</v>
      </c>
      <c r="AT1167" s="189">
        <f t="shared" si="154"/>
        <v>21516</v>
      </c>
      <c r="AU1167" s="50">
        <f t="shared" si="155"/>
        <v>24124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11913</v>
      </c>
      <c r="AR1168" s="189">
        <f t="shared" si="157"/>
        <v>12062</v>
      </c>
      <c r="AS1168" s="189">
        <f t="shared" si="153"/>
        <v>10758</v>
      </c>
      <c r="AT1168" s="189">
        <f t="shared" si="154"/>
        <v>21516</v>
      </c>
      <c r="AU1168" s="50">
        <f t="shared" si="155"/>
        <v>24124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8212.75</v>
      </c>
      <c r="AR1169" s="189">
        <f t="shared" si="157"/>
        <v>8524.9</v>
      </c>
      <c r="AS1169" s="189">
        <f t="shared" si="153"/>
        <v>8150</v>
      </c>
      <c r="AT1169" s="189">
        <f t="shared" si="154"/>
        <v>16300</v>
      </c>
      <c r="AU1169" s="50">
        <f t="shared" si="155"/>
        <v>16560.8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8754.25</v>
      </c>
      <c r="AR1170" s="189">
        <f t="shared" si="157"/>
        <v>9144.2999999999993</v>
      </c>
      <c r="AS1170" s="189">
        <f t="shared" si="153"/>
        <v>8150</v>
      </c>
      <c r="AT1170" s="189">
        <f t="shared" si="154"/>
        <v>16300</v>
      </c>
      <c r="AU1170" s="50">
        <f t="shared" si="155"/>
        <v>18125.599999999999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9025</v>
      </c>
      <c r="AR1171" s="189">
        <f t="shared" si="157"/>
        <v>9454</v>
      </c>
      <c r="AS1171" s="189">
        <f t="shared" si="153"/>
        <v>8150</v>
      </c>
      <c r="AT1171" s="189">
        <f t="shared" si="154"/>
        <v>16300</v>
      </c>
      <c r="AU1171" s="50">
        <f t="shared" si="155"/>
        <v>18908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9025</v>
      </c>
      <c r="AR1172" s="189">
        <f t="shared" si="157"/>
        <v>9454</v>
      </c>
      <c r="AS1172" s="189">
        <f t="shared" si="153"/>
        <v>8150</v>
      </c>
      <c r="AT1172" s="189">
        <f t="shared" si="154"/>
        <v>16300</v>
      </c>
      <c r="AU1172" s="50">
        <f t="shared" si="155"/>
        <v>18908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9025</v>
      </c>
      <c r="AR1173" s="189">
        <f t="shared" si="157"/>
        <v>9454</v>
      </c>
      <c r="AS1173" s="189">
        <f t="shared" si="153"/>
        <v>8150</v>
      </c>
      <c r="AT1173" s="189">
        <f t="shared" si="154"/>
        <v>16300</v>
      </c>
      <c r="AU1173" s="50">
        <f t="shared" si="155"/>
        <v>18908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9025</v>
      </c>
      <c r="AR1174" s="189">
        <f t="shared" si="157"/>
        <v>9454</v>
      </c>
      <c r="AS1174" s="189">
        <f t="shared" si="153"/>
        <v>8150</v>
      </c>
      <c r="AT1174" s="189">
        <f t="shared" si="154"/>
        <v>16300</v>
      </c>
      <c r="AU1174" s="50">
        <f t="shared" si="155"/>
        <v>18908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9025</v>
      </c>
      <c r="AR1175" s="189">
        <f t="shared" si="157"/>
        <v>9454</v>
      </c>
      <c r="AS1175" s="189">
        <f t="shared" si="153"/>
        <v>8150</v>
      </c>
      <c r="AT1175" s="189">
        <f t="shared" si="154"/>
        <v>16300</v>
      </c>
      <c r="AU1175" s="50">
        <f t="shared" si="155"/>
        <v>18908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9025</v>
      </c>
      <c r="AR1176" s="189">
        <f t="shared" si="157"/>
        <v>9454</v>
      </c>
      <c r="AS1176" s="189">
        <f t="shared" si="153"/>
        <v>8150</v>
      </c>
      <c r="AT1176" s="189">
        <f t="shared" si="154"/>
        <v>16300</v>
      </c>
      <c r="AU1176" s="50">
        <f t="shared" si="155"/>
        <v>18908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9025</v>
      </c>
      <c r="AR1177" s="189">
        <f t="shared" si="157"/>
        <v>9454</v>
      </c>
      <c r="AS1177" s="189">
        <f t="shared" si="153"/>
        <v>8150</v>
      </c>
      <c r="AT1177" s="189">
        <f t="shared" si="154"/>
        <v>16300</v>
      </c>
      <c r="AU1177" s="50">
        <f t="shared" si="155"/>
        <v>18908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9025</v>
      </c>
      <c r="AR1178" s="189">
        <f t="shared" si="157"/>
        <v>9454</v>
      </c>
      <c r="AS1178" s="189">
        <f t="shared" si="153"/>
        <v>8150</v>
      </c>
      <c r="AT1178" s="189">
        <f t="shared" si="154"/>
        <v>16300</v>
      </c>
      <c r="AU1178" s="50">
        <f t="shared" si="155"/>
        <v>18908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9025</v>
      </c>
      <c r="AR1179" s="189">
        <f t="shared" si="157"/>
        <v>9454</v>
      </c>
      <c r="AS1179" s="189">
        <f t="shared" si="153"/>
        <v>8150</v>
      </c>
      <c r="AT1179" s="189">
        <f t="shared" si="154"/>
        <v>16300</v>
      </c>
      <c r="AU1179" s="50">
        <f t="shared" si="155"/>
        <v>18908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5957.2</v>
      </c>
      <c r="AR1180" s="189">
        <f t="shared" si="157"/>
        <v>5885.57</v>
      </c>
      <c r="AS1180" s="189">
        <f t="shared" si="153"/>
        <v>6865.8499999999995</v>
      </c>
      <c r="AT1180" s="189">
        <f t="shared" si="154"/>
        <v>11825.6</v>
      </c>
      <c r="AU1180" s="50">
        <f t="shared" si="155"/>
        <v>8931.44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6593.2000000000007</v>
      </c>
      <c r="AR1181" s="189">
        <f t="shared" si="157"/>
        <v>6624.6699999999992</v>
      </c>
      <c r="AS1181" s="189">
        <f t="shared" si="153"/>
        <v>7449.35</v>
      </c>
      <c r="AT1181" s="189">
        <f t="shared" si="154"/>
        <v>13381.6</v>
      </c>
      <c r="AU1181" s="50">
        <f t="shared" si="155"/>
        <v>10798.64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7229.199999999998</v>
      </c>
      <c r="AR1182" s="189">
        <f t="shared" si="157"/>
        <v>7363.7699999999995</v>
      </c>
      <c r="AS1182" s="189">
        <f t="shared" si="153"/>
        <v>8032.8499999999995</v>
      </c>
      <c r="AT1182" s="189">
        <f t="shared" si="154"/>
        <v>14937.599999999999</v>
      </c>
      <c r="AU1182" s="50">
        <f t="shared" si="155"/>
        <v>12665.839999999998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7865.2</v>
      </c>
      <c r="AR1183" s="189">
        <f t="shared" si="157"/>
        <v>8102.869999999999</v>
      </c>
      <c r="AS1183" s="189">
        <f t="shared" si="153"/>
        <v>8616.3499999999985</v>
      </c>
      <c r="AT1183" s="189">
        <f t="shared" si="154"/>
        <v>16493.600000000002</v>
      </c>
      <c r="AU1183" s="50">
        <f t="shared" si="155"/>
        <v>14533.039999999999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8501.1999999999989</v>
      </c>
      <c r="AR1184" s="189">
        <f t="shared" si="157"/>
        <v>8841.9700000000012</v>
      </c>
      <c r="AS1184" s="189">
        <f t="shared" si="153"/>
        <v>9199.8499999999985</v>
      </c>
      <c r="AT1184" s="189">
        <f t="shared" si="154"/>
        <v>18049.599999999999</v>
      </c>
      <c r="AU1184" s="50">
        <f t="shared" si="155"/>
        <v>16400.240000000002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9137.2000000000007</v>
      </c>
      <c r="AR1185" s="189">
        <f t="shared" si="157"/>
        <v>9581.07</v>
      </c>
      <c r="AS1185" s="189">
        <f t="shared" si="153"/>
        <v>9725</v>
      </c>
      <c r="AT1185" s="189">
        <f t="shared" si="154"/>
        <v>19450</v>
      </c>
      <c r="AU1185" s="50">
        <f t="shared" si="155"/>
        <v>18267.439999999999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9773.1999999999989</v>
      </c>
      <c r="AR1186" s="189">
        <f t="shared" si="157"/>
        <v>10320.17</v>
      </c>
      <c r="AS1186" s="189">
        <f t="shared" si="153"/>
        <v>9725</v>
      </c>
      <c r="AT1186" s="189">
        <f t="shared" si="154"/>
        <v>19450</v>
      </c>
      <c r="AU1186" s="50">
        <f t="shared" si="155"/>
        <v>20134.64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10409.200000000001</v>
      </c>
      <c r="AR1187" s="189">
        <f t="shared" si="157"/>
        <v>11059.27</v>
      </c>
      <c r="AS1187" s="189">
        <f t="shared" si="153"/>
        <v>9725</v>
      </c>
      <c r="AT1187" s="189">
        <f t="shared" si="154"/>
        <v>19450</v>
      </c>
      <c r="AU1187" s="50">
        <f t="shared" si="155"/>
        <v>22001.84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10600</v>
      </c>
      <c r="AR1188" s="189">
        <f t="shared" si="157"/>
        <v>11281</v>
      </c>
      <c r="AS1188" s="189">
        <f t="shared" si="153"/>
        <v>9725</v>
      </c>
      <c r="AT1188" s="189">
        <f t="shared" si="154"/>
        <v>19450</v>
      </c>
      <c r="AU1188" s="50">
        <f t="shared" si="155"/>
        <v>22562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10600</v>
      </c>
      <c r="AR1189" s="189">
        <f t="shared" si="157"/>
        <v>11281</v>
      </c>
      <c r="AS1189" s="189">
        <f t="shared" si="153"/>
        <v>9725</v>
      </c>
      <c r="AT1189" s="189">
        <f t="shared" si="154"/>
        <v>19450</v>
      </c>
      <c r="AU1189" s="50">
        <f t="shared" si="155"/>
        <v>22562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10600</v>
      </c>
      <c r="AR1190" s="189">
        <f t="shared" si="157"/>
        <v>11281</v>
      </c>
      <c r="AS1190" s="189">
        <f t="shared" si="153"/>
        <v>9725</v>
      </c>
      <c r="AT1190" s="189">
        <f t="shared" si="154"/>
        <v>19450</v>
      </c>
      <c r="AU1190" s="50">
        <f t="shared" si="155"/>
        <v>22562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selection activeCell="J15" sqref="J15"/>
    </sheetView>
  </sheetViews>
  <sheetFormatPr defaultRowHeight="14.25"/>
  <cols>
    <col min="6" max="6" width="9.625" customWidth="1"/>
  </cols>
  <sheetData>
    <row r="1" spans="1:12">
      <c r="A1" t="s">
        <v>202</v>
      </c>
      <c r="B1" t="s">
        <v>193</v>
      </c>
      <c r="C1" t="s">
        <v>340</v>
      </c>
      <c r="D1" t="s">
        <v>336</v>
      </c>
      <c r="E1" t="s">
        <v>337</v>
      </c>
      <c r="F1" t="s">
        <v>338</v>
      </c>
      <c r="G1" t="s">
        <v>339</v>
      </c>
      <c r="H1" t="s">
        <v>341</v>
      </c>
      <c r="I1" t="s">
        <v>159</v>
      </c>
      <c r="J1" t="s">
        <v>196</v>
      </c>
      <c r="K1" t="s">
        <v>304</v>
      </c>
      <c r="L1" t="s">
        <v>331</v>
      </c>
    </row>
    <row r="2" spans="1:12">
      <c r="A2" t="s">
        <v>26</v>
      </c>
      <c r="B2" t="s">
        <v>298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299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298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299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298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299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298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299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332</v>
      </c>
      <c r="B1" t="s">
        <v>362</v>
      </c>
      <c r="C1" t="s">
        <v>193</v>
      </c>
      <c r="D1" t="s">
        <v>194</v>
      </c>
      <c r="E1" t="s">
        <v>334</v>
      </c>
      <c r="F1" t="s">
        <v>202</v>
      </c>
      <c r="G1" t="s">
        <v>195</v>
      </c>
      <c r="H1" t="s">
        <v>196</v>
      </c>
      <c r="I1" t="s">
        <v>197</v>
      </c>
      <c r="J1" t="s">
        <v>159</v>
      </c>
      <c r="K1" t="s">
        <v>198</v>
      </c>
      <c r="L1" t="s">
        <v>199</v>
      </c>
      <c r="M1" t="s">
        <v>200</v>
      </c>
      <c r="N1" t="s">
        <v>304</v>
      </c>
      <c r="O1" t="s">
        <v>201</v>
      </c>
      <c r="P1" t="s">
        <v>331</v>
      </c>
      <c r="Q1" t="s">
        <v>203</v>
      </c>
      <c r="R1" t="s">
        <v>360</v>
      </c>
      <c r="S1" t="s">
        <v>361</v>
      </c>
    </row>
    <row r="2" spans="1:19" hidden="1">
      <c r="A2" t="s">
        <v>335</v>
      </c>
      <c r="B2" t="s">
        <v>335</v>
      </c>
      <c r="C2" t="s">
        <v>333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335</v>
      </c>
      <c r="B3" t="s">
        <v>335</v>
      </c>
      <c r="C3" t="s">
        <v>184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335</v>
      </c>
      <c r="B4" t="s">
        <v>335</v>
      </c>
      <c r="C4" t="s">
        <v>184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335</v>
      </c>
      <c r="B5" t="s">
        <v>335</v>
      </c>
      <c r="C5" t="s">
        <v>184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335</v>
      </c>
      <c r="B6" t="s">
        <v>335</v>
      </c>
      <c r="C6" t="s">
        <v>333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335</v>
      </c>
      <c r="B7" t="s">
        <v>335</v>
      </c>
      <c r="C7" t="s">
        <v>184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343</v>
      </c>
      <c r="B8" t="s">
        <v>343</v>
      </c>
      <c r="C8" t="s">
        <v>153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343</v>
      </c>
      <c r="B9" t="s">
        <v>343</v>
      </c>
      <c r="C9" t="s">
        <v>190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343</v>
      </c>
      <c r="B10" t="s">
        <v>343</v>
      </c>
      <c r="C10" t="s">
        <v>153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343</v>
      </c>
      <c r="B11" t="s">
        <v>343</v>
      </c>
      <c r="C11" t="s">
        <v>153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343</v>
      </c>
      <c r="B12" s="142" t="s">
        <v>343</v>
      </c>
      <c r="C12" s="142" t="s">
        <v>190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343</v>
      </c>
      <c r="B13" t="s">
        <v>343</v>
      </c>
      <c r="C13" t="s">
        <v>153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344</v>
      </c>
      <c r="B14" t="s">
        <v>344</v>
      </c>
      <c r="C14" t="s">
        <v>86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344</v>
      </c>
      <c r="B15" t="s">
        <v>344</v>
      </c>
      <c r="C15" t="s">
        <v>86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344</v>
      </c>
      <c r="B16" t="s">
        <v>344</v>
      </c>
      <c r="C16" t="s">
        <v>86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344</v>
      </c>
      <c r="B17" t="s">
        <v>344</v>
      </c>
      <c r="C17" t="s">
        <v>86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344</v>
      </c>
      <c r="B18" t="s">
        <v>344</v>
      </c>
      <c r="C18" t="s">
        <v>84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344</v>
      </c>
      <c r="B19" t="s">
        <v>344</v>
      </c>
      <c r="C19" t="s">
        <v>84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150</v>
      </c>
      <c r="B20" t="s">
        <v>150</v>
      </c>
      <c r="C20" t="s">
        <v>151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150</v>
      </c>
      <c r="B21" t="s">
        <v>150</v>
      </c>
      <c r="C21" t="s">
        <v>190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150</v>
      </c>
      <c r="B22" t="s">
        <v>150</v>
      </c>
      <c r="C22" t="s">
        <v>151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150</v>
      </c>
      <c r="B23" t="s">
        <v>150</v>
      </c>
      <c r="C23" t="s">
        <v>190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150</v>
      </c>
      <c r="B24" t="s">
        <v>150</v>
      </c>
      <c r="C24" t="s">
        <v>151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150</v>
      </c>
      <c r="B25" t="s">
        <v>150</v>
      </c>
      <c r="C25" t="s">
        <v>151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186</v>
      </c>
      <c r="C26" t="s">
        <v>84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363</v>
      </c>
    </row>
    <row r="27" spans="1:19" hidden="1">
      <c r="A27" t="s">
        <v>186</v>
      </c>
      <c r="B27" t="s">
        <v>186</v>
      </c>
      <c r="C27" t="s">
        <v>147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186</v>
      </c>
    </row>
    <row r="28" spans="1:19" hidden="1">
      <c r="A28" t="s">
        <v>186</v>
      </c>
      <c r="B28" t="s">
        <v>186</v>
      </c>
      <c r="C28" t="s">
        <v>151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186</v>
      </c>
    </row>
    <row r="29" spans="1:19" hidden="1">
      <c r="A29" t="s">
        <v>186</v>
      </c>
      <c r="B29" t="s">
        <v>186</v>
      </c>
      <c r="C29" t="s">
        <v>190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186</v>
      </c>
    </row>
    <row r="30" spans="1:19" hidden="1">
      <c r="A30" t="s">
        <v>186</v>
      </c>
      <c r="B30" t="s">
        <v>186</v>
      </c>
      <c r="C30" t="s">
        <v>84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186</v>
      </c>
    </row>
    <row r="31" spans="1:19" hidden="1">
      <c r="A31" s="142" t="s">
        <v>186</v>
      </c>
      <c r="B31" s="142"/>
      <c r="C31" s="142" t="s">
        <v>147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186</v>
      </c>
    </row>
    <row r="32" spans="1:19" hidden="1">
      <c r="A32" t="s">
        <v>144</v>
      </c>
      <c r="B32" t="s">
        <v>144</v>
      </c>
      <c r="C32" t="s">
        <v>148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144</v>
      </c>
      <c r="B33" t="s">
        <v>144</v>
      </c>
      <c r="C33" t="s">
        <v>190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144</v>
      </c>
      <c r="B34" t="s">
        <v>144</v>
      </c>
      <c r="C34" t="s">
        <v>190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144</v>
      </c>
      <c r="B35" t="s">
        <v>144</v>
      </c>
      <c r="C35" t="s">
        <v>148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144</v>
      </c>
      <c r="B36" t="s">
        <v>144</v>
      </c>
      <c r="C36" t="s">
        <v>148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144</v>
      </c>
      <c r="B37" t="s">
        <v>144</v>
      </c>
      <c r="C37" t="s">
        <v>148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345</v>
      </c>
      <c r="B38" s="146" t="s">
        <v>345</v>
      </c>
      <c r="C38" s="146" t="s">
        <v>148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345</v>
      </c>
      <c r="B39" t="s">
        <v>345</v>
      </c>
      <c r="C39" t="s">
        <v>148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345</v>
      </c>
      <c r="B40" t="s">
        <v>345</v>
      </c>
      <c r="C40" t="s">
        <v>148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345</v>
      </c>
      <c r="B41" t="s">
        <v>345</v>
      </c>
      <c r="C41" t="s">
        <v>147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345</v>
      </c>
      <c r="B42" t="s">
        <v>345</v>
      </c>
      <c r="C42" t="s">
        <v>148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345</v>
      </c>
      <c r="B43" t="s">
        <v>186</v>
      </c>
      <c r="C43" t="s">
        <v>147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364</v>
      </c>
    </row>
    <row r="44" spans="1:19" hidden="1">
      <c r="A44" t="s">
        <v>346</v>
      </c>
      <c r="B44" t="s">
        <v>346</v>
      </c>
      <c r="C44" t="s">
        <v>153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346</v>
      </c>
      <c r="B45" t="s">
        <v>346</v>
      </c>
      <c r="C45" t="s">
        <v>153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346</v>
      </c>
      <c r="B46" t="s">
        <v>346</v>
      </c>
      <c r="C46" t="s">
        <v>153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346</v>
      </c>
      <c r="B47" s="2" t="s">
        <v>346</v>
      </c>
      <c r="C47" s="2" t="s">
        <v>147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204</v>
      </c>
    </row>
    <row r="48" spans="1:19" hidden="1">
      <c r="A48" t="s">
        <v>346</v>
      </c>
      <c r="B48" t="s">
        <v>346</v>
      </c>
      <c r="C48" t="s">
        <v>153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346</v>
      </c>
      <c r="B49" s="2" t="s">
        <v>346</v>
      </c>
      <c r="C49" s="2" t="s">
        <v>147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204</v>
      </c>
    </row>
    <row r="50" spans="1:19" hidden="1">
      <c r="A50" t="s">
        <v>134</v>
      </c>
      <c r="B50" t="s">
        <v>134</v>
      </c>
      <c r="C50" t="s">
        <v>147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134</v>
      </c>
      <c r="B51" t="s">
        <v>134</v>
      </c>
      <c r="C51" t="s">
        <v>147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134</v>
      </c>
      <c r="B52" t="s">
        <v>134</v>
      </c>
      <c r="C52" t="s">
        <v>147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134</v>
      </c>
      <c r="B53" s="149" t="s">
        <v>134</v>
      </c>
      <c r="C53" s="149" t="s">
        <v>151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134</v>
      </c>
      <c r="B54" t="s">
        <v>134</v>
      </c>
      <c r="C54" t="s">
        <v>147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134</v>
      </c>
      <c r="B55" s="149" t="s">
        <v>134</v>
      </c>
      <c r="C55" s="149" t="s">
        <v>190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149</v>
      </c>
      <c r="B56" t="s">
        <v>149</v>
      </c>
      <c r="C56" t="s">
        <v>148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149</v>
      </c>
      <c r="B57" t="s">
        <v>149</v>
      </c>
      <c r="C57" t="s">
        <v>148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149</v>
      </c>
      <c r="B58" t="s">
        <v>149</v>
      </c>
      <c r="C58" t="s">
        <v>190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149</v>
      </c>
      <c r="B59" t="s">
        <v>149</v>
      </c>
      <c r="C59" t="s">
        <v>148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149</v>
      </c>
      <c r="B60" t="s">
        <v>149</v>
      </c>
      <c r="C60" t="s">
        <v>148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149</v>
      </c>
      <c r="B61" s="142" t="s">
        <v>149</v>
      </c>
      <c r="C61" s="142" t="s">
        <v>190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145</v>
      </c>
      <c r="B62" t="s">
        <v>145</v>
      </c>
      <c r="C62" t="s">
        <v>84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145</v>
      </c>
    </row>
    <row r="63" spans="1:19" hidden="1">
      <c r="A63" s="10"/>
      <c r="B63" s="10"/>
      <c r="C63" s="10" t="s">
        <v>147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363</v>
      </c>
    </row>
    <row r="64" spans="1:19" hidden="1">
      <c r="C64" t="s">
        <v>84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363</v>
      </c>
    </row>
    <row r="65" spans="1:19" hidden="1">
      <c r="C65" t="s">
        <v>84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363</v>
      </c>
    </row>
    <row r="66" spans="1:19" hidden="1">
      <c r="C66" t="s">
        <v>190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363</v>
      </c>
    </row>
    <row r="67" spans="1:19" hidden="1">
      <c r="A67" t="s">
        <v>145</v>
      </c>
      <c r="B67" t="s">
        <v>145</v>
      </c>
      <c r="C67" t="s">
        <v>84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145</v>
      </c>
    </row>
    <row r="68" spans="1:19" hidden="1">
      <c r="A68" t="s">
        <v>356</v>
      </c>
      <c r="B68" t="s">
        <v>356</v>
      </c>
      <c r="C68" t="s">
        <v>84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356</v>
      </c>
      <c r="B69" t="s">
        <v>356</v>
      </c>
      <c r="C69" t="s">
        <v>84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356</v>
      </c>
      <c r="B70" t="s">
        <v>356</v>
      </c>
      <c r="C70" t="s">
        <v>84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356</v>
      </c>
      <c r="B71" t="s">
        <v>356</v>
      </c>
      <c r="C71" t="s">
        <v>84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356</v>
      </c>
      <c r="B72" t="s">
        <v>356</v>
      </c>
      <c r="C72" t="s">
        <v>84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356</v>
      </c>
      <c r="B73" t="s">
        <v>356</v>
      </c>
      <c r="C73" t="s">
        <v>84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357</v>
      </c>
      <c r="B74" t="s">
        <v>357</v>
      </c>
      <c r="C74" t="s">
        <v>147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357</v>
      </c>
      <c r="B75" t="s">
        <v>357</v>
      </c>
      <c r="C75" t="s">
        <v>147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357</v>
      </c>
      <c r="B76" t="s">
        <v>357</v>
      </c>
      <c r="C76" t="s">
        <v>147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357</v>
      </c>
      <c r="B77" t="s">
        <v>357</v>
      </c>
      <c r="C77" t="s">
        <v>147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357</v>
      </c>
      <c r="B78" t="s">
        <v>357</v>
      </c>
      <c r="C78" t="s">
        <v>147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357</v>
      </c>
      <c r="B79" t="s">
        <v>357</v>
      </c>
      <c r="C79" t="s">
        <v>147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358</v>
      </c>
      <c r="B80" t="s">
        <v>358</v>
      </c>
      <c r="C80" t="s">
        <v>86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358</v>
      </c>
      <c r="B81" t="s">
        <v>358</v>
      </c>
      <c r="C81" t="s">
        <v>86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358</v>
      </c>
      <c r="B82" t="s">
        <v>358</v>
      </c>
      <c r="C82" t="s">
        <v>86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358</v>
      </c>
      <c r="B83" t="s">
        <v>358</v>
      </c>
      <c r="C83" t="s">
        <v>84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358</v>
      </c>
      <c r="B84" t="s">
        <v>358</v>
      </c>
      <c r="C84" t="s">
        <v>84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358</v>
      </c>
      <c r="B85" t="s">
        <v>358</v>
      </c>
      <c r="C85" t="s">
        <v>86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147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147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147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147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147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186</v>
      </c>
      <c r="C91" s="2" t="s">
        <v>147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204</v>
      </c>
      <c r="S91" s="2" t="s">
        <v>364</v>
      </c>
    </row>
    <row r="92" spans="1:19" hidden="1">
      <c r="C92" t="s">
        <v>147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190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363</v>
      </c>
    </row>
    <row r="94" spans="1:19" hidden="1">
      <c r="C94" t="s">
        <v>147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147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147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147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147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145</v>
      </c>
      <c r="C99" t="s">
        <v>147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145</v>
      </c>
    </row>
    <row r="100" spans="1:19" hidden="1">
      <c r="C100" t="s">
        <v>147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147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147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147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147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147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147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147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147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147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147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147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147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147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147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147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147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147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147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147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84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84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145</v>
      </c>
      <c r="C122" s="2" t="s">
        <v>147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204</v>
      </c>
      <c r="S122" s="2" t="s">
        <v>363</v>
      </c>
    </row>
    <row r="123" spans="1:19" hidden="1">
      <c r="C123" t="s">
        <v>84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363</v>
      </c>
    </row>
    <row r="124" spans="1:19" hidden="1">
      <c r="C124" t="s">
        <v>84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145</v>
      </c>
      <c r="B125" t="s">
        <v>145</v>
      </c>
      <c r="C125" t="s">
        <v>190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145</v>
      </c>
    </row>
    <row r="126" spans="1:19" hidden="1">
      <c r="C126" t="s">
        <v>84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84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363</v>
      </c>
    </row>
    <row r="128" spans="1:19" hidden="1">
      <c r="C128" t="s">
        <v>84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84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84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145</v>
      </c>
      <c r="B131" t="s">
        <v>145</v>
      </c>
      <c r="C131" t="s">
        <v>190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145</v>
      </c>
    </row>
    <row r="132" spans="1:19" hidden="1">
      <c r="C132" t="s">
        <v>84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363</v>
      </c>
    </row>
    <row r="133" spans="1:19" hidden="1">
      <c r="C133" t="s">
        <v>84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84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84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84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84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363</v>
      </c>
    </row>
    <row r="138" spans="1:19" hidden="1">
      <c r="C138" t="s">
        <v>84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148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148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148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148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148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204</v>
      </c>
      <c r="S143" t="s">
        <v>149</v>
      </c>
    </row>
    <row r="144" spans="1:19" hidden="1">
      <c r="C144" t="s">
        <v>148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148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204</v>
      </c>
    </row>
    <row r="146" spans="1:18" hidden="1">
      <c r="C146" t="s">
        <v>148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148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148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148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148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148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148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148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148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148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148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148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148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148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148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148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148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148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148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148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148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190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190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190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363</v>
      </c>
    </row>
    <row r="170" spans="1:19" hidden="1">
      <c r="A170" t="s">
        <v>145</v>
      </c>
      <c r="B170" t="s">
        <v>145</v>
      </c>
      <c r="C170" t="s">
        <v>147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145</v>
      </c>
    </row>
    <row r="171" spans="1:19" hidden="1">
      <c r="C171" t="s">
        <v>190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84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363</v>
      </c>
    </row>
    <row r="173" spans="1:19" hidden="1">
      <c r="C173" t="s">
        <v>190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190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68</v>
      </c>
    </row>
    <row r="4" spans="1:10">
      <c r="A4" s="11" t="s">
        <v>64</v>
      </c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  <c r="H4" t="s">
        <v>353</v>
      </c>
      <c r="I4" t="s">
        <v>354</v>
      </c>
      <c r="J4" t="s">
        <v>355</v>
      </c>
    </row>
    <row r="5" spans="1:10">
      <c r="A5" s="12" t="s">
        <v>186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144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335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134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150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149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145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66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68</v>
      </c>
    </row>
    <row r="22" spans="1:10">
      <c r="A22" s="11" t="s">
        <v>64</v>
      </c>
      <c r="B22" t="s">
        <v>347</v>
      </c>
      <c r="C22" t="s">
        <v>348</v>
      </c>
      <c r="D22" t="s">
        <v>349</v>
      </c>
      <c r="E22" t="s">
        <v>350</v>
      </c>
      <c r="F22" t="s">
        <v>351</v>
      </c>
      <c r="G22" t="s">
        <v>352</v>
      </c>
      <c r="H22" t="s">
        <v>353</v>
      </c>
      <c r="I22" t="s">
        <v>354</v>
      </c>
      <c r="J22" t="s">
        <v>355</v>
      </c>
    </row>
    <row r="23" spans="1:10">
      <c r="A23" s="12" t="s">
        <v>186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144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149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145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335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134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150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65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66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123</v>
      </c>
      <c r="C1" s="41" t="s">
        <v>124</v>
      </c>
      <c r="D1" s="42" t="s">
        <v>125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features'!$Q$4</f>
        <v>255702.5316455696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326</v>
      </c>
      <c r="B6" t="s">
        <v>3</v>
      </c>
      <c r="C6" t="s">
        <v>2</v>
      </c>
      <c r="D6" t="s">
        <v>323</v>
      </c>
      <c r="E6" t="s">
        <v>322</v>
      </c>
      <c r="F6" t="s">
        <v>324</v>
      </c>
      <c r="G6" t="s">
        <v>325</v>
      </c>
      <c r="H6" t="s">
        <v>38</v>
      </c>
      <c r="I6" t="s">
        <v>37</v>
      </c>
      <c r="J6" t="s">
        <v>51</v>
      </c>
      <c r="K6" t="s">
        <v>52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39</v>
      </c>
      <c r="Q6" s="4" t="s">
        <v>40</v>
      </c>
      <c r="R6" s="4" t="s">
        <v>41</v>
      </c>
      <c r="S6" s="4" t="s">
        <v>131</v>
      </c>
      <c r="T6" s="4" t="s">
        <v>135</v>
      </c>
      <c r="U6" s="4" t="s">
        <v>136</v>
      </c>
      <c r="V6" s="4" t="s">
        <v>137</v>
      </c>
      <c r="W6" s="4" t="s">
        <v>138</v>
      </c>
      <c r="X6" s="4" t="s">
        <v>136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662177.71084337356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4147.9811320754716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53</v>
      </c>
      <c r="B8" s="1">
        <f t="shared" si="0"/>
        <v>1051698.7951807228</v>
      </c>
      <c r="C8" s="1">
        <f t="shared" si="1"/>
        <v>662177.71084337356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4147.9811320754716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49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4147.9811320754716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50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4147.9811320754716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759223.83720930223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3224.358024691358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53</v>
      </c>
      <c r="B12" s="1">
        <f t="shared" si="0"/>
        <v>1068069.7674418604</v>
      </c>
      <c r="C12" s="1">
        <f t="shared" si="1"/>
        <v>759223.83720930223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3224.358024691358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49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3224.358024691358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50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3224.358024691358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548927.43221690587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4412.5320512820508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53</v>
      </c>
      <c r="B16" s="1">
        <f t="shared" si="3"/>
        <v>1343540.6698564594</v>
      </c>
      <c r="C16" s="1">
        <f t="shared" si="4"/>
        <v>548927.43221690587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4412.5320512820508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49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4412.5320512820508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50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4412.5320512820508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62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4412.5320512820508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61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4412.5320512820508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63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4412.5320512820508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62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60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3789.9479166666665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61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60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3789.9479166666665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63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60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3789.9479166666665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62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3224.358024691358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61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3224.358024691358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63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3224.358024691358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127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3224.358024691358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341650.72674418602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3224.358024691358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128</v>
      </c>
      <c r="B30" s="1">
        <f t="shared" ref="B30" si="19">(2*$J30+$K30)/($R30-$Q30)*O30</f>
        <v>640841.86046511622</v>
      </c>
      <c r="C30" s="1">
        <f t="shared" ref="C30" si="20">($J30+$K30)/($R30-$Q30)*P30</f>
        <v>341650.72674418602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3224.358024691358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127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4412.5320512820508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247017.34449760761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4412.5320512820508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127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4964.7241379310344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365355.16917293228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4964.7241379310344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321</v>
      </c>
      <c r="B35" s="1">
        <f t="shared" ref="B35" si="23">(2*$J35+$K35)/($R35-$Q35)*O35</f>
        <v>6929903.2330827061</v>
      </c>
      <c r="C35" s="1">
        <f t="shared" ref="C35" si="24">($J35+$K35)/($R35-$Q35)*P35</f>
        <v>5392642.2969924808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4964.7241379310344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321</v>
      </c>
      <c r="B36" s="1">
        <f t="shared" si="21"/>
        <v>5856926.345864661</v>
      </c>
      <c r="C36" s="1">
        <f t="shared" si="22"/>
        <v>5798592.4849624056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4964.7241379310344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320</v>
      </c>
      <c r="B37" s="1">
        <f t="shared" ref="B37" si="26">(2*$J37+$K37)/($R37-$Q37)*O37</f>
        <v>8315883.8796992479</v>
      </c>
      <c r="C37" s="1">
        <f t="shared" ref="C37" si="27">($J37+$K37)/($R37-$Q37)*P37</f>
        <v>5392642.2969924808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4964.7241379310344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6204542.6729323305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4964.7241379310344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43</v>
      </c>
      <c r="C41" t="s">
        <v>44</v>
      </c>
      <c r="D41" t="s">
        <v>45</v>
      </c>
      <c r="E41" t="s">
        <v>46</v>
      </c>
      <c r="F41" t="s">
        <v>47</v>
      </c>
    </row>
    <row r="42" spans="1:18">
      <c r="A42" t="s">
        <v>42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48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154</v>
      </c>
      <c r="B1" t="s">
        <v>155</v>
      </c>
      <c r="C1" t="s">
        <v>156</v>
      </c>
      <c r="D1" t="s">
        <v>160</v>
      </c>
      <c r="E1" t="s">
        <v>157</v>
      </c>
      <c r="F1" t="s">
        <v>10</v>
      </c>
    </row>
    <row r="2" spans="1:6">
      <c r="A2" t="s">
        <v>144</v>
      </c>
      <c r="B2" t="s">
        <v>188</v>
      </c>
      <c r="C2" t="s">
        <v>164</v>
      </c>
      <c r="D2" t="s">
        <v>169</v>
      </c>
      <c r="E2" t="s">
        <v>170</v>
      </c>
      <c r="F2" t="s">
        <v>191</v>
      </c>
    </row>
    <row r="3" spans="1:6">
      <c r="A3" t="s">
        <v>145</v>
      </c>
      <c r="B3" t="s">
        <v>188</v>
      </c>
      <c r="C3" t="s">
        <v>168</v>
      </c>
      <c r="D3" t="s">
        <v>166</v>
      </c>
      <c r="E3" t="s">
        <v>167</v>
      </c>
      <c r="F3" t="s">
        <v>191</v>
      </c>
    </row>
    <row r="4" spans="1:6">
      <c r="A4" t="s">
        <v>146</v>
      </c>
      <c r="B4" t="s">
        <v>188</v>
      </c>
      <c r="C4" t="s">
        <v>147</v>
      </c>
      <c r="D4" t="s">
        <v>169</v>
      </c>
      <c r="E4" t="s">
        <v>171</v>
      </c>
      <c r="F4" t="s">
        <v>359</v>
      </c>
    </row>
    <row r="5" spans="1:6">
      <c r="A5" t="s">
        <v>149</v>
      </c>
      <c r="B5" t="s">
        <v>148</v>
      </c>
      <c r="C5" t="s">
        <v>164</v>
      </c>
      <c r="D5" t="s">
        <v>183</v>
      </c>
      <c r="E5" t="s">
        <v>165</v>
      </c>
      <c r="F5" t="s">
        <v>192</v>
      </c>
    </row>
    <row r="6" spans="1:6">
      <c r="A6" t="s">
        <v>150</v>
      </c>
      <c r="B6" t="s">
        <v>151</v>
      </c>
      <c r="C6" t="s">
        <v>152</v>
      </c>
      <c r="D6" t="s">
        <v>163</v>
      </c>
      <c r="E6" t="s">
        <v>158</v>
      </c>
      <c r="F6" t="s">
        <v>192</v>
      </c>
    </row>
    <row r="7" spans="1:6">
      <c r="A7" t="s">
        <v>134</v>
      </c>
      <c r="B7" t="s">
        <v>184</v>
      </c>
      <c r="C7" t="s">
        <v>185</v>
      </c>
    </row>
    <row r="8" spans="1:6">
      <c r="A8" t="s">
        <v>186</v>
      </c>
      <c r="B8" t="s">
        <v>153</v>
      </c>
      <c r="C8" t="s">
        <v>84</v>
      </c>
      <c r="D8" t="s">
        <v>187</v>
      </c>
      <c r="F8" t="s">
        <v>359</v>
      </c>
    </row>
    <row r="9" spans="1:6">
      <c r="A9" t="s">
        <v>189</v>
      </c>
      <c r="B9" t="s">
        <v>151</v>
      </c>
      <c r="C9" t="s">
        <v>190</v>
      </c>
      <c r="D9" t="s">
        <v>169</v>
      </c>
      <c r="F9" t="s">
        <v>359</v>
      </c>
    </row>
    <row r="10" spans="1:6">
      <c r="A10" t="s">
        <v>208</v>
      </c>
      <c r="B10" t="s">
        <v>153</v>
      </c>
      <c r="C10" t="s">
        <v>84</v>
      </c>
    </row>
    <row r="11" spans="1:6">
      <c r="A11" t="s">
        <v>209</v>
      </c>
      <c r="B11" t="s">
        <v>148</v>
      </c>
      <c r="C11" t="s">
        <v>84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A8" sqref="A8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846</v>
      </c>
      <c r="H1" t="s">
        <v>5</v>
      </c>
    </row>
    <row r="2" spans="1:8">
      <c r="A2" t="s">
        <v>823</v>
      </c>
      <c r="C2" t="s">
        <v>822</v>
      </c>
      <c r="D2" t="s">
        <v>246</v>
      </c>
      <c r="E2" t="s">
        <v>149</v>
      </c>
      <c r="F2" t="s">
        <v>150</v>
      </c>
      <c r="G2" t="s">
        <v>186</v>
      </c>
      <c r="H2">
        <v>49</v>
      </c>
    </row>
    <row r="3" spans="1:8">
      <c r="A3" t="s">
        <v>824</v>
      </c>
      <c r="C3" t="s">
        <v>822</v>
      </c>
      <c r="D3" t="s">
        <v>246</v>
      </c>
      <c r="E3" t="s">
        <v>149</v>
      </c>
      <c r="F3" t="s">
        <v>150</v>
      </c>
      <c r="G3" t="s">
        <v>186</v>
      </c>
      <c r="H3">
        <v>29</v>
      </c>
    </row>
    <row r="4" spans="1:8">
      <c r="A4" t="s">
        <v>825</v>
      </c>
      <c r="C4" t="s">
        <v>822</v>
      </c>
      <c r="D4" t="s">
        <v>144</v>
      </c>
      <c r="E4" t="s">
        <v>149</v>
      </c>
      <c r="F4" t="s">
        <v>150</v>
      </c>
      <c r="G4" t="s">
        <v>186</v>
      </c>
      <c r="H4">
        <v>30</v>
      </c>
    </row>
    <row r="5" spans="1:8">
      <c r="A5" t="s">
        <v>824</v>
      </c>
      <c r="C5" t="s">
        <v>822</v>
      </c>
      <c r="D5" t="s">
        <v>246</v>
      </c>
      <c r="E5" t="s">
        <v>149</v>
      </c>
      <c r="F5" t="s">
        <v>150</v>
      </c>
      <c r="G5" t="s">
        <v>186</v>
      </c>
      <c r="H5">
        <v>31</v>
      </c>
    </row>
    <row r="6" spans="1:8">
      <c r="A6" t="s">
        <v>823</v>
      </c>
      <c r="C6" t="s">
        <v>822</v>
      </c>
      <c r="D6" t="s">
        <v>246</v>
      </c>
      <c r="E6" t="s">
        <v>149</v>
      </c>
      <c r="F6" t="s">
        <v>150</v>
      </c>
      <c r="G6" t="s">
        <v>186</v>
      </c>
      <c r="H6">
        <v>53</v>
      </c>
    </row>
    <row r="7" spans="1:8">
      <c r="A7" t="s">
        <v>892</v>
      </c>
      <c r="C7" t="s">
        <v>822</v>
      </c>
      <c r="D7" t="s">
        <v>224</v>
      </c>
      <c r="E7" t="s">
        <v>150</v>
      </c>
      <c r="F7" t="s">
        <v>149</v>
      </c>
      <c r="G7" t="s">
        <v>144</v>
      </c>
      <c r="H7">
        <v>70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T327"/>
  <sheetViews>
    <sheetView workbookViewId="0">
      <pane ySplit="1" topLeftCell="A69" activePane="bottomLeft" state="frozen"/>
      <selection pane="bottomLeft" activeCell="C81" sqref="C81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7" width="10.5" style="169" bestFit="1" customWidth="1"/>
    <col min="18" max="18" width="10.625" style="169" bestFit="1" customWidth="1"/>
    <col min="19" max="19" width="10.5" style="169" bestFit="1" customWidth="1"/>
    <col min="20" max="16384" width="9" style="169"/>
  </cols>
  <sheetData>
    <row r="1" spans="1:20">
      <c r="A1" s="170" t="s">
        <v>777</v>
      </c>
      <c r="B1" s="170" t="s">
        <v>778</v>
      </c>
      <c r="C1" s="170" t="s">
        <v>154</v>
      </c>
      <c r="D1" s="170" t="s">
        <v>774</v>
      </c>
      <c r="E1" s="170" t="s">
        <v>773</v>
      </c>
      <c r="F1" s="170" t="s">
        <v>772</v>
      </c>
      <c r="G1" s="170" t="s">
        <v>365</v>
      </c>
      <c r="H1" s="170" t="s">
        <v>771</v>
      </c>
      <c r="I1" s="170" t="s">
        <v>770</v>
      </c>
      <c r="J1" s="170" t="s">
        <v>769</v>
      </c>
      <c r="K1" s="170" t="s">
        <v>768</v>
      </c>
      <c r="L1" s="170" t="s">
        <v>767</v>
      </c>
      <c r="M1" s="170" t="s">
        <v>766</v>
      </c>
      <c r="N1" s="170" t="s">
        <v>765</v>
      </c>
      <c r="O1" s="170" t="s">
        <v>776</v>
      </c>
      <c r="P1" s="194" t="s">
        <v>853</v>
      </c>
      <c r="Q1" s="170" t="s">
        <v>780</v>
      </c>
      <c r="R1" s="170" t="s">
        <v>781</v>
      </c>
      <c r="S1" s="170" t="s">
        <v>782</v>
      </c>
      <c r="T1" s="170" t="s">
        <v>779</v>
      </c>
    </row>
    <row r="2" spans="1:20">
      <c r="A2" s="183">
        <v>1</v>
      </c>
      <c r="B2" s="175" t="s">
        <v>764</v>
      </c>
      <c r="C2" s="175" t="s">
        <v>763</v>
      </c>
      <c r="D2" s="175">
        <v>2</v>
      </c>
      <c r="E2" s="175" t="s">
        <v>18</v>
      </c>
      <c r="F2" s="175">
        <v>1</v>
      </c>
      <c r="G2" s="175">
        <v>2</v>
      </c>
      <c r="H2" s="175">
        <v>4</v>
      </c>
      <c r="I2" s="175">
        <v>1</v>
      </c>
      <c r="J2" s="175">
        <v>1</v>
      </c>
      <c r="K2" s="175">
        <v>1</v>
      </c>
      <c r="L2" s="175">
        <v>1</v>
      </c>
      <c r="M2" s="175">
        <v>1</v>
      </c>
      <c r="N2" s="175" t="s">
        <v>445</v>
      </c>
      <c r="O2" s="175"/>
      <c r="P2" s="175"/>
      <c r="Q2" s="184">
        <f>SUM(Tabela2[[#This Row],[G]]+Tabela2[[#This Row],[D]]+Tabela2[[#This Row],[N]]+Tabela2[[#This Row],[HM]])</f>
        <v>8</v>
      </c>
      <c r="R2" s="184">
        <f>SUM(Tabela2[[#This Row],[AO]]+Tabela2[[#This Row],[AD]]+Tabela2[[#This Row],[GWO]]+Tabela2[[#This Row],[GWD]])</f>
        <v>4</v>
      </c>
      <c r="S2" s="184">
        <f>Tabela2[[#This Row],[GWO]]+Tabela2[[#This Row],[GWD]]</f>
        <v>2</v>
      </c>
      <c r="T2" s="180">
        <f>SUM(Tabela2[[#This Row],[G]:[GWD]])</f>
        <v>12</v>
      </c>
    </row>
    <row r="3" spans="1:20">
      <c r="A3" s="183">
        <v>2</v>
      </c>
      <c r="B3" s="175" t="s">
        <v>762</v>
      </c>
      <c r="C3" s="175" t="s">
        <v>712</v>
      </c>
      <c r="D3" s="175">
        <v>2</v>
      </c>
      <c r="E3" s="175" t="s">
        <v>18</v>
      </c>
      <c r="F3" s="175">
        <v>1</v>
      </c>
      <c r="G3" s="175">
        <v>1</v>
      </c>
      <c r="H3" s="175">
        <v>1</v>
      </c>
      <c r="I3" s="175">
        <v>1</v>
      </c>
      <c r="J3" s="175">
        <v>1</v>
      </c>
      <c r="K3" s="175">
        <v>1</v>
      </c>
      <c r="L3" s="175">
        <v>1</v>
      </c>
      <c r="M3" s="175">
        <v>1</v>
      </c>
      <c r="N3" s="170"/>
      <c r="O3" s="170"/>
      <c r="P3" s="170"/>
      <c r="Q3" s="180">
        <f>SUM(Tabela2[[#This Row],[G]]+Tabela2[[#This Row],[D]]+Tabela2[[#This Row],[N]]+Tabela2[[#This Row],[HM]])</f>
        <v>4</v>
      </c>
      <c r="R3" s="180">
        <f>SUM(Tabela2[[#This Row],[AO]]+Tabela2[[#This Row],[AD]]+Tabela2[[#This Row],[GWO]]+Tabela2[[#This Row],[GWD]])</f>
        <v>4</v>
      </c>
      <c r="S3" s="180">
        <f>Tabela2[[#This Row],[GWO]]+Tabela2[[#This Row],[GWD]]</f>
        <v>2</v>
      </c>
      <c r="T3" s="180">
        <f>SUM(Tabela2[[#This Row],[G]:[GWD]])</f>
        <v>8</v>
      </c>
    </row>
    <row r="4" spans="1:20">
      <c r="A4" s="183">
        <v>3</v>
      </c>
      <c r="B4" s="175" t="s">
        <v>761</v>
      </c>
      <c r="C4" s="175" t="s">
        <v>287</v>
      </c>
      <c r="D4" s="175">
        <v>2</v>
      </c>
      <c r="E4" s="175" t="s">
        <v>18</v>
      </c>
      <c r="F4" s="175">
        <v>1</v>
      </c>
      <c r="G4" s="175">
        <v>1</v>
      </c>
      <c r="H4" s="175">
        <v>1</v>
      </c>
      <c r="I4" s="175">
        <v>1</v>
      </c>
      <c r="J4" s="175">
        <v>1</v>
      </c>
      <c r="K4" s="175">
        <v>1</v>
      </c>
      <c r="L4" s="175">
        <v>1</v>
      </c>
      <c r="M4" s="175">
        <v>1</v>
      </c>
      <c r="N4" s="175" t="s">
        <v>445</v>
      </c>
      <c r="O4" s="175"/>
      <c r="P4" s="175"/>
      <c r="Q4" s="184">
        <f>SUM(Tabela2[[#This Row],[G]]+Tabela2[[#This Row],[D]]+Tabela2[[#This Row],[N]]+Tabela2[[#This Row],[HM]])</f>
        <v>4</v>
      </c>
      <c r="R4" s="184">
        <f>SUM(Tabela2[[#This Row],[AO]]+Tabela2[[#This Row],[AD]]+Tabela2[[#This Row],[GWO]]+Tabela2[[#This Row],[GWD]])</f>
        <v>4</v>
      </c>
      <c r="S4" s="184">
        <f>Tabela2[[#This Row],[GWO]]+Tabela2[[#This Row],[GWD]]</f>
        <v>2</v>
      </c>
      <c r="T4" s="181">
        <f>SUM(Tabela2[[#This Row],[G]:[GWD]])</f>
        <v>8</v>
      </c>
    </row>
    <row r="5" spans="1:20">
      <c r="A5" s="183">
        <v>4</v>
      </c>
      <c r="B5" s="175" t="s">
        <v>209</v>
      </c>
      <c r="C5" s="175" t="s">
        <v>760</v>
      </c>
      <c r="D5" s="175">
        <v>2</v>
      </c>
      <c r="E5" s="175" t="s">
        <v>18</v>
      </c>
      <c r="F5" s="175">
        <v>1</v>
      </c>
      <c r="G5" s="175">
        <v>4</v>
      </c>
      <c r="H5" s="175">
        <v>1</v>
      </c>
      <c r="I5" s="175">
        <v>5</v>
      </c>
      <c r="J5" s="175">
        <v>1</v>
      </c>
      <c r="K5" s="175">
        <v>1</v>
      </c>
      <c r="L5" s="175">
        <v>4</v>
      </c>
      <c r="M5" s="175">
        <v>1</v>
      </c>
      <c r="N5" s="170"/>
      <c r="O5" s="170" t="s">
        <v>204</v>
      </c>
      <c r="P5" s="170"/>
      <c r="Q5" s="180">
        <f>SUM(Tabela2[[#This Row],[G]]+Tabela2[[#This Row],[D]]+Tabela2[[#This Row],[N]]+Tabela2[[#This Row],[HM]])</f>
        <v>7</v>
      </c>
      <c r="R5" s="180">
        <f>SUM(Tabela2[[#This Row],[AO]]+Tabela2[[#This Row],[AD]]+Tabela2[[#This Row],[GWO]]+Tabela2[[#This Row],[GWD]])</f>
        <v>11</v>
      </c>
      <c r="S5" s="180">
        <f>Tabela2[[#This Row],[GWO]]+Tabela2[[#This Row],[GWD]]</f>
        <v>5</v>
      </c>
      <c r="T5" s="180">
        <f>SUM(Tabela2[[#This Row],[G]:[GWD]])</f>
        <v>18</v>
      </c>
    </row>
    <row r="6" spans="1:20">
      <c r="A6" s="183">
        <v>5</v>
      </c>
      <c r="B6" s="175" t="s">
        <v>759</v>
      </c>
      <c r="C6" s="175" t="s">
        <v>721</v>
      </c>
      <c r="D6" s="175">
        <v>2</v>
      </c>
      <c r="E6" s="175" t="s">
        <v>18</v>
      </c>
      <c r="F6" s="175">
        <v>1</v>
      </c>
      <c r="G6" s="175">
        <v>1</v>
      </c>
      <c r="H6" s="175">
        <v>1</v>
      </c>
      <c r="I6" s="175">
        <v>1</v>
      </c>
      <c r="J6" s="175">
        <v>1</v>
      </c>
      <c r="K6" s="175">
        <v>1</v>
      </c>
      <c r="L6" s="175">
        <v>1</v>
      </c>
      <c r="M6" s="175">
        <v>1</v>
      </c>
      <c r="N6" s="170"/>
      <c r="O6" s="170"/>
      <c r="P6" s="170"/>
      <c r="Q6" s="180">
        <f>SUM(Tabela2[[#This Row],[G]]+Tabela2[[#This Row],[D]]+Tabela2[[#This Row],[N]]+Tabela2[[#This Row],[HM]])</f>
        <v>4</v>
      </c>
      <c r="R6" s="180">
        <f>SUM(Tabela2[[#This Row],[AO]]+Tabela2[[#This Row],[AD]]+Tabela2[[#This Row],[GWO]]+Tabela2[[#This Row],[GWD]])</f>
        <v>4</v>
      </c>
      <c r="S6" s="180">
        <f>Tabela2[[#This Row],[GWO]]+Tabela2[[#This Row],[GWD]]</f>
        <v>2</v>
      </c>
      <c r="T6" s="180">
        <f>SUM(Tabela2[[#This Row],[G]:[GWD]])</f>
        <v>8</v>
      </c>
    </row>
    <row r="7" spans="1:20">
      <c r="A7" s="183">
        <v>6</v>
      </c>
      <c r="B7" s="175" t="s">
        <v>758</v>
      </c>
      <c r="C7" s="175" t="s">
        <v>757</v>
      </c>
      <c r="D7" s="175">
        <v>2</v>
      </c>
      <c r="E7" s="175" t="s">
        <v>18</v>
      </c>
      <c r="F7" s="175">
        <v>1</v>
      </c>
      <c r="G7" s="175">
        <v>1</v>
      </c>
      <c r="H7" s="175">
        <v>1</v>
      </c>
      <c r="I7" s="175">
        <v>1</v>
      </c>
      <c r="J7" s="175">
        <v>1</v>
      </c>
      <c r="K7" s="175">
        <v>1</v>
      </c>
      <c r="L7" s="175">
        <v>1</v>
      </c>
      <c r="M7" s="175">
        <v>1</v>
      </c>
      <c r="N7" s="170"/>
      <c r="O7" s="170"/>
      <c r="P7" s="170"/>
      <c r="Q7" s="180">
        <f>SUM(Tabela2[[#This Row],[G]]+Tabela2[[#This Row],[D]]+Tabela2[[#This Row],[N]]+Tabela2[[#This Row],[HM]])</f>
        <v>4</v>
      </c>
      <c r="R7" s="180">
        <f>SUM(Tabela2[[#This Row],[AO]]+Tabela2[[#This Row],[AD]]+Tabela2[[#This Row],[GWO]]+Tabela2[[#This Row],[GWD]])</f>
        <v>4</v>
      </c>
      <c r="S7" s="180">
        <f>Tabela2[[#This Row],[GWO]]+Tabela2[[#This Row],[GWD]]</f>
        <v>2</v>
      </c>
      <c r="T7" s="180">
        <f>SUM(Tabela2[[#This Row],[G]:[GWD]])</f>
        <v>8</v>
      </c>
    </row>
    <row r="8" spans="1:20">
      <c r="A8" s="183">
        <v>7</v>
      </c>
      <c r="B8" s="175" t="s">
        <v>756</v>
      </c>
      <c r="C8" s="175" t="s">
        <v>555</v>
      </c>
      <c r="D8" s="175">
        <v>2</v>
      </c>
      <c r="E8" s="175" t="s">
        <v>18</v>
      </c>
      <c r="F8" s="175">
        <v>1</v>
      </c>
      <c r="G8" s="175">
        <v>1</v>
      </c>
      <c r="H8" s="175">
        <v>1</v>
      </c>
      <c r="I8" s="175">
        <v>1</v>
      </c>
      <c r="J8" s="175">
        <v>1</v>
      </c>
      <c r="K8" s="175">
        <v>1</v>
      </c>
      <c r="L8" s="175">
        <v>1</v>
      </c>
      <c r="M8" s="175">
        <v>1</v>
      </c>
      <c r="N8" s="170"/>
      <c r="O8" s="170"/>
      <c r="P8" s="170"/>
      <c r="Q8" s="180">
        <f>SUM(Tabela2[[#This Row],[G]]+Tabela2[[#This Row],[D]]+Tabela2[[#This Row],[N]]+Tabela2[[#This Row],[HM]])</f>
        <v>4</v>
      </c>
      <c r="R8" s="180">
        <f>SUM(Tabela2[[#This Row],[AO]]+Tabela2[[#This Row],[AD]]+Tabela2[[#This Row],[GWO]]+Tabela2[[#This Row],[GWD]])</f>
        <v>4</v>
      </c>
      <c r="S8" s="180">
        <f>Tabela2[[#This Row],[GWO]]+Tabela2[[#This Row],[GWD]]</f>
        <v>2</v>
      </c>
      <c r="T8" s="180">
        <f>SUM(Tabela2[[#This Row],[G]:[GWD]])</f>
        <v>8</v>
      </c>
    </row>
    <row r="9" spans="1:20">
      <c r="A9" s="183">
        <v>8</v>
      </c>
      <c r="B9" s="175" t="s">
        <v>755</v>
      </c>
      <c r="C9" s="175" t="s">
        <v>548</v>
      </c>
      <c r="D9" s="175">
        <v>2</v>
      </c>
      <c r="E9" s="175" t="s">
        <v>18</v>
      </c>
      <c r="F9" s="175">
        <v>1</v>
      </c>
      <c r="G9" s="175">
        <v>1</v>
      </c>
      <c r="H9" s="175">
        <v>4</v>
      </c>
      <c r="I9" s="175">
        <v>1</v>
      </c>
      <c r="J9" s="175">
        <v>1</v>
      </c>
      <c r="K9" s="175">
        <v>1</v>
      </c>
      <c r="L9" s="175">
        <v>1</v>
      </c>
      <c r="M9" s="175">
        <v>1</v>
      </c>
      <c r="N9" s="170"/>
      <c r="O9" s="170"/>
      <c r="P9" s="170"/>
      <c r="Q9" s="180">
        <f>SUM(Tabela2[[#This Row],[G]]+Tabela2[[#This Row],[D]]+Tabela2[[#This Row],[N]]+Tabela2[[#This Row],[HM]])</f>
        <v>7</v>
      </c>
      <c r="R9" s="180">
        <f>SUM(Tabela2[[#This Row],[AO]]+Tabela2[[#This Row],[AD]]+Tabela2[[#This Row],[GWO]]+Tabela2[[#This Row],[GWD]])</f>
        <v>4</v>
      </c>
      <c r="S9" s="180">
        <f>Tabela2[[#This Row],[GWO]]+Tabela2[[#This Row],[GWD]]</f>
        <v>2</v>
      </c>
      <c r="T9" s="180">
        <f>SUM(Tabela2[[#This Row],[G]:[GWD]])</f>
        <v>11</v>
      </c>
    </row>
    <row r="10" spans="1:20">
      <c r="A10" s="183">
        <v>9</v>
      </c>
      <c r="B10" s="175" t="s">
        <v>754</v>
      </c>
      <c r="C10" s="175" t="s">
        <v>753</v>
      </c>
      <c r="D10" s="175">
        <v>2</v>
      </c>
      <c r="E10" s="175" t="s">
        <v>18</v>
      </c>
      <c r="F10" s="175">
        <v>1</v>
      </c>
      <c r="G10" s="175">
        <v>1</v>
      </c>
      <c r="H10" s="175">
        <v>1</v>
      </c>
      <c r="I10" s="175">
        <v>1</v>
      </c>
      <c r="J10" s="175">
        <v>1</v>
      </c>
      <c r="K10" s="175">
        <v>1</v>
      </c>
      <c r="L10" s="175">
        <v>1</v>
      </c>
      <c r="M10" s="175">
        <v>1</v>
      </c>
      <c r="N10" s="170"/>
      <c r="O10" s="170"/>
      <c r="P10" s="170"/>
      <c r="Q10" s="180">
        <f>SUM(Tabela2[[#This Row],[G]]+Tabela2[[#This Row],[D]]+Tabela2[[#This Row],[N]]+Tabela2[[#This Row],[HM]])</f>
        <v>4</v>
      </c>
      <c r="R10" s="180">
        <f>SUM(Tabela2[[#This Row],[AO]]+Tabela2[[#This Row],[AD]]+Tabela2[[#This Row],[GWO]]+Tabela2[[#This Row],[GWD]])</f>
        <v>4</v>
      </c>
      <c r="S10" s="180">
        <f>Tabela2[[#This Row],[GWO]]+Tabela2[[#This Row],[GWD]]</f>
        <v>2</v>
      </c>
      <c r="T10" s="180">
        <f>SUM(Tabela2[[#This Row],[G]:[GWD]])</f>
        <v>8</v>
      </c>
    </row>
    <row r="11" spans="1:20">
      <c r="A11" s="183">
        <v>10</v>
      </c>
      <c r="B11" s="174" t="s">
        <v>752</v>
      </c>
      <c r="C11" s="174" t="s">
        <v>714</v>
      </c>
      <c r="D11" s="174">
        <v>2</v>
      </c>
      <c r="E11" s="174" t="s">
        <v>249</v>
      </c>
      <c r="F11" s="174">
        <v>2</v>
      </c>
      <c r="G11" s="174">
        <v>1</v>
      </c>
      <c r="H11" s="174">
        <v>2</v>
      </c>
      <c r="I11" s="174">
        <v>1</v>
      </c>
      <c r="J11" s="174">
        <v>1</v>
      </c>
      <c r="K11" s="174">
        <v>1</v>
      </c>
      <c r="L11" s="174">
        <v>1</v>
      </c>
      <c r="M11" s="174">
        <v>1</v>
      </c>
      <c r="N11" s="170"/>
      <c r="O11" s="170"/>
      <c r="P11" s="170"/>
      <c r="Q11" s="180">
        <f>SUM(Tabela2[[#This Row],[G]]+Tabela2[[#This Row],[D]]+Tabela2[[#This Row],[N]]+Tabela2[[#This Row],[HM]])</f>
        <v>6</v>
      </c>
      <c r="R11" s="180">
        <f>SUM(Tabela2[[#This Row],[AO]]+Tabela2[[#This Row],[AD]]+Tabela2[[#This Row],[GWO]]+Tabela2[[#This Row],[GWD]])</f>
        <v>4</v>
      </c>
      <c r="S11" s="180">
        <f>Tabela2[[#This Row],[GWO]]+Tabela2[[#This Row],[GWD]]</f>
        <v>2</v>
      </c>
      <c r="T11" s="180">
        <f>SUM(Tabela2[[#This Row],[G]:[GWD]])</f>
        <v>10</v>
      </c>
    </row>
    <row r="12" spans="1:20">
      <c r="A12" s="183">
        <v>11</v>
      </c>
      <c r="B12" s="174" t="s">
        <v>751</v>
      </c>
      <c r="C12" s="174" t="s">
        <v>712</v>
      </c>
      <c r="D12" s="174">
        <v>2</v>
      </c>
      <c r="E12" s="174" t="s">
        <v>249</v>
      </c>
      <c r="F12" s="174">
        <v>1</v>
      </c>
      <c r="G12" s="174">
        <v>1</v>
      </c>
      <c r="H12" s="174">
        <v>1</v>
      </c>
      <c r="I12" s="174">
        <v>1</v>
      </c>
      <c r="J12" s="174">
        <v>1</v>
      </c>
      <c r="K12" s="174">
        <v>1</v>
      </c>
      <c r="L12" s="174">
        <v>1</v>
      </c>
      <c r="M12" s="174">
        <v>1</v>
      </c>
      <c r="N12" s="174" t="s">
        <v>445</v>
      </c>
      <c r="O12" s="174"/>
      <c r="P12" s="174"/>
      <c r="Q12" s="185">
        <f>SUM(Tabela2[[#This Row],[G]]+Tabela2[[#This Row],[D]]+Tabela2[[#This Row],[N]]+Tabela2[[#This Row],[HM]])</f>
        <v>4</v>
      </c>
      <c r="R12" s="185">
        <f>SUM(Tabela2[[#This Row],[AO]]+Tabela2[[#This Row],[AD]]+Tabela2[[#This Row],[GWO]]+Tabela2[[#This Row],[GWD]])</f>
        <v>4</v>
      </c>
      <c r="S12" s="185">
        <f>Tabela2[[#This Row],[GWO]]+Tabela2[[#This Row],[GWD]]</f>
        <v>2</v>
      </c>
      <c r="T12" s="180">
        <f>SUM(Tabela2[[#This Row],[G]:[GWD]])</f>
        <v>8</v>
      </c>
    </row>
    <row r="13" spans="1:20">
      <c r="A13" s="183">
        <v>12</v>
      </c>
      <c r="B13" s="174" t="s">
        <v>750</v>
      </c>
      <c r="C13" s="174" t="s">
        <v>706</v>
      </c>
      <c r="D13" s="174">
        <v>2</v>
      </c>
      <c r="E13" s="174" t="s">
        <v>249</v>
      </c>
      <c r="F13" s="174">
        <v>1</v>
      </c>
      <c r="G13" s="174">
        <v>1</v>
      </c>
      <c r="H13" s="174">
        <v>1</v>
      </c>
      <c r="I13" s="174">
        <v>1</v>
      </c>
      <c r="J13" s="174">
        <v>1</v>
      </c>
      <c r="K13" s="174">
        <v>1</v>
      </c>
      <c r="L13" s="174">
        <v>1</v>
      </c>
      <c r="M13" s="174">
        <v>1</v>
      </c>
      <c r="N13" s="170"/>
      <c r="O13" s="170"/>
      <c r="P13" s="170"/>
      <c r="Q13" s="180">
        <f>SUM(Tabela2[[#This Row],[G]]+Tabela2[[#This Row],[D]]+Tabela2[[#This Row],[N]]+Tabela2[[#This Row],[HM]])</f>
        <v>4</v>
      </c>
      <c r="R13" s="180">
        <f>SUM(Tabela2[[#This Row],[AO]]+Tabela2[[#This Row],[AD]]+Tabela2[[#This Row],[GWO]]+Tabela2[[#This Row],[GWD]])</f>
        <v>4</v>
      </c>
      <c r="S13" s="180">
        <f>Tabela2[[#This Row],[GWO]]+Tabela2[[#This Row],[GWD]]</f>
        <v>2</v>
      </c>
      <c r="T13" s="180">
        <f>SUM(Tabela2[[#This Row],[G]:[GWD]])</f>
        <v>8</v>
      </c>
    </row>
    <row r="14" spans="1:20">
      <c r="A14" s="183">
        <v>13</v>
      </c>
      <c r="B14" s="174" t="s">
        <v>749</v>
      </c>
      <c r="C14" s="174" t="s">
        <v>594</v>
      </c>
      <c r="D14" s="174">
        <v>2</v>
      </c>
      <c r="E14" s="174" t="s">
        <v>249</v>
      </c>
      <c r="F14" s="174">
        <v>1</v>
      </c>
      <c r="G14" s="174">
        <v>2</v>
      </c>
      <c r="H14" s="174">
        <v>1</v>
      </c>
      <c r="I14" s="174">
        <v>1</v>
      </c>
      <c r="J14" s="174">
        <v>1</v>
      </c>
      <c r="K14" s="174">
        <v>1</v>
      </c>
      <c r="L14" s="174">
        <v>1</v>
      </c>
      <c r="M14" s="174">
        <v>1</v>
      </c>
      <c r="N14" s="170"/>
      <c r="O14" s="170"/>
      <c r="P14" s="170"/>
      <c r="Q14" s="180">
        <f>SUM(Tabela2[[#This Row],[G]]+Tabela2[[#This Row],[D]]+Tabela2[[#This Row],[N]]+Tabela2[[#This Row],[HM]])</f>
        <v>5</v>
      </c>
      <c r="R14" s="180">
        <f>SUM(Tabela2[[#This Row],[AO]]+Tabela2[[#This Row],[AD]]+Tabela2[[#This Row],[GWO]]+Tabela2[[#This Row],[GWD]])</f>
        <v>4</v>
      </c>
      <c r="S14" s="180">
        <f>Tabela2[[#This Row],[GWO]]+Tabela2[[#This Row],[GWD]]</f>
        <v>2</v>
      </c>
      <c r="T14" s="180">
        <f>SUM(Tabela2[[#This Row],[G]:[GWD]])</f>
        <v>9</v>
      </c>
    </row>
    <row r="15" spans="1:20">
      <c r="A15" s="183">
        <v>14</v>
      </c>
      <c r="B15" s="174" t="s">
        <v>748</v>
      </c>
      <c r="C15" s="174" t="s">
        <v>747</v>
      </c>
      <c r="D15" s="174">
        <v>2</v>
      </c>
      <c r="E15" s="174" t="s">
        <v>249</v>
      </c>
      <c r="F15" s="174">
        <v>1</v>
      </c>
      <c r="G15" s="174">
        <v>1</v>
      </c>
      <c r="H15" s="174">
        <v>1</v>
      </c>
      <c r="I15" s="174">
        <v>1</v>
      </c>
      <c r="J15" s="174">
        <v>1</v>
      </c>
      <c r="K15" s="174">
        <v>1</v>
      </c>
      <c r="L15" s="174">
        <v>1</v>
      </c>
      <c r="M15" s="174">
        <v>1</v>
      </c>
      <c r="N15" s="170"/>
      <c r="O15" s="170"/>
      <c r="P15" s="170"/>
      <c r="Q15" s="180">
        <f>SUM(Tabela2[[#This Row],[G]]+Tabela2[[#This Row],[D]]+Tabela2[[#This Row],[N]]+Tabela2[[#This Row],[HM]])</f>
        <v>4</v>
      </c>
      <c r="R15" s="180">
        <f>SUM(Tabela2[[#This Row],[AO]]+Tabela2[[#This Row],[AD]]+Tabela2[[#This Row],[GWO]]+Tabela2[[#This Row],[GWD]])</f>
        <v>4</v>
      </c>
      <c r="S15" s="180">
        <f>Tabela2[[#This Row],[GWO]]+Tabela2[[#This Row],[GWD]]</f>
        <v>2</v>
      </c>
      <c r="T15" s="180">
        <f>SUM(Tabela2[[#This Row],[G]:[GWD]])</f>
        <v>8</v>
      </c>
    </row>
    <row r="16" spans="1:20">
      <c r="A16" s="183">
        <v>15</v>
      </c>
      <c r="B16" s="174" t="s">
        <v>746</v>
      </c>
      <c r="C16" s="174" t="s">
        <v>735</v>
      </c>
      <c r="D16" s="174">
        <v>2</v>
      </c>
      <c r="E16" s="174" t="s">
        <v>249</v>
      </c>
      <c r="F16" s="174">
        <v>1</v>
      </c>
      <c r="G16" s="174">
        <v>1</v>
      </c>
      <c r="H16" s="174">
        <v>1</v>
      </c>
      <c r="I16" s="174">
        <v>1</v>
      </c>
      <c r="J16" s="174">
        <v>1</v>
      </c>
      <c r="K16" s="174">
        <v>1</v>
      </c>
      <c r="L16" s="174">
        <v>1</v>
      </c>
      <c r="M16" s="174">
        <v>1</v>
      </c>
      <c r="N16" s="170"/>
      <c r="O16" s="170"/>
      <c r="P16" s="170"/>
      <c r="Q16" s="180">
        <f>SUM(Tabela2[[#This Row],[G]]+Tabela2[[#This Row],[D]]+Tabela2[[#This Row],[N]]+Tabela2[[#This Row],[HM]])</f>
        <v>4</v>
      </c>
      <c r="R16" s="180">
        <f>SUM(Tabela2[[#This Row],[AO]]+Tabela2[[#This Row],[AD]]+Tabela2[[#This Row],[GWO]]+Tabela2[[#This Row],[GWD]])</f>
        <v>4</v>
      </c>
      <c r="S16" s="180">
        <f>Tabela2[[#This Row],[GWO]]+Tabela2[[#This Row],[GWD]]</f>
        <v>2</v>
      </c>
      <c r="T16" s="180">
        <f>SUM(Tabela2[[#This Row],[G]:[GWD]])</f>
        <v>8</v>
      </c>
    </row>
    <row r="17" spans="1:20">
      <c r="A17" s="183">
        <v>16</v>
      </c>
      <c r="B17" s="174" t="s">
        <v>745</v>
      </c>
      <c r="C17" s="174" t="s">
        <v>710</v>
      </c>
      <c r="D17" s="174">
        <v>2</v>
      </c>
      <c r="E17" s="174" t="s">
        <v>249</v>
      </c>
      <c r="F17" s="174">
        <v>1</v>
      </c>
      <c r="G17" s="174">
        <v>1</v>
      </c>
      <c r="H17" s="174">
        <v>1</v>
      </c>
      <c r="I17" s="174">
        <v>1</v>
      </c>
      <c r="J17" s="174">
        <v>1</v>
      </c>
      <c r="K17" s="174">
        <v>1</v>
      </c>
      <c r="L17" s="174">
        <v>1</v>
      </c>
      <c r="M17" s="174">
        <v>1</v>
      </c>
      <c r="N17" s="170"/>
      <c r="O17" s="170"/>
      <c r="P17" s="170"/>
      <c r="Q17" s="180">
        <f>SUM(Tabela2[[#This Row],[G]]+Tabela2[[#This Row],[D]]+Tabela2[[#This Row],[N]]+Tabela2[[#This Row],[HM]])</f>
        <v>4</v>
      </c>
      <c r="R17" s="180">
        <f>SUM(Tabela2[[#This Row],[AO]]+Tabela2[[#This Row],[AD]]+Tabela2[[#This Row],[GWO]]+Tabela2[[#This Row],[GWD]])</f>
        <v>4</v>
      </c>
      <c r="S17" s="180">
        <f>Tabela2[[#This Row],[GWO]]+Tabela2[[#This Row],[GWD]]</f>
        <v>2</v>
      </c>
      <c r="T17" s="180">
        <f>SUM(Tabela2[[#This Row],[G]:[GWD]])</f>
        <v>8</v>
      </c>
    </row>
    <row r="18" spans="1:20">
      <c r="A18" s="183">
        <v>17</v>
      </c>
      <c r="B18" s="174" t="s">
        <v>744</v>
      </c>
      <c r="C18" s="174" t="s">
        <v>708</v>
      </c>
      <c r="D18" s="174">
        <v>2</v>
      </c>
      <c r="E18" s="174" t="s">
        <v>249</v>
      </c>
      <c r="F18" s="174">
        <v>1</v>
      </c>
      <c r="G18" s="174">
        <v>1</v>
      </c>
      <c r="H18" s="174">
        <v>1</v>
      </c>
      <c r="I18" s="174">
        <v>1</v>
      </c>
      <c r="J18" s="174">
        <v>1</v>
      </c>
      <c r="K18" s="174">
        <v>1</v>
      </c>
      <c r="L18" s="174">
        <v>1</v>
      </c>
      <c r="M18" s="174">
        <v>1</v>
      </c>
      <c r="N18" s="170"/>
      <c r="O18" s="170"/>
      <c r="P18" s="170"/>
      <c r="Q18" s="180">
        <f>SUM(Tabela2[[#This Row],[G]]+Tabela2[[#This Row],[D]]+Tabela2[[#This Row],[N]]+Tabela2[[#This Row],[HM]])</f>
        <v>4</v>
      </c>
      <c r="R18" s="180">
        <f>SUM(Tabela2[[#This Row],[AO]]+Tabela2[[#This Row],[AD]]+Tabela2[[#This Row],[GWO]]+Tabela2[[#This Row],[GWD]])</f>
        <v>4</v>
      </c>
      <c r="S18" s="180">
        <f>Tabela2[[#This Row],[GWO]]+Tabela2[[#This Row],[GWD]]</f>
        <v>2</v>
      </c>
      <c r="T18" s="180">
        <f>SUM(Tabela2[[#This Row],[G]:[GWD]])</f>
        <v>8</v>
      </c>
    </row>
    <row r="19" spans="1:20">
      <c r="A19" s="183">
        <v>18</v>
      </c>
      <c r="B19" s="174" t="s">
        <v>743</v>
      </c>
      <c r="C19" s="174" t="s">
        <v>716</v>
      </c>
      <c r="D19" s="174">
        <v>2</v>
      </c>
      <c r="E19" s="174" t="s">
        <v>249</v>
      </c>
      <c r="F19" s="174">
        <v>1</v>
      </c>
      <c r="G19" s="174">
        <v>2</v>
      </c>
      <c r="H19" s="174">
        <v>1</v>
      </c>
      <c r="I19" s="174">
        <v>1</v>
      </c>
      <c r="J19" s="174">
        <v>1</v>
      </c>
      <c r="K19" s="174">
        <v>1</v>
      </c>
      <c r="L19" s="174">
        <v>2</v>
      </c>
      <c r="M19" s="174">
        <v>2</v>
      </c>
      <c r="N19" s="170"/>
      <c r="O19" s="170"/>
      <c r="P19" s="170"/>
      <c r="Q19" s="180">
        <f>SUM(Tabela2[[#This Row],[G]]+Tabela2[[#This Row],[D]]+Tabela2[[#This Row],[N]]+Tabela2[[#This Row],[HM]])</f>
        <v>5</v>
      </c>
      <c r="R19" s="180">
        <f>SUM(Tabela2[[#This Row],[AO]]+Tabela2[[#This Row],[AD]]+Tabela2[[#This Row],[GWO]]+Tabela2[[#This Row],[GWD]])</f>
        <v>6</v>
      </c>
      <c r="S19" s="180">
        <f>Tabela2[[#This Row],[GWO]]+Tabela2[[#This Row],[GWD]]</f>
        <v>4</v>
      </c>
      <c r="T19" s="180">
        <f>SUM(Tabela2[[#This Row],[G]:[GWD]])</f>
        <v>11</v>
      </c>
    </row>
    <row r="20" spans="1:20">
      <c r="A20" s="183">
        <v>19</v>
      </c>
      <c r="B20" s="174" t="s">
        <v>146</v>
      </c>
      <c r="C20" s="174" t="s">
        <v>725</v>
      </c>
      <c r="D20" s="174">
        <v>2</v>
      </c>
      <c r="E20" s="174" t="s">
        <v>249</v>
      </c>
      <c r="F20" s="174">
        <v>3</v>
      </c>
      <c r="G20" s="174">
        <v>4</v>
      </c>
      <c r="H20" s="174">
        <v>1</v>
      </c>
      <c r="I20" s="174">
        <v>3</v>
      </c>
      <c r="J20" s="174">
        <v>3</v>
      </c>
      <c r="K20" s="174">
        <v>3</v>
      </c>
      <c r="L20" s="174">
        <v>3</v>
      </c>
      <c r="M20" s="174">
        <v>3</v>
      </c>
      <c r="N20" s="174" t="s">
        <v>445</v>
      </c>
      <c r="O20" s="174" t="s">
        <v>204</v>
      </c>
      <c r="P20" s="174"/>
      <c r="Q20" s="185">
        <f>SUM(Tabela2[[#This Row],[G]]+Tabela2[[#This Row],[D]]+Tabela2[[#This Row],[N]]+Tabela2[[#This Row],[HM]])</f>
        <v>11</v>
      </c>
      <c r="R20" s="185">
        <f>SUM(Tabela2[[#This Row],[AO]]+Tabela2[[#This Row],[AD]]+Tabela2[[#This Row],[GWO]]+Tabela2[[#This Row],[GWD]])</f>
        <v>12</v>
      </c>
      <c r="S20" s="185">
        <f>Tabela2[[#This Row],[GWO]]+Tabela2[[#This Row],[GWD]]</f>
        <v>6</v>
      </c>
      <c r="T20" s="180">
        <f>SUM(Tabela2[[#This Row],[G]:[GWD]])</f>
        <v>23</v>
      </c>
    </row>
    <row r="21" spans="1:20">
      <c r="A21" s="183">
        <v>20</v>
      </c>
      <c r="B21" s="174" t="s">
        <v>742</v>
      </c>
      <c r="C21" s="174" t="s">
        <v>729</v>
      </c>
      <c r="D21" s="174">
        <v>2</v>
      </c>
      <c r="E21" s="174" t="s">
        <v>249</v>
      </c>
      <c r="F21" s="174">
        <v>1</v>
      </c>
      <c r="G21" s="174">
        <v>1</v>
      </c>
      <c r="H21" s="174">
        <v>1</v>
      </c>
      <c r="I21" s="174">
        <v>1</v>
      </c>
      <c r="J21" s="174">
        <v>1</v>
      </c>
      <c r="K21" s="174">
        <v>1</v>
      </c>
      <c r="L21" s="174">
        <v>1</v>
      </c>
      <c r="M21" s="174">
        <v>1</v>
      </c>
      <c r="N21" s="170"/>
      <c r="O21" s="170"/>
      <c r="P21" s="170"/>
      <c r="Q21" s="180">
        <f>SUM(Tabela2[[#This Row],[G]]+Tabela2[[#This Row],[D]]+Tabela2[[#This Row],[N]]+Tabela2[[#This Row],[HM]])</f>
        <v>4</v>
      </c>
      <c r="R21" s="180">
        <f>SUM(Tabela2[[#This Row],[AO]]+Tabela2[[#This Row],[AD]]+Tabela2[[#This Row],[GWO]]+Tabela2[[#This Row],[GWD]])</f>
        <v>4</v>
      </c>
      <c r="S21" s="180">
        <f>Tabela2[[#This Row],[GWO]]+Tabela2[[#This Row],[GWD]]</f>
        <v>2</v>
      </c>
      <c r="T21" s="180">
        <f>SUM(Tabela2[[#This Row],[G]:[GWD]])</f>
        <v>8</v>
      </c>
    </row>
    <row r="22" spans="1:20">
      <c r="A22" s="183">
        <v>21</v>
      </c>
      <c r="B22" s="172" t="s">
        <v>741</v>
      </c>
      <c r="C22" s="172" t="s">
        <v>714</v>
      </c>
      <c r="D22" s="172">
        <v>2</v>
      </c>
      <c r="E22" s="172" t="s">
        <v>250</v>
      </c>
      <c r="F22" s="172">
        <v>1</v>
      </c>
      <c r="G22" s="172">
        <v>1</v>
      </c>
      <c r="H22" s="172">
        <v>1</v>
      </c>
      <c r="I22" s="172">
        <v>1</v>
      </c>
      <c r="J22" s="172">
        <v>1</v>
      </c>
      <c r="K22" s="172">
        <v>1</v>
      </c>
      <c r="L22" s="172">
        <v>1</v>
      </c>
      <c r="M22" s="172">
        <v>1</v>
      </c>
      <c r="N22" s="170"/>
      <c r="O22" s="170"/>
      <c r="P22" s="170"/>
      <c r="Q22" s="180">
        <f>SUM(Tabela2[[#This Row],[G]]+Tabela2[[#This Row],[D]]+Tabela2[[#This Row],[N]]+Tabela2[[#This Row],[HM]])</f>
        <v>4</v>
      </c>
      <c r="R22" s="180">
        <f>SUM(Tabela2[[#This Row],[AO]]+Tabela2[[#This Row],[AD]]+Tabela2[[#This Row],[GWO]]+Tabela2[[#This Row],[GWD]])</f>
        <v>4</v>
      </c>
      <c r="S22" s="180">
        <f>Tabela2[[#This Row],[GWO]]+Tabela2[[#This Row],[GWD]]</f>
        <v>2</v>
      </c>
      <c r="T22" s="180">
        <f>SUM(Tabela2[[#This Row],[G]:[GWD]])</f>
        <v>8</v>
      </c>
    </row>
    <row r="23" spans="1:20">
      <c r="A23" s="183">
        <v>22</v>
      </c>
      <c r="B23" s="172" t="s">
        <v>150</v>
      </c>
      <c r="C23" s="172" t="s">
        <v>712</v>
      </c>
      <c r="D23" s="172">
        <v>2</v>
      </c>
      <c r="E23" s="172" t="s">
        <v>250</v>
      </c>
      <c r="F23" s="172">
        <v>5</v>
      </c>
      <c r="G23" s="172">
        <v>1</v>
      </c>
      <c r="H23" s="172">
        <v>1</v>
      </c>
      <c r="I23" s="172">
        <v>1</v>
      </c>
      <c r="J23" s="172">
        <v>1</v>
      </c>
      <c r="K23" s="172">
        <v>1</v>
      </c>
      <c r="L23" s="172">
        <v>1</v>
      </c>
      <c r="M23" s="172">
        <v>1</v>
      </c>
      <c r="N23" s="170"/>
      <c r="O23" s="170"/>
      <c r="P23" s="170"/>
      <c r="Q23" s="180">
        <f>SUM(Tabela2[[#This Row],[G]]+Tabela2[[#This Row],[D]]+Tabela2[[#This Row],[N]]+Tabela2[[#This Row],[HM]])</f>
        <v>8</v>
      </c>
      <c r="R23" s="180">
        <f>SUM(Tabela2[[#This Row],[AO]]+Tabela2[[#This Row],[AD]]+Tabela2[[#This Row],[GWO]]+Tabela2[[#This Row],[GWD]])</f>
        <v>4</v>
      </c>
      <c r="S23" s="180">
        <f>Tabela2[[#This Row],[GWO]]+Tabela2[[#This Row],[GWD]]</f>
        <v>2</v>
      </c>
      <c r="T23" s="180">
        <f>SUM(Tabela2[[#This Row],[G]:[GWD]])</f>
        <v>12</v>
      </c>
    </row>
    <row r="24" spans="1:20">
      <c r="A24" s="183">
        <v>23</v>
      </c>
      <c r="B24" s="172" t="s">
        <v>740</v>
      </c>
      <c r="C24" s="172" t="s">
        <v>706</v>
      </c>
      <c r="D24" s="172">
        <v>2</v>
      </c>
      <c r="E24" s="172" t="s">
        <v>250</v>
      </c>
      <c r="F24" s="172">
        <v>2</v>
      </c>
      <c r="G24" s="172">
        <v>1</v>
      </c>
      <c r="H24" s="172">
        <v>2</v>
      </c>
      <c r="I24" s="172">
        <v>1</v>
      </c>
      <c r="J24" s="172">
        <v>1</v>
      </c>
      <c r="K24" s="172">
        <v>1</v>
      </c>
      <c r="L24" s="172">
        <v>1</v>
      </c>
      <c r="M24" s="172">
        <v>1</v>
      </c>
      <c r="N24" s="170"/>
      <c r="O24" s="194" t="s">
        <v>204</v>
      </c>
      <c r="P24" s="194"/>
      <c r="Q24" s="180">
        <f>SUM(Tabela2[[#This Row],[G]]+Tabela2[[#This Row],[D]]+Tabela2[[#This Row],[N]]+Tabela2[[#This Row],[HM]])</f>
        <v>6</v>
      </c>
      <c r="R24" s="180">
        <f>SUM(Tabela2[[#This Row],[AO]]+Tabela2[[#This Row],[AD]]+Tabela2[[#This Row],[GWO]]+Tabela2[[#This Row],[GWD]])</f>
        <v>4</v>
      </c>
      <c r="S24" s="180">
        <f>Tabela2[[#This Row],[GWO]]+Tabela2[[#This Row],[GWD]]</f>
        <v>2</v>
      </c>
      <c r="T24" s="180">
        <f>SUM(Tabela2[[#This Row],[G]:[GWD]])</f>
        <v>10</v>
      </c>
    </row>
    <row r="25" spans="1:20">
      <c r="A25" s="183">
        <v>24</v>
      </c>
      <c r="B25" s="172" t="s">
        <v>739</v>
      </c>
      <c r="C25" s="172" t="s">
        <v>594</v>
      </c>
      <c r="D25" s="172">
        <v>2</v>
      </c>
      <c r="E25" s="172" t="s">
        <v>250</v>
      </c>
      <c r="F25" s="172">
        <v>1</v>
      </c>
      <c r="G25" s="172">
        <v>1</v>
      </c>
      <c r="H25" s="172">
        <v>1</v>
      </c>
      <c r="I25" s="172">
        <v>1</v>
      </c>
      <c r="J25" s="172">
        <v>1</v>
      </c>
      <c r="K25" s="172">
        <v>1</v>
      </c>
      <c r="L25" s="172">
        <v>1</v>
      </c>
      <c r="M25" s="172">
        <v>1</v>
      </c>
      <c r="N25" s="170"/>
      <c r="O25" s="170"/>
      <c r="P25" s="170"/>
      <c r="Q25" s="180">
        <f>SUM(Tabela2[[#This Row],[G]]+Tabela2[[#This Row],[D]]+Tabela2[[#This Row],[N]]+Tabela2[[#This Row],[HM]])</f>
        <v>4</v>
      </c>
      <c r="R25" s="180">
        <f>SUM(Tabela2[[#This Row],[AO]]+Tabela2[[#This Row],[AD]]+Tabela2[[#This Row],[GWO]]+Tabela2[[#This Row],[GWD]])</f>
        <v>4</v>
      </c>
      <c r="S25" s="180">
        <f>Tabela2[[#This Row],[GWO]]+Tabela2[[#This Row],[GWD]]</f>
        <v>2</v>
      </c>
      <c r="T25" s="180">
        <f>SUM(Tabela2[[#This Row],[G]:[GWD]])</f>
        <v>8</v>
      </c>
    </row>
    <row r="26" spans="1:20">
      <c r="A26" s="183">
        <v>25</v>
      </c>
      <c r="B26" s="172" t="s">
        <v>738</v>
      </c>
      <c r="C26" s="172" t="s">
        <v>737</v>
      </c>
      <c r="D26" s="172">
        <v>2</v>
      </c>
      <c r="E26" s="172" t="s">
        <v>250</v>
      </c>
      <c r="F26" s="172">
        <v>1</v>
      </c>
      <c r="G26" s="172">
        <v>1</v>
      </c>
      <c r="H26" s="172">
        <v>1</v>
      </c>
      <c r="I26" s="172">
        <v>1</v>
      </c>
      <c r="J26" s="172">
        <v>1</v>
      </c>
      <c r="K26" s="172">
        <v>1</v>
      </c>
      <c r="L26" s="172">
        <v>1</v>
      </c>
      <c r="M26" s="172">
        <v>1</v>
      </c>
      <c r="N26" s="170"/>
      <c r="O26" s="170"/>
      <c r="P26" s="170"/>
      <c r="Q26" s="180">
        <f>SUM(Tabela2[[#This Row],[G]]+Tabela2[[#This Row],[D]]+Tabela2[[#This Row],[N]]+Tabela2[[#This Row],[HM]])</f>
        <v>4</v>
      </c>
      <c r="R26" s="180">
        <f>SUM(Tabela2[[#This Row],[AO]]+Tabela2[[#This Row],[AD]]+Tabela2[[#This Row],[GWO]]+Tabela2[[#This Row],[GWD]])</f>
        <v>4</v>
      </c>
      <c r="S26" s="180">
        <f>Tabela2[[#This Row],[GWO]]+Tabela2[[#This Row],[GWD]]</f>
        <v>2</v>
      </c>
      <c r="T26" s="180">
        <f>SUM(Tabela2[[#This Row],[G]:[GWD]])</f>
        <v>8</v>
      </c>
    </row>
    <row r="27" spans="1:20">
      <c r="A27" s="183">
        <v>26</v>
      </c>
      <c r="B27" s="172" t="s">
        <v>736</v>
      </c>
      <c r="C27" s="172" t="s">
        <v>735</v>
      </c>
      <c r="D27" s="172">
        <v>2</v>
      </c>
      <c r="E27" s="172" t="s">
        <v>250</v>
      </c>
      <c r="F27" s="172">
        <v>1</v>
      </c>
      <c r="G27" s="172">
        <v>1</v>
      </c>
      <c r="H27" s="172">
        <v>1</v>
      </c>
      <c r="I27" s="172">
        <v>1</v>
      </c>
      <c r="J27" s="172">
        <v>1</v>
      </c>
      <c r="K27" s="172">
        <v>1</v>
      </c>
      <c r="L27" s="172">
        <v>1</v>
      </c>
      <c r="M27" s="172">
        <v>1</v>
      </c>
      <c r="N27" s="172" t="s">
        <v>445</v>
      </c>
      <c r="O27" s="172"/>
      <c r="P27" s="172"/>
      <c r="Q27" s="186">
        <f>SUM(Tabela2[[#This Row],[G]]+Tabela2[[#This Row],[D]]+Tabela2[[#This Row],[N]]+Tabela2[[#This Row],[HM]])</f>
        <v>4</v>
      </c>
      <c r="R27" s="186">
        <f>SUM(Tabela2[[#This Row],[AO]]+Tabela2[[#This Row],[AD]]+Tabela2[[#This Row],[GWO]]+Tabela2[[#This Row],[GWD]])</f>
        <v>4</v>
      </c>
      <c r="S27" s="186">
        <f>Tabela2[[#This Row],[GWO]]+Tabela2[[#This Row],[GWD]]</f>
        <v>2</v>
      </c>
      <c r="T27" s="180">
        <f>SUM(Tabela2[[#This Row],[G]:[GWD]])</f>
        <v>8</v>
      </c>
    </row>
    <row r="28" spans="1:20">
      <c r="A28" s="183">
        <v>27</v>
      </c>
      <c r="B28" s="172" t="s">
        <v>734</v>
      </c>
      <c r="C28" s="172" t="s">
        <v>708</v>
      </c>
      <c r="D28" s="172">
        <v>2</v>
      </c>
      <c r="E28" s="172" t="s">
        <v>250</v>
      </c>
      <c r="F28" s="172">
        <v>1</v>
      </c>
      <c r="G28" s="172">
        <v>1</v>
      </c>
      <c r="H28" s="172">
        <v>4</v>
      </c>
      <c r="I28" s="172">
        <v>1</v>
      </c>
      <c r="J28" s="172">
        <v>1</v>
      </c>
      <c r="K28" s="172">
        <v>1</v>
      </c>
      <c r="L28" s="172">
        <v>1</v>
      </c>
      <c r="M28" s="172">
        <v>1</v>
      </c>
      <c r="N28" s="170"/>
      <c r="O28" s="170"/>
      <c r="P28" s="170"/>
      <c r="Q28" s="180">
        <f>SUM(Tabela2[[#This Row],[G]]+Tabela2[[#This Row],[D]]+Tabela2[[#This Row],[N]]+Tabela2[[#This Row],[HM]])</f>
        <v>7</v>
      </c>
      <c r="R28" s="180">
        <f>SUM(Tabela2[[#This Row],[AO]]+Tabela2[[#This Row],[AD]]+Tabela2[[#This Row],[GWO]]+Tabela2[[#This Row],[GWD]])</f>
        <v>4</v>
      </c>
      <c r="S28" s="180">
        <f>Tabela2[[#This Row],[GWO]]+Tabela2[[#This Row],[GWD]]</f>
        <v>2</v>
      </c>
      <c r="T28" s="180">
        <f>SUM(Tabela2[[#This Row],[G]:[GWD]])</f>
        <v>11</v>
      </c>
    </row>
    <row r="29" spans="1:20">
      <c r="A29" s="183">
        <v>28</v>
      </c>
      <c r="B29" s="172" t="s">
        <v>733</v>
      </c>
      <c r="C29" s="172" t="s">
        <v>716</v>
      </c>
      <c r="D29" s="172">
        <v>2</v>
      </c>
      <c r="E29" s="172" t="s">
        <v>250</v>
      </c>
      <c r="F29" s="172">
        <v>1</v>
      </c>
      <c r="G29" s="172">
        <v>1</v>
      </c>
      <c r="H29" s="172">
        <v>1</v>
      </c>
      <c r="I29" s="172">
        <v>1</v>
      </c>
      <c r="J29" s="172">
        <v>1</v>
      </c>
      <c r="K29" s="172">
        <v>1</v>
      </c>
      <c r="L29" s="172">
        <v>1</v>
      </c>
      <c r="M29" s="172">
        <v>1</v>
      </c>
      <c r="N29" s="172" t="s">
        <v>445</v>
      </c>
      <c r="O29" s="172"/>
      <c r="P29" s="172"/>
      <c r="Q29" s="186">
        <f>SUM(Tabela2[[#This Row],[G]]+Tabela2[[#This Row],[D]]+Tabela2[[#This Row],[N]]+Tabela2[[#This Row],[HM]])</f>
        <v>4</v>
      </c>
      <c r="R29" s="186">
        <f>SUM(Tabela2[[#This Row],[AO]]+Tabela2[[#This Row],[AD]]+Tabela2[[#This Row],[GWO]]+Tabela2[[#This Row],[GWD]])</f>
        <v>4</v>
      </c>
      <c r="S29" s="186">
        <f>Tabela2[[#This Row],[GWO]]+Tabela2[[#This Row],[GWD]]</f>
        <v>2</v>
      </c>
      <c r="T29" s="180">
        <f>SUM(Tabela2[[#This Row],[G]:[GWD]])</f>
        <v>8</v>
      </c>
    </row>
    <row r="30" spans="1:20">
      <c r="A30" s="183">
        <v>29</v>
      </c>
      <c r="B30" s="172" t="s">
        <v>732</v>
      </c>
      <c r="C30" s="172" t="s">
        <v>725</v>
      </c>
      <c r="D30" s="172">
        <v>2</v>
      </c>
      <c r="E30" s="172" t="s">
        <v>250</v>
      </c>
      <c r="F30" s="172">
        <v>1</v>
      </c>
      <c r="G30" s="172">
        <v>1</v>
      </c>
      <c r="H30" s="172">
        <v>1</v>
      </c>
      <c r="I30" s="172">
        <v>1</v>
      </c>
      <c r="J30" s="172">
        <v>1</v>
      </c>
      <c r="K30" s="172">
        <v>1</v>
      </c>
      <c r="L30" s="172">
        <v>1</v>
      </c>
      <c r="M30" s="172">
        <v>1</v>
      </c>
      <c r="N30" s="170"/>
      <c r="O30" s="170"/>
      <c r="P30" s="170"/>
      <c r="Q30" s="180">
        <f>SUM(Tabela2[[#This Row],[G]]+Tabela2[[#This Row],[D]]+Tabela2[[#This Row],[N]]+Tabela2[[#This Row],[HM]])</f>
        <v>4</v>
      </c>
      <c r="R30" s="180">
        <f>SUM(Tabela2[[#This Row],[AO]]+Tabela2[[#This Row],[AD]]+Tabela2[[#This Row],[GWO]]+Tabela2[[#This Row],[GWD]])</f>
        <v>4</v>
      </c>
      <c r="S30" s="180">
        <f>Tabela2[[#This Row],[GWO]]+Tabela2[[#This Row],[GWD]]</f>
        <v>2</v>
      </c>
      <c r="T30" s="180">
        <f>SUM(Tabela2[[#This Row],[G]:[GWD]])</f>
        <v>8</v>
      </c>
    </row>
    <row r="31" spans="1:20" ht="30">
      <c r="A31" s="183">
        <v>30</v>
      </c>
      <c r="B31" s="172" t="s">
        <v>731</v>
      </c>
      <c r="C31" s="172" t="s">
        <v>671</v>
      </c>
      <c r="D31" s="172">
        <v>2</v>
      </c>
      <c r="E31" s="172" t="s">
        <v>250</v>
      </c>
      <c r="F31" s="172">
        <v>1</v>
      </c>
      <c r="G31" s="172">
        <v>1</v>
      </c>
      <c r="H31" s="172">
        <v>1</v>
      </c>
      <c r="I31" s="172">
        <v>1</v>
      </c>
      <c r="J31" s="172">
        <v>1</v>
      </c>
      <c r="K31" s="172">
        <v>1</v>
      </c>
      <c r="L31" s="172">
        <v>1</v>
      </c>
      <c r="M31" s="172">
        <v>1</v>
      </c>
      <c r="N31" s="172" t="s">
        <v>445</v>
      </c>
      <c r="O31" s="172"/>
      <c r="P31" s="172"/>
      <c r="Q31" s="186">
        <f>SUM(Tabela2[[#This Row],[G]]+Tabela2[[#This Row],[D]]+Tabela2[[#This Row],[N]]+Tabela2[[#This Row],[HM]])</f>
        <v>4</v>
      </c>
      <c r="R31" s="186">
        <f>SUM(Tabela2[[#This Row],[AO]]+Tabela2[[#This Row],[AD]]+Tabela2[[#This Row],[GWO]]+Tabela2[[#This Row],[GWD]])</f>
        <v>4</v>
      </c>
      <c r="S31" s="186">
        <f>Tabela2[[#This Row],[GWO]]+Tabela2[[#This Row],[GWD]]</f>
        <v>2</v>
      </c>
      <c r="T31" s="180">
        <f>SUM(Tabela2[[#This Row],[G]:[GWD]])</f>
        <v>8</v>
      </c>
    </row>
    <row r="32" spans="1:20">
      <c r="A32" s="183">
        <v>31</v>
      </c>
      <c r="B32" s="172" t="s">
        <v>730</v>
      </c>
      <c r="C32" s="172" t="s">
        <v>729</v>
      </c>
      <c r="D32" s="172">
        <v>2</v>
      </c>
      <c r="E32" s="172" t="s">
        <v>250</v>
      </c>
      <c r="F32" s="172">
        <v>1</v>
      </c>
      <c r="G32" s="172">
        <v>1</v>
      </c>
      <c r="H32" s="172">
        <v>1</v>
      </c>
      <c r="I32" s="172">
        <v>1</v>
      </c>
      <c r="J32" s="172">
        <v>1</v>
      </c>
      <c r="K32" s="172">
        <v>1</v>
      </c>
      <c r="L32" s="172">
        <v>1</v>
      </c>
      <c r="M32" s="172">
        <v>1</v>
      </c>
      <c r="N32" s="170"/>
      <c r="O32" s="170"/>
      <c r="P32" s="170"/>
      <c r="Q32" s="180">
        <f>SUM(Tabela2[[#This Row],[G]]+Tabela2[[#This Row],[D]]+Tabela2[[#This Row],[N]]+Tabela2[[#This Row],[HM]])</f>
        <v>4</v>
      </c>
      <c r="R32" s="180">
        <f>SUM(Tabela2[[#This Row],[AO]]+Tabela2[[#This Row],[AD]]+Tabela2[[#This Row],[GWO]]+Tabela2[[#This Row],[GWD]])</f>
        <v>4</v>
      </c>
      <c r="S32" s="180">
        <f>Tabela2[[#This Row],[GWO]]+Tabela2[[#This Row],[GWD]]</f>
        <v>2</v>
      </c>
      <c r="T32" s="180">
        <f>SUM(Tabela2[[#This Row],[G]:[GWD]])</f>
        <v>8</v>
      </c>
    </row>
    <row r="33" spans="1:20">
      <c r="A33" s="183">
        <v>32</v>
      </c>
      <c r="B33" s="172" t="s">
        <v>728</v>
      </c>
      <c r="C33" s="172" t="s">
        <v>693</v>
      </c>
      <c r="D33" s="172">
        <v>2</v>
      </c>
      <c r="E33" s="172" t="s">
        <v>250</v>
      </c>
      <c r="F33" s="172">
        <v>1</v>
      </c>
      <c r="G33" s="172">
        <v>1</v>
      </c>
      <c r="H33" s="172">
        <v>1</v>
      </c>
      <c r="I33" s="172">
        <v>1</v>
      </c>
      <c r="J33" s="172">
        <v>1</v>
      </c>
      <c r="K33" s="172">
        <v>1</v>
      </c>
      <c r="L33" s="172">
        <v>1</v>
      </c>
      <c r="M33" s="172">
        <v>1</v>
      </c>
      <c r="N33" s="170"/>
      <c r="O33" s="170"/>
      <c r="P33" s="170"/>
      <c r="Q33" s="180">
        <f>SUM(Tabela2[[#This Row],[G]]+Tabela2[[#This Row],[D]]+Tabela2[[#This Row],[N]]+Tabela2[[#This Row],[HM]])</f>
        <v>4</v>
      </c>
      <c r="R33" s="180">
        <f>SUM(Tabela2[[#This Row],[AO]]+Tabela2[[#This Row],[AD]]+Tabela2[[#This Row],[GWO]]+Tabela2[[#This Row],[GWD]])</f>
        <v>4</v>
      </c>
      <c r="S33" s="180">
        <f>Tabela2[[#This Row],[GWO]]+Tabela2[[#This Row],[GWD]]</f>
        <v>2</v>
      </c>
      <c r="T33" s="180">
        <f>SUM(Tabela2[[#This Row],[G]:[GWD]])</f>
        <v>8</v>
      </c>
    </row>
    <row r="34" spans="1:20">
      <c r="A34" s="183">
        <v>33</v>
      </c>
      <c r="B34" s="172" t="s">
        <v>134</v>
      </c>
      <c r="C34" s="172" t="s">
        <v>721</v>
      </c>
      <c r="D34" s="172">
        <v>2</v>
      </c>
      <c r="E34" s="172" t="s">
        <v>250</v>
      </c>
      <c r="F34" s="172">
        <v>2</v>
      </c>
      <c r="G34" s="172">
        <v>1</v>
      </c>
      <c r="H34" s="172">
        <v>1</v>
      </c>
      <c r="I34" s="172">
        <v>3</v>
      </c>
      <c r="J34" s="172">
        <v>3</v>
      </c>
      <c r="K34" s="172">
        <v>1</v>
      </c>
      <c r="L34" s="172">
        <v>5</v>
      </c>
      <c r="M34" s="172">
        <v>3</v>
      </c>
      <c r="N34" s="170"/>
      <c r="O34" s="170" t="s">
        <v>204</v>
      </c>
      <c r="P34" s="170"/>
      <c r="Q34" s="180">
        <f>SUM(Tabela2[[#This Row],[G]]+Tabela2[[#This Row],[D]]+Tabela2[[#This Row],[N]]+Tabela2[[#This Row],[HM]])</f>
        <v>5</v>
      </c>
      <c r="R34" s="180">
        <f>SUM(Tabela2[[#This Row],[AO]]+Tabela2[[#This Row],[AD]]+Tabela2[[#This Row],[GWO]]+Tabela2[[#This Row],[GWD]])</f>
        <v>14</v>
      </c>
      <c r="S34" s="180">
        <f>Tabela2[[#This Row],[GWO]]+Tabela2[[#This Row],[GWD]]</f>
        <v>8</v>
      </c>
      <c r="T34" s="180">
        <f>SUM(Tabela2[[#This Row],[G]:[GWD]])</f>
        <v>19</v>
      </c>
    </row>
    <row r="35" spans="1:20">
      <c r="A35" s="183">
        <v>34</v>
      </c>
      <c r="B35" s="171" t="s">
        <v>727</v>
      </c>
      <c r="C35" s="171" t="s">
        <v>716</v>
      </c>
      <c r="D35" s="171">
        <v>2</v>
      </c>
      <c r="E35" s="171" t="s">
        <v>251</v>
      </c>
      <c r="F35" s="171">
        <v>1</v>
      </c>
      <c r="G35" s="171">
        <v>1</v>
      </c>
      <c r="H35" s="171">
        <v>1</v>
      </c>
      <c r="I35" s="171">
        <v>1</v>
      </c>
      <c r="J35" s="171">
        <v>1</v>
      </c>
      <c r="K35" s="171">
        <v>1</v>
      </c>
      <c r="L35" s="171">
        <v>1</v>
      </c>
      <c r="M35" s="171">
        <v>1</v>
      </c>
      <c r="N35" s="170"/>
      <c r="O35" s="170"/>
      <c r="P35" s="170"/>
      <c r="Q35" s="180">
        <f>SUM(Tabela2[[#This Row],[G]]+Tabela2[[#This Row],[D]]+Tabela2[[#This Row],[N]]+Tabela2[[#This Row],[HM]])</f>
        <v>4</v>
      </c>
      <c r="R35" s="180">
        <f>SUM(Tabela2[[#This Row],[AO]]+Tabela2[[#This Row],[AD]]+Tabela2[[#This Row],[GWO]]+Tabela2[[#This Row],[GWD]])</f>
        <v>4</v>
      </c>
      <c r="S35" s="180">
        <f>Tabela2[[#This Row],[GWO]]+Tabela2[[#This Row],[GWD]]</f>
        <v>2</v>
      </c>
      <c r="T35" s="180">
        <f>SUM(Tabela2[[#This Row],[G]:[GWD]])</f>
        <v>8</v>
      </c>
    </row>
    <row r="36" spans="1:20">
      <c r="A36" s="183">
        <v>35</v>
      </c>
      <c r="B36" s="171" t="s">
        <v>726</v>
      </c>
      <c r="C36" s="171" t="s">
        <v>725</v>
      </c>
      <c r="D36" s="171">
        <v>2</v>
      </c>
      <c r="E36" s="171" t="s">
        <v>251</v>
      </c>
      <c r="F36" s="171">
        <v>1</v>
      </c>
      <c r="G36" s="171">
        <v>1</v>
      </c>
      <c r="H36" s="171">
        <v>1</v>
      </c>
      <c r="I36" s="171">
        <v>1</v>
      </c>
      <c r="J36" s="171">
        <v>1</v>
      </c>
      <c r="K36" s="171">
        <v>1</v>
      </c>
      <c r="L36" s="171">
        <v>1</v>
      </c>
      <c r="M36" s="171">
        <v>1</v>
      </c>
      <c r="N36" s="170"/>
      <c r="O36" s="170"/>
      <c r="P36" s="170"/>
      <c r="Q36" s="180">
        <f>SUM(Tabela2[[#This Row],[G]]+Tabela2[[#This Row],[D]]+Tabela2[[#This Row],[N]]+Tabela2[[#This Row],[HM]])</f>
        <v>4</v>
      </c>
      <c r="R36" s="180">
        <f>SUM(Tabela2[[#This Row],[AO]]+Tabela2[[#This Row],[AD]]+Tabela2[[#This Row],[GWO]]+Tabela2[[#This Row],[GWD]])</f>
        <v>4</v>
      </c>
      <c r="S36" s="180">
        <f>Tabela2[[#This Row],[GWO]]+Tabela2[[#This Row],[GWD]]</f>
        <v>2</v>
      </c>
      <c r="T36" s="180">
        <f>SUM(Tabela2[[#This Row],[G]:[GWD]])</f>
        <v>8</v>
      </c>
    </row>
    <row r="37" spans="1:20">
      <c r="A37" s="183">
        <v>36</v>
      </c>
      <c r="B37" s="171" t="s">
        <v>724</v>
      </c>
      <c r="C37" s="171" t="s">
        <v>714</v>
      </c>
      <c r="D37" s="171">
        <v>2</v>
      </c>
      <c r="E37" s="171" t="s">
        <v>251</v>
      </c>
      <c r="F37" s="171">
        <v>1</v>
      </c>
      <c r="G37" s="171">
        <v>1</v>
      </c>
      <c r="H37" s="171">
        <v>1</v>
      </c>
      <c r="I37" s="171">
        <v>1</v>
      </c>
      <c r="J37" s="171">
        <v>1</v>
      </c>
      <c r="K37" s="171">
        <v>1</v>
      </c>
      <c r="L37" s="171">
        <v>1</v>
      </c>
      <c r="M37" s="171">
        <v>1</v>
      </c>
      <c r="N37" s="170"/>
      <c r="O37" s="170"/>
      <c r="P37" s="170"/>
      <c r="Q37" s="180">
        <f>SUM(Tabela2[[#This Row],[G]]+Tabela2[[#This Row],[D]]+Tabela2[[#This Row],[N]]+Tabela2[[#This Row],[HM]])</f>
        <v>4</v>
      </c>
      <c r="R37" s="180">
        <f>SUM(Tabela2[[#This Row],[AO]]+Tabela2[[#This Row],[AD]]+Tabela2[[#This Row],[GWO]]+Tabela2[[#This Row],[GWD]])</f>
        <v>4</v>
      </c>
      <c r="S37" s="180">
        <f>Tabela2[[#This Row],[GWO]]+Tabela2[[#This Row],[GWD]]</f>
        <v>2</v>
      </c>
      <c r="T37" s="180">
        <f>SUM(Tabela2[[#This Row],[G]:[GWD]])</f>
        <v>8</v>
      </c>
    </row>
    <row r="38" spans="1:20">
      <c r="A38" s="183">
        <v>37</v>
      </c>
      <c r="B38" s="171" t="s">
        <v>723</v>
      </c>
      <c r="C38" s="171" t="s">
        <v>712</v>
      </c>
      <c r="D38" s="171">
        <v>2</v>
      </c>
      <c r="E38" s="171" t="s">
        <v>251</v>
      </c>
      <c r="F38" s="171">
        <v>1</v>
      </c>
      <c r="G38" s="171">
        <v>1</v>
      </c>
      <c r="H38" s="171">
        <v>1</v>
      </c>
      <c r="I38" s="171">
        <v>1</v>
      </c>
      <c r="J38" s="171">
        <v>1</v>
      </c>
      <c r="K38" s="171">
        <v>1</v>
      </c>
      <c r="L38" s="171">
        <v>1</v>
      </c>
      <c r="M38" s="171">
        <v>1</v>
      </c>
      <c r="N38" s="170"/>
      <c r="O38" s="170"/>
      <c r="P38" s="170"/>
      <c r="Q38" s="180">
        <f>SUM(Tabela2[[#This Row],[G]]+Tabela2[[#This Row],[D]]+Tabela2[[#This Row],[N]]+Tabela2[[#This Row],[HM]])</f>
        <v>4</v>
      </c>
      <c r="R38" s="180">
        <f>SUM(Tabela2[[#This Row],[AO]]+Tabela2[[#This Row],[AD]]+Tabela2[[#This Row],[GWO]]+Tabela2[[#This Row],[GWD]])</f>
        <v>4</v>
      </c>
      <c r="S38" s="180">
        <f>Tabela2[[#This Row],[GWO]]+Tabela2[[#This Row],[GWD]]</f>
        <v>2</v>
      </c>
      <c r="T38" s="180">
        <f>SUM(Tabela2[[#This Row],[G]:[GWD]])</f>
        <v>8</v>
      </c>
    </row>
    <row r="39" spans="1:20">
      <c r="A39" s="183">
        <v>38</v>
      </c>
      <c r="B39" s="171" t="s">
        <v>722</v>
      </c>
      <c r="C39" s="171" t="s">
        <v>721</v>
      </c>
      <c r="D39" s="171">
        <v>2</v>
      </c>
      <c r="E39" s="171" t="s">
        <v>251</v>
      </c>
      <c r="F39" s="171">
        <v>1</v>
      </c>
      <c r="G39" s="171">
        <v>1</v>
      </c>
      <c r="H39" s="171">
        <v>1</v>
      </c>
      <c r="I39" s="171">
        <v>1</v>
      </c>
      <c r="J39" s="171">
        <v>1</v>
      </c>
      <c r="K39" s="171">
        <v>1</v>
      </c>
      <c r="L39" s="171">
        <v>1</v>
      </c>
      <c r="M39" s="171">
        <v>1</v>
      </c>
      <c r="N39" s="170"/>
      <c r="O39" s="170"/>
      <c r="P39" s="170"/>
      <c r="Q39" s="180">
        <f>SUM(Tabela2[[#This Row],[G]]+Tabela2[[#This Row],[D]]+Tabela2[[#This Row],[N]]+Tabela2[[#This Row],[HM]])</f>
        <v>4</v>
      </c>
      <c r="R39" s="180">
        <f>SUM(Tabela2[[#This Row],[AO]]+Tabela2[[#This Row],[AD]]+Tabela2[[#This Row],[GWO]]+Tabela2[[#This Row],[GWD]])</f>
        <v>4</v>
      </c>
      <c r="S39" s="180">
        <f>Tabela2[[#This Row],[GWO]]+Tabela2[[#This Row],[GWD]]</f>
        <v>2</v>
      </c>
      <c r="T39" s="180">
        <f>SUM(Tabela2[[#This Row],[G]:[GWD]])</f>
        <v>8</v>
      </c>
    </row>
    <row r="40" spans="1:20">
      <c r="A40" s="183">
        <v>39</v>
      </c>
      <c r="B40" s="171" t="s">
        <v>720</v>
      </c>
      <c r="C40" s="171" t="s">
        <v>693</v>
      </c>
      <c r="D40" s="171">
        <v>2</v>
      </c>
      <c r="E40" s="171" t="s">
        <v>251</v>
      </c>
      <c r="F40" s="171">
        <v>1</v>
      </c>
      <c r="G40" s="171">
        <v>1</v>
      </c>
      <c r="H40" s="171">
        <v>1</v>
      </c>
      <c r="I40" s="171">
        <v>1</v>
      </c>
      <c r="J40" s="171">
        <v>1</v>
      </c>
      <c r="K40" s="171">
        <v>1</v>
      </c>
      <c r="L40" s="171">
        <v>1</v>
      </c>
      <c r="M40" s="171">
        <v>1</v>
      </c>
      <c r="N40" s="170"/>
      <c r="O40" s="170"/>
      <c r="P40" s="170"/>
      <c r="Q40" s="180">
        <f>SUM(Tabela2[[#This Row],[G]]+Tabela2[[#This Row],[D]]+Tabela2[[#This Row],[N]]+Tabela2[[#This Row],[HM]])</f>
        <v>4</v>
      </c>
      <c r="R40" s="180">
        <f>SUM(Tabela2[[#This Row],[AO]]+Tabela2[[#This Row],[AD]]+Tabela2[[#This Row],[GWO]]+Tabela2[[#This Row],[GWD]])</f>
        <v>4</v>
      </c>
      <c r="S40" s="180">
        <f>Tabela2[[#This Row],[GWO]]+Tabela2[[#This Row],[GWD]]</f>
        <v>2</v>
      </c>
      <c r="T40" s="180">
        <f>SUM(Tabela2[[#This Row],[G]:[GWD]])</f>
        <v>8</v>
      </c>
    </row>
    <row r="41" spans="1:20">
      <c r="A41" s="183">
        <v>40</v>
      </c>
      <c r="B41" s="171" t="s">
        <v>719</v>
      </c>
      <c r="C41" s="171" t="s">
        <v>710</v>
      </c>
      <c r="D41" s="171">
        <v>2</v>
      </c>
      <c r="E41" s="171" t="s">
        <v>251</v>
      </c>
      <c r="F41" s="171">
        <v>1</v>
      </c>
      <c r="G41" s="171">
        <v>1</v>
      </c>
      <c r="H41" s="171">
        <v>1</v>
      </c>
      <c r="I41" s="171">
        <v>1</v>
      </c>
      <c r="J41" s="171">
        <v>1</v>
      </c>
      <c r="K41" s="171">
        <v>3</v>
      </c>
      <c r="L41" s="171">
        <v>1</v>
      </c>
      <c r="M41" s="171">
        <v>1</v>
      </c>
      <c r="N41" s="170"/>
      <c r="O41" s="170"/>
      <c r="P41" s="170"/>
      <c r="Q41" s="180">
        <f>SUM(Tabela2[[#This Row],[G]]+Tabela2[[#This Row],[D]]+Tabela2[[#This Row],[N]]+Tabela2[[#This Row],[HM]])</f>
        <v>6</v>
      </c>
      <c r="R41" s="180">
        <f>SUM(Tabela2[[#This Row],[AO]]+Tabela2[[#This Row],[AD]]+Tabela2[[#This Row],[GWO]]+Tabela2[[#This Row],[GWD]])</f>
        <v>4</v>
      </c>
      <c r="S41" s="180">
        <f>Tabela2[[#This Row],[GWO]]+Tabela2[[#This Row],[GWD]]</f>
        <v>2</v>
      </c>
      <c r="T41" s="180">
        <f>SUM(Tabela2[[#This Row],[G]:[GWD]])</f>
        <v>10</v>
      </c>
    </row>
    <row r="42" spans="1:20">
      <c r="A42" s="183">
        <v>41</v>
      </c>
      <c r="B42" s="170" t="s">
        <v>718</v>
      </c>
      <c r="C42" s="170" t="s">
        <v>594</v>
      </c>
      <c r="D42" s="170">
        <v>2</v>
      </c>
      <c r="E42" s="170" t="s">
        <v>272</v>
      </c>
      <c r="F42" s="170">
        <v>1</v>
      </c>
      <c r="G42" s="170">
        <v>1</v>
      </c>
      <c r="H42" s="170">
        <v>1</v>
      </c>
      <c r="I42" s="170">
        <v>1</v>
      </c>
      <c r="J42" s="170">
        <v>1</v>
      </c>
      <c r="K42" s="170">
        <v>1</v>
      </c>
      <c r="L42" s="170">
        <v>1</v>
      </c>
      <c r="M42" s="170">
        <v>1</v>
      </c>
      <c r="N42" s="170"/>
      <c r="O42" s="170"/>
      <c r="P42" s="170"/>
      <c r="Q42" s="180">
        <f>SUM(Tabela2[[#This Row],[G]]+Tabela2[[#This Row],[D]]+Tabela2[[#This Row],[N]]+Tabela2[[#This Row],[HM]])</f>
        <v>4</v>
      </c>
      <c r="R42" s="180">
        <f>SUM(Tabela2[[#This Row],[AO]]+Tabela2[[#This Row],[AD]]+Tabela2[[#This Row],[GWO]]+Tabela2[[#This Row],[GWD]])</f>
        <v>4</v>
      </c>
      <c r="S42" s="180">
        <f>Tabela2[[#This Row],[GWO]]+Tabela2[[#This Row],[GWD]]</f>
        <v>2</v>
      </c>
      <c r="T42" s="180">
        <f>SUM(Tabela2[[#This Row],[G]:[GWD]])</f>
        <v>8</v>
      </c>
    </row>
    <row r="43" spans="1:20">
      <c r="A43" s="183">
        <v>42</v>
      </c>
      <c r="B43" s="170" t="s">
        <v>717</v>
      </c>
      <c r="C43" s="170" t="s">
        <v>716</v>
      </c>
      <c r="D43" s="170">
        <v>2</v>
      </c>
      <c r="E43" s="170" t="s">
        <v>272</v>
      </c>
      <c r="F43" s="170">
        <v>1</v>
      </c>
      <c r="G43" s="170">
        <v>1</v>
      </c>
      <c r="H43" s="170">
        <v>1</v>
      </c>
      <c r="I43" s="170">
        <v>1</v>
      </c>
      <c r="J43" s="170">
        <v>1</v>
      </c>
      <c r="K43" s="170">
        <v>1</v>
      </c>
      <c r="L43" s="170">
        <v>1</v>
      </c>
      <c r="M43" s="170">
        <v>1</v>
      </c>
      <c r="N43" s="170"/>
      <c r="O43" s="170"/>
      <c r="P43" s="170"/>
      <c r="Q43" s="180">
        <f>SUM(Tabela2[[#This Row],[G]]+Tabela2[[#This Row],[D]]+Tabela2[[#This Row],[N]]+Tabela2[[#This Row],[HM]])</f>
        <v>4</v>
      </c>
      <c r="R43" s="180">
        <f>SUM(Tabela2[[#This Row],[AO]]+Tabela2[[#This Row],[AD]]+Tabela2[[#This Row],[GWO]]+Tabela2[[#This Row],[GWD]])</f>
        <v>4</v>
      </c>
      <c r="S43" s="180">
        <f>Tabela2[[#This Row],[GWO]]+Tabela2[[#This Row],[GWD]]</f>
        <v>2</v>
      </c>
      <c r="T43" s="180">
        <f>SUM(Tabela2[[#This Row],[G]:[GWD]])</f>
        <v>8</v>
      </c>
    </row>
    <row r="44" spans="1:20">
      <c r="A44" s="183">
        <v>43</v>
      </c>
      <c r="B44" s="170" t="s">
        <v>715</v>
      </c>
      <c r="C44" s="170" t="s">
        <v>714</v>
      </c>
      <c r="D44" s="170">
        <v>2</v>
      </c>
      <c r="E44" s="170" t="s">
        <v>272</v>
      </c>
      <c r="F44" s="170">
        <v>1</v>
      </c>
      <c r="G44" s="170">
        <v>1</v>
      </c>
      <c r="H44" s="170">
        <v>1</v>
      </c>
      <c r="I44" s="170">
        <v>1</v>
      </c>
      <c r="J44" s="170">
        <v>1</v>
      </c>
      <c r="K44" s="170">
        <v>1</v>
      </c>
      <c r="L44" s="170">
        <v>1</v>
      </c>
      <c r="M44" s="170">
        <v>1</v>
      </c>
      <c r="N44" s="170"/>
      <c r="O44" s="170"/>
      <c r="P44" s="170"/>
      <c r="Q44" s="180">
        <f>SUM(Tabela2[[#This Row],[G]]+Tabela2[[#This Row],[D]]+Tabela2[[#This Row],[N]]+Tabela2[[#This Row],[HM]])</f>
        <v>4</v>
      </c>
      <c r="R44" s="180">
        <f>SUM(Tabela2[[#This Row],[AO]]+Tabela2[[#This Row],[AD]]+Tabela2[[#This Row],[GWO]]+Tabela2[[#This Row],[GWD]])</f>
        <v>4</v>
      </c>
      <c r="S44" s="180">
        <f>Tabela2[[#This Row],[GWO]]+Tabela2[[#This Row],[GWD]]</f>
        <v>2</v>
      </c>
      <c r="T44" s="180">
        <f>SUM(Tabela2[[#This Row],[G]:[GWD]])</f>
        <v>8</v>
      </c>
    </row>
    <row r="45" spans="1:20">
      <c r="A45" s="183">
        <v>44</v>
      </c>
      <c r="B45" s="170" t="s">
        <v>713</v>
      </c>
      <c r="C45" s="170" t="s">
        <v>712</v>
      </c>
      <c r="D45" s="170">
        <v>2</v>
      </c>
      <c r="E45" s="170" t="s">
        <v>272</v>
      </c>
      <c r="F45" s="170">
        <v>1</v>
      </c>
      <c r="G45" s="170">
        <v>1</v>
      </c>
      <c r="H45" s="170">
        <v>1</v>
      </c>
      <c r="I45" s="170">
        <v>1</v>
      </c>
      <c r="J45" s="170">
        <v>1</v>
      </c>
      <c r="K45" s="170">
        <v>1</v>
      </c>
      <c r="L45" s="170">
        <v>1</v>
      </c>
      <c r="M45" s="170">
        <v>1</v>
      </c>
      <c r="N45" s="170"/>
      <c r="O45" s="170"/>
      <c r="P45" s="170"/>
      <c r="Q45" s="180">
        <f>SUM(Tabela2[[#This Row],[G]]+Tabela2[[#This Row],[D]]+Tabela2[[#This Row],[N]]+Tabela2[[#This Row],[HM]])</f>
        <v>4</v>
      </c>
      <c r="R45" s="180">
        <f>SUM(Tabela2[[#This Row],[AO]]+Tabela2[[#This Row],[AD]]+Tabela2[[#This Row],[GWO]]+Tabela2[[#This Row],[GWD]])</f>
        <v>4</v>
      </c>
      <c r="S45" s="180">
        <f>Tabela2[[#This Row],[GWO]]+Tabela2[[#This Row],[GWD]]</f>
        <v>2</v>
      </c>
      <c r="T45" s="180">
        <f>SUM(Tabela2[[#This Row],[G]:[GWD]])</f>
        <v>8</v>
      </c>
    </row>
    <row r="46" spans="1:20">
      <c r="A46" s="183">
        <v>45</v>
      </c>
      <c r="B46" s="170" t="s">
        <v>711</v>
      </c>
      <c r="C46" s="170" t="s">
        <v>710</v>
      </c>
      <c r="D46" s="170">
        <v>2</v>
      </c>
      <c r="E46" s="170" t="s">
        <v>272</v>
      </c>
      <c r="F46" s="170">
        <v>1</v>
      </c>
      <c r="G46" s="170">
        <v>1</v>
      </c>
      <c r="H46" s="170">
        <v>1</v>
      </c>
      <c r="I46" s="170">
        <v>1</v>
      </c>
      <c r="J46" s="170">
        <v>1</v>
      </c>
      <c r="K46" s="170">
        <v>1</v>
      </c>
      <c r="L46" s="170">
        <v>1</v>
      </c>
      <c r="M46" s="170">
        <v>1</v>
      </c>
      <c r="N46" s="170"/>
      <c r="O46" s="170"/>
      <c r="P46" s="170"/>
      <c r="Q46" s="180">
        <f>SUM(Tabela2[[#This Row],[G]]+Tabela2[[#This Row],[D]]+Tabela2[[#This Row],[N]]+Tabela2[[#This Row],[HM]])</f>
        <v>4</v>
      </c>
      <c r="R46" s="180">
        <f>SUM(Tabela2[[#This Row],[AO]]+Tabela2[[#This Row],[AD]]+Tabela2[[#This Row],[GWO]]+Tabela2[[#This Row],[GWD]])</f>
        <v>4</v>
      </c>
      <c r="S46" s="180">
        <f>Tabela2[[#This Row],[GWO]]+Tabela2[[#This Row],[GWD]]</f>
        <v>2</v>
      </c>
      <c r="T46" s="180">
        <f>SUM(Tabela2[[#This Row],[G]:[GWD]])</f>
        <v>8</v>
      </c>
    </row>
    <row r="47" spans="1:20">
      <c r="A47" s="183">
        <v>46</v>
      </c>
      <c r="B47" s="170" t="s">
        <v>709</v>
      </c>
      <c r="C47" s="170" t="s">
        <v>708</v>
      </c>
      <c r="D47" s="170">
        <v>2</v>
      </c>
      <c r="E47" s="170" t="s">
        <v>272</v>
      </c>
      <c r="F47" s="170">
        <v>1</v>
      </c>
      <c r="G47" s="170">
        <v>1</v>
      </c>
      <c r="H47" s="170">
        <v>1</v>
      </c>
      <c r="I47" s="170">
        <v>1</v>
      </c>
      <c r="J47" s="170">
        <v>1</v>
      </c>
      <c r="K47" s="170">
        <v>1</v>
      </c>
      <c r="L47" s="170">
        <v>1</v>
      </c>
      <c r="M47" s="170">
        <v>1</v>
      </c>
      <c r="N47" s="170"/>
      <c r="O47" s="170"/>
      <c r="P47" s="170"/>
      <c r="Q47" s="180">
        <f>SUM(Tabela2[[#This Row],[G]]+Tabela2[[#This Row],[D]]+Tabela2[[#This Row],[N]]+Tabela2[[#This Row],[HM]])</f>
        <v>4</v>
      </c>
      <c r="R47" s="180">
        <f>SUM(Tabela2[[#This Row],[AO]]+Tabela2[[#This Row],[AD]]+Tabela2[[#This Row],[GWO]]+Tabela2[[#This Row],[GWD]])</f>
        <v>4</v>
      </c>
      <c r="S47" s="180">
        <f>Tabela2[[#This Row],[GWO]]+Tabela2[[#This Row],[GWD]]</f>
        <v>2</v>
      </c>
      <c r="T47" s="180">
        <f>SUM(Tabela2[[#This Row],[G]:[GWD]])</f>
        <v>8</v>
      </c>
    </row>
    <row r="48" spans="1:20">
      <c r="A48" s="183">
        <v>47</v>
      </c>
      <c r="B48" s="170" t="s">
        <v>707</v>
      </c>
      <c r="C48" s="170" t="s">
        <v>706</v>
      </c>
      <c r="D48" s="170">
        <v>2</v>
      </c>
      <c r="E48" s="170" t="s">
        <v>272</v>
      </c>
      <c r="F48" s="170">
        <v>1</v>
      </c>
      <c r="G48" s="170">
        <v>1</v>
      </c>
      <c r="H48" s="170">
        <v>3</v>
      </c>
      <c r="I48" s="170">
        <v>1</v>
      </c>
      <c r="J48" s="170">
        <v>1</v>
      </c>
      <c r="K48" s="170">
        <v>1</v>
      </c>
      <c r="L48" s="170">
        <v>1</v>
      </c>
      <c r="M48" s="170">
        <v>1</v>
      </c>
      <c r="N48" s="170"/>
      <c r="O48" s="170"/>
      <c r="P48" s="170"/>
      <c r="Q48" s="180">
        <f>SUM(Tabela2[[#This Row],[G]]+Tabela2[[#This Row],[D]]+Tabela2[[#This Row],[N]]+Tabela2[[#This Row],[HM]])</f>
        <v>6</v>
      </c>
      <c r="R48" s="180">
        <f>SUM(Tabela2[[#This Row],[AO]]+Tabela2[[#This Row],[AD]]+Tabela2[[#This Row],[GWO]]+Tabela2[[#This Row],[GWD]])</f>
        <v>4</v>
      </c>
      <c r="S48" s="180">
        <f>Tabela2[[#This Row],[GWO]]+Tabela2[[#This Row],[GWD]]</f>
        <v>2</v>
      </c>
      <c r="T48" s="180">
        <f>SUM(Tabela2[[#This Row],[G]:[GWD]])</f>
        <v>10</v>
      </c>
    </row>
    <row r="49" spans="1:20">
      <c r="A49" s="183">
        <v>48</v>
      </c>
      <c r="B49" s="175" t="s">
        <v>705</v>
      </c>
      <c r="C49" s="175" t="s">
        <v>704</v>
      </c>
      <c r="D49" s="175">
        <v>3</v>
      </c>
      <c r="E49" s="175" t="s">
        <v>18</v>
      </c>
      <c r="F49" s="175">
        <v>1</v>
      </c>
      <c r="G49" s="175">
        <v>2</v>
      </c>
      <c r="H49" s="175">
        <v>1</v>
      </c>
      <c r="I49" s="175">
        <v>3</v>
      </c>
      <c r="J49" s="175">
        <v>1</v>
      </c>
      <c r="K49" s="175">
        <v>1</v>
      </c>
      <c r="L49" s="175">
        <v>3</v>
      </c>
      <c r="M49" s="175">
        <v>1</v>
      </c>
      <c r="N49" s="170"/>
      <c r="O49" s="170"/>
      <c r="P49" s="170"/>
      <c r="Q49" s="180">
        <f>SUM(Tabela2[[#This Row],[G]]+Tabela2[[#This Row],[D]]+Tabela2[[#This Row],[N]]+Tabela2[[#This Row],[HM]])</f>
        <v>5</v>
      </c>
      <c r="R49" s="180">
        <f>SUM(Tabela2[[#This Row],[AO]]+Tabela2[[#This Row],[AD]]+Tabela2[[#This Row],[GWO]]+Tabela2[[#This Row],[GWD]])</f>
        <v>8</v>
      </c>
      <c r="S49" s="180">
        <f>Tabela2[[#This Row],[GWO]]+Tabela2[[#This Row],[GWD]]</f>
        <v>4</v>
      </c>
      <c r="T49" s="180">
        <f>SUM(Tabela2[[#This Row],[G]:[GWD]])</f>
        <v>13</v>
      </c>
    </row>
    <row r="50" spans="1:20" ht="30">
      <c r="A50" s="183">
        <v>49</v>
      </c>
      <c r="B50" s="175" t="s">
        <v>703</v>
      </c>
      <c r="C50" s="175" t="s">
        <v>572</v>
      </c>
      <c r="D50" s="175">
        <v>3</v>
      </c>
      <c r="E50" s="175" t="s">
        <v>18</v>
      </c>
      <c r="F50" s="175">
        <v>1</v>
      </c>
      <c r="G50" s="175">
        <v>2</v>
      </c>
      <c r="H50" s="175">
        <v>1</v>
      </c>
      <c r="I50" s="175">
        <v>2</v>
      </c>
      <c r="J50" s="175">
        <v>2</v>
      </c>
      <c r="K50" s="175">
        <v>2</v>
      </c>
      <c r="L50" s="175">
        <v>2</v>
      </c>
      <c r="M50" s="175">
        <v>2</v>
      </c>
      <c r="N50" s="170"/>
      <c r="O50" s="170"/>
      <c r="P50" s="170"/>
      <c r="Q50" s="180">
        <f>SUM(Tabela2[[#This Row],[G]]+Tabela2[[#This Row],[D]]+Tabela2[[#This Row],[N]]+Tabela2[[#This Row],[HM]])</f>
        <v>6</v>
      </c>
      <c r="R50" s="180">
        <f>SUM(Tabela2[[#This Row],[AO]]+Tabela2[[#This Row],[AD]]+Tabela2[[#This Row],[GWO]]+Tabela2[[#This Row],[GWD]])</f>
        <v>8</v>
      </c>
      <c r="S50" s="180">
        <f>Tabela2[[#This Row],[GWO]]+Tabela2[[#This Row],[GWD]]</f>
        <v>4</v>
      </c>
      <c r="T50" s="180">
        <f>SUM(Tabela2[[#This Row],[G]:[GWD]])</f>
        <v>14</v>
      </c>
    </row>
    <row r="51" spans="1:20">
      <c r="A51" s="183">
        <v>50</v>
      </c>
      <c r="B51" s="175" t="s">
        <v>702</v>
      </c>
      <c r="C51" s="175" t="s">
        <v>701</v>
      </c>
      <c r="D51" s="175">
        <v>3</v>
      </c>
      <c r="E51" s="175" t="s">
        <v>18</v>
      </c>
      <c r="F51" s="175">
        <v>1</v>
      </c>
      <c r="G51" s="175">
        <v>1</v>
      </c>
      <c r="H51" s="175">
        <v>2</v>
      </c>
      <c r="I51" s="175">
        <v>2</v>
      </c>
      <c r="J51" s="175">
        <v>2</v>
      </c>
      <c r="K51" s="175">
        <v>1</v>
      </c>
      <c r="L51" s="175">
        <v>2</v>
      </c>
      <c r="M51" s="175">
        <v>2</v>
      </c>
      <c r="N51" s="170"/>
      <c r="O51" s="170"/>
      <c r="P51" s="170"/>
      <c r="Q51" s="180">
        <f>SUM(Tabela2[[#This Row],[G]]+Tabela2[[#This Row],[D]]+Tabela2[[#This Row],[N]]+Tabela2[[#This Row],[HM]])</f>
        <v>5</v>
      </c>
      <c r="R51" s="180">
        <f>SUM(Tabela2[[#This Row],[AO]]+Tabela2[[#This Row],[AD]]+Tabela2[[#This Row],[GWO]]+Tabela2[[#This Row],[GWD]])</f>
        <v>8</v>
      </c>
      <c r="S51" s="180">
        <f>Tabela2[[#This Row],[GWO]]+Tabela2[[#This Row],[GWD]]</f>
        <v>4</v>
      </c>
      <c r="T51" s="180">
        <f>SUM(Tabela2[[#This Row],[G]:[GWD]])</f>
        <v>13</v>
      </c>
    </row>
    <row r="52" spans="1:20" ht="30">
      <c r="A52" s="183">
        <v>51</v>
      </c>
      <c r="B52" s="175" t="s">
        <v>700</v>
      </c>
      <c r="C52" s="175" t="s">
        <v>570</v>
      </c>
      <c r="D52" s="175">
        <v>3</v>
      </c>
      <c r="E52" s="175" t="s">
        <v>18</v>
      </c>
      <c r="F52" s="175">
        <v>1</v>
      </c>
      <c r="G52" s="175">
        <v>1</v>
      </c>
      <c r="H52" s="175">
        <v>1</v>
      </c>
      <c r="I52" s="175">
        <v>2</v>
      </c>
      <c r="J52" s="175">
        <v>1</v>
      </c>
      <c r="K52" s="175">
        <v>1</v>
      </c>
      <c r="L52" s="175">
        <v>3</v>
      </c>
      <c r="M52" s="175">
        <v>1</v>
      </c>
      <c r="N52" s="175" t="s">
        <v>445</v>
      </c>
      <c r="O52" s="175"/>
      <c r="P52" s="175"/>
      <c r="Q52" s="184">
        <f>SUM(Tabela2[[#This Row],[G]]+Tabela2[[#This Row],[D]]+Tabela2[[#This Row],[N]]+Tabela2[[#This Row],[HM]])</f>
        <v>4</v>
      </c>
      <c r="R52" s="184">
        <f>SUM(Tabela2[[#This Row],[AO]]+Tabela2[[#This Row],[AD]]+Tabela2[[#This Row],[GWO]]+Tabela2[[#This Row],[GWD]])</f>
        <v>7</v>
      </c>
      <c r="S52" s="184">
        <f>Tabela2[[#This Row],[GWO]]+Tabela2[[#This Row],[GWD]]</f>
        <v>4</v>
      </c>
      <c r="T52" s="180">
        <f>SUM(Tabela2[[#This Row],[G]:[GWD]])</f>
        <v>11</v>
      </c>
    </row>
    <row r="53" spans="1:20" ht="30">
      <c r="A53" s="183">
        <v>52</v>
      </c>
      <c r="B53" s="175" t="s">
        <v>699</v>
      </c>
      <c r="C53" s="175" t="s">
        <v>568</v>
      </c>
      <c r="D53" s="175">
        <v>3</v>
      </c>
      <c r="E53" s="175" t="s">
        <v>18</v>
      </c>
      <c r="F53" s="175">
        <v>1</v>
      </c>
      <c r="G53" s="175">
        <v>3</v>
      </c>
      <c r="H53" s="175">
        <v>5</v>
      </c>
      <c r="I53" s="175">
        <v>4</v>
      </c>
      <c r="J53" s="175">
        <v>2</v>
      </c>
      <c r="K53" s="175">
        <v>1</v>
      </c>
      <c r="L53" s="175">
        <v>5</v>
      </c>
      <c r="M53" s="175">
        <v>2</v>
      </c>
      <c r="N53" s="170"/>
      <c r="O53" s="170" t="s">
        <v>783</v>
      </c>
      <c r="P53" s="194" t="s">
        <v>204</v>
      </c>
      <c r="Q53" s="180">
        <f>SUM(Tabela2[[#This Row],[G]]+Tabela2[[#This Row],[D]]+Tabela2[[#This Row],[N]]+Tabela2[[#This Row],[HM]])</f>
        <v>10</v>
      </c>
      <c r="R53" s="180">
        <f>SUM(Tabela2[[#This Row],[AO]]+Tabela2[[#This Row],[AD]]+Tabela2[[#This Row],[GWO]]+Tabela2[[#This Row],[GWD]])</f>
        <v>13</v>
      </c>
      <c r="S53" s="180">
        <f>Tabela2[[#This Row],[GWO]]+Tabela2[[#This Row],[GWD]]</f>
        <v>7</v>
      </c>
      <c r="T53" s="180">
        <f>SUM(Tabela2[[#This Row],[G]:[GWD]])</f>
        <v>23</v>
      </c>
    </row>
    <row r="54" spans="1:20" ht="30">
      <c r="A54" s="183">
        <v>53</v>
      </c>
      <c r="B54" s="175" t="s">
        <v>698</v>
      </c>
      <c r="C54" s="175" t="s">
        <v>566</v>
      </c>
      <c r="D54" s="175">
        <v>3</v>
      </c>
      <c r="E54" s="175" t="s">
        <v>18</v>
      </c>
      <c r="F54" s="175">
        <v>1</v>
      </c>
      <c r="G54" s="175">
        <v>1</v>
      </c>
      <c r="H54" s="175">
        <v>1</v>
      </c>
      <c r="I54" s="175">
        <v>2</v>
      </c>
      <c r="J54" s="175">
        <v>2</v>
      </c>
      <c r="K54" s="175">
        <v>1</v>
      </c>
      <c r="L54" s="175">
        <v>3</v>
      </c>
      <c r="M54" s="175">
        <v>2</v>
      </c>
      <c r="N54" s="170"/>
      <c r="O54" s="170" t="s">
        <v>204</v>
      </c>
      <c r="P54" s="170"/>
      <c r="Q54" s="180">
        <f>SUM(Tabela2[[#This Row],[G]]+Tabela2[[#This Row],[D]]+Tabela2[[#This Row],[N]]+Tabela2[[#This Row],[HM]])</f>
        <v>4</v>
      </c>
      <c r="R54" s="180">
        <f>SUM(Tabela2[[#This Row],[AO]]+Tabela2[[#This Row],[AD]]+Tabela2[[#This Row],[GWO]]+Tabela2[[#This Row],[GWD]])</f>
        <v>9</v>
      </c>
      <c r="S54" s="180">
        <f>Tabela2[[#This Row],[GWO]]+Tabela2[[#This Row],[GWD]]</f>
        <v>5</v>
      </c>
      <c r="T54" s="180">
        <f>SUM(Tabela2[[#This Row],[G]:[GWD]])</f>
        <v>13</v>
      </c>
    </row>
    <row r="55" spans="1:20">
      <c r="A55" s="183">
        <v>54</v>
      </c>
      <c r="B55" s="175" t="s">
        <v>697</v>
      </c>
      <c r="C55" s="175" t="s">
        <v>565</v>
      </c>
      <c r="D55" s="175">
        <v>3</v>
      </c>
      <c r="E55" s="175" t="s">
        <v>18</v>
      </c>
      <c r="F55" s="175">
        <v>1</v>
      </c>
      <c r="G55" s="175">
        <v>1</v>
      </c>
      <c r="H55" s="175">
        <v>2</v>
      </c>
      <c r="I55" s="175">
        <v>1</v>
      </c>
      <c r="J55" s="175">
        <v>1</v>
      </c>
      <c r="K55" s="175">
        <v>1</v>
      </c>
      <c r="L55" s="175">
        <v>3</v>
      </c>
      <c r="M55" s="175">
        <v>1</v>
      </c>
      <c r="N55" s="170"/>
      <c r="O55" s="170"/>
      <c r="P55" s="170"/>
      <c r="Q55" s="180">
        <f>SUM(Tabela2[[#This Row],[G]]+Tabela2[[#This Row],[D]]+Tabela2[[#This Row],[N]]+Tabela2[[#This Row],[HM]])</f>
        <v>5</v>
      </c>
      <c r="R55" s="180">
        <f>SUM(Tabela2[[#This Row],[AO]]+Tabela2[[#This Row],[AD]]+Tabela2[[#This Row],[GWO]]+Tabela2[[#This Row],[GWD]])</f>
        <v>6</v>
      </c>
      <c r="S55" s="180">
        <f>Tabela2[[#This Row],[GWO]]+Tabela2[[#This Row],[GWD]]</f>
        <v>4</v>
      </c>
      <c r="T55" s="180">
        <f>SUM(Tabela2[[#This Row],[G]:[GWD]])</f>
        <v>11</v>
      </c>
    </row>
    <row r="56" spans="1:20" ht="30">
      <c r="A56" s="183">
        <v>55</v>
      </c>
      <c r="B56" s="175" t="s">
        <v>696</v>
      </c>
      <c r="C56" s="175" t="s">
        <v>695</v>
      </c>
      <c r="D56" s="175">
        <v>3</v>
      </c>
      <c r="E56" s="175" t="s">
        <v>18</v>
      </c>
      <c r="F56" s="175">
        <v>1</v>
      </c>
      <c r="G56" s="175">
        <v>1</v>
      </c>
      <c r="H56" s="175">
        <v>1</v>
      </c>
      <c r="I56" s="175">
        <v>1</v>
      </c>
      <c r="J56" s="175">
        <v>1</v>
      </c>
      <c r="K56" s="175">
        <v>1</v>
      </c>
      <c r="L56" s="175">
        <v>1</v>
      </c>
      <c r="M56" s="175">
        <v>1</v>
      </c>
      <c r="N56" s="170"/>
      <c r="O56" s="170"/>
      <c r="P56" s="170"/>
      <c r="Q56" s="180">
        <f>SUM(Tabela2[[#This Row],[G]]+Tabela2[[#This Row],[D]]+Tabela2[[#This Row],[N]]+Tabela2[[#This Row],[HM]])</f>
        <v>4</v>
      </c>
      <c r="R56" s="180">
        <f>SUM(Tabela2[[#This Row],[AO]]+Tabela2[[#This Row],[AD]]+Tabela2[[#This Row],[GWO]]+Tabela2[[#This Row],[GWD]])</f>
        <v>4</v>
      </c>
      <c r="S56" s="180">
        <f>Tabela2[[#This Row],[GWO]]+Tabela2[[#This Row],[GWD]]</f>
        <v>2</v>
      </c>
      <c r="T56" s="180">
        <f>SUM(Tabela2[[#This Row],[G]:[GWD]])</f>
        <v>8</v>
      </c>
    </row>
    <row r="57" spans="1:20">
      <c r="A57" s="183">
        <v>56</v>
      </c>
      <c r="B57" s="175" t="s">
        <v>694</v>
      </c>
      <c r="C57" s="175" t="s">
        <v>693</v>
      </c>
      <c r="D57" s="175">
        <v>3</v>
      </c>
      <c r="E57" s="175" t="s">
        <v>18</v>
      </c>
      <c r="F57" s="175">
        <v>1</v>
      </c>
      <c r="G57" s="175">
        <v>1</v>
      </c>
      <c r="H57" s="175">
        <v>1</v>
      </c>
      <c r="I57" s="175">
        <v>1</v>
      </c>
      <c r="J57" s="175">
        <v>1</v>
      </c>
      <c r="K57" s="175">
        <v>1</v>
      </c>
      <c r="L57" s="175">
        <v>1</v>
      </c>
      <c r="M57" s="175">
        <v>1</v>
      </c>
      <c r="N57" s="170"/>
      <c r="O57" s="170"/>
      <c r="P57" s="170"/>
      <c r="Q57" s="180">
        <f>SUM(Tabela2[[#This Row],[G]]+Tabela2[[#This Row],[D]]+Tabela2[[#This Row],[N]]+Tabela2[[#This Row],[HM]])</f>
        <v>4</v>
      </c>
      <c r="R57" s="180">
        <f>SUM(Tabela2[[#This Row],[AO]]+Tabela2[[#This Row],[AD]]+Tabela2[[#This Row],[GWO]]+Tabela2[[#This Row],[GWD]])</f>
        <v>4</v>
      </c>
      <c r="S57" s="180">
        <f>Tabela2[[#This Row],[GWO]]+Tabela2[[#This Row],[GWD]]</f>
        <v>2</v>
      </c>
      <c r="T57" s="180">
        <f>SUM(Tabela2[[#This Row],[G]:[GWD]])</f>
        <v>8</v>
      </c>
    </row>
    <row r="58" spans="1:20">
      <c r="A58" s="183">
        <v>57</v>
      </c>
      <c r="B58" s="175" t="s">
        <v>692</v>
      </c>
      <c r="C58" s="175" t="s">
        <v>283</v>
      </c>
      <c r="D58" s="175">
        <v>3</v>
      </c>
      <c r="E58" s="175" t="s">
        <v>18</v>
      </c>
      <c r="F58" s="175">
        <v>1</v>
      </c>
      <c r="G58" s="175">
        <v>1</v>
      </c>
      <c r="H58" s="175">
        <v>1</v>
      </c>
      <c r="I58" s="175">
        <v>1</v>
      </c>
      <c r="J58" s="175">
        <v>2</v>
      </c>
      <c r="K58" s="175">
        <v>1</v>
      </c>
      <c r="L58" s="175">
        <v>1</v>
      </c>
      <c r="M58" s="175">
        <v>1</v>
      </c>
      <c r="N58" s="170"/>
      <c r="O58" s="170"/>
      <c r="P58" s="170"/>
      <c r="Q58" s="180">
        <f>SUM(Tabela2[[#This Row],[G]]+Tabela2[[#This Row],[D]]+Tabela2[[#This Row],[N]]+Tabela2[[#This Row],[HM]])</f>
        <v>4</v>
      </c>
      <c r="R58" s="180">
        <f>SUM(Tabela2[[#This Row],[AO]]+Tabela2[[#This Row],[AD]]+Tabela2[[#This Row],[GWO]]+Tabela2[[#This Row],[GWD]])</f>
        <v>5</v>
      </c>
      <c r="S58" s="180">
        <f>Tabela2[[#This Row],[GWO]]+Tabela2[[#This Row],[GWD]]</f>
        <v>2</v>
      </c>
      <c r="T58" s="180">
        <f>SUM(Tabela2[[#This Row],[G]:[GWD]])</f>
        <v>9</v>
      </c>
    </row>
    <row r="59" spans="1:20">
      <c r="A59" s="183">
        <v>58</v>
      </c>
      <c r="B59" s="175" t="s">
        <v>691</v>
      </c>
      <c r="C59" s="175" t="s">
        <v>690</v>
      </c>
      <c r="D59" s="175">
        <v>3</v>
      </c>
      <c r="E59" s="175" t="s">
        <v>18</v>
      </c>
      <c r="F59" s="175">
        <v>3</v>
      </c>
      <c r="G59" s="175">
        <v>5</v>
      </c>
      <c r="H59" s="175">
        <v>1</v>
      </c>
      <c r="I59" s="175">
        <v>2</v>
      </c>
      <c r="J59" s="175">
        <v>2</v>
      </c>
      <c r="K59" s="175">
        <v>4</v>
      </c>
      <c r="L59" s="175">
        <v>2</v>
      </c>
      <c r="M59" s="175">
        <v>2</v>
      </c>
      <c r="N59" s="170"/>
      <c r="O59" s="170" t="s">
        <v>204</v>
      </c>
      <c r="P59" s="170"/>
      <c r="Q59" s="180">
        <f>SUM(Tabela2[[#This Row],[G]]+Tabela2[[#This Row],[D]]+Tabela2[[#This Row],[N]]+Tabela2[[#This Row],[HM]])</f>
        <v>13</v>
      </c>
      <c r="R59" s="180">
        <f>SUM(Tabela2[[#This Row],[AO]]+Tabela2[[#This Row],[AD]]+Tabela2[[#This Row],[GWO]]+Tabela2[[#This Row],[GWD]])</f>
        <v>8</v>
      </c>
      <c r="S59" s="180">
        <f>Tabela2[[#This Row],[GWO]]+Tabela2[[#This Row],[GWD]]</f>
        <v>4</v>
      </c>
      <c r="T59" s="180">
        <f>SUM(Tabela2[[#This Row],[G]:[GWD]])</f>
        <v>21</v>
      </c>
    </row>
    <row r="60" spans="1:20" ht="30">
      <c r="A60" s="183">
        <v>59</v>
      </c>
      <c r="B60" s="175" t="s">
        <v>689</v>
      </c>
      <c r="C60" s="175" t="s">
        <v>688</v>
      </c>
      <c r="D60" s="175">
        <v>3</v>
      </c>
      <c r="E60" s="175" t="s">
        <v>18</v>
      </c>
      <c r="F60" s="175">
        <v>1</v>
      </c>
      <c r="G60" s="175">
        <v>1</v>
      </c>
      <c r="H60" s="175">
        <v>1</v>
      </c>
      <c r="I60" s="175">
        <v>2</v>
      </c>
      <c r="J60" s="175">
        <v>1</v>
      </c>
      <c r="K60" s="175">
        <v>1</v>
      </c>
      <c r="L60" s="175">
        <v>2</v>
      </c>
      <c r="M60" s="175">
        <v>1</v>
      </c>
      <c r="N60" s="170"/>
      <c r="O60" s="170" t="s">
        <v>204</v>
      </c>
      <c r="P60" s="170"/>
      <c r="Q60" s="180">
        <f>SUM(Tabela2[[#This Row],[G]]+Tabela2[[#This Row],[D]]+Tabela2[[#This Row],[N]]+Tabela2[[#This Row],[HM]])</f>
        <v>4</v>
      </c>
      <c r="R60" s="180">
        <f>SUM(Tabela2[[#This Row],[AO]]+Tabela2[[#This Row],[AD]]+Tabela2[[#This Row],[GWO]]+Tabela2[[#This Row],[GWD]])</f>
        <v>6</v>
      </c>
      <c r="S60" s="180">
        <f>Tabela2[[#This Row],[GWO]]+Tabela2[[#This Row],[GWD]]</f>
        <v>3</v>
      </c>
      <c r="T60" s="180">
        <f>SUM(Tabela2[[#This Row],[G]:[GWD]])</f>
        <v>10</v>
      </c>
    </row>
    <row r="61" spans="1:20">
      <c r="A61" s="183">
        <v>60</v>
      </c>
      <c r="B61" s="175" t="s">
        <v>687</v>
      </c>
      <c r="C61" s="175" t="s">
        <v>546</v>
      </c>
      <c r="D61" s="175">
        <v>3</v>
      </c>
      <c r="E61" s="175" t="s">
        <v>18</v>
      </c>
      <c r="F61" s="175">
        <v>1</v>
      </c>
      <c r="G61" s="175">
        <v>1</v>
      </c>
      <c r="H61" s="175">
        <v>3</v>
      </c>
      <c r="I61" s="175">
        <v>1</v>
      </c>
      <c r="J61" s="175">
        <v>1</v>
      </c>
      <c r="K61" s="175">
        <v>1</v>
      </c>
      <c r="L61" s="175">
        <v>1</v>
      </c>
      <c r="M61" s="175">
        <v>1</v>
      </c>
      <c r="N61" s="170"/>
      <c r="O61" s="170"/>
      <c r="P61" s="170"/>
      <c r="Q61" s="180">
        <f>SUM(Tabela2[[#This Row],[G]]+Tabela2[[#This Row],[D]]+Tabela2[[#This Row],[N]]+Tabela2[[#This Row],[HM]])</f>
        <v>6</v>
      </c>
      <c r="R61" s="180">
        <f>SUM(Tabela2[[#This Row],[AO]]+Tabela2[[#This Row],[AD]]+Tabela2[[#This Row],[GWO]]+Tabela2[[#This Row],[GWD]])</f>
        <v>4</v>
      </c>
      <c r="S61" s="180">
        <f>Tabela2[[#This Row],[GWO]]+Tabela2[[#This Row],[GWD]]</f>
        <v>2</v>
      </c>
      <c r="T61" s="180">
        <f>SUM(Tabela2[[#This Row],[G]:[GWD]])</f>
        <v>10</v>
      </c>
    </row>
    <row r="62" spans="1:20" ht="30">
      <c r="A62" s="183">
        <v>61</v>
      </c>
      <c r="B62" s="175" t="s">
        <v>686</v>
      </c>
      <c r="C62" s="175" t="s">
        <v>685</v>
      </c>
      <c r="D62" s="175">
        <v>3</v>
      </c>
      <c r="E62" s="175" t="s">
        <v>18</v>
      </c>
      <c r="F62" s="175">
        <v>1</v>
      </c>
      <c r="G62" s="175">
        <v>1</v>
      </c>
      <c r="H62" s="175">
        <v>1</v>
      </c>
      <c r="I62" s="175">
        <v>4</v>
      </c>
      <c r="J62" s="175">
        <v>1</v>
      </c>
      <c r="K62" s="175">
        <v>1</v>
      </c>
      <c r="L62" s="175">
        <v>4</v>
      </c>
      <c r="M62" s="175">
        <v>1</v>
      </c>
      <c r="N62" s="175" t="s">
        <v>445</v>
      </c>
      <c r="O62" s="175" t="s">
        <v>204</v>
      </c>
      <c r="P62" s="175"/>
      <c r="Q62" s="184">
        <f>SUM(Tabela2[[#This Row],[G]]+Tabela2[[#This Row],[D]]+Tabela2[[#This Row],[N]]+Tabela2[[#This Row],[HM]])</f>
        <v>4</v>
      </c>
      <c r="R62" s="184">
        <f>SUM(Tabela2[[#This Row],[AO]]+Tabela2[[#This Row],[AD]]+Tabela2[[#This Row],[GWO]]+Tabela2[[#This Row],[GWD]])</f>
        <v>10</v>
      </c>
      <c r="S62" s="184">
        <f>Tabela2[[#This Row],[GWO]]+Tabela2[[#This Row],[GWD]]</f>
        <v>5</v>
      </c>
      <c r="T62" s="180">
        <f>SUM(Tabela2[[#This Row],[G]:[GWD]])</f>
        <v>14</v>
      </c>
    </row>
    <row r="63" spans="1:20" ht="30">
      <c r="A63" s="183">
        <v>62</v>
      </c>
      <c r="B63" s="175" t="s">
        <v>684</v>
      </c>
      <c r="C63" s="175" t="s">
        <v>542</v>
      </c>
      <c r="D63" s="175">
        <v>3</v>
      </c>
      <c r="E63" s="175" t="s">
        <v>18</v>
      </c>
      <c r="F63" s="175">
        <v>1</v>
      </c>
      <c r="G63" s="175">
        <v>1</v>
      </c>
      <c r="H63" s="175">
        <v>2</v>
      </c>
      <c r="I63" s="175">
        <v>1</v>
      </c>
      <c r="J63" s="175">
        <v>1</v>
      </c>
      <c r="K63" s="175">
        <v>1</v>
      </c>
      <c r="L63" s="175">
        <v>1</v>
      </c>
      <c r="M63" s="175">
        <v>1</v>
      </c>
      <c r="N63" s="170"/>
      <c r="O63" s="170"/>
      <c r="P63" s="170"/>
      <c r="Q63" s="180">
        <f>SUM(Tabela2[[#This Row],[G]]+Tabela2[[#This Row],[D]]+Tabela2[[#This Row],[N]]+Tabela2[[#This Row],[HM]])</f>
        <v>5</v>
      </c>
      <c r="R63" s="180">
        <f>SUM(Tabela2[[#This Row],[AO]]+Tabela2[[#This Row],[AD]]+Tabela2[[#This Row],[GWO]]+Tabela2[[#This Row],[GWD]])</f>
        <v>4</v>
      </c>
      <c r="S63" s="180">
        <f>Tabela2[[#This Row],[GWO]]+Tabela2[[#This Row],[GWD]]</f>
        <v>2</v>
      </c>
      <c r="T63" s="180">
        <f>SUM(Tabela2[[#This Row],[G]:[GWD]])</f>
        <v>9</v>
      </c>
    </row>
    <row r="64" spans="1:20">
      <c r="A64" s="183">
        <v>63</v>
      </c>
      <c r="B64" s="175" t="s">
        <v>683</v>
      </c>
      <c r="C64" s="175" t="s">
        <v>540</v>
      </c>
      <c r="D64" s="175">
        <v>3</v>
      </c>
      <c r="E64" s="175" t="s">
        <v>18</v>
      </c>
      <c r="F64" s="175">
        <v>1</v>
      </c>
      <c r="G64" s="175">
        <v>1</v>
      </c>
      <c r="H64" s="175">
        <v>1</v>
      </c>
      <c r="I64" s="175">
        <v>1</v>
      </c>
      <c r="J64" s="175">
        <v>1</v>
      </c>
      <c r="K64" s="175">
        <v>1</v>
      </c>
      <c r="L64" s="175">
        <v>1</v>
      </c>
      <c r="M64" s="175">
        <v>1</v>
      </c>
      <c r="N64" s="170"/>
      <c r="O64" s="170"/>
      <c r="P64" s="170"/>
      <c r="Q64" s="180">
        <f>SUM(Tabela2[[#This Row],[G]]+Tabela2[[#This Row],[D]]+Tabela2[[#This Row],[N]]+Tabela2[[#This Row],[HM]])</f>
        <v>4</v>
      </c>
      <c r="R64" s="180">
        <f>SUM(Tabela2[[#This Row],[AO]]+Tabela2[[#This Row],[AD]]+Tabela2[[#This Row],[GWO]]+Tabela2[[#This Row],[GWD]])</f>
        <v>4</v>
      </c>
      <c r="S64" s="180">
        <f>Tabela2[[#This Row],[GWO]]+Tabela2[[#This Row],[GWD]]</f>
        <v>2</v>
      </c>
      <c r="T64" s="180">
        <f>SUM(Tabela2[[#This Row],[G]:[GWD]])</f>
        <v>8</v>
      </c>
    </row>
    <row r="65" spans="1:20">
      <c r="A65" s="183">
        <v>64</v>
      </c>
      <c r="B65" s="175" t="s">
        <v>208</v>
      </c>
      <c r="C65" s="175" t="s">
        <v>358</v>
      </c>
      <c r="D65" s="175">
        <v>3</v>
      </c>
      <c r="E65" s="175" t="s">
        <v>18</v>
      </c>
      <c r="F65" s="175">
        <v>1</v>
      </c>
      <c r="G65" s="175">
        <v>1</v>
      </c>
      <c r="H65" s="175">
        <v>4</v>
      </c>
      <c r="I65" s="175">
        <v>3</v>
      </c>
      <c r="J65" s="175">
        <v>2</v>
      </c>
      <c r="K65" s="175">
        <v>1</v>
      </c>
      <c r="L65" s="175">
        <v>4</v>
      </c>
      <c r="M65" s="175">
        <v>2</v>
      </c>
      <c r="N65" s="170"/>
      <c r="O65" s="170" t="s">
        <v>204</v>
      </c>
      <c r="P65" s="170"/>
      <c r="Q65" s="180">
        <f>SUM(Tabela2[[#This Row],[G]]+Tabela2[[#This Row],[D]]+Tabela2[[#This Row],[N]]+Tabela2[[#This Row],[HM]])</f>
        <v>7</v>
      </c>
      <c r="R65" s="180">
        <f>SUM(Tabela2[[#This Row],[AO]]+Tabela2[[#This Row],[AD]]+Tabela2[[#This Row],[GWO]]+Tabela2[[#This Row],[GWD]])</f>
        <v>11</v>
      </c>
      <c r="S65" s="180">
        <f>Tabela2[[#This Row],[GWO]]+Tabela2[[#This Row],[GWD]]</f>
        <v>6</v>
      </c>
      <c r="T65" s="180">
        <f>SUM(Tabela2[[#This Row],[G]:[GWD]])</f>
        <v>18</v>
      </c>
    </row>
    <row r="66" spans="1:20" ht="30">
      <c r="A66" s="183">
        <v>65</v>
      </c>
      <c r="B66" s="175" t="s">
        <v>682</v>
      </c>
      <c r="C66" s="175" t="s">
        <v>538</v>
      </c>
      <c r="D66" s="175">
        <v>3</v>
      </c>
      <c r="E66" s="175" t="s">
        <v>18</v>
      </c>
      <c r="F66" s="175">
        <v>1</v>
      </c>
      <c r="G66" s="175">
        <v>1</v>
      </c>
      <c r="H66" s="175">
        <v>1</v>
      </c>
      <c r="I66" s="175">
        <v>1</v>
      </c>
      <c r="J66" s="175">
        <v>2</v>
      </c>
      <c r="K66" s="175">
        <v>1</v>
      </c>
      <c r="L66" s="175">
        <v>1</v>
      </c>
      <c r="M66" s="175">
        <v>2</v>
      </c>
      <c r="N66" s="175" t="s">
        <v>445</v>
      </c>
      <c r="O66" s="175" t="s">
        <v>204</v>
      </c>
      <c r="P66" s="175"/>
      <c r="Q66" s="184">
        <f>SUM(Tabela2[[#This Row],[G]]+Tabela2[[#This Row],[D]]+Tabela2[[#This Row],[N]]+Tabela2[[#This Row],[HM]])</f>
        <v>4</v>
      </c>
      <c r="R66" s="184">
        <f>SUM(Tabela2[[#This Row],[AO]]+Tabela2[[#This Row],[AD]]+Tabela2[[#This Row],[GWO]]+Tabela2[[#This Row],[GWD]])</f>
        <v>6</v>
      </c>
      <c r="S66" s="184">
        <f>Tabela2[[#This Row],[GWO]]+Tabela2[[#This Row],[GWD]]</f>
        <v>3</v>
      </c>
      <c r="T66" s="180">
        <f>SUM(Tabela2[[#This Row],[G]:[GWD]])</f>
        <v>10</v>
      </c>
    </row>
    <row r="67" spans="1:20">
      <c r="A67" s="183">
        <v>66</v>
      </c>
      <c r="B67" s="175" t="s">
        <v>681</v>
      </c>
      <c r="C67" s="175" t="s">
        <v>680</v>
      </c>
      <c r="D67" s="175">
        <v>3</v>
      </c>
      <c r="E67" s="175" t="s">
        <v>18</v>
      </c>
      <c r="F67" s="175">
        <v>1</v>
      </c>
      <c r="G67" s="175">
        <v>1</v>
      </c>
      <c r="H67" s="175">
        <v>1</v>
      </c>
      <c r="I67" s="175">
        <v>1</v>
      </c>
      <c r="J67" s="175">
        <v>1</v>
      </c>
      <c r="K67" s="175">
        <v>1</v>
      </c>
      <c r="L67" s="175">
        <v>1</v>
      </c>
      <c r="M67" s="175">
        <v>1</v>
      </c>
      <c r="N67" s="170"/>
      <c r="O67" s="170"/>
      <c r="P67" s="170"/>
      <c r="Q67" s="180">
        <f>SUM(Tabela2[[#This Row],[G]]+Tabela2[[#This Row],[D]]+Tabela2[[#This Row],[N]]+Tabela2[[#This Row],[HM]])</f>
        <v>4</v>
      </c>
      <c r="R67" s="180">
        <f>SUM(Tabela2[[#This Row],[AO]]+Tabela2[[#This Row],[AD]]+Tabela2[[#This Row],[GWO]]+Tabela2[[#This Row],[GWD]])</f>
        <v>4</v>
      </c>
      <c r="S67" s="180">
        <f>Tabela2[[#This Row],[GWO]]+Tabela2[[#This Row],[GWD]]</f>
        <v>2</v>
      </c>
      <c r="T67" s="180">
        <f>SUM(Tabela2[[#This Row],[G]:[GWD]])</f>
        <v>8</v>
      </c>
    </row>
    <row r="68" spans="1:20">
      <c r="A68" s="183">
        <v>67</v>
      </c>
      <c r="B68" s="175" t="s">
        <v>679</v>
      </c>
      <c r="C68" s="175" t="s">
        <v>678</v>
      </c>
      <c r="D68" s="175">
        <v>3</v>
      </c>
      <c r="E68" s="175" t="s">
        <v>18</v>
      </c>
      <c r="F68" s="175">
        <v>1</v>
      </c>
      <c r="G68" s="175">
        <v>1</v>
      </c>
      <c r="H68" s="175">
        <v>1</v>
      </c>
      <c r="I68" s="175">
        <v>1</v>
      </c>
      <c r="J68" s="175">
        <v>1</v>
      </c>
      <c r="K68" s="175">
        <v>1</v>
      </c>
      <c r="L68" s="175">
        <v>1</v>
      </c>
      <c r="M68" s="175">
        <v>1</v>
      </c>
      <c r="N68" s="175" t="s">
        <v>445</v>
      </c>
      <c r="O68" s="175"/>
      <c r="P68" s="175"/>
      <c r="Q68" s="184">
        <f>SUM(Tabela2[[#This Row],[G]]+Tabela2[[#This Row],[D]]+Tabela2[[#This Row],[N]]+Tabela2[[#This Row],[HM]])</f>
        <v>4</v>
      </c>
      <c r="R68" s="184">
        <f>SUM(Tabela2[[#This Row],[AO]]+Tabela2[[#This Row],[AD]]+Tabela2[[#This Row],[GWO]]+Tabela2[[#This Row],[GWD]])</f>
        <v>4</v>
      </c>
      <c r="S68" s="184">
        <f>Tabela2[[#This Row],[GWO]]+Tabela2[[#This Row],[GWD]]</f>
        <v>2</v>
      </c>
      <c r="T68" s="180">
        <f>SUM(Tabela2[[#This Row],[G]:[GWD]])</f>
        <v>8</v>
      </c>
    </row>
    <row r="69" spans="1:20" ht="30">
      <c r="A69" s="183">
        <v>68</v>
      </c>
      <c r="B69" s="175" t="s">
        <v>677</v>
      </c>
      <c r="C69" s="175" t="s">
        <v>534</v>
      </c>
      <c r="D69" s="175">
        <v>3</v>
      </c>
      <c r="E69" s="175" t="s">
        <v>18</v>
      </c>
      <c r="F69" s="175">
        <v>1</v>
      </c>
      <c r="G69" s="175">
        <v>1</v>
      </c>
      <c r="H69" s="175">
        <v>1</v>
      </c>
      <c r="I69" s="175">
        <v>1</v>
      </c>
      <c r="J69" s="175">
        <v>1</v>
      </c>
      <c r="K69" s="175">
        <v>1</v>
      </c>
      <c r="L69" s="175">
        <v>1</v>
      </c>
      <c r="M69" s="175">
        <v>1</v>
      </c>
      <c r="N69" s="170"/>
      <c r="O69" s="170"/>
      <c r="P69" s="170"/>
      <c r="Q69" s="180">
        <f>SUM(Tabela2[[#This Row],[G]]+Tabela2[[#This Row],[D]]+Tabela2[[#This Row],[N]]+Tabela2[[#This Row],[HM]])</f>
        <v>4</v>
      </c>
      <c r="R69" s="180">
        <f>SUM(Tabela2[[#This Row],[AO]]+Tabela2[[#This Row],[AD]]+Tabela2[[#This Row],[GWO]]+Tabela2[[#This Row],[GWD]])</f>
        <v>4</v>
      </c>
      <c r="S69" s="180">
        <f>Tabela2[[#This Row],[GWO]]+Tabela2[[#This Row],[GWD]]</f>
        <v>2</v>
      </c>
      <c r="T69" s="180">
        <f>SUM(Tabela2[[#This Row],[G]:[GWD]])</f>
        <v>8</v>
      </c>
    </row>
    <row r="70" spans="1:20" ht="30">
      <c r="A70" s="183">
        <v>69</v>
      </c>
      <c r="B70" s="175" t="s">
        <v>676</v>
      </c>
      <c r="C70" s="175" t="s">
        <v>532</v>
      </c>
      <c r="D70" s="175">
        <v>3</v>
      </c>
      <c r="E70" s="175" t="s">
        <v>18</v>
      </c>
      <c r="F70" s="175">
        <v>1</v>
      </c>
      <c r="G70" s="175">
        <v>1</v>
      </c>
      <c r="H70" s="175">
        <v>1</v>
      </c>
      <c r="I70" s="175">
        <v>1</v>
      </c>
      <c r="J70" s="175">
        <v>1</v>
      </c>
      <c r="K70" s="175">
        <v>1</v>
      </c>
      <c r="L70" s="175">
        <v>1</v>
      </c>
      <c r="M70" s="175">
        <v>1</v>
      </c>
      <c r="N70" s="175" t="s">
        <v>445</v>
      </c>
      <c r="O70" s="175"/>
      <c r="P70" s="175"/>
      <c r="Q70" s="184">
        <f>SUM(Tabela2[[#This Row],[G]]+Tabela2[[#This Row],[D]]+Tabela2[[#This Row],[N]]+Tabela2[[#This Row],[HM]])</f>
        <v>4</v>
      </c>
      <c r="R70" s="184">
        <f>SUM(Tabela2[[#This Row],[AO]]+Tabela2[[#This Row],[AD]]+Tabela2[[#This Row],[GWO]]+Tabela2[[#This Row],[GWD]])</f>
        <v>4</v>
      </c>
      <c r="S70" s="184">
        <f>Tabela2[[#This Row],[GWO]]+Tabela2[[#This Row],[GWD]]</f>
        <v>2</v>
      </c>
      <c r="T70" s="180">
        <f>SUM(Tabela2[[#This Row],[G]:[GWD]])</f>
        <v>8</v>
      </c>
    </row>
    <row r="71" spans="1:20" ht="30">
      <c r="A71" s="183">
        <v>70</v>
      </c>
      <c r="B71" s="175" t="s">
        <v>675</v>
      </c>
      <c r="C71" s="175" t="s">
        <v>530</v>
      </c>
      <c r="D71" s="175">
        <v>3</v>
      </c>
      <c r="E71" s="175" t="s">
        <v>18</v>
      </c>
      <c r="F71" s="175">
        <v>1</v>
      </c>
      <c r="G71" s="175">
        <v>1</v>
      </c>
      <c r="H71" s="175">
        <v>1</v>
      </c>
      <c r="I71" s="175">
        <v>1</v>
      </c>
      <c r="J71" s="175">
        <v>1</v>
      </c>
      <c r="K71" s="175">
        <v>1</v>
      </c>
      <c r="L71" s="175">
        <v>1</v>
      </c>
      <c r="M71" s="175">
        <v>1</v>
      </c>
      <c r="N71" s="170"/>
      <c r="O71" s="170"/>
      <c r="P71" s="170"/>
      <c r="Q71" s="180">
        <f>SUM(Tabela2[[#This Row],[G]]+Tabela2[[#This Row],[D]]+Tabela2[[#This Row],[N]]+Tabela2[[#This Row],[HM]])</f>
        <v>4</v>
      </c>
      <c r="R71" s="180">
        <f>SUM(Tabela2[[#This Row],[AO]]+Tabela2[[#This Row],[AD]]+Tabela2[[#This Row],[GWO]]+Tabela2[[#This Row],[GWD]])</f>
        <v>4</v>
      </c>
      <c r="S71" s="180">
        <f>Tabela2[[#This Row],[GWO]]+Tabela2[[#This Row],[GWD]]</f>
        <v>2</v>
      </c>
      <c r="T71" s="180">
        <f>SUM(Tabela2[[#This Row],[G]:[GWD]])</f>
        <v>8</v>
      </c>
    </row>
    <row r="72" spans="1:20" ht="30">
      <c r="A72" s="183">
        <v>71</v>
      </c>
      <c r="B72" s="175" t="s">
        <v>674</v>
      </c>
      <c r="C72" s="175" t="s">
        <v>528</v>
      </c>
      <c r="D72" s="175">
        <v>3</v>
      </c>
      <c r="E72" s="175" t="s">
        <v>18</v>
      </c>
      <c r="F72" s="175">
        <v>1</v>
      </c>
      <c r="G72" s="175">
        <v>1</v>
      </c>
      <c r="H72" s="175">
        <v>1</v>
      </c>
      <c r="I72" s="175">
        <v>1</v>
      </c>
      <c r="J72" s="175">
        <v>1</v>
      </c>
      <c r="K72" s="175">
        <v>1</v>
      </c>
      <c r="L72" s="175">
        <v>1</v>
      </c>
      <c r="M72" s="175">
        <v>1</v>
      </c>
      <c r="N72" s="170"/>
      <c r="O72" s="170"/>
      <c r="P72" s="170"/>
      <c r="Q72" s="180">
        <f>SUM(Tabela2[[#This Row],[G]]+Tabela2[[#This Row],[D]]+Tabela2[[#This Row],[N]]+Tabela2[[#This Row],[HM]])</f>
        <v>4</v>
      </c>
      <c r="R72" s="180">
        <f>SUM(Tabela2[[#This Row],[AO]]+Tabela2[[#This Row],[AD]]+Tabela2[[#This Row],[GWO]]+Tabela2[[#This Row],[GWD]])</f>
        <v>4</v>
      </c>
      <c r="S72" s="180">
        <f>Tabela2[[#This Row],[GWO]]+Tabela2[[#This Row],[GWD]]</f>
        <v>2</v>
      </c>
      <c r="T72" s="180">
        <f>SUM(Tabela2[[#This Row],[G]:[GWD]])</f>
        <v>8</v>
      </c>
    </row>
    <row r="73" spans="1:20" ht="30">
      <c r="A73" s="183">
        <v>72</v>
      </c>
      <c r="B73" s="175" t="s">
        <v>673</v>
      </c>
      <c r="C73" s="175" t="s">
        <v>526</v>
      </c>
      <c r="D73" s="175">
        <v>3</v>
      </c>
      <c r="E73" s="175" t="s">
        <v>18</v>
      </c>
      <c r="F73" s="175">
        <v>1</v>
      </c>
      <c r="G73" s="175">
        <v>1</v>
      </c>
      <c r="H73" s="175">
        <v>1</v>
      </c>
      <c r="I73" s="175">
        <v>1</v>
      </c>
      <c r="J73" s="175">
        <v>1</v>
      </c>
      <c r="K73" s="175">
        <v>1</v>
      </c>
      <c r="L73" s="175">
        <v>1</v>
      </c>
      <c r="M73" s="175">
        <v>1</v>
      </c>
      <c r="N73" s="170"/>
      <c r="O73" s="170"/>
      <c r="P73" s="170"/>
      <c r="Q73" s="180">
        <f>SUM(Tabela2[[#This Row],[G]]+Tabela2[[#This Row],[D]]+Tabela2[[#This Row],[N]]+Tabela2[[#This Row],[HM]])</f>
        <v>4</v>
      </c>
      <c r="R73" s="180">
        <f>SUM(Tabela2[[#This Row],[AO]]+Tabela2[[#This Row],[AD]]+Tabela2[[#This Row],[GWO]]+Tabela2[[#This Row],[GWD]])</f>
        <v>4</v>
      </c>
      <c r="S73" s="180">
        <f>Tabela2[[#This Row],[GWO]]+Tabela2[[#This Row],[GWD]]</f>
        <v>2</v>
      </c>
      <c r="T73" s="180">
        <f>SUM(Tabela2[[#This Row],[G]:[GWD]])</f>
        <v>8</v>
      </c>
    </row>
    <row r="74" spans="1:20" ht="30">
      <c r="A74" s="183">
        <v>73</v>
      </c>
      <c r="B74" s="175" t="s">
        <v>672</v>
      </c>
      <c r="C74" s="175" t="s">
        <v>671</v>
      </c>
      <c r="D74" s="175">
        <v>3</v>
      </c>
      <c r="E74" s="175" t="s">
        <v>18</v>
      </c>
      <c r="F74" s="175">
        <v>1</v>
      </c>
      <c r="G74" s="175">
        <v>1</v>
      </c>
      <c r="H74" s="175">
        <v>1</v>
      </c>
      <c r="I74" s="175">
        <v>1</v>
      </c>
      <c r="J74" s="175">
        <v>1</v>
      </c>
      <c r="K74" s="175">
        <v>1</v>
      </c>
      <c r="L74" s="175">
        <v>1</v>
      </c>
      <c r="M74" s="175">
        <v>1</v>
      </c>
      <c r="N74" s="175" t="s">
        <v>445</v>
      </c>
      <c r="O74" s="175"/>
      <c r="P74" s="175"/>
      <c r="Q74" s="184">
        <f>SUM(Tabela2[[#This Row],[G]]+Tabela2[[#This Row],[D]]+Tabela2[[#This Row],[N]]+Tabela2[[#This Row],[HM]])</f>
        <v>4</v>
      </c>
      <c r="R74" s="184">
        <f>SUM(Tabela2[[#This Row],[AO]]+Tabela2[[#This Row],[AD]]+Tabela2[[#This Row],[GWO]]+Tabela2[[#This Row],[GWD]])</f>
        <v>4</v>
      </c>
      <c r="S74" s="184">
        <f>Tabela2[[#This Row],[GWO]]+Tabela2[[#This Row],[GWD]]</f>
        <v>2</v>
      </c>
      <c r="T74" s="180">
        <f>SUM(Tabela2[[#This Row],[G]:[GWD]])</f>
        <v>8</v>
      </c>
    </row>
    <row r="75" spans="1:20">
      <c r="A75" s="183">
        <v>74</v>
      </c>
      <c r="B75" s="175" t="s">
        <v>670</v>
      </c>
      <c r="C75" s="175" t="s">
        <v>284</v>
      </c>
      <c r="D75" s="175">
        <v>3</v>
      </c>
      <c r="E75" s="175" t="s">
        <v>18</v>
      </c>
      <c r="F75" s="175">
        <v>1</v>
      </c>
      <c r="G75" s="175">
        <v>1</v>
      </c>
      <c r="H75" s="175">
        <v>1</v>
      </c>
      <c r="I75" s="175">
        <v>3</v>
      </c>
      <c r="J75" s="175">
        <v>3</v>
      </c>
      <c r="K75" s="175">
        <v>1</v>
      </c>
      <c r="L75" s="175">
        <v>2</v>
      </c>
      <c r="M75" s="175">
        <v>1</v>
      </c>
      <c r="N75" s="175" t="s">
        <v>445</v>
      </c>
      <c r="O75" s="175"/>
      <c r="P75" s="175"/>
      <c r="Q75" s="184">
        <f>SUM(Tabela2[[#This Row],[G]]+Tabela2[[#This Row],[D]]+Tabela2[[#This Row],[N]]+Tabela2[[#This Row],[HM]])</f>
        <v>4</v>
      </c>
      <c r="R75" s="184">
        <f>SUM(Tabela2[[#This Row],[AO]]+Tabela2[[#This Row],[AD]]+Tabela2[[#This Row],[GWO]]+Tabela2[[#This Row],[GWD]])</f>
        <v>9</v>
      </c>
      <c r="S75" s="184">
        <f>Tabela2[[#This Row],[GWO]]+Tabela2[[#This Row],[GWD]]</f>
        <v>3</v>
      </c>
      <c r="T75" s="180">
        <f>SUM(Tabela2[[#This Row],[G]:[GWD]])</f>
        <v>13</v>
      </c>
    </row>
    <row r="76" spans="1:20">
      <c r="A76" s="183">
        <v>75</v>
      </c>
      <c r="B76" s="175" t="s">
        <v>669</v>
      </c>
      <c r="C76" s="175" t="s">
        <v>376</v>
      </c>
      <c r="D76" s="175">
        <v>3</v>
      </c>
      <c r="E76" s="175" t="s">
        <v>18</v>
      </c>
      <c r="F76" s="175">
        <v>1</v>
      </c>
      <c r="G76" s="175">
        <v>1</v>
      </c>
      <c r="H76" s="175">
        <v>1</v>
      </c>
      <c r="I76" s="175">
        <v>1</v>
      </c>
      <c r="J76" s="175">
        <v>1</v>
      </c>
      <c r="K76" s="175">
        <v>1</v>
      </c>
      <c r="L76" s="175">
        <v>1</v>
      </c>
      <c r="M76" s="175">
        <v>1</v>
      </c>
      <c r="N76" s="170"/>
      <c r="O76" s="170"/>
      <c r="P76" s="170"/>
      <c r="Q76" s="180">
        <f>SUM(Tabela2[[#This Row],[G]]+Tabela2[[#This Row],[D]]+Tabela2[[#This Row],[N]]+Tabela2[[#This Row],[HM]])</f>
        <v>4</v>
      </c>
      <c r="R76" s="180">
        <f>SUM(Tabela2[[#This Row],[AO]]+Tabela2[[#This Row],[AD]]+Tabela2[[#This Row],[GWO]]+Tabela2[[#This Row],[GWD]])</f>
        <v>4</v>
      </c>
      <c r="S76" s="180">
        <f>Tabela2[[#This Row],[GWO]]+Tabela2[[#This Row],[GWD]]</f>
        <v>2</v>
      </c>
      <c r="T76" s="180">
        <f>SUM(Tabela2[[#This Row],[G]:[GWD]])</f>
        <v>8</v>
      </c>
    </row>
    <row r="77" spans="1:20">
      <c r="A77" s="183">
        <v>76</v>
      </c>
      <c r="B77" s="175" t="s">
        <v>668</v>
      </c>
      <c r="C77" s="175" t="s">
        <v>267</v>
      </c>
      <c r="D77" s="175">
        <v>3</v>
      </c>
      <c r="E77" s="175" t="s">
        <v>18</v>
      </c>
      <c r="F77" s="175">
        <v>1</v>
      </c>
      <c r="G77" s="175">
        <v>1</v>
      </c>
      <c r="H77" s="175">
        <v>1</v>
      </c>
      <c r="I77" s="175">
        <v>2</v>
      </c>
      <c r="J77" s="175">
        <v>2</v>
      </c>
      <c r="K77" s="175">
        <v>1</v>
      </c>
      <c r="L77" s="175">
        <v>1</v>
      </c>
      <c r="M77" s="175">
        <v>1</v>
      </c>
      <c r="N77" s="170"/>
      <c r="O77" s="170"/>
      <c r="P77" s="170"/>
      <c r="Q77" s="180">
        <f>SUM(Tabela2[[#This Row],[G]]+Tabela2[[#This Row],[D]]+Tabela2[[#This Row],[N]]+Tabela2[[#This Row],[HM]])</f>
        <v>4</v>
      </c>
      <c r="R77" s="180">
        <f>SUM(Tabela2[[#This Row],[AO]]+Tabela2[[#This Row],[AD]]+Tabela2[[#This Row],[GWO]]+Tabela2[[#This Row],[GWD]])</f>
        <v>6</v>
      </c>
      <c r="S77" s="180">
        <f>Tabela2[[#This Row],[GWO]]+Tabela2[[#This Row],[GWD]]</f>
        <v>2</v>
      </c>
      <c r="T77" s="180">
        <f>SUM(Tabela2[[#This Row],[G]:[GWD]])</f>
        <v>10</v>
      </c>
    </row>
    <row r="78" spans="1:20">
      <c r="A78" s="183">
        <v>77</v>
      </c>
      <c r="B78" s="175" t="s">
        <v>667</v>
      </c>
      <c r="C78" s="175" t="s">
        <v>521</v>
      </c>
      <c r="D78" s="175">
        <v>3</v>
      </c>
      <c r="E78" s="175" t="s">
        <v>18</v>
      </c>
      <c r="F78" s="175">
        <v>1</v>
      </c>
      <c r="G78" s="175">
        <v>1</v>
      </c>
      <c r="H78" s="175">
        <v>1</v>
      </c>
      <c r="I78" s="175">
        <v>1</v>
      </c>
      <c r="J78" s="175">
        <v>1</v>
      </c>
      <c r="K78" s="175">
        <v>1</v>
      </c>
      <c r="L78" s="175">
        <v>1</v>
      </c>
      <c r="M78" s="175">
        <v>1</v>
      </c>
      <c r="N78" s="175" t="s">
        <v>445</v>
      </c>
      <c r="O78" s="175"/>
      <c r="P78" s="175"/>
      <c r="Q78" s="184">
        <f>SUM(Tabela2[[#This Row],[G]]+Tabela2[[#This Row],[D]]+Tabela2[[#This Row],[N]]+Tabela2[[#This Row],[HM]])</f>
        <v>4</v>
      </c>
      <c r="R78" s="184">
        <f>SUM(Tabela2[[#This Row],[AO]]+Tabela2[[#This Row],[AD]]+Tabela2[[#This Row],[GWO]]+Tabela2[[#This Row],[GWD]])</f>
        <v>4</v>
      </c>
      <c r="S78" s="184">
        <f>Tabela2[[#This Row],[GWO]]+Tabela2[[#This Row],[GWD]]</f>
        <v>2</v>
      </c>
      <c r="T78" s="180">
        <f>SUM(Tabela2[[#This Row],[G]:[GWD]])</f>
        <v>8</v>
      </c>
    </row>
    <row r="79" spans="1:20">
      <c r="A79" s="183">
        <v>78</v>
      </c>
      <c r="B79" s="175" t="s">
        <v>666</v>
      </c>
      <c r="C79" s="175" t="s">
        <v>578</v>
      </c>
      <c r="D79" s="175">
        <v>3</v>
      </c>
      <c r="E79" s="175" t="s">
        <v>18</v>
      </c>
      <c r="F79" s="175">
        <v>1</v>
      </c>
      <c r="G79" s="175">
        <v>1</v>
      </c>
      <c r="H79" s="175">
        <v>2</v>
      </c>
      <c r="I79" s="175">
        <v>1</v>
      </c>
      <c r="J79" s="175">
        <v>1</v>
      </c>
      <c r="K79" s="175">
        <v>1</v>
      </c>
      <c r="L79" s="175">
        <v>1</v>
      </c>
      <c r="M79" s="175">
        <v>1</v>
      </c>
      <c r="N79" s="170"/>
      <c r="O79" s="170"/>
      <c r="P79" s="170"/>
      <c r="Q79" s="180">
        <f>SUM(Tabela2[[#This Row],[G]]+Tabela2[[#This Row],[D]]+Tabela2[[#This Row],[N]]+Tabela2[[#This Row],[HM]])</f>
        <v>5</v>
      </c>
      <c r="R79" s="180">
        <f>SUM(Tabela2[[#This Row],[AO]]+Tabela2[[#This Row],[AD]]+Tabela2[[#This Row],[GWO]]+Tabela2[[#This Row],[GWD]])</f>
        <v>4</v>
      </c>
      <c r="S79" s="180">
        <f>Tabela2[[#This Row],[GWO]]+Tabela2[[#This Row],[GWD]]</f>
        <v>2</v>
      </c>
      <c r="T79" s="180">
        <f>SUM(Tabela2[[#This Row],[G]:[GWD]])</f>
        <v>9</v>
      </c>
    </row>
    <row r="80" spans="1:20">
      <c r="A80" s="183">
        <v>79</v>
      </c>
      <c r="B80" s="174" t="s">
        <v>665</v>
      </c>
      <c r="C80" s="174" t="s">
        <v>574</v>
      </c>
      <c r="D80" s="174">
        <v>3</v>
      </c>
      <c r="E80" s="174" t="s">
        <v>249</v>
      </c>
      <c r="F80" s="174">
        <v>2</v>
      </c>
      <c r="G80" s="174">
        <v>2</v>
      </c>
      <c r="H80" s="174">
        <v>3</v>
      </c>
      <c r="I80" s="174">
        <v>3</v>
      </c>
      <c r="J80" s="174">
        <v>1</v>
      </c>
      <c r="K80" s="174">
        <v>2</v>
      </c>
      <c r="L80" s="174">
        <v>2</v>
      </c>
      <c r="M80" s="174">
        <v>1</v>
      </c>
      <c r="N80" s="170"/>
      <c r="O80" s="170"/>
      <c r="P80" s="170"/>
      <c r="Q80" s="180">
        <f>SUM(Tabela2[[#This Row],[G]]+Tabela2[[#This Row],[D]]+Tabela2[[#This Row],[N]]+Tabela2[[#This Row],[HM]])</f>
        <v>9</v>
      </c>
      <c r="R80" s="180">
        <f>SUM(Tabela2[[#This Row],[AO]]+Tabela2[[#This Row],[AD]]+Tabela2[[#This Row],[GWO]]+Tabela2[[#This Row],[GWD]])</f>
        <v>7</v>
      </c>
      <c r="S80" s="180">
        <f>Tabela2[[#This Row],[GWO]]+Tabela2[[#This Row],[GWD]]</f>
        <v>3</v>
      </c>
      <c r="T80" s="180">
        <f>SUM(Tabela2[[#This Row],[G]:[GWD]])</f>
        <v>16</v>
      </c>
    </row>
    <row r="81" spans="1:20" ht="30">
      <c r="A81" s="183">
        <v>80</v>
      </c>
      <c r="B81" s="174" t="s">
        <v>664</v>
      </c>
      <c r="C81" s="174" t="s">
        <v>572</v>
      </c>
      <c r="D81" s="174">
        <v>3</v>
      </c>
      <c r="E81" s="174" t="s">
        <v>249</v>
      </c>
      <c r="F81" s="174">
        <v>3</v>
      </c>
      <c r="G81" s="174">
        <v>3</v>
      </c>
      <c r="H81" s="174">
        <v>1</v>
      </c>
      <c r="I81" s="174">
        <v>1</v>
      </c>
      <c r="J81" s="174">
        <v>3</v>
      </c>
      <c r="K81" s="174">
        <v>4</v>
      </c>
      <c r="L81" s="174">
        <v>4</v>
      </c>
      <c r="M81" s="174">
        <v>2</v>
      </c>
      <c r="N81" s="170"/>
      <c r="O81" s="205" t="s">
        <v>204</v>
      </c>
      <c r="P81" s="194"/>
      <c r="Q81" s="180">
        <f>SUM(Tabela2[[#This Row],[G]]+Tabela2[[#This Row],[D]]+Tabela2[[#This Row],[N]]+Tabela2[[#This Row],[HM]])</f>
        <v>11</v>
      </c>
      <c r="R81" s="180">
        <f>SUM(Tabela2[[#This Row],[AO]]+Tabela2[[#This Row],[AD]]+Tabela2[[#This Row],[GWO]]+Tabela2[[#This Row],[GWD]])</f>
        <v>10</v>
      </c>
      <c r="S81" s="180">
        <f>Tabela2[[#This Row],[GWO]]+Tabela2[[#This Row],[GWD]]</f>
        <v>6</v>
      </c>
      <c r="T81" s="180">
        <f>SUM(Tabela2[[#This Row],[G]:[GWD]])</f>
        <v>21</v>
      </c>
    </row>
    <row r="82" spans="1:20">
      <c r="A82" s="183">
        <v>81</v>
      </c>
      <c r="B82" s="174" t="s">
        <v>663</v>
      </c>
      <c r="C82" s="174" t="s">
        <v>290</v>
      </c>
      <c r="D82" s="174">
        <v>3</v>
      </c>
      <c r="E82" s="174" t="s">
        <v>249</v>
      </c>
      <c r="F82" s="174">
        <v>1</v>
      </c>
      <c r="G82" s="174">
        <v>1</v>
      </c>
      <c r="H82" s="174">
        <v>1</v>
      </c>
      <c r="I82" s="174">
        <v>1</v>
      </c>
      <c r="J82" s="174">
        <v>1</v>
      </c>
      <c r="K82" s="174">
        <v>1</v>
      </c>
      <c r="L82" s="174">
        <v>1</v>
      </c>
      <c r="M82" s="174">
        <v>1</v>
      </c>
      <c r="N82" s="174" t="s">
        <v>445</v>
      </c>
      <c r="O82" s="174"/>
      <c r="P82" s="174"/>
      <c r="Q82" s="185">
        <f>SUM(Tabela2[[#This Row],[G]]+Tabela2[[#This Row],[D]]+Tabela2[[#This Row],[N]]+Tabela2[[#This Row],[HM]])</f>
        <v>4</v>
      </c>
      <c r="R82" s="185">
        <f>SUM(Tabela2[[#This Row],[AO]]+Tabela2[[#This Row],[AD]]+Tabela2[[#This Row],[GWO]]+Tabela2[[#This Row],[GWD]])</f>
        <v>4</v>
      </c>
      <c r="S82" s="185">
        <f>Tabela2[[#This Row],[GWO]]+Tabela2[[#This Row],[GWD]]</f>
        <v>2</v>
      </c>
      <c r="T82" s="180">
        <f>SUM(Tabela2[[#This Row],[G]:[GWD]])</f>
        <v>8</v>
      </c>
    </row>
    <row r="83" spans="1:20" ht="30">
      <c r="A83" s="183">
        <v>82</v>
      </c>
      <c r="B83" s="174" t="s">
        <v>662</v>
      </c>
      <c r="C83" s="174" t="s">
        <v>568</v>
      </c>
      <c r="D83" s="174">
        <v>3</v>
      </c>
      <c r="E83" s="174" t="s">
        <v>249</v>
      </c>
      <c r="F83" s="174">
        <v>1</v>
      </c>
      <c r="G83" s="174">
        <v>1</v>
      </c>
      <c r="H83" s="174">
        <v>2</v>
      </c>
      <c r="I83" s="174">
        <v>3</v>
      </c>
      <c r="J83" s="174">
        <v>3</v>
      </c>
      <c r="K83" s="174">
        <v>1</v>
      </c>
      <c r="L83" s="174">
        <v>2</v>
      </c>
      <c r="M83" s="174">
        <v>1</v>
      </c>
      <c r="N83" s="170"/>
      <c r="O83" s="170"/>
      <c r="P83" s="170"/>
      <c r="Q83" s="180">
        <f>SUM(Tabela2[[#This Row],[G]]+Tabela2[[#This Row],[D]]+Tabela2[[#This Row],[N]]+Tabela2[[#This Row],[HM]])</f>
        <v>5</v>
      </c>
      <c r="R83" s="180">
        <f>SUM(Tabela2[[#This Row],[AO]]+Tabela2[[#This Row],[AD]]+Tabela2[[#This Row],[GWO]]+Tabela2[[#This Row],[GWD]])</f>
        <v>9</v>
      </c>
      <c r="S83" s="180">
        <f>Tabela2[[#This Row],[GWO]]+Tabela2[[#This Row],[GWD]]</f>
        <v>3</v>
      </c>
      <c r="T83" s="180">
        <f>SUM(Tabela2[[#This Row],[G]:[GWD]])</f>
        <v>14</v>
      </c>
    </row>
    <row r="84" spans="1:20" ht="30">
      <c r="A84" s="183">
        <v>83</v>
      </c>
      <c r="B84" s="174" t="s">
        <v>661</v>
      </c>
      <c r="C84" s="174" t="s">
        <v>566</v>
      </c>
      <c r="D84" s="174">
        <v>3</v>
      </c>
      <c r="E84" s="174" t="s">
        <v>249</v>
      </c>
      <c r="F84" s="174">
        <v>1</v>
      </c>
      <c r="G84" s="174">
        <v>3</v>
      </c>
      <c r="H84" s="174">
        <v>1</v>
      </c>
      <c r="I84" s="174">
        <v>1</v>
      </c>
      <c r="J84" s="174">
        <v>1</v>
      </c>
      <c r="K84" s="174">
        <v>1</v>
      </c>
      <c r="L84" s="174">
        <v>1</v>
      </c>
      <c r="M84" s="174">
        <v>1</v>
      </c>
      <c r="N84" s="170"/>
      <c r="O84" s="170"/>
      <c r="P84" s="170"/>
      <c r="Q84" s="180">
        <f>SUM(Tabela2[[#This Row],[G]]+Tabela2[[#This Row],[D]]+Tabela2[[#This Row],[N]]+Tabela2[[#This Row],[HM]])</f>
        <v>6</v>
      </c>
      <c r="R84" s="180">
        <f>SUM(Tabela2[[#This Row],[AO]]+Tabela2[[#This Row],[AD]]+Tabela2[[#This Row],[GWO]]+Tabela2[[#This Row],[GWD]])</f>
        <v>4</v>
      </c>
      <c r="S84" s="180">
        <f>Tabela2[[#This Row],[GWO]]+Tabela2[[#This Row],[GWD]]</f>
        <v>2</v>
      </c>
      <c r="T84" s="180">
        <f>SUM(Tabela2[[#This Row],[G]:[GWD]])</f>
        <v>10</v>
      </c>
    </row>
    <row r="85" spans="1:20">
      <c r="A85" s="183">
        <v>84</v>
      </c>
      <c r="B85" s="174" t="s">
        <v>660</v>
      </c>
      <c r="C85" s="174" t="s">
        <v>565</v>
      </c>
      <c r="D85" s="174">
        <v>3</v>
      </c>
      <c r="E85" s="174" t="s">
        <v>249</v>
      </c>
      <c r="F85" s="174">
        <v>1</v>
      </c>
      <c r="G85" s="174">
        <v>1</v>
      </c>
      <c r="H85" s="174">
        <v>4</v>
      </c>
      <c r="I85" s="174">
        <v>2</v>
      </c>
      <c r="J85" s="174">
        <v>1</v>
      </c>
      <c r="K85" s="174">
        <v>1</v>
      </c>
      <c r="L85" s="174">
        <v>3</v>
      </c>
      <c r="M85" s="174">
        <v>1</v>
      </c>
      <c r="N85" s="170"/>
      <c r="O85" s="170"/>
      <c r="P85" s="170"/>
      <c r="Q85" s="180">
        <f>SUM(Tabela2[[#This Row],[G]]+Tabela2[[#This Row],[D]]+Tabela2[[#This Row],[N]]+Tabela2[[#This Row],[HM]])</f>
        <v>7</v>
      </c>
      <c r="R85" s="180">
        <f>SUM(Tabela2[[#This Row],[AO]]+Tabela2[[#This Row],[AD]]+Tabela2[[#This Row],[GWO]]+Tabela2[[#This Row],[GWD]])</f>
        <v>7</v>
      </c>
      <c r="S85" s="180">
        <f>Tabela2[[#This Row],[GWO]]+Tabela2[[#This Row],[GWD]]</f>
        <v>4</v>
      </c>
      <c r="T85" s="180">
        <f>SUM(Tabela2[[#This Row],[G]:[GWD]])</f>
        <v>14</v>
      </c>
    </row>
    <row r="86" spans="1:20" ht="30">
      <c r="A86" s="183">
        <v>85</v>
      </c>
      <c r="B86" s="174" t="s">
        <v>659</v>
      </c>
      <c r="C86" s="174" t="s">
        <v>570</v>
      </c>
      <c r="D86" s="174">
        <v>3</v>
      </c>
      <c r="E86" s="174" t="s">
        <v>249</v>
      </c>
      <c r="F86" s="174">
        <v>1</v>
      </c>
      <c r="G86" s="174">
        <v>1</v>
      </c>
      <c r="H86" s="174">
        <v>1</v>
      </c>
      <c r="I86" s="174">
        <v>2</v>
      </c>
      <c r="J86" s="174">
        <v>1</v>
      </c>
      <c r="K86" s="174">
        <v>1</v>
      </c>
      <c r="L86" s="174">
        <v>2</v>
      </c>
      <c r="M86" s="174">
        <v>1</v>
      </c>
      <c r="N86" s="170"/>
      <c r="O86" s="170"/>
      <c r="P86" s="170"/>
      <c r="Q86" s="180">
        <f>SUM(Tabela2[[#This Row],[G]]+Tabela2[[#This Row],[D]]+Tabela2[[#This Row],[N]]+Tabela2[[#This Row],[HM]])</f>
        <v>4</v>
      </c>
      <c r="R86" s="180">
        <f>SUM(Tabela2[[#This Row],[AO]]+Tabela2[[#This Row],[AD]]+Tabela2[[#This Row],[GWO]]+Tabela2[[#This Row],[GWD]])</f>
        <v>6</v>
      </c>
      <c r="S86" s="180">
        <f>Tabela2[[#This Row],[GWO]]+Tabela2[[#This Row],[GWD]]</f>
        <v>3</v>
      </c>
      <c r="T86" s="180">
        <f>SUM(Tabela2[[#This Row],[G]:[GWD]])</f>
        <v>10</v>
      </c>
    </row>
    <row r="87" spans="1:20" ht="30">
      <c r="A87" s="183">
        <v>86</v>
      </c>
      <c r="B87" s="174" t="s">
        <v>658</v>
      </c>
      <c r="C87" s="174" t="s">
        <v>412</v>
      </c>
      <c r="D87" s="174">
        <v>3</v>
      </c>
      <c r="E87" s="174" t="s">
        <v>249</v>
      </c>
      <c r="F87" s="174">
        <v>1</v>
      </c>
      <c r="G87" s="174">
        <v>1</v>
      </c>
      <c r="H87" s="174">
        <v>1</v>
      </c>
      <c r="I87" s="174">
        <v>1</v>
      </c>
      <c r="J87" s="174">
        <v>3</v>
      </c>
      <c r="K87" s="174">
        <v>1</v>
      </c>
      <c r="L87" s="174">
        <v>1</v>
      </c>
      <c r="M87" s="174">
        <v>1</v>
      </c>
      <c r="N87" s="170"/>
      <c r="O87" s="170"/>
      <c r="P87" s="170"/>
      <c r="Q87" s="180">
        <f>SUM(Tabela2[[#This Row],[G]]+Tabela2[[#This Row],[D]]+Tabela2[[#This Row],[N]]+Tabela2[[#This Row],[HM]])</f>
        <v>4</v>
      </c>
      <c r="R87" s="180">
        <f>SUM(Tabela2[[#This Row],[AO]]+Tabela2[[#This Row],[AD]]+Tabela2[[#This Row],[GWO]]+Tabela2[[#This Row],[GWD]])</f>
        <v>6</v>
      </c>
      <c r="S87" s="180">
        <f>Tabela2[[#This Row],[GWO]]+Tabela2[[#This Row],[GWD]]</f>
        <v>2</v>
      </c>
      <c r="T87" s="180">
        <f>SUM(Tabela2[[#This Row],[G]:[GWD]])</f>
        <v>10</v>
      </c>
    </row>
    <row r="88" spans="1:20" ht="30">
      <c r="A88" s="183">
        <v>87</v>
      </c>
      <c r="B88" s="174" t="s">
        <v>657</v>
      </c>
      <c r="C88" s="174" t="s">
        <v>563</v>
      </c>
      <c r="D88" s="174">
        <v>3</v>
      </c>
      <c r="E88" s="174" t="s">
        <v>249</v>
      </c>
      <c r="F88" s="174">
        <v>1</v>
      </c>
      <c r="G88" s="174">
        <v>1</v>
      </c>
      <c r="H88" s="174">
        <v>1</v>
      </c>
      <c r="I88" s="174">
        <v>1</v>
      </c>
      <c r="J88" s="174">
        <v>1</v>
      </c>
      <c r="K88" s="174">
        <v>1</v>
      </c>
      <c r="L88" s="174">
        <v>1</v>
      </c>
      <c r="M88" s="174">
        <v>1</v>
      </c>
      <c r="N88" s="170"/>
      <c r="O88" s="170"/>
      <c r="P88" s="170"/>
      <c r="Q88" s="180">
        <f>SUM(Tabela2[[#This Row],[G]]+Tabela2[[#This Row],[D]]+Tabela2[[#This Row],[N]]+Tabela2[[#This Row],[HM]])</f>
        <v>4</v>
      </c>
      <c r="R88" s="180">
        <f>SUM(Tabela2[[#This Row],[AO]]+Tabela2[[#This Row],[AD]]+Tabela2[[#This Row],[GWO]]+Tabela2[[#This Row],[GWD]])</f>
        <v>4</v>
      </c>
      <c r="S88" s="180">
        <f>Tabela2[[#This Row],[GWO]]+Tabela2[[#This Row],[GWD]]</f>
        <v>2</v>
      </c>
      <c r="T88" s="180">
        <f>SUM(Tabela2[[#This Row],[G]:[GWD]])</f>
        <v>8</v>
      </c>
    </row>
    <row r="89" spans="1:20">
      <c r="A89" s="183">
        <v>88</v>
      </c>
      <c r="B89" s="174" t="s">
        <v>656</v>
      </c>
      <c r="C89" s="174" t="s">
        <v>559</v>
      </c>
      <c r="D89" s="174">
        <v>3</v>
      </c>
      <c r="E89" s="174" t="s">
        <v>249</v>
      </c>
      <c r="F89" s="174">
        <v>1</v>
      </c>
      <c r="G89" s="174">
        <v>1</v>
      </c>
      <c r="H89" s="174">
        <v>1</v>
      </c>
      <c r="I89" s="174">
        <v>1</v>
      </c>
      <c r="J89" s="174">
        <v>1</v>
      </c>
      <c r="K89" s="174">
        <v>1</v>
      </c>
      <c r="L89" s="174">
        <v>1</v>
      </c>
      <c r="M89" s="174">
        <v>1</v>
      </c>
      <c r="N89" s="170"/>
      <c r="O89" s="170"/>
      <c r="P89" s="170"/>
      <c r="Q89" s="180">
        <f>SUM(Tabela2[[#This Row],[G]]+Tabela2[[#This Row],[D]]+Tabela2[[#This Row],[N]]+Tabela2[[#This Row],[HM]])</f>
        <v>4</v>
      </c>
      <c r="R89" s="180">
        <f>SUM(Tabela2[[#This Row],[AO]]+Tabela2[[#This Row],[AD]]+Tabela2[[#This Row],[GWO]]+Tabela2[[#This Row],[GWD]])</f>
        <v>4</v>
      </c>
      <c r="S89" s="180">
        <f>Tabela2[[#This Row],[GWO]]+Tabela2[[#This Row],[GWD]]</f>
        <v>2</v>
      </c>
      <c r="T89" s="180">
        <f>SUM(Tabela2[[#This Row],[G]:[GWD]])</f>
        <v>8</v>
      </c>
    </row>
    <row r="90" spans="1:20">
      <c r="A90" s="183">
        <v>89</v>
      </c>
      <c r="B90" s="174" t="s">
        <v>655</v>
      </c>
      <c r="C90" s="174" t="s">
        <v>283</v>
      </c>
      <c r="D90" s="174">
        <v>3</v>
      </c>
      <c r="E90" s="174" t="s">
        <v>249</v>
      </c>
      <c r="F90" s="174">
        <v>1</v>
      </c>
      <c r="G90" s="174">
        <v>1</v>
      </c>
      <c r="H90" s="174">
        <v>1</v>
      </c>
      <c r="I90" s="174">
        <v>1</v>
      </c>
      <c r="J90" s="174">
        <v>2</v>
      </c>
      <c r="K90" s="174">
        <v>1</v>
      </c>
      <c r="L90" s="174">
        <v>1</v>
      </c>
      <c r="M90" s="174">
        <v>1</v>
      </c>
      <c r="N90" s="174" t="s">
        <v>445</v>
      </c>
      <c r="O90" s="174"/>
      <c r="P90" s="174"/>
      <c r="Q90" s="185">
        <f>SUM(Tabela2[[#This Row],[G]]+Tabela2[[#This Row],[D]]+Tabela2[[#This Row],[N]]+Tabela2[[#This Row],[HM]])</f>
        <v>4</v>
      </c>
      <c r="R90" s="185">
        <f>SUM(Tabela2[[#This Row],[AO]]+Tabela2[[#This Row],[AD]]+Tabela2[[#This Row],[GWO]]+Tabela2[[#This Row],[GWD]])</f>
        <v>5</v>
      </c>
      <c r="S90" s="185">
        <f>Tabela2[[#This Row],[GWO]]+Tabela2[[#This Row],[GWD]]</f>
        <v>2</v>
      </c>
      <c r="T90" s="180">
        <f>SUM(Tabela2[[#This Row],[G]:[GWD]])</f>
        <v>9</v>
      </c>
    </row>
    <row r="91" spans="1:20">
      <c r="A91" s="183">
        <v>90</v>
      </c>
      <c r="B91" s="174" t="s">
        <v>654</v>
      </c>
      <c r="C91" s="174" t="s">
        <v>552</v>
      </c>
      <c r="D91" s="174">
        <v>3</v>
      </c>
      <c r="E91" s="174" t="s">
        <v>249</v>
      </c>
      <c r="F91" s="174">
        <v>1</v>
      </c>
      <c r="G91" s="174">
        <v>1</v>
      </c>
      <c r="H91" s="174">
        <v>1</v>
      </c>
      <c r="I91" s="174">
        <v>1</v>
      </c>
      <c r="J91" s="174">
        <v>1</v>
      </c>
      <c r="K91" s="174">
        <v>1</v>
      </c>
      <c r="L91" s="174">
        <v>1</v>
      </c>
      <c r="M91" s="174">
        <v>1</v>
      </c>
      <c r="N91" s="174" t="s">
        <v>445</v>
      </c>
      <c r="O91" s="174"/>
      <c r="P91" s="174"/>
      <c r="Q91" s="185">
        <f>SUM(Tabela2[[#This Row],[G]]+Tabela2[[#This Row],[D]]+Tabela2[[#This Row],[N]]+Tabela2[[#This Row],[HM]])</f>
        <v>4</v>
      </c>
      <c r="R91" s="185">
        <f>SUM(Tabela2[[#This Row],[AO]]+Tabela2[[#This Row],[AD]]+Tabela2[[#This Row],[GWO]]+Tabela2[[#This Row],[GWD]])</f>
        <v>4</v>
      </c>
      <c r="S91" s="185">
        <f>Tabela2[[#This Row],[GWO]]+Tabela2[[#This Row],[GWD]]</f>
        <v>2</v>
      </c>
      <c r="T91" s="180">
        <f>SUM(Tabela2[[#This Row],[G]:[GWD]])</f>
        <v>8</v>
      </c>
    </row>
    <row r="92" spans="1:20" ht="30">
      <c r="A92" s="183">
        <v>91</v>
      </c>
      <c r="B92" s="174" t="s">
        <v>653</v>
      </c>
      <c r="C92" s="174" t="s">
        <v>550</v>
      </c>
      <c r="D92" s="174">
        <v>3</v>
      </c>
      <c r="E92" s="174" t="s">
        <v>249</v>
      </c>
      <c r="F92" s="174">
        <v>2</v>
      </c>
      <c r="G92" s="174">
        <v>2</v>
      </c>
      <c r="H92" s="174">
        <v>1</v>
      </c>
      <c r="I92" s="174">
        <v>1</v>
      </c>
      <c r="J92" s="174">
        <v>1</v>
      </c>
      <c r="K92" s="174">
        <v>5</v>
      </c>
      <c r="L92" s="174">
        <v>1</v>
      </c>
      <c r="M92" s="174">
        <v>1</v>
      </c>
      <c r="N92" s="174" t="s">
        <v>445</v>
      </c>
      <c r="O92" s="174" t="s">
        <v>204</v>
      </c>
      <c r="P92" s="174"/>
      <c r="Q92" s="185">
        <f>SUM(Tabela2[[#This Row],[G]]+Tabela2[[#This Row],[D]]+Tabela2[[#This Row],[N]]+Tabela2[[#This Row],[HM]])</f>
        <v>10</v>
      </c>
      <c r="R92" s="185">
        <f>SUM(Tabela2[[#This Row],[AO]]+Tabela2[[#This Row],[AD]]+Tabela2[[#This Row],[GWO]]+Tabela2[[#This Row],[GWD]])</f>
        <v>4</v>
      </c>
      <c r="S92" s="185">
        <f>Tabela2[[#This Row],[GWO]]+Tabela2[[#This Row],[GWD]]</f>
        <v>2</v>
      </c>
      <c r="T92" s="180">
        <f>SUM(Tabela2[[#This Row],[G]:[GWD]])</f>
        <v>14</v>
      </c>
    </row>
    <row r="93" spans="1:20">
      <c r="A93" s="183">
        <v>92</v>
      </c>
      <c r="B93" s="174" t="s">
        <v>652</v>
      </c>
      <c r="C93" s="174" t="s">
        <v>546</v>
      </c>
      <c r="D93" s="174">
        <v>3</v>
      </c>
      <c r="E93" s="174" t="s">
        <v>249</v>
      </c>
      <c r="F93" s="174">
        <v>1</v>
      </c>
      <c r="G93" s="174">
        <v>1</v>
      </c>
      <c r="H93" s="174">
        <v>1</v>
      </c>
      <c r="I93" s="174">
        <v>1</v>
      </c>
      <c r="J93" s="174">
        <v>1</v>
      </c>
      <c r="K93" s="174">
        <v>1</v>
      </c>
      <c r="L93" s="174">
        <v>1</v>
      </c>
      <c r="M93" s="174">
        <v>1</v>
      </c>
      <c r="N93" s="174" t="s">
        <v>445</v>
      </c>
      <c r="O93" s="174"/>
      <c r="P93" s="174"/>
      <c r="Q93" s="185">
        <f>SUM(Tabela2[[#This Row],[G]]+Tabela2[[#This Row],[D]]+Tabela2[[#This Row],[N]]+Tabela2[[#This Row],[HM]])</f>
        <v>4</v>
      </c>
      <c r="R93" s="185">
        <f>SUM(Tabela2[[#This Row],[AO]]+Tabela2[[#This Row],[AD]]+Tabela2[[#This Row],[GWO]]+Tabela2[[#This Row],[GWD]])</f>
        <v>4</v>
      </c>
      <c r="S93" s="185">
        <f>Tabela2[[#This Row],[GWO]]+Tabela2[[#This Row],[GWD]]</f>
        <v>2</v>
      </c>
      <c r="T93" s="180">
        <f>SUM(Tabela2[[#This Row],[G]:[GWD]])</f>
        <v>8</v>
      </c>
    </row>
    <row r="94" spans="1:20" ht="30">
      <c r="A94" s="183">
        <v>93</v>
      </c>
      <c r="B94" s="174" t="s">
        <v>651</v>
      </c>
      <c r="C94" s="174" t="s">
        <v>544</v>
      </c>
      <c r="D94" s="174">
        <v>3</v>
      </c>
      <c r="E94" s="174" t="s">
        <v>249</v>
      </c>
      <c r="F94" s="174">
        <v>1</v>
      </c>
      <c r="G94" s="174">
        <v>1</v>
      </c>
      <c r="H94" s="174">
        <v>1</v>
      </c>
      <c r="I94" s="174">
        <v>2</v>
      </c>
      <c r="J94" s="174">
        <v>1</v>
      </c>
      <c r="K94" s="174">
        <v>1</v>
      </c>
      <c r="L94" s="174">
        <v>2</v>
      </c>
      <c r="M94" s="174">
        <v>1</v>
      </c>
      <c r="N94" s="170"/>
      <c r="O94" s="170"/>
      <c r="P94" s="170"/>
      <c r="Q94" s="180">
        <f>SUM(Tabela2[[#This Row],[G]]+Tabela2[[#This Row],[D]]+Tabela2[[#This Row],[N]]+Tabela2[[#This Row],[HM]])</f>
        <v>4</v>
      </c>
      <c r="R94" s="180">
        <f>SUM(Tabela2[[#This Row],[AO]]+Tabela2[[#This Row],[AD]]+Tabela2[[#This Row],[GWO]]+Tabela2[[#This Row],[GWD]])</f>
        <v>6</v>
      </c>
      <c r="S94" s="180">
        <f>Tabela2[[#This Row],[GWO]]+Tabela2[[#This Row],[GWD]]</f>
        <v>3</v>
      </c>
      <c r="T94" s="180">
        <f>SUM(Tabela2[[#This Row],[G]:[GWD]])</f>
        <v>10</v>
      </c>
    </row>
    <row r="95" spans="1:20" ht="30">
      <c r="A95" s="183">
        <v>94</v>
      </c>
      <c r="B95" s="174" t="s">
        <v>650</v>
      </c>
      <c r="C95" s="174" t="s">
        <v>542</v>
      </c>
      <c r="D95" s="174">
        <v>3</v>
      </c>
      <c r="E95" s="174" t="s">
        <v>249</v>
      </c>
      <c r="F95" s="174">
        <v>1</v>
      </c>
      <c r="G95" s="174">
        <v>1</v>
      </c>
      <c r="H95" s="174">
        <v>1</v>
      </c>
      <c r="I95" s="174">
        <v>1</v>
      </c>
      <c r="J95" s="174">
        <v>1</v>
      </c>
      <c r="K95" s="174">
        <v>1</v>
      </c>
      <c r="L95" s="174">
        <v>1</v>
      </c>
      <c r="M95" s="174">
        <v>1</v>
      </c>
      <c r="N95" s="170"/>
      <c r="O95" s="170"/>
      <c r="P95" s="170"/>
      <c r="Q95" s="180">
        <f>SUM(Tabela2[[#This Row],[G]]+Tabela2[[#This Row],[D]]+Tabela2[[#This Row],[N]]+Tabela2[[#This Row],[HM]])</f>
        <v>4</v>
      </c>
      <c r="R95" s="180">
        <f>SUM(Tabela2[[#This Row],[AO]]+Tabela2[[#This Row],[AD]]+Tabela2[[#This Row],[GWO]]+Tabela2[[#This Row],[GWD]])</f>
        <v>4</v>
      </c>
      <c r="S95" s="180">
        <f>Tabela2[[#This Row],[GWO]]+Tabela2[[#This Row],[GWD]]</f>
        <v>2</v>
      </c>
      <c r="T95" s="180">
        <f>SUM(Tabela2[[#This Row],[G]:[GWD]])</f>
        <v>8</v>
      </c>
    </row>
    <row r="96" spans="1:20">
      <c r="A96" s="183">
        <v>95</v>
      </c>
      <c r="B96" s="174" t="s">
        <v>649</v>
      </c>
      <c r="C96" s="174" t="s">
        <v>540</v>
      </c>
      <c r="D96" s="174">
        <v>3</v>
      </c>
      <c r="E96" s="174" t="s">
        <v>249</v>
      </c>
      <c r="F96" s="174">
        <v>1</v>
      </c>
      <c r="G96" s="174">
        <v>1</v>
      </c>
      <c r="H96" s="174">
        <v>1</v>
      </c>
      <c r="I96" s="174">
        <v>1</v>
      </c>
      <c r="J96" s="174">
        <v>1</v>
      </c>
      <c r="K96" s="174">
        <v>1</v>
      </c>
      <c r="L96" s="174">
        <v>1</v>
      </c>
      <c r="M96" s="174">
        <v>1</v>
      </c>
      <c r="N96" s="170"/>
      <c r="O96" s="170"/>
      <c r="P96" s="170"/>
      <c r="Q96" s="180">
        <f>SUM(Tabela2[[#This Row],[G]]+Tabela2[[#This Row],[D]]+Tabela2[[#This Row],[N]]+Tabela2[[#This Row],[HM]])</f>
        <v>4</v>
      </c>
      <c r="R96" s="180">
        <f>SUM(Tabela2[[#This Row],[AO]]+Tabela2[[#This Row],[AD]]+Tabela2[[#This Row],[GWO]]+Tabela2[[#This Row],[GWD]])</f>
        <v>4</v>
      </c>
      <c r="S96" s="180">
        <f>Tabela2[[#This Row],[GWO]]+Tabela2[[#This Row],[GWD]]</f>
        <v>2</v>
      </c>
      <c r="T96" s="180">
        <f>SUM(Tabela2[[#This Row],[G]:[GWD]])</f>
        <v>8</v>
      </c>
    </row>
    <row r="97" spans="1:20">
      <c r="A97" s="183">
        <v>96</v>
      </c>
      <c r="B97" s="174" t="s">
        <v>648</v>
      </c>
      <c r="C97" s="174" t="s">
        <v>358</v>
      </c>
      <c r="D97" s="174">
        <v>3</v>
      </c>
      <c r="E97" s="174" t="s">
        <v>249</v>
      </c>
      <c r="F97" s="174">
        <v>1</v>
      </c>
      <c r="G97" s="174">
        <v>1</v>
      </c>
      <c r="H97" s="174">
        <v>1</v>
      </c>
      <c r="I97" s="174">
        <v>1</v>
      </c>
      <c r="J97" s="174">
        <v>1</v>
      </c>
      <c r="K97" s="174">
        <v>1</v>
      </c>
      <c r="L97" s="174">
        <v>1</v>
      </c>
      <c r="M97" s="174">
        <v>1</v>
      </c>
      <c r="N97" s="174" t="s">
        <v>445</v>
      </c>
      <c r="O97" s="174"/>
      <c r="P97" s="174"/>
      <c r="Q97" s="185">
        <f>SUM(Tabela2[[#This Row],[G]]+Tabela2[[#This Row],[D]]+Tabela2[[#This Row],[N]]+Tabela2[[#This Row],[HM]])</f>
        <v>4</v>
      </c>
      <c r="R97" s="185">
        <f>SUM(Tabela2[[#This Row],[AO]]+Tabela2[[#This Row],[AD]]+Tabela2[[#This Row],[GWO]]+Tabela2[[#This Row],[GWD]])</f>
        <v>4</v>
      </c>
      <c r="S97" s="185">
        <f>Tabela2[[#This Row],[GWO]]+Tabela2[[#This Row],[GWD]]</f>
        <v>2</v>
      </c>
      <c r="T97" s="180">
        <f>SUM(Tabela2[[#This Row],[G]:[GWD]])</f>
        <v>8</v>
      </c>
    </row>
    <row r="98" spans="1:20" ht="30">
      <c r="A98" s="183">
        <v>97</v>
      </c>
      <c r="B98" s="174" t="s">
        <v>647</v>
      </c>
      <c r="C98" s="174" t="s">
        <v>538</v>
      </c>
      <c r="D98" s="174">
        <v>3</v>
      </c>
      <c r="E98" s="174" t="s">
        <v>249</v>
      </c>
      <c r="F98" s="174">
        <v>1</v>
      </c>
      <c r="G98" s="174">
        <v>1</v>
      </c>
      <c r="H98" s="174">
        <v>1</v>
      </c>
      <c r="I98" s="174">
        <v>1</v>
      </c>
      <c r="J98" s="174">
        <v>1</v>
      </c>
      <c r="K98" s="174">
        <v>1</v>
      </c>
      <c r="L98" s="174">
        <v>1</v>
      </c>
      <c r="M98" s="174">
        <v>1</v>
      </c>
      <c r="N98" s="170"/>
      <c r="O98" s="191" t="s">
        <v>204</v>
      </c>
      <c r="P98" s="191"/>
      <c r="Q98" s="180">
        <f>SUM(Tabela2[[#This Row],[G]]+Tabela2[[#This Row],[D]]+Tabela2[[#This Row],[N]]+Tabela2[[#This Row],[HM]])</f>
        <v>4</v>
      </c>
      <c r="R98" s="180">
        <f>SUM(Tabela2[[#This Row],[AO]]+Tabela2[[#This Row],[AD]]+Tabela2[[#This Row],[GWO]]+Tabela2[[#This Row],[GWD]])</f>
        <v>4</v>
      </c>
      <c r="S98" s="180">
        <f>Tabela2[[#This Row],[GWO]]+Tabela2[[#This Row],[GWD]]</f>
        <v>2</v>
      </c>
      <c r="T98" s="180">
        <f>SUM(Tabela2[[#This Row],[G]:[GWD]])</f>
        <v>8</v>
      </c>
    </row>
    <row r="99" spans="1:20">
      <c r="A99" s="183">
        <v>98</v>
      </c>
      <c r="B99" s="174" t="s">
        <v>646</v>
      </c>
      <c r="C99" s="174" t="s">
        <v>536</v>
      </c>
      <c r="D99" s="174">
        <v>3</v>
      </c>
      <c r="E99" s="174" t="s">
        <v>249</v>
      </c>
      <c r="F99" s="174">
        <v>1</v>
      </c>
      <c r="G99" s="174">
        <v>3</v>
      </c>
      <c r="H99" s="174">
        <v>1</v>
      </c>
      <c r="I99" s="174">
        <v>1</v>
      </c>
      <c r="J99" s="174">
        <v>1</v>
      </c>
      <c r="K99" s="174">
        <v>1</v>
      </c>
      <c r="L99" s="174">
        <v>1</v>
      </c>
      <c r="M99" s="174">
        <v>1</v>
      </c>
      <c r="N99" s="170"/>
      <c r="O99" s="170"/>
      <c r="P99" s="170"/>
      <c r="Q99" s="180">
        <f>SUM(Tabela2[[#This Row],[G]]+Tabela2[[#This Row],[D]]+Tabela2[[#This Row],[N]]+Tabela2[[#This Row],[HM]])</f>
        <v>6</v>
      </c>
      <c r="R99" s="180">
        <f>SUM(Tabela2[[#This Row],[AO]]+Tabela2[[#This Row],[AD]]+Tabela2[[#This Row],[GWO]]+Tabela2[[#This Row],[GWD]])</f>
        <v>4</v>
      </c>
      <c r="S99" s="180">
        <f>Tabela2[[#This Row],[GWO]]+Tabela2[[#This Row],[GWD]]</f>
        <v>2</v>
      </c>
      <c r="T99" s="180">
        <f>SUM(Tabela2[[#This Row],[G]:[GWD]])</f>
        <v>10</v>
      </c>
    </row>
    <row r="100" spans="1:20" ht="30">
      <c r="A100" s="183">
        <v>99</v>
      </c>
      <c r="B100" s="174" t="s">
        <v>645</v>
      </c>
      <c r="C100" s="174" t="s">
        <v>400</v>
      </c>
      <c r="D100" s="174">
        <v>3</v>
      </c>
      <c r="E100" s="174" t="s">
        <v>249</v>
      </c>
      <c r="F100" s="174">
        <v>1</v>
      </c>
      <c r="G100" s="174">
        <v>1</v>
      </c>
      <c r="H100" s="174">
        <v>1</v>
      </c>
      <c r="I100" s="174">
        <v>1</v>
      </c>
      <c r="J100" s="174">
        <v>1</v>
      </c>
      <c r="K100" s="174">
        <v>1</v>
      </c>
      <c r="L100" s="174">
        <v>1</v>
      </c>
      <c r="M100" s="174">
        <v>1</v>
      </c>
      <c r="N100" s="174" t="s">
        <v>445</v>
      </c>
      <c r="O100" s="174"/>
      <c r="P100" s="174"/>
      <c r="Q100" s="185">
        <f>SUM(Tabela2[[#This Row],[G]]+Tabela2[[#This Row],[D]]+Tabela2[[#This Row],[N]]+Tabela2[[#This Row],[HM]])</f>
        <v>4</v>
      </c>
      <c r="R100" s="185">
        <f>SUM(Tabela2[[#This Row],[AO]]+Tabela2[[#This Row],[AD]]+Tabela2[[#This Row],[GWO]]+Tabela2[[#This Row],[GWD]])</f>
        <v>4</v>
      </c>
      <c r="S100" s="185">
        <f>Tabela2[[#This Row],[GWO]]+Tabela2[[#This Row],[GWD]]</f>
        <v>2</v>
      </c>
      <c r="T100" s="180">
        <f>SUM(Tabela2[[#This Row],[G]:[GWD]])</f>
        <v>8</v>
      </c>
    </row>
    <row r="101" spans="1:20" ht="30">
      <c r="A101" s="183">
        <v>100</v>
      </c>
      <c r="B101" s="179" t="s">
        <v>644</v>
      </c>
      <c r="C101" s="174" t="s">
        <v>534</v>
      </c>
      <c r="D101" s="174">
        <v>3</v>
      </c>
      <c r="E101" s="174" t="s">
        <v>249</v>
      </c>
      <c r="F101" s="174">
        <v>1</v>
      </c>
      <c r="G101" s="174">
        <v>1</v>
      </c>
      <c r="H101" s="174">
        <v>1</v>
      </c>
      <c r="I101" s="174">
        <v>1</v>
      </c>
      <c r="J101" s="174">
        <v>1</v>
      </c>
      <c r="K101" s="174">
        <v>1</v>
      </c>
      <c r="L101" s="174">
        <v>1</v>
      </c>
      <c r="M101" s="174">
        <v>1</v>
      </c>
      <c r="N101" s="170"/>
      <c r="O101" s="170"/>
      <c r="P101" s="170"/>
      <c r="Q101" s="180">
        <f>SUM(Tabela2[[#This Row],[G]]+Tabela2[[#This Row],[D]]+Tabela2[[#This Row],[N]]+Tabela2[[#This Row],[HM]])</f>
        <v>4</v>
      </c>
      <c r="R101" s="180">
        <f>SUM(Tabela2[[#This Row],[AO]]+Tabela2[[#This Row],[AD]]+Tabela2[[#This Row],[GWO]]+Tabela2[[#This Row],[GWD]])</f>
        <v>4</v>
      </c>
      <c r="S101" s="180">
        <f>Tabela2[[#This Row],[GWO]]+Tabela2[[#This Row],[GWD]]</f>
        <v>2</v>
      </c>
      <c r="T101" s="180">
        <f>SUM(Tabela2[[#This Row],[G]:[GWD]])</f>
        <v>8</v>
      </c>
    </row>
    <row r="102" spans="1:20" ht="30">
      <c r="A102" s="183">
        <v>101</v>
      </c>
      <c r="B102" s="174" t="s">
        <v>643</v>
      </c>
      <c r="C102" s="174" t="s">
        <v>532</v>
      </c>
      <c r="D102" s="174">
        <v>3</v>
      </c>
      <c r="E102" s="174" t="s">
        <v>249</v>
      </c>
      <c r="F102" s="174">
        <v>1</v>
      </c>
      <c r="G102" s="174">
        <v>1</v>
      </c>
      <c r="H102" s="174">
        <v>1</v>
      </c>
      <c r="I102" s="174">
        <v>1</v>
      </c>
      <c r="J102" s="174">
        <v>1</v>
      </c>
      <c r="K102" s="174">
        <v>1</v>
      </c>
      <c r="L102" s="174">
        <v>1</v>
      </c>
      <c r="M102" s="174">
        <v>1</v>
      </c>
      <c r="N102" s="174" t="s">
        <v>445</v>
      </c>
      <c r="O102" s="174"/>
      <c r="P102" s="174"/>
      <c r="Q102" s="185">
        <f>SUM(Tabela2[[#This Row],[G]]+Tabela2[[#This Row],[D]]+Tabela2[[#This Row],[N]]+Tabela2[[#This Row],[HM]])</f>
        <v>4</v>
      </c>
      <c r="R102" s="185">
        <f>SUM(Tabela2[[#This Row],[AO]]+Tabela2[[#This Row],[AD]]+Tabela2[[#This Row],[GWO]]+Tabela2[[#This Row],[GWD]])</f>
        <v>4</v>
      </c>
      <c r="S102" s="185">
        <f>Tabela2[[#This Row],[GWO]]+Tabela2[[#This Row],[GWD]]</f>
        <v>2</v>
      </c>
      <c r="T102" s="180">
        <f>SUM(Tabela2[[#This Row],[G]:[GWD]])</f>
        <v>8</v>
      </c>
    </row>
    <row r="103" spans="1:20" ht="30">
      <c r="A103" s="183">
        <v>102</v>
      </c>
      <c r="B103" s="174" t="s">
        <v>642</v>
      </c>
      <c r="C103" s="174" t="s">
        <v>530</v>
      </c>
      <c r="D103" s="174">
        <v>3</v>
      </c>
      <c r="E103" s="174" t="s">
        <v>249</v>
      </c>
      <c r="F103" s="174">
        <v>1</v>
      </c>
      <c r="G103" s="174">
        <v>1</v>
      </c>
      <c r="H103" s="174">
        <v>1</v>
      </c>
      <c r="I103" s="174">
        <v>1</v>
      </c>
      <c r="J103" s="174">
        <v>1</v>
      </c>
      <c r="K103" s="174">
        <v>1</v>
      </c>
      <c r="L103" s="174">
        <v>1</v>
      </c>
      <c r="M103" s="174">
        <v>1</v>
      </c>
      <c r="N103" s="170"/>
      <c r="O103" s="170"/>
      <c r="P103" s="170"/>
      <c r="Q103" s="180">
        <f>SUM(Tabela2[[#This Row],[G]]+Tabela2[[#This Row],[D]]+Tabela2[[#This Row],[N]]+Tabela2[[#This Row],[HM]])</f>
        <v>4</v>
      </c>
      <c r="R103" s="180">
        <f>SUM(Tabela2[[#This Row],[AO]]+Tabela2[[#This Row],[AD]]+Tabela2[[#This Row],[GWO]]+Tabela2[[#This Row],[GWD]])</f>
        <v>4</v>
      </c>
      <c r="S103" s="180">
        <f>Tabela2[[#This Row],[GWO]]+Tabela2[[#This Row],[GWD]]</f>
        <v>2</v>
      </c>
      <c r="T103" s="180">
        <f>SUM(Tabela2[[#This Row],[G]:[GWD]])</f>
        <v>8</v>
      </c>
    </row>
    <row r="104" spans="1:20" ht="30">
      <c r="A104" s="183">
        <v>103</v>
      </c>
      <c r="B104" s="174" t="s">
        <v>641</v>
      </c>
      <c r="C104" s="174" t="s">
        <v>528</v>
      </c>
      <c r="D104" s="174">
        <v>3</v>
      </c>
      <c r="E104" s="174" t="s">
        <v>249</v>
      </c>
      <c r="F104" s="174">
        <v>3</v>
      </c>
      <c r="G104" s="174">
        <v>4</v>
      </c>
      <c r="H104" s="174">
        <v>1</v>
      </c>
      <c r="I104" s="174">
        <v>4</v>
      </c>
      <c r="J104" s="174">
        <v>2</v>
      </c>
      <c r="K104" s="174">
        <v>2</v>
      </c>
      <c r="L104" s="174">
        <v>4</v>
      </c>
      <c r="M104" s="174">
        <v>2</v>
      </c>
      <c r="N104" s="170"/>
      <c r="O104" s="170" t="s">
        <v>204</v>
      </c>
      <c r="P104" s="170"/>
      <c r="Q104" s="180">
        <f>SUM(Tabela2[[#This Row],[G]]+Tabela2[[#This Row],[D]]+Tabela2[[#This Row],[N]]+Tabela2[[#This Row],[HM]])</f>
        <v>10</v>
      </c>
      <c r="R104" s="180">
        <f>SUM(Tabela2[[#This Row],[AO]]+Tabela2[[#This Row],[AD]]+Tabela2[[#This Row],[GWO]]+Tabela2[[#This Row],[GWD]])</f>
        <v>12</v>
      </c>
      <c r="S104" s="180">
        <f>Tabela2[[#This Row],[GWO]]+Tabela2[[#This Row],[GWD]]</f>
        <v>6</v>
      </c>
      <c r="T104" s="180">
        <f>SUM(Tabela2[[#This Row],[G]:[GWD]])</f>
        <v>22</v>
      </c>
    </row>
    <row r="105" spans="1:20" ht="30">
      <c r="A105" s="183">
        <v>104</v>
      </c>
      <c r="B105" s="174" t="s">
        <v>640</v>
      </c>
      <c r="C105" s="174" t="s">
        <v>526</v>
      </c>
      <c r="D105" s="174">
        <v>3</v>
      </c>
      <c r="E105" s="174" t="s">
        <v>249</v>
      </c>
      <c r="F105" s="174">
        <v>1</v>
      </c>
      <c r="G105" s="174">
        <v>1</v>
      </c>
      <c r="H105" s="174">
        <v>1</v>
      </c>
      <c r="I105" s="174">
        <v>1</v>
      </c>
      <c r="J105" s="174">
        <v>1</v>
      </c>
      <c r="K105" s="174">
        <v>1</v>
      </c>
      <c r="L105" s="174">
        <v>1</v>
      </c>
      <c r="M105" s="174">
        <v>1</v>
      </c>
      <c r="N105" s="170"/>
      <c r="O105" s="170"/>
      <c r="P105" s="170"/>
      <c r="Q105" s="180">
        <f>SUM(Tabela2[[#This Row],[G]]+Tabela2[[#This Row],[D]]+Tabela2[[#This Row],[N]]+Tabela2[[#This Row],[HM]])</f>
        <v>4</v>
      </c>
      <c r="R105" s="180">
        <f>SUM(Tabela2[[#This Row],[AO]]+Tabela2[[#This Row],[AD]]+Tabela2[[#This Row],[GWO]]+Tabela2[[#This Row],[GWD]])</f>
        <v>4</v>
      </c>
      <c r="S105" s="180">
        <f>Tabela2[[#This Row],[GWO]]+Tabela2[[#This Row],[GWD]]</f>
        <v>2</v>
      </c>
      <c r="T105" s="180">
        <f>SUM(Tabela2[[#This Row],[G]:[GWD]])</f>
        <v>8</v>
      </c>
    </row>
    <row r="106" spans="1:20">
      <c r="A106" s="183">
        <v>105</v>
      </c>
      <c r="B106" s="174" t="s">
        <v>639</v>
      </c>
      <c r="C106" s="174" t="s">
        <v>284</v>
      </c>
      <c r="D106" s="174">
        <v>3</v>
      </c>
      <c r="E106" s="174" t="s">
        <v>249</v>
      </c>
      <c r="F106" s="174">
        <v>1</v>
      </c>
      <c r="G106" s="174">
        <v>1</v>
      </c>
      <c r="H106" s="174">
        <v>1</v>
      </c>
      <c r="I106" s="174">
        <v>1</v>
      </c>
      <c r="J106" s="174">
        <v>1</v>
      </c>
      <c r="K106" s="174">
        <v>1</v>
      </c>
      <c r="L106" s="174">
        <v>1</v>
      </c>
      <c r="M106" s="174">
        <v>1</v>
      </c>
      <c r="N106" s="170"/>
      <c r="O106" s="170"/>
      <c r="P106" s="194" t="s">
        <v>204</v>
      </c>
      <c r="Q106" s="180">
        <f>SUM(Tabela2[[#This Row],[G]]+Tabela2[[#This Row],[D]]+Tabela2[[#This Row],[N]]+Tabela2[[#This Row],[HM]])</f>
        <v>4</v>
      </c>
      <c r="R106" s="180">
        <f>SUM(Tabela2[[#This Row],[AO]]+Tabela2[[#This Row],[AD]]+Tabela2[[#This Row],[GWO]]+Tabela2[[#This Row],[GWD]])</f>
        <v>4</v>
      </c>
      <c r="S106" s="180">
        <f>Tabela2[[#This Row],[GWO]]+Tabela2[[#This Row],[GWD]]</f>
        <v>2</v>
      </c>
      <c r="T106" s="180">
        <f>SUM(Tabela2[[#This Row],[G]:[GWD]])</f>
        <v>8</v>
      </c>
    </row>
    <row r="107" spans="1:20">
      <c r="A107" s="183">
        <v>106</v>
      </c>
      <c r="B107" s="174" t="s">
        <v>638</v>
      </c>
      <c r="C107" s="174" t="s">
        <v>523</v>
      </c>
      <c r="D107" s="174">
        <v>3</v>
      </c>
      <c r="E107" s="174" t="s">
        <v>249</v>
      </c>
      <c r="F107" s="174">
        <v>1</v>
      </c>
      <c r="G107" s="174">
        <v>1</v>
      </c>
      <c r="H107" s="174">
        <v>1</v>
      </c>
      <c r="I107" s="174">
        <v>1</v>
      </c>
      <c r="J107" s="174">
        <v>1</v>
      </c>
      <c r="K107" s="174">
        <v>1</v>
      </c>
      <c r="L107" s="174">
        <v>1</v>
      </c>
      <c r="M107" s="174">
        <v>1</v>
      </c>
      <c r="N107" s="170"/>
      <c r="O107" s="170"/>
      <c r="P107" s="170"/>
      <c r="Q107" s="180">
        <f>SUM(Tabela2[[#This Row],[G]]+Tabela2[[#This Row],[D]]+Tabela2[[#This Row],[N]]+Tabela2[[#This Row],[HM]])</f>
        <v>4</v>
      </c>
      <c r="R107" s="180">
        <f>SUM(Tabela2[[#This Row],[AO]]+Tabela2[[#This Row],[AD]]+Tabela2[[#This Row],[GWO]]+Tabela2[[#This Row],[GWD]])</f>
        <v>4</v>
      </c>
      <c r="S107" s="180">
        <f>Tabela2[[#This Row],[GWO]]+Tabela2[[#This Row],[GWD]]</f>
        <v>2</v>
      </c>
      <c r="T107" s="180">
        <f>SUM(Tabela2[[#This Row],[G]:[GWD]])</f>
        <v>8</v>
      </c>
    </row>
    <row r="108" spans="1:20">
      <c r="A108" s="183">
        <v>107</v>
      </c>
      <c r="B108" s="174" t="s">
        <v>637</v>
      </c>
      <c r="C108" s="174" t="s">
        <v>521</v>
      </c>
      <c r="D108" s="174">
        <v>3</v>
      </c>
      <c r="E108" s="174" t="s">
        <v>249</v>
      </c>
      <c r="F108" s="174">
        <v>2</v>
      </c>
      <c r="G108" s="174">
        <v>3</v>
      </c>
      <c r="H108" s="174">
        <v>3</v>
      </c>
      <c r="I108" s="174">
        <v>3</v>
      </c>
      <c r="J108" s="174">
        <v>3</v>
      </c>
      <c r="K108" s="174">
        <v>1</v>
      </c>
      <c r="L108" s="174">
        <v>4</v>
      </c>
      <c r="M108" s="174">
        <v>3</v>
      </c>
      <c r="N108" s="170"/>
      <c r="O108" s="170"/>
      <c r="P108" s="194" t="s">
        <v>204</v>
      </c>
      <c r="Q108" s="180">
        <f>SUM(Tabela2[[#This Row],[G]]+Tabela2[[#This Row],[D]]+Tabela2[[#This Row],[N]]+Tabela2[[#This Row],[HM]])</f>
        <v>9</v>
      </c>
      <c r="R108" s="180">
        <f>SUM(Tabela2[[#This Row],[AO]]+Tabela2[[#This Row],[AD]]+Tabela2[[#This Row],[GWO]]+Tabela2[[#This Row],[GWD]])</f>
        <v>13</v>
      </c>
      <c r="S108" s="180">
        <f>Tabela2[[#This Row],[GWO]]+Tabela2[[#This Row],[GWD]]</f>
        <v>7</v>
      </c>
      <c r="T108" s="180">
        <f>SUM(Tabela2[[#This Row],[G]:[GWD]])</f>
        <v>22</v>
      </c>
    </row>
    <row r="109" spans="1:20">
      <c r="A109" s="183">
        <v>108</v>
      </c>
      <c r="B109" s="172" t="s">
        <v>636</v>
      </c>
      <c r="C109" s="172" t="s">
        <v>574</v>
      </c>
      <c r="D109" s="172">
        <v>3</v>
      </c>
      <c r="E109" s="172" t="s">
        <v>250</v>
      </c>
      <c r="F109" s="172">
        <v>1</v>
      </c>
      <c r="G109" s="172">
        <v>1</v>
      </c>
      <c r="H109" s="172">
        <v>2</v>
      </c>
      <c r="I109" s="172">
        <v>1</v>
      </c>
      <c r="J109" s="172">
        <v>1</v>
      </c>
      <c r="K109" s="172">
        <v>1</v>
      </c>
      <c r="L109" s="172">
        <v>1</v>
      </c>
      <c r="M109" s="172">
        <v>1</v>
      </c>
      <c r="N109" s="172" t="s">
        <v>445</v>
      </c>
      <c r="O109" s="172"/>
      <c r="P109" s="172"/>
      <c r="Q109" s="186">
        <f>SUM(Tabela2[[#This Row],[G]]+Tabela2[[#This Row],[D]]+Tabela2[[#This Row],[N]]+Tabela2[[#This Row],[HM]])</f>
        <v>5</v>
      </c>
      <c r="R109" s="186">
        <f>SUM(Tabela2[[#This Row],[AO]]+Tabela2[[#This Row],[AD]]+Tabela2[[#This Row],[GWO]]+Tabela2[[#This Row],[GWD]])</f>
        <v>4</v>
      </c>
      <c r="S109" s="186">
        <f>Tabela2[[#This Row],[GWO]]+Tabela2[[#This Row],[GWD]]</f>
        <v>2</v>
      </c>
      <c r="T109" s="180">
        <f>SUM(Tabela2[[#This Row],[G]:[GWD]])</f>
        <v>9</v>
      </c>
    </row>
    <row r="110" spans="1:20" ht="30">
      <c r="A110" s="183">
        <v>109</v>
      </c>
      <c r="B110" s="172" t="s">
        <v>635</v>
      </c>
      <c r="C110" s="172" t="s">
        <v>572</v>
      </c>
      <c r="D110" s="172">
        <v>3</v>
      </c>
      <c r="E110" s="172" t="s">
        <v>250</v>
      </c>
      <c r="F110" s="172">
        <v>2</v>
      </c>
      <c r="G110" s="172">
        <v>1</v>
      </c>
      <c r="H110" s="172">
        <v>1</v>
      </c>
      <c r="I110" s="172">
        <v>1</v>
      </c>
      <c r="J110" s="172">
        <v>1</v>
      </c>
      <c r="K110" s="172">
        <v>1</v>
      </c>
      <c r="L110" s="172">
        <v>1</v>
      </c>
      <c r="M110" s="172">
        <v>1</v>
      </c>
      <c r="N110" s="170"/>
      <c r="O110" s="170"/>
      <c r="P110" s="170"/>
      <c r="Q110" s="180">
        <f>SUM(Tabela2[[#This Row],[G]]+Tabela2[[#This Row],[D]]+Tabela2[[#This Row],[N]]+Tabela2[[#This Row],[HM]])</f>
        <v>5</v>
      </c>
      <c r="R110" s="180">
        <f>SUM(Tabela2[[#This Row],[AO]]+Tabela2[[#This Row],[AD]]+Tabela2[[#This Row],[GWO]]+Tabela2[[#This Row],[GWD]])</f>
        <v>4</v>
      </c>
      <c r="S110" s="180">
        <f>Tabela2[[#This Row],[GWO]]+Tabela2[[#This Row],[GWD]]</f>
        <v>2</v>
      </c>
      <c r="T110" s="180">
        <f>SUM(Tabela2[[#This Row],[G]:[GWD]])</f>
        <v>9</v>
      </c>
    </row>
    <row r="111" spans="1:20">
      <c r="A111" s="183">
        <v>110</v>
      </c>
      <c r="B111" s="172" t="s">
        <v>634</v>
      </c>
      <c r="C111" s="172" t="s">
        <v>290</v>
      </c>
      <c r="D111" s="172">
        <v>3</v>
      </c>
      <c r="E111" s="172" t="s">
        <v>250</v>
      </c>
      <c r="F111" s="172">
        <v>1</v>
      </c>
      <c r="G111" s="172">
        <v>1</v>
      </c>
      <c r="H111" s="172">
        <v>1</v>
      </c>
      <c r="I111" s="172">
        <v>1</v>
      </c>
      <c r="J111" s="172">
        <v>1</v>
      </c>
      <c r="K111" s="172">
        <v>1</v>
      </c>
      <c r="L111" s="172">
        <v>1</v>
      </c>
      <c r="M111" s="172">
        <v>1</v>
      </c>
      <c r="N111" s="172" t="s">
        <v>445</v>
      </c>
      <c r="O111" s="172"/>
      <c r="P111" s="172"/>
      <c r="Q111" s="186">
        <f>SUM(Tabela2[[#This Row],[G]]+Tabela2[[#This Row],[D]]+Tabela2[[#This Row],[N]]+Tabela2[[#This Row],[HM]])</f>
        <v>4</v>
      </c>
      <c r="R111" s="186">
        <f>SUM(Tabela2[[#This Row],[AO]]+Tabela2[[#This Row],[AD]]+Tabela2[[#This Row],[GWO]]+Tabela2[[#This Row],[GWD]])</f>
        <v>4</v>
      </c>
      <c r="S111" s="186">
        <f>Tabela2[[#This Row],[GWO]]+Tabela2[[#This Row],[GWD]]</f>
        <v>2</v>
      </c>
      <c r="T111" s="180">
        <f>SUM(Tabela2[[#This Row],[G]:[GWD]])</f>
        <v>8</v>
      </c>
    </row>
    <row r="112" spans="1:20" ht="30">
      <c r="A112" s="183">
        <v>111</v>
      </c>
      <c r="B112" s="178" t="s">
        <v>633</v>
      </c>
      <c r="C112" s="172" t="s">
        <v>570</v>
      </c>
      <c r="D112" s="172">
        <v>3</v>
      </c>
      <c r="E112" s="172" t="s">
        <v>250</v>
      </c>
      <c r="F112" s="172">
        <v>1</v>
      </c>
      <c r="G112" s="172">
        <v>1</v>
      </c>
      <c r="H112" s="172">
        <v>1</v>
      </c>
      <c r="I112" s="172">
        <v>1</v>
      </c>
      <c r="J112" s="172">
        <v>1</v>
      </c>
      <c r="K112" s="172">
        <v>1</v>
      </c>
      <c r="L112" s="172">
        <v>1</v>
      </c>
      <c r="M112" s="172">
        <v>1</v>
      </c>
      <c r="N112" s="170"/>
      <c r="O112" s="170"/>
      <c r="P112" s="170"/>
      <c r="Q112" s="180">
        <f>SUM(Tabela2[[#This Row],[G]]+Tabela2[[#This Row],[D]]+Tabela2[[#This Row],[N]]+Tabela2[[#This Row],[HM]])</f>
        <v>4</v>
      </c>
      <c r="R112" s="180">
        <f>SUM(Tabela2[[#This Row],[AO]]+Tabela2[[#This Row],[AD]]+Tabela2[[#This Row],[GWO]]+Tabela2[[#This Row],[GWD]])</f>
        <v>4</v>
      </c>
      <c r="S112" s="180">
        <f>Tabela2[[#This Row],[GWO]]+Tabela2[[#This Row],[GWD]]</f>
        <v>2</v>
      </c>
      <c r="T112" s="180">
        <f>SUM(Tabela2[[#This Row],[G]:[GWD]])</f>
        <v>8</v>
      </c>
    </row>
    <row r="113" spans="1:20" ht="30">
      <c r="A113" s="183">
        <v>112</v>
      </c>
      <c r="B113" s="172" t="s">
        <v>632</v>
      </c>
      <c r="C113" s="172" t="s">
        <v>568</v>
      </c>
      <c r="D113" s="172">
        <v>3</v>
      </c>
      <c r="E113" s="172" t="s">
        <v>250</v>
      </c>
      <c r="F113" s="172">
        <v>1</v>
      </c>
      <c r="G113" s="172">
        <v>1</v>
      </c>
      <c r="H113" s="172">
        <v>2</v>
      </c>
      <c r="I113" s="172">
        <v>2</v>
      </c>
      <c r="J113" s="172">
        <v>1</v>
      </c>
      <c r="K113" s="172">
        <v>1</v>
      </c>
      <c r="L113" s="172">
        <v>2</v>
      </c>
      <c r="M113" s="172">
        <v>1</v>
      </c>
      <c r="N113" s="170"/>
      <c r="O113" s="170"/>
      <c r="P113" s="170"/>
      <c r="Q113" s="180">
        <f>SUM(Tabela2[[#This Row],[G]]+Tabela2[[#This Row],[D]]+Tabela2[[#This Row],[N]]+Tabela2[[#This Row],[HM]])</f>
        <v>5</v>
      </c>
      <c r="R113" s="180">
        <f>SUM(Tabela2[[#This Row],[AO]]+Tabela2[[#This Row],[AD]]+Tabela2[[#This Row],[GWO]]+Tabela2[[#This Row],[GWD]])</f>
        <v>6</v>
      </c>
      <c r="S113" s="180">
        <f>Tabela2[[#This Row],[GWO]]+Tabela2[[#This Row],[GWD]]</f>
        <v>3</v>
      </c>
      <c r="T113" s="180">
        <f>SUM(Tabela2[[#This Row],[G]:[GWD]])</f>
        <v>11</v>
      </c>
    </row>
    <row r="114" spans="1:20" ht="30">
      <c r="A114" s="183">
        <v>113</v>
      </c>
      <c r="B114" s="172" t="s">
        <v>631</v>
      </c>
      <c r="C114" s="172" t="s">
        <v>566</v>
      </c>
      <c r="D114" s="172">
        <v>3</v>
      </c>
      <c r="E114" s="172" t="s">
        <v>250</v>
      </c>
      <c r="F114" s="172">
        <v>1</v>
      </c>
      <c r="G114" s="172">
        <v>1</v>
      </c>
      <c r="H114" s="172">
        <v>1</v>
      </c>
      <c r="I114" s="172">
        <v>1</v>
      </c>
      <c r="J114" s="172">
        <v>1</v>
      </c>
      <c r="K114" s="172">
        <v>1</v>
      </c>
      <c r="L114" s="172">
        <v>1</v>
      </c>
      <c r="M114" s="172">
        <v>1</v>
      </c>
      <c r="N114" s="170"/>
      <c r="O114" s="170"/>
      <c r="P114" s="170"/>
      <c r="Q114" s="180">
        <f>SUM(Tabela2[[#This Row],[G]]+Tabela2[[#This Row],[D]]+Tabela2[[#This Row],[N]]+Tabela2[[#This Row],[HM]])</f>
        <v>4</v>
      </c>
      <c r="R114" s="180">
        <f>SUM(Tabela2[[#This Row],[AO]]+Tabela2[[#This Row],[AD]]+Tabela2[[#This Row],[GWO]]+Tabela2[[#This Row],[GWD]])</f>
        <v>4</v>
      </c>
      <c r="S114" s="180">
        <f>Tabela2[[#This Row],[GWO]]+Tabela2[[#This Row],[GWD]]</f>
        <v>2</v>
      </c>
      <c r="T114" s="180">
        <f>SUM(Tabela2[[#This Row],[G]:[GWD]])</f>
        <v>8</v>
      </c>
    </row>
    <row r="115" spans="1:20">
      <c r="A115" s="183">
        <v>114</v>
      </c>
      <c r="B115" s="172" t="s">
        <v>630</v>
      </c>
      <c r="C115" s="172" t="s">
        <v>565</v>
      </c>
      <c r="D115" s="172">
        <v>3</v>
      </c>
      <c r="E115" s="172" t="s">
        <v>250</v>
      </c>
      <c r="F115" s="172">
        <v>1</v>
      </c>
      <c r="G115" s="172">
        <v>1</v>
      </c>
      <c r="H115" s="172">
        <v>2</v>
      </c>
      <c r="I115" s="172">
        <v>2</v>
      </c>
      <c r="J115" s="172">
        <v>1</v>
      </c>
      <c r="K115" s="172">
        <v>1</v>
      </c>
      <c r="L115" s="172">
        <v>2</v>
      </c>
      <c r="M115" s="172">
        <v>1</v>
      </c>
      <c r="N115" s="170"/>
      <c r="O115" s="170"/>
      <c r="P115" s="170"/>
      <c r="Q115" s="180">
        <f>SUM(Tabela2[[#This Row],[G]]+Tabela2[[#This Row],[D]]+Tabela2[[#This Row],[N]]+Tabela2[[#This Row],[HM]])</f>
        <v>5</v>
      </c>
      <c r="R115" s="180">
        <f>SUM(Tabela2[[#This Row],[AO]]+Tabela2[[#This Row],[AD]]+Tabela2[[#This Row],[GWO]]+Tabela2[[#This Row],[GWD]])</f>
        <v>6</v>
      </c>
      <c r="S115" s="180">
        <f>Tabela2[[#This Row],[GWO]]+Tabela2[[#This Row],[GWD]]</f>
        <v>3</v>
      </c>
      <c r="T115" s="180">
        <f>SUM(Tabela2[[#This Row],[G]:[GWD]])</f>
        <v>11</v>
      </c>
    </row>
    <row r="116" spans="1:20" ht="30">
      <c r="A116" s="183">
        <v>115</v>
      </c>
      <c r="B116" s="172" t="s">
        <v>629</v>
      </c>
      <c r="C116" s="172" t="s">
        <v>563</v>
      </c>
      <c r="D116" s="172">
        <v>3</v>
      </c>
      <c r="E116" s="172" t="s">
        <v>250</v>
      </c>
      <c r="F116" s="172">
        <v>1</v>
      </c>
      <c r="G116" s="172">
        <v>1</v>
      </c>
      <c r="H116" s="172">
        <v>1</v>
      </c>
      <c r="I116" s="172">
        <v>1</v>
      </c>
      <c r="J116" s="172">
        <v>1</v>
      </c>
      <c r="K116" s="172">
        <v>1</v>
      </c>
      <c r="L116" s="172">
        <v>1</v>
      </c>
      <c r="M116" s="172">
        <v>1</v>
      </c>
      <c r="N116" s="170"/>
      <c r="O116" s="170"/>
      <c r="P116" s="170"/>
      <c r="Q116" s="180">
        <f>SUM(Tabela2[[#This Row],[G]]+Tabela2[[#This Row],[D]]+Tabela2[[#This Row],[N]]+Tabela2[[#This Row],[HM]])</f>
        <v>4</v>
      </c>
      <c r="R116" s="180">
        <f>SUM(Tabela2[[#This Row],[AO]]+Tabela2[[#This Row],[AD]]+Tabela2[[#This Row],[GWO]]+Tabela2[[#This Row],[GWD]])</f>
        <v>4</v>
      </c>
      <c r="S116" s="180">
        <f>Tabela2[[#This Row],[GWO]]+Tabela2[[#This Row],[GWD]]</f>
        <v>2</v>
      </c>
      <c r="T116" s="180">
        <f>SUM(Tabela2[[#This Row],[G]:[GWD]])</f>
        <v>8</v>
      </c>
    </row>
    <row r="117" spans="1:20" ht="30">
      <c r="A117" s="183">
        <v>116</v>
      </c>
      <c r="B117" s="172" t="s">
        <v>628</v>
      </c>
      <c r="C117" s="172" t="s">
        <v>412</v>
      </c>
      <c r="D117" s="172">
        <v>3</v>
      </c>
      <c r="E117" s="172" t="s">
        <v>250</v>
      </c>
      <c r="F117" s="172">
        <v>3</v>
      </c>
      <c r="G117" s="172">
        <v>2</v>
      </c>
      <c r="H117" s="172">
        <v>1</v>
      </c>
      <c r="I117" s="172">
        <v>1</v>
      </c>
      <c r="J117" s="172">
        <v>3</v>
      </c>
      <c r="K117" s="172">
        <v>2</v>
      </c>
      <c r="L117" s="172">
        <v>3</v>
      </c>
      <c r="M117" s="172">
        <v>2</v>
      </c>
      <c r="N117" s="173"/>
      <c r="O117" s="173" t="s">
        <v>204</v>
      </c>
      <c r="P117" s="173"/>
      <c r="Q117" s="181">
        <f>SUM(Tabela2[[#This Row],[G]]+Tabela2[[#This Row],[D]]+Tabela2[[#This Row],[N]]+Tabela2[[#This Row],[HM]])</f>
        <v>8</v>
      </c>
      <c r="R117" s="181">
        <f>SUM(Tabela2[[#This Row],[AO]]+Tabela2[[#This Row],[AD]]+Tabela2[[#This Row],[GWO]]+Tabela2[[#This Row],[GWD]])</f>
        <v>9</v>
      </c>
      <c r="S117" s="181">
        <f>Tabela2[[#This Row],[GWO]]+Tabela2[[#This Row],[GWD]]</f>
        <v>5</v>
      </c>
      <c r="T117" s="181">
        <f>SUM(Tabela2[[#This Row],[G]:[GWD]])</f>
        <v>17</v>
      </c>
    </row>
    <row r="118" spans="1:20">
      <c r="A118" s="183">
        <v>117</v>
      </c>
      <c r="B118" s="172" t="s">
        <v>627</v>
      </c>
      <c r="C118" s="172" t="s">
        <v>283</v>
      </c>
      <c r="D118" s="172">
        <v>3</v>
      </c>
      <c r="E118" s="172" t="s">
        <v>250</v>
      </c>
      <c r="F118" s="172">
        <v>2</v>
      </c>
      <c r="G118" s="172">
        <v>1</v>
      </c>
      <c r="H118" s="172">
        <v>1</v>
      </c>
      <c r="I118" s="172">
        <v>2</v>
      </c>
      <c r="J118" s="172">
        <v>1</v>
      </c>
      <c r="K118" s="172">
        <v>1</v>
      </c>
      <c r="L118" s="172">
        <v>3</v>
      </c>
      <c r="M118" s="172">
        <v>1</v>
      </c>
      <c r="N118" s="170"/>
      <c r="O118" s="170"/>
      <c r="P118" s="170"/>
      <c r="Q118" s="180">
        <f>SUM(Tabela2[[#This Row],[G]]+Tabela2[[#This Row],[D]]+Tabela2[[#This Row],[N]]+Tabela2[[#This Row],[HM]])</f>
        <v>5</v>
      </c>
      <c r="R118" s="180">
        <f>SUM(Tabela2[[#This Row],[AO]]+Tabela2[[#This Row],[AD]]+Tabela2[[#This Row],[GWO]]+Tabela2[[#This Row],[GWD]])</f>
        <v>7</v>
      </c>
      <c r="S118" s="180">
        <f>Tabela2[[#This Row],[GWO]]+Tabela2[[#This Row],[GWD]]</f>
        <v>4</v>
      </c>
      <c r="T118" s="180">
        <f>SUM(Tabela2[[#This Row],[G]:[GWD]])</f>
        <v>12</v>
      </c>
    </row>
    <row r="119" spans="1:20">
      <c r="A119" s="183">
        <v>118</v>
      </c>
      <c r="B119" s="172" t="s">
        <v>149</v>
      </c>
      <c r="C119" s="172" t="s">
        <v>552</v>
      </c>
      <c r="D119" s="172">
        <v>3</v>
      </c>
      <c r="E119" s="172" t="s">
        <v>250</v>
      </c>
      <c r="F119" s="172">
        <v>5</v>
      </c>
      <c r="G119" s="172">
        <v>4</v>
      </c>
      <c r="H119" s="172">
        <v>3</v>
      </c>
      <c r="I119" s="172">
        <v>5</v>
      </c>
      <c r="J119" s="172">
        <v>5</v>
      </c>
      <c r="K119" s="172">
        <v>5</v>
      </c>
      <c r="L119" s="172">
        <v>4</v>
      </c>
      <c r="M119" s="172">
        <v>3</v>
      </c>
      <c r="N119" s="170"/>
      <c r="O119" s="170" t="s">
        <v>204</v>
      </c>
      <c r="P119" s="170"/>
      <c r="Q119" s="180">
        <f>SUM(Tabela2[[#This Row],[G]]+Tabela2[[#This Row],[D]]+Tabela2[[#This Row],[N]]+Tabela2[[#This Row],[HM]])</f>
        <v>17</v>
      </c>
      <c r="R119" s="180">
        <f>SUM(Tabela2[[#This Row],[AO]]+Tabela2[[#This Row],[AD]]+Tabela2[[#This Row],[GWO]]+Tabela2[[#This Row],[GWD]])</f>
        <v>17</v>
      </c>
      <c r="S119" s="180">
        <f>Tabela2[[#This Row],[GWO]]+Tabela2[[#This Row],[GWD]]</f>
        <v>7</v>
      </c>
      <c r="T119" s="180">
        <f>SUM(Tabela2[[#This Row],[G]:[GWD]])</f>
        <v>34</v>
      </c>
    </row>
    <row r="120" spans="1:20" ht="30">
      <c r="A120" s="183">
        <v>119</v>
      </c>
      <c r="B120" s="172" t="s">
        <v>626</v>
      </c>
      <c r="C120" s="172" t="s">
        <v>550</v>
      </c>
      <c r="D120" s="172">
        <v>3</v>
      </c>
      <c r="E120" s="172" t="s">
        <v>250</v>
      </c>
      <c r="F120" s="172">
        <v>1</v>
      </c>
      <c r="G120" s="172">
        <v>1</v>
      </c>
      <c r="H120" s="172">
        <v>1</v>
      </c>
      <c r="I120" s="172">
        <v>1</v>
      </c>
      <c r="J120" s="172">
        <v>1</v>
      </c>
      <c r="K120" s="172">
        <v>1</v>
      </c>
      <c r="L120" s="172">
        <v>1</v>
      </c>
      <c r="M120" s="172">
        <v>1</v>
      </c>
      <c r="N120" s="170"/>
      <c r="O120" s="170"/>
      <c r="P120" s="170"/>
      <c r="Q120" s="180">
        <f>SUM(Tabela2[[#This Row],[G]]+Tabela2[[#This Row],[D]]+Tabela2[[#This Row],[N]]+Tabela2[[#This Row],[HM]])</f>
        <v>4</v>
      </c>
      <c r="R120" s="180">
        <f>SUM(Tabela2[[#This Row],[AO]]+Tabela2[[#This Row],[AD]]+Tabela2[[#This Row],[GWO]]+Tabela2[[#This Row],[GWD]])</f>
        <v>4</v>
      </c>
      <c r="S120" s="180">
        <f>Tabela2[[#This Row],[GWO]]+Tabela2[[#This Row],[GWD]]</f>
        <v>2</v>
      </c>
      <c r="T120" s="180">
        <f>SUM(Tabela2[[#This Row],[G]:[GWD]])</f>
        <v>8</v>
      </c>
    </row>
    <row r="121" spans="1:20">
      <c r="A121" s="183">
        <v>120</v>
      </c>
      <c r="B121" s="172" t="s">
        <v>625</v>
      </c>
      <c r="C121" s="172" t="s">
        <v>546</v>
      </c>
      <c r="D121" s="172">
        <v>3</v>
      </c>
      <c r="E121" s="172" t="s">
        <v>250</v>
      </c>
      <c r="F121" s="172">
        <v>1</v>
      </c>
      <c r="G121" s="172">
        <v>1</v>
      </c>
      <c r="H121" s="172">
        <v>1</v>
      </c>
      <c r="I121" s="172">
        <v>1</v>
      </c>
      <c r="J121" s="172">
        <v>1</v>
      </c>
      <c r="K121" s="172">
        <v>1</v>
      </c>
      <c r="L121" s="172">
        <v>1</v>
      </c>
      <c r="M121" s="172">
        <v>1</v>
      </c>
      <c r="N121" s="172" t="s">
        <v>445</v>
      </c>
      <c r="O121" s="172"/>
      <c r="P121" s="172"/>
      <c r="Q121" s="186">
        <f>SUM(Tabela2[[#This Row],[G]]+Tabela2[[#This Row],[D]]+Tabela2[[#This Row],[N]]+Tabela2[[#This Row],[HM]])</f>
        <v>4</v>
      </c>
      <c r="R121" s="186">
        <f>SUM(Tabela2[[#This Row],[AO]]+Tabela2[[#This Row],[AD]]+Tabela2[[#This Row],[GWO]]+Tabela2[[#This Row],[GWD]])</f>
        <v>4</v>
      </c>
      <c r="S121" s="186">
        <f>Tabela2[[#This Row],[GWO]]+Tabela2[[#This Row],[GWD]]</f>
        <v>2</v>
      </c>
      <c r="T121" s="180">
        <f>SUM(Tabela2[[#This Row],[G]:[GWD]])</f>
        <v>8</v>
      </c>
    </row>
    <row r="122" spans="1:20" ht="30">
      <c r="A122" s="183">
        <v>121</v>
      </c>
      <c r="B122" s="172" t="s">
        <v>624</v>
      </c>
      <c r="C122" s="172" t="s">
        <v>544</v>
      </c>
      <c r="D122" s="172">
        <v>3</v>
      </c>
      <c r="E122" s="172" t="s">
        <v>250</v>
      </c>
      <c r="F122" s="172">
        <v>1</v>
      </c>
      <c r="G122" s="172">
        <v>1</v>
      </c>
      <c r="H122" s="172">
        <v>1</v>
      </c>
      <c r="I122" s="172">
        <v>1</v>
      </c>
      <c r="J122" s="172">
        <v>1</v>
      </c>
      <c r="K122" s="172">
        <v>1</v>
      </c>
      <c r="L122" s="172">
        <v>1</v>
      </c>
      <c r="M122" s="172">
        <v>1</v>
      </c>
      <c r="N122" s="170"/>
      <c r="O122" s="170"/>
      <c r="P122" s="170"/>
      <c r="Q122" s="180">
        <f>SUM(Tabela2[[#This Row],[G]]+Tabela2[[#This Row],[D]]+Tabela2[[#This Row],[N]]+Tabela2[[#This Row],[HM]])</f>
        <v>4</v>
      </c>
      <c r="R122" s="180">
        <f>SUM(Tabela2[[#This Row],[AO]]+Tabela2[[#This Row],[AD]]+Tabela2[[#This Row],[GWO]]+Tabela2[[#This Row],[GWD]])</f>
        <v>4</v>
      </c>
      <c r="S122" s="180">
        <f>Tabela2[[#This Row],[GWO]]+Tabela2[[#This Row],[GWD]]</f>
        <v>2</v>
      </c>
      <c r="T122" s="180">
        <f>SUM(Tabela2[[#This Row],[G]:[GWD]])</f>
        <v>8</v>
      </c>
    </row>
    <row r="123" spans="1:20" ht="30">
      <c r="A123" s="183">
        <v>122</v>
      </c>
      <c r="B123" s="172" t="s">
        <v>623</v>
      </c>
      <c r="C123" s="172" t="s">
        <v>542</v>
      </c>
      <c r="D123" s="172">
        <v>3</v>
      </c>
      <c r="E123" s="172" t="s">
        <v>250</v>
      </c>
      <c r="F123" s="172">
        <v>1</v>
      </c>
      <c r="G123" s="172">
        <v>1</v>
      </c>
      <c r="H123" s="172">
        <v>1</v>
      </c>
      <c r="I123" s="172">
        <v>1</v>
      </c>
      <c r="J123" s="172">
        <v>1</v>
      </c>
      <c r="K123" s="172">
        <v>1</v>
      </c>
      <c r="L123" s="172">
        <v>1</v>
      </c>
      <c r="M123" s="172">
        <v>1</v>
      </c>
      <c r="N123" s="170"/>
      <c r="O123" s="170"/>
      <c r="P123" s="170"/>
      <c r="Q123" s="180">
        <f>SUM(Tabela2[[#This Row],[G]]+Tabela2[[#This Row],[D]]+Tabela2[[#This Row],[N]]+Tabela2[[#This Row],[HM]])</f>
        <v>4</v>
      </c>
      <c r="R123" s="180">
        <f>SUM(Tabela2[[#This Row],[AO]]+Tabela2[[#This Row],[AD]]+Tabela2[[#This Row],[GWO]]+Tabela2[[#This Row],[GWD]])</f>
        <v>4</v>
      </c>
      <c r="S123" s="180">
        <f>Tabela2[[#This Row],[GWO]]+Tabela2[[#This Row],[GWD]]</f>
        <v>2</v>
      </c>
      <c r="T123" s="180">
        <f>SUM(Tabela2[[#This Row],[G]:[GWD]])</f>
        <v>8</v>
      </c>
    </row>
    <row r="124" spans="1:20">
      <c r="A124" s="183">
        <v>123</v>
      </c>
      <c r="B124" s="172" t="s">
        <v>622</v>
      </c>
      <c r="C124" s="172" t="s">
        <v>540</v>
      </c>
      <c r="D124" s="172">
        <v>3</v>
      </c>
      <c r="E124" s="172" t="s">
        <v>250</v>
      </c>
      <c r="F124" s="172">
        <v>1</v>
      </c>
      <c r="G124" s="172">
        <v>1</v>
      </c>
      <c r="H124" s="172">
        <v>1</v>
      </c>
      <c r="I124" s="172">
        <v>1</v>
      </c>
      <c r="J124" s="172">
        <v>1</v>
      </c>
      <c r="K124" s="172">
        <v>1</v>
      </c>
      <c r="L124" s="172">
        <v>1</v>
      </c>
      <c r="M124" s="172">
        <v>1</v>
      </c>
      <c r="N124" s="172" t="s">
        <v>445</v>
      </c>
      <c r="O124" s="172"/>
      <c r="P124" s="172"/>
      <c r="Q124" s="186">
        <f>SUM(Tabela2[[#This Row],[G]]+Tabela2[[#This Row],[D]]+Tabela2[[#This Row],[N]]+Tabela2[[#This Row],[HM]])</f>
        <v>4</v>
      </c>
      <c r="R124" s="186">
        <f>SUM(Tabela2[[#This Row],[AO]]+Tabela2[[#This Row],[AD]]+Tabela2[[#This Row],[GWO]]+Tabela2[[#This Row],[GWD]])</f>
        <v>4</v>
      </c>
      <c r="S124" s="186">
        <f>Tabela2[[#This Row],[GWO]]+Tabela2[[#This Row],[GWD]]</f>
        <v>2</v>
      </c>
      <c r="T124" s="180">
        <f>SUM(Tabela2[[#This Row],[G]:[GWD]])</f>
        <v>8</v>
      </c>
    </row>
    <row r="125" spans="1:20">
      <c r="A125" s="183">
        <v>124</v>
      </c>
      <c r="B125" s="172" t="s">
        <v>621</v>
      </c>
      <c r="C125" s="172" t="s">
        <v>358</v>
      </c>
      <c r="D125" s="172">
        <v>3</v>
      </c>
      <c r="E125" s="172" t="s">
        <v>250</v>
      </c>
      <c r="F125" s="172">
        <v>1</v>
      </c>
      <c r="G125" s="172">
        <v>1</v>
      </c>
      <c r="H125" s="172">
        <v>1</v>
      </c>
      <c r="I125" s="172">
        <v>1</v>
      </c>
      <c r="J125" s="172">
        <v>1</v>
      </c>
      <c r="K125" s="172">
        <v>1</v>
      </c>
      <c r="L125" s="172">
        <v>1</v>
      </c>
      <c r="M125" s="172">
        <v>1</v>
      </c>
      <c r="N125" s="170"/>
      <c r="O125" s="170"/>
      <c r="P125" s="170"/>
      <c r="Q125" s="180">
        <f>SUM(Tabela2[[#This Row],[G]]+Tabela2[[#This Row],[D]]+Tabela2[[#This Row],[N]]+Tabela2[[#This Row],[HM]])</f>
        <v>4</v>
      </c>
      <c r="R125" s="180">
        <f>SUM(Tabela2[[#This Row],[AO]]+Tabela2[[#This Row],[AD]]+Tabela2[[#This Row],[GWO]]+Tabela2[[#This Row],[GWD]])</f>
        <v>4</v>
      </c>
      <c r="S125" s="180">
        <f>Tabela2[[#This Row],[GWO]]+Tabela2[[#This Row],[GWD]]</f>
        <v>2</v>
      </c>
      <c r="T125" s="180">
        <f>SUM(Tabela2[[#This Row],[G]:[GWD]])</f>
        <v>8</v>
      </c>
    </row>
    <row r="126" spans="1:20" ht="30">
      <c r="A126" s="183">
        <v>125</v>
      </c>
      <c r="B126" s="172" t="s">
        <v>620</v>
      </c>
      <c r="C126" s="172" t="s">
        <v>538</v>
      </c>
      <c r="D126" s="172">
        <v>3</v>
      </c>
      <c r="E126" s="172" t="s">
        <v>250</v>
      </c>
      <c r="F126" s="172">
        <v>3</v>
      </c>
      <c r="G126" s="172">
        <v>1</v>
      </c>
      <c r="H126" s="172">
        <v>1</v>
      </c>
      <c r="I126" s="172">
        <v>3</v>
      </c>
      <c r="J126" s="172">
        <v>1</v>
      </c>
      <c r="K126" s="172">
        <v>1</v>
      </c>
      <c r="L126" s="172">
        <v>5</v>
      </c>
      <c r="M126" s="172">
        <v>1</v>
      </c>
      <c r="N126" s="170"/>
      <c r="O126" s="170" t="s">
        <v>204</v>
      </c>
      <c r="P126" s="170"/>
      <c r="Q126" s="180">
        <f>SUM(Tabela2[[#This Row],[G]]+Tabela2[[#This Row],[D]]+Tabela2[[#This Row],[N]]+Tabela2[[#This Row],[HM]])</f>
        <v>6</v>
      </c>
      <c r="R126" s="180">
        <f>SUM(Tabela2[[#This Row],[AO]]+Tabela2[[#This Row],[AD]]+Tabela2[[#This Row],[GWO]]+Tabela2[[#This Row],[GWD]])</f>
        <v>10</v>
      </c>
      <c r="S126" s="180">
        <f>Tabela2[[#This Row],[GWO]]+Tabela2[[#This Row],[GWD]]</f>
        <v>6</v>
      </c>
      <c r="T126" s="180">
        <f>SUM(Tabela2[[#This Row],[G]:[GWD]])</f>
        <v>16</v>
      </c>
    </row>
    <row r="127" spans="1:20">
      <c r="A127" s="183">
        <v>126</v>
      </c>
      <c r="B127" s="172" t="s">
        <v>619</v>
      </c>
      <c r="C127" s="172" t="s">
        <v>536</v>
      </c>
      <c r="D127" s="172">
        <v>3</v>
      </c>
      <c r="E127" s="172" t="s">
        <v>250</v>
      </c>
      <c r="F127" s="172">
        <v>2</v>
      </c>
      <c r="G127" s="172">
        <v>1</v>
      </c>
      <c r="H127" s="172">
        <v>1</v>
      </c>
      <c r="I127" s="172">
        <v>1</v>
      </c>
      <c r="J127" s="172">
        <v>1</v>
      </c>
      <c r="K127" s="172">
        <v>1</v>
      </c>
      <c r="L127" s="172">
        <v>1</v>
      </c>
      <c r="M127" s="172">
        <v>1</v>
      </c>
      <c r="N127" s="172" t="s">
        <v>445</v>
      </c>
      <c r="O127" s="172"/>
      <c r="P127" s="172"/>
      <c r="Q127" s="186">
        <f>SUM(Tabela2[[#This Row],[G]]+Tabela2[[#This Row],[D]]+Tabela2[[#This Row],[N]]+Tabela2[[#This Row],[HM]])</f>
        <v>5</v>
      </c>
      <c r="R127" s="186">
        <f>SUM(Tabela2[[#This Row],[AO]]+Tabela2[[#This Row],[AD]]+Tabela2[[#This Row],[GWO]]+Tabela2[[#This Row],[GWD]])</f>
        <v>4</v>
      </c>
      <c r="S127" s="186">
        <f>Tabela2[[#This Row],[GWO]]+Tabela2[[#This Row],[GWD]]</f>
        <v>2</v>
      </c>
      <c r="T127" s="180">
        <f>SUM(Tabela2[[#This Row],[G]:[GWD]])</f>
        <v>9</v>
      </c>
    </row>
    <row r="128" spans="1:20" ht="30">
      <c r="A128" s="183">
        <v>127</v>
      </c>
      <c r="B128" s="172" t="s">
        <v>618</v>
      </c>
      <c r="C128" s="172" t="s">
        <v>400</v>
      </c>
      <c r="D128" s="172">
        <v>3</v>
      </c>
      <c r="E128" s="172" t="s">
        <v>250</v>
      </c>
      <c r="F128" s="172">
        <v>1</v>
      </c>
      <c r="G128" s="172">
        <v>1</v>
      </c>
      <c r="H128" s="172">
        <v>1</v>
      </c>
      <c r="I128" s="172">
        <v>1</v>
      </c>
      <c r="J128" s="172">
        <v>1</v>
      </c>
      <c r="K128" s="172">
        <v>1</v>
      </c>
      <c r="L128" s="172">
        <v>1</v>
      </c>
      <c r="M128" s="172">
        <v>1</v>
      </c>
      <c r="N128" s="170"/>
      <c r="O128" s="170"/>
      <c r="P128" s="170"/>
      <c r="Q128" s="180">
        <f>SUM(Tabela2[[#This Row],[G]]+Tabela2[[#This Row],[D]]+Tabela2[[#This Row],[N]]+Tabela2[[#This Row],[HM]])</f>
        <v>4</v>
      </c>
      <c r="R128" s="180">
        <f>SUM(Tabela2[[#This Row],[AO]]+Tabela2[[#This Row],[AD]]+Tabela2[[#This Row],[GWO]]+Tabela2[[#This Row],[GWD]])</f>
        <v>4</v>
      </c>
      <c r="S128" s="180">
        <f>Tabela2[[#This Row],[GWO]]+Tabela2[[#This Row],[GWD]]</f>
        <v>2</v>
      </c>
      <c r="T128" s="180">
        <f>SUM(Tabela2[[#This Row],[G]:[GWD]])</f>
        <v>8</v>
      </c>
    </row>
    <row r="129" spans="1:20" ht="30">
      <c r="A129" s="183">
        <v>128</v>
      </c>
      <c r="B129" s="172" t="s">
        <v>617</v>
      </c>
      <c r="C129" s="172" t="s">
        <v>534</v>
      </c>
      <c r="D129" s="172">
        <v>3</v>
      </c>
      <c r="E129" s="172" t="s">
        <v>250</v>
      </c>
      <c r="F129" s="172">
        <v>1</v>
      </c>
      <c r="G129" s="172">
        <v>1</v>
      </c>
      <c r="H129" s="172">
        <v>1</v>
      </c>
      <c r="I129" s="172">
        <v>1</v>
      </c>
      <c r="J129" s="172">
        <v>1</v>
      </c>
      <c r="K129" s="172">
        <v>1</v>
      </c>
      <c r="L129" s="172">
        <v>1</v>
      </c>
      <c r="M129" s="172">
        <v>1</v>
      </c>
      <c r="N129" s="170"/>
      <c r="O129" s="170"/>
      <c r="P129" s="170"/>
      <c r="Q129" s="180">
        <f>SUM(Tabela2[[#This Row],[G]]+Tabela2[[#This Row],[D]]+Tabela2[[#This Row],[N]]+Tabela2[[#This Row],[HM]])</f>
        <v>4</v>
      </c>
      <c r="R129" s="180">
        <f>SUM(Tabela2[[#This Row],[AO]]+Tabela2[[#This Row],[AD]]+Tabela2[[#This Row],[GWO]]+Tabela2[[#This Row],[GWD]])</f>
        <v>4</v>
      </c>
      <c r="S129" s="180">
        <f>Tabela2[[#This Row],[GWO]]+Tabela2[[#This Row],[GWD]]</f>
        <v>2</v>
      </c>
      <c r="T129" s="180">
        <f>SUM(Tabela2[[#This Row],[G]:[GWD]])</f>
        <v>8</v>
      </c>
    </row>
    <row r="130" spans="1:20" ht="30">
      <c r="A130" s="183">
        <v>129</v>
      </c>
      <c r="B130" s="172" t="s">
        <v>616</v>
      </c>
      <c r="C130" s="172" t="s">
        <v>532</v>
      </c>
      <c r="D130" s="172">
        <v>3</v>
      </c>
      <c r="E130" s="172" t="s">
        <v>250</v>
      </c>
      <c r="F130" s="172">
        <v>1</v>
      </c>
      <c r="G130" s="172">
        <v>1</v>
      </c>
      <c r="H130" s="172">
        <v>1</v>
      </c>
      <c r="I130" s="172">
        <v>1</v>
      </c>
      <c r="J130" s="172">
        <v>1</v>
      </c>
      <c r="K130" s="172">
        <v>1</v>
      </c>
      <c r="L130" s="172">
        <v>1</v>
      </c>
      <c r="M130" s="172">
        <v>1</v>
      </c>
      <c r="N130" s="170"/>
      <c r="O130" s="170"/>
      <c r="P130" s="170"/>
      <c r="Q130" s="180">
        <f>SUM(Tabela2[[#This Row],[G]]+Tabela2[[#This Row],[D]]+Tabela2[[#This Row],[N]]+Tabela2[[#This Row],[HM]])</f>
        <v>4</v>
      </c>
      <c r="R130" s="180">
        <f>SUM(Tabela2[[#This Row],[AO]]+Tabela2[[#This Row],[AD]]+Tabela2[[#This Row],[GWO]]+Tabela2[[#This Row],[GWD]])</f>
        <v>4</v>
      </c>
      <c r="S130" s="180">
        <f>Tabela2[[#This Row],[GWO]]+Tabela2[[#This Row],[GWD]]</f>
        <v>2</v>
      </c>
      <c r="T130" s="180">
        <f>SUM(Tabela2[[#This Row],[G]:[GWD]])</f>
        <v>8</v>
      </c>
    </row>
    <row r="131" spans="1:20" ht="30">
      <c r="A131" s="183">
        <v>130</v>
      </c>
      <c r="B131" s="172" t="s">
        <v>615</v>
      </c>
      <c r="C131" s="172" t="s">
        <v>530</v>
      </c>
      <c r="D131" s="172">
        <v>3</v>
      </c>
      <c r="E131" s="172" t="s">
        <v>250</v>
      </c>
      <c r="F131" s="172">
        <v>1</v>
      </c>
      <c r="G131" s="172">
        <v>1</v>
      </c>
      <c r="H131" s="172">
        <v>1</v>
      </c>
      <c r="I131" s="172">
        <v>1</v>
      </c>
      <c r="J131" s="172">
        <v>1</v>
      </c>
      <c r="K131" s="172">
        <v>1</v>
      </c>
      <c r="L131" s="172">
        <v>1</v>
      </c>
      <c r="M131" s="172">
        <v>1</v>
      </c>
      <c r="N131" s="172" t="s">
        <v>445</v>
      </c>
      <c r="O131" s="172"/>
      <c r="P131" s="172"/>
      <c r="Q131" s="186">
        <f>SUM(Tabela2[[#This Row],[G]]+Tabela2[[#This Row],[D]]+Tabela2[[#This Row],[N]]+Tabela2[[#This Row],[HM]])</f>
        <v>4</v>
      </c>
      <c r="R131" s="186">
        <f>SUM(Tabela2[[#This Row],[AO]]+Tabela2[[#This Row],[AD]]+Tabela2[[#This Row],[GWO]]+Tabela2[[#This Row],[GWD]])</f>
        <v>4</v>
      </c>
      <c r="S131" s="186">
        <f>Tabela2[[#This Row],[GWO]]+Tabela2[[#This Row],[GWD]]</f>
        <v>2</v>
      </c>
      <c r="T131" s="180">
        <f>SUM(Tabela2[[#This Row],[G]:[GWD]])</f>
        <v>8</v>
      </c>
    </row>
    <row r="132" spans="1:20" ht="30">
      <c r="A132" s="183">
        <v>131</v>
      </c>
      <c r="B132" s="172" t="s">
        <v>614</v>
      </c>
      <c r="C132" s="172" t="s">
        <v>528</v>
      </c>
      <c r="D132" s="172">
        <v>3</v>
      </c>
      <c r="E132" s="172" t="s">
        <v>250</v>
      </c>
      <c r="F132" s="172">
        <v>1</v>
      </c>
      <c r="G132" s="172">
        <v>1</v>
      </c>
      <c r="H132" s="172">
        <v>1</v>
      </c>
      <c r="I132" s="172">
        <v>1</v>
      </c>
      <c r="J132" s="172">
        <v>1</v>
      </c>
      <c r="K132" s="172">
        <v>1</v>
      </c>
      <c r="L132" s="172">
        <v>1</v>
      </c>
      <c r="M132" s="172">
        <v>1</v>
      </c>
      <c r="N132" s="170"/>
      <c r="O132" s="170"/>
      <c r="P132" s="170"/>
      <c r="Q132" s="180">
        <f>SUM(Tabela2[[#This Row],[G]]+Tabela2[[#This Row],[D]]+Tabela2[[#This Row],[N]]+Tabela2[[#This Row],[HM]])</f>
        <v>4</v>
      </c>
      <c r="R132" s="180">
        <f>SUM(Tabela2[[#This Row],[AO]]+Tabela2[[#This Row],[AD]]+Tabela2[[#This Row],[GWO]]+Tabela2[[#This Row],[GWD]])</f>
        <v>4</v>
      </c>
      <c r="S132" s="180">
        <f>Tabela2[[#This Row],[GWO]]+Tabela2[[#This Row],[GWD]]</f>
        <v>2</v>
      </c>
      <c r="T132" s="180">
        <f>SUM(Tabela2[[#This Row],[G]:[GWD]])</f>
        <v>8</v>
      </c>
    </row>
    <row r="133" spans="1:20" ht="30">
      <c r="A133" s="183">
        <v>132</v>
      </c>
      <c r="B133" s="172" t="s">
        <v>613</v>
      </c>
      <c r="C133" s="172" t="s">
        <v>526</v>
      </c>
      <c r="D133" s="172">
        <v>3</v>
      </c>
      <c r="E133" s="172" t="s">
        <v>250</v>
      </c>
      <c r="F133" s="172">
        <v>1</v>
      </c>
      <c r="G133" s="172">
        <v>1</v>
      </c>
      <c r="H133" s="172">
        <v>1</v>
      </c>
      <c r="I133" s="172">
        <v>1</v>
      </c>
      <c r="J133" s="172">
        <v>1</v>
      </c>
      <c r="K133" s="172">
        <v>1</v>
      </c>
      <c r="L133" s="172">
        <v>1</v>
      </c>
      <c r="M133" s="172">
        <v>1</v>
      </c>
      <c r="N133" s="170"/>
      <c r="O133" s="170"/>
      <c r="P133" s="170"/>
      <c r="Q133" s="180">
        <f>SUM(Tabela2[[#This Row],[G]]+Tabela2[[#This Row],[D]]+Tabela2[[#This Row],[N]]+Tabela2[[#This Row],[HM]])</f>
        <v>4</v>
      </c>
      <c r="R133" s="180">
        <f>SUM(Tabela2[[#This Row],[AO]]+Tabela2[[#This Row],[AD]]+Tabela2[[#This Row],[GWO]]+Tabela2[[#This Row],[GWD]])</f>
        <v>4</v>
      </c>
      <c r="S133" s="180">
        <f>Tabela2[[#This Row],[GWO]]+Tabela2[[#This Row],[GWD]]</f>
        <v>2</v>
      </c>
      <c r="T133" s="180">
        <f>SUM(Tabela2[[#This Row],[G]:[GWD]])</f>
        <v>8</v>
      </c>
    </row>
    <row r="134" spans="1:20">
      <c r="A134" s="183">
        <v>133</v>
      </c>
      <c r="B134" s="172" t="s">
        <v>612</v>
      </c>
      <c r="C134" s="172" t="s">
        <v>284</v>
      </c>
      <c r="D134" s="172">
        <v>3</v>
      </c>
      <c r="E134" s="172" t="s">
        <v>250</v>
      </c>
      <c r="F134" s="172">
        <v>2</v>
      </c>
      <c r="G134" s="172">
        <v>1</v>
      </c>
      <c r="H134" s="172">
        <v>3</v>
      </c>
      <c r="I134" s="172">
        <v>2</v>
      </c>
      <c r="J134" s="172">
        <v>1</v>
      </c>
      <c r="K134" s="172">
        <v>1</v>
      </c>
      <c r="L134" s="172">
        <v>3</v>
      </c>
      <c r="M134" s="172">
        <v>1</v>
      </c>
      <c r="N134" s="170"/>
      <c r="O134" s="170"/>
      <c r="P134" s="194" t="s">
        <v>204</v>
      </c>
      <c r="Q134" s="180">
        <f>SUM(Tabela2[[#This Row],[G]]+Tabela2[[#This Row],[D]]+Tabela2[[#This Row],[N]]+Tabela2[[#This Row],[HM]])</f>
        <v>7</v>
      </c>
      <c r="R134" s="180">
        <f>SUM(Tabela2[[#This Row],[AO]]+Tabela2[[#This Row],[AD]]+Tabela2[[#This Row],[GWO]]+Tabela2[[#This Row],[GWD]])</f>
        <v>7</v>
      </c>
      <c r="S134" s="180">
        <f>Tabela2[[#This Row],[GWO]]+Tabela2[[#This Row],[GWD]]</f>
        <v>4</v>
      </c>
      <c r="T134" s="180">
        <f>SUM(Tabela2[[#This Row],[G]:[GWD]])</f>
        <v>14</v>
      </c>
    </row>
    <row r="135" spans="1:20">
      <c r="A135" s="183">
        <v>134</v>
      </c>
      <c r="B135" s="172" t="s">
        <v>611</v>
      </c>
      <c r="C135" s="172" t="s">
        <v>521</v>
      </c>
      <c r="D135" s="172">
        <v>3</v>
      </c>
      <c r="E135" s="172" t="s">
        <v>250</v>
      </c>
      <c r="F135" s="172">
        <v>1</v>
      </c>
      <c r="G135" s="172">
        <v>1</v>
      </c>
      <c r="H135" s="172">
        <v>1</v>
      </c>
      <c r="I135" s="172">
        <v>1</v>
      </c>
      <c r="J135" s="172">
        <v>1</v>
      </c>
      <c r="K135" s="172">
        <v>1</v>
      </c>
      <c r="L135" s="172">
        <v>1</v>
      </c>
      <c r="M135" s="172">
        <v>1</v>
      </c>
      <c r="N135" s="172" t="s">
        <v>445</v>
      </c>
      <c r="O135" s="172"/>
      <c r="P135" s="172"/>
      <c r="Q135" s="186">
        <f>SUM(Tabela2[[#This Row],[G]]+Tabela2[[#This Row],[D]]+Tabela2[[#This Row],[N]]+Tabela2[[#This Row],[HM]])</f>
        <v>4</v>
      </c>
      <c r="R135" s="186">
        <f>SUM(Tabela2[[#This Row],[AO]]+Tabela2[[#This Row],[AD]]+Tabela2[[#This Row],[GWO]]+Tabela2[[#This Row],[GWD]])</f>
        <v>4</v>
      </c>
      <c r="S135" s="186">
        <f>Tabela2[[#This Row],[GWO]]+Tabela2[[#This Row],[GWD]]</f>
        <v>2</v>
      </c>
      <c r="T135" s="180">
        <f>SUM(Tabela2[[#This Row],[G]:[GWD]])</f>
        <v>8</v>
      </c>
    </row>
    <row r="136" spans="1:20">
      <c r="A136" s="183">
        <v>135</v>
      </c>
      <c r="B136" s="171" t="s">
        <v>610</v>
      </c>
      <c r="C136" s="171" t="s">
        <v>574</v>
      </c>
      <c r="D136" s="171">
        <v>3</v>
      </c>
      <c r="E136" s="171" t="s">
        <v>251</v>
      </c>
      <c r="F136" s="171">
        <v>1</v>
      </c>
      <c r="G136" s="171">
        <v>1</v>
      </c>
      <c r="H136" s="171">
        <v>1</v>
      </c>
      <c r="I136" s="171">
        <v>2</v>
      </c>
      <c r="J136" s="171">
        <v>1</v>
      </c>
      <c r="K136" s="171">
        <v>1</v>
      </c>
      <c r="L136" s="171">
        <v>2</v>
      </c>
      <c r="M136" s="171">
        <v>1</v>
      </c>
      <c r="N136" s="170"/>
      <c r="O136" s="170"/>
      <c r="P136" s="170"/>
      <c r="Q136" s="180">
        <f>SUM(Tabela2[[#This Row],[G]]+Tabela2[[#This Row],[D]]+Tabela2[[#This Row],[N]]+Tabela2[[#This Row],[HM]])</f>
        <v>4</v>
      </c>
      <c r="R136" s="180">
        <f>SUM(Tabela2[[#This Row],[AO]]+Tabela2[[#This Row],[AD]]+Tabela2[[#This Row],[GWO]]+Tabela2[[#This Row],[GWD]])</f>
        <v>6</v>
      </c>
      <c r="S136" s="180">
        <f>Tabela2[[#This Row],[GWO]]+Tabela2[[#This Row],[GWD]]</f>
        <v>3</v>
      </c>
      <c r="T136" s="180">
        <f>SUM(Tabela2[[#This Row],[G]:[GWD]])</f>
        <v>10</v>
      </c>
    </row>
    <row r="137" spans="1:20" ht="30">
      <c r="A137" s="183">
        <v>136</v>
      </c>
      <c r="B137" s="171" t="s">
        <v>609</v>
      </c>
      <c r="C137" s="171" t="s">
        <v>572</v>
      </c>
      <c r="D137" s="171">
        <v>3</v>
      </c>
      <c r="E137" s="171" t="s">
        <v>251</v>
      </c>
      <c r="F137" s="171">
        <v>2</v>
      </c>
      <c r="G137" s="171">
        <v>2</v>
      </c>
      <c r="H137" s="171">
        <v>1</v>
      </c>
      <c r="I137" s="171">
        <v>3</v>
      </c>
      <c r="J137" s="171">
        <v>1</v>
      </c>
      <c r="K137" s="171">
        <v>4</v>
      </c>
      <c r="L137" s="171">
        <v>3</v>
      </c>
      <c r="M137" s="171">
        <v>2</v>
      </c>
      <c r="N137" s="170"/>
      <c r="O137" s="170"/>
      <c r="P137" s="194" t="s">
        <v>204</v>
      </c>
      <c r="Q137" s="180">
        <f>SUM(Tabela2[[#This Row],[G]]+Tabela2[[#This Row],[D]]+Tabela2[[#This Row],[N]]+Tabela2[[#This Row],[HM]])</f>
        <v>9</v>
      </c>
      <c r="R137" s="180">
        <f>SUM(Tabela2[[#This Row],[AO]]+Tabela2[[#This Row],[AD]]+Tabela2[[#This Row],[GWO]]+Tabela2[[#This Row],[GWD]])</f>
        <v>9</v>
      </c>
      <c r="S137" s="180">
        <f>Tabela2[[#This Row],[GWO]]+Tabela2[[#This Row],[GWD]]</f>
        <v>5</v>
      </c>
      <c r="T137" s="180">
        <f>SUM(Tabela2[[#This Row],[G]:[GWD]])</f>
        <v>18</v>
      </c>
    </row>
    <row r="138" spans="1:20">
      <c r="A138" s="183">
        <v>137</v>
      </c>
      <c r="B138" s="171" t="s">
        <v>608</v>
      </c>
      <c r="C138" s="171" t="s">
        <v>290</v>
      </c>
      <c r="D138" s="171">
        <v>3</v>
      </c>
      <c r="E138" s="171" t="s">
        <v>251</v>
      </c>
      <c r="F138" s="171">
        <v>1</v>
      </c>
      <c r="G138" s="171">
        <v>1</v>
      </c>
      <c r="H138" s="171">
        <v>1</v>
      </c>
      <c r="I138" s="171">
        <v>1</v>
      </c>
      <c r="J138" s="171">
        <v>1</v>
      </c>
      <c r="K138" s="171">
        <v>1</v>
      </c>
      <c r="L138" s="171">
        <v>1</v>
      </c>
      <c r="M138" s="171">
        <v>1</v>
      </c>
      <c r="N138" s="170"/>
      <c r="O138" s="170"/>
      <c r="P138" s="170"/>
      <c r="Q138" s="180">
        <f>SUM(Tabela2[[#This Row],[G]]+Tabela2[[#This Row],[D]]+Tabela2[[#This Row],[N]]+Tabela2[[#This Row],[HM]])</f>
        <v>4</v>
      </c>
      <c r="R138" s="180">
        <f>SUM(Tabela2[[#This Row],[AO]]+Tabela2[[#This Row],[AD]]+Tabela2[[#This Row],[GWO]]+Tabela2[[#This Row],[GWD]])</f>
        <v>4</v>
      </c>
      <c r="S138" s="180">
        <f>Tabela2[[#This Row],[GWO]]+Tabela2[[#This Row],[GWD]]</f>
        <v>2</v>
      </c>
      <c r="T138" s="180">
        <f>SUM(Tabela2[[#This Row],[G]:[GWD]])</f>
        <v>8</v>
      </c>
    </row>
    <row r="139" spans="1:20" ht="30">
      <c r="A139" s="183">
        <v>138</v>
      </c>
      <c r="B139" s="171" t="s">
        <v>607</v>
      </c>
      <c r="C139" s="171" t="s">
        <v>570</v>
      </c>
      <c r="D139" s="171">
        <v>3</v>
      </c>
      <c r="E139" s="171" t="s">
        <v>251</v>
      </c>
      <c r="F139" s="171">
        <v>1</v>
      </c>
      <c r="G139" s="171">
        <v>1</v>
      </c>
      <c r="H139" s="171">
        <v>1</v>
      </c>
      <c r="I139" s="171">
        <v>1</v>
      </c>
      <c r="J139" s="171">
        <v>1</v>
      </c>
      <c r="K139" s="171">
        <v>1</v>
      </c>
      <c r="L139" s="171">
        <v>1</v>
      </c>
      <c r="M139" s="171">
        <v>1</v>
      </c>
      <c r="N139" s="170"/>
      <c r="O139" s="170"/>
      <c r="P139" s="170"/>
      <c r="Q139" s="180">
        <f>SUM(Tabela2[[#This Row],[G]]+Tabela2[[#This Row],[D]]+Tabela2[[#This Row],[N]]+Tabela2[[#This Row],[HM]])</f>
        <v>4</v>
      </c>
      <c r="R139" s="180">
        <f>SUM(Tabela2[[#This Row],[AO]]+Tabela2[[#This Row],[AD]]+Tabela2[[#This Row],[GWO]]+Tabela2[[#This Row],[GWD]])</f>
        <v>4</v>
      </c>
      <c r="S139" s="180">
        <f>Tabela2[[#This Row],[GWO]]+Tabela2[[#This Row],[GWD]]</f>
        <v>2</v>
      </c>
      <c r="T139" s="180">
        <f>SUM(Tabela2[[#This Row],[G]:[GWD]])</f>
        <v>8</v>
      </c>
    </row>
    <row r="140" spans="1:20" ht="30">
      <c r="A140" s="183">
        <v>139</v>
      </c>
      <c r="B140" s="171" t="s">
        <v>606</v>
      </c>
      <c r="C140" s="171" t="s">
        <v>568</v>
      </c>
      <c r="D140" s="171">
        <v>3</v>
      </c>
      <c r="E140" s="171" t="s">
        <v>251</v>
      </c>
      <c r="F140" s="171">
        <v>1</v>
      </c>
      <c r="G140" s="171">
        <v>1</v>
      </c>
      <c r="H140" s="171">
        <v>1</v>
      </c>
      <c r="I140" s="171">
        <v>1</v>
      </c>
      <c r="J140" s="171">
        <v>1</v>
      </c>
      <c r="K140" s="171">
        <v>1</v>
      </c>
      <c r="L140" s="171">
        <v>1</v>
      </c>
      <c r="M140" s="171">
        <v>1</v>
      </c>
      <c r="N140" s="170"/>
      <c r="O140" s="170"/>
      <c r="P140" s="170"/>
      <c r="Q140" s="180">
        <f>SUM(Tabela2[[#This Row],[G]]+Tabela2[[#This Row],[D]]+Tabela2[[#This Row],[N]]+Tabela2[[#This Row],[HM]])</f>
        <v>4</v>
      </c>
      <c r="R140" s="180">
        <f>SUM(Tabela2[[#This Row],[AO]]+Tabela2[[#This Row],[AD]]+Tabela2[[#This Row],[GWO]]+Tabela2[[#This Row],[GWD]])</f>
        <v>4</v>
      </c>
      <c r="S140" s="180">
        <f>Tabela2[[#This Row],[GWO]]+Tabela2[[#This Row],[GWD]]</f>
        <v>2</v>
      </c>
      <c r="T140" s="180">
        <f>SUM(Tabela2[[#This Row],[G]:[GWD]])</f>
        <v>8</v>
      </c>
    </row>
    <row r="141" spans="1:20" ht="30">
      <c r="A141" s="183">
        <v>140</v>
      </c>
      <c r="B141" s="171" t="s">
        <v>605</v>
      </c>
      <c r="C141" s="171" t="s">
        <v>566</v>
      </c>
      <c r="D141" s="171">
        <v>3</v>
      </c>
      <c r="E141" s="171" t="s">
        <v>251</v>
      </c>
      <c r="F141" s="171">
        <v>1</v>
      </c>
      <c r="G141" s="171">
        <v>1</v>
      </c>
      <c r="H141" s="171">
        <v>1</v>
      </c>
      <c r="I141" s="171">
        <v>1</v>
      </c>
      <c r="J141" s="171">
        <v>1</v>
      </c>
      <c r="K141" s="171">
        <v>1</v>
      </c>
      <c r="L141" s="171">
        <v>1</v>
      </c>
      <c r="M141" s="171">
        <v>1</v>
      </c>
      <c r="N141" s="170"/>
      <c r="O141" s="170"/>
      <c r="P141" s="170"/>
      <c r="Q141" s="180">
        <f>SUM(Tabela2[[#This Row],[G]]+Tabela2[[#This Row],[D]]+Tabela2[[#This Row],[N]]+Tabela2[[#This Row],[HM]])</f>
        <v>4</v>
      </c>
      <c r="R141" s="180">
        <f>SUM(Tabela2[[#This Row],[AO]]+Tabela2[[#This Row],[AD]]+Tabela2[[#This Row],[GWO]]+Tabela2[[#This Row],[GWD]])</f>
        <v>4</v>
      </c>
      <c r="S141" s="180">
        <f>Tabela2[[#This Row],[GWO]]+Tabela2[[#This Row],[GWD]]</f>
        <v>2</v>
      </c>
      <c r="T141" s="180">
        <f>SUM(Tabela2[[#This Row],[G]:[GWD]])</f>
        <v>8</v>
      </c>
    </row>
    <row r="142" spans="1:20">
      <c r="A142" s="183">
        <v>141</v>
      </c>
      <c r="B142" s="171" t="s">
        <v>604</v>
      </c>
      <c r="C142" s="171" t="s">
        <v>565</v>
      </c>
      <c r="D142" s="171">
        <v>3</v>
      </c>
      <c r="E142" s="171" t="s">
        <v>251</v>
      </c>
      <c r="F142" s="171">
        <v>1</v>
      </c>
      <c r="G142" s="171">
        <v>1</v>
      </c>
      <c r="H142" s="171">
        <v>1</v>
      </c>
      <c r="I142" s="171">
        <v>1</v>
      </c>
      <c r="J142" s="171">
        <v>1</v>
      </c>
      <c r="K142" s="171">
        <v>1</v>
      </c>
      <c r="L142" s="171">
        <v>1</v>
      </c>
      <c r="M142" s="171">
        <v>1</v>
      </c>
      <c r="N142" s="170"/>
      <c r="O142" s="170"/>
      <c r="P142" s="170"/>
      <c r="Q142" s="180">
        <f>SUM(Tabela2[[#This Row],[G]]+Tabela2[[#This Row],[D]]+Tabela2[[#This Row],[N]]+Tabela2[[#This Row],[HM]])</f>
        <v>4</v>
      </c>
      <c r="R142" s="180">
        <f>SUM(Tabela2[[#This Row],[AO]]+Tabela2[[#This Row],[AD]]+Tabela2[[#This Row],[GWO]]+Tabela2[[#This Row],[GWD]])</f>
        <v>4</v>
      </c>
      <c r="S142" s="180">
        <f>Tabela2[[#This Row],[GWO]]+Tabela2[[#This Row],[GWD]]</f>
        <v>2</v>
      </c>
      <c r="T142" s="180">
        <f>SUM(Tabela2[[#This Row],[G]:[GWD]])</f>
        <v>8</v>
      </c>
    </row>
    <row r="143" spans="1:20" ht="30">
      <c r="A143" s="183">
        <v>142</v>
      </c>
      <c r="B143" s="171" t="s">
        <v>603</v>
      </c>
      <c r="C143" s="171" t="s">
        <v>563</v>
      </c>
      <c r="D143" s="171">
        <v>3</v>
      </c>
      <c r="E143" s="171" t="s">
        <v>251</v>
      </c>
      <c r="F143" s="171">
        <v>1</v>
      </c>
      <c r="G143" s="171">
        <v>1</v>
      </c>
      <c r="H143" s="171">
        <v>1</v>
      </c>
      <c r="I143" s="171">
        <v>1</v>
      </c>
      <c r="J143" s="171">
        <v>1</v>
      </c>
      <c r="K143" s="171">
        <v>1</v>
      </c>
      <c r="L143" s="171">
        <v>1</v>
      </c>
      <c r="M143" s="171">
        <v>1</v>
      </c>
      <c r="N143" s="170"/>
      <c r="O143" s="170"/>
      <c r="P143" s="170"/>
      <c r="Q143" s="180">
        <f>SUM(Tabela2[[#This Row],[G]]+Tabela2[[#This Row],[D]]+Tabela2[[#This Row],[N]]+Tabela2[[#This Row],[HM]])</f>
        <v>4</v>
      </c>
      <c r="R143" s="180">
        <f>SUM(Tabela2[[#This Row],[AO]]+Tabela2[[#This Row],[AD]]+Tabela2[[#This Row],[GWO]]+Tabela2[[#This Row],[GWD]])</f>
        <v>4</v>
      </c>
      <c r="S143" s="180">
        <f>Tabela2[[#This Row],[GWO]]+Tabela2[[#This Row],[GWD]]</f>
        <v>2</v>
      </c>
      <c r="T143" s="180">
        <f>SUM(Tabela2[[#This Row],[G]:[GWD]])</f>
        <v>8</v>
      </c>
    </row>
    <row r="144" spans="1:20">
      <c r="A144" s="183">
        <v>143</v>
      </c>
      <c r="B144" s="171" t="s">
        <v>602</v>
      </c>
      <c r="C144" s="171" t="s">
        <v>561</v>
      </c>
      <c r="D144" s="171">
        <v>3</v>
      </c>
      <c r="E144" s="171" t="s">
        <v>251</v>
      </c>
      <c r="F144" s="171">
        <v>1</v>
      </c>
      <c r="G144" s="171">
        <v>1</v>
      </c>
      <c r="H144" s="171">
        <v>1</v>
      </c>
      <c r="I144" s="171">
        <v>1</v>
      </c>
      <c r="J144" s="171">
        <v>1</v>
      </c>
      <c r="K144" s="171">
        <v>2</v>
      </c>
      <c r="L144" s="171">
        <v>1</v>
      </c>
      <c r="M144" s="171">
        <v>1</v>
      </c>
      <c r="N144" s="170"/>
      <c r="O144" s="170"/>
      <c r="P144" s="170"/>
      <c r="Q144" s="180">
        <f>SUM(Tabela2[[#This Row],[G]]+Tabela2[[#This Row],[D]]+Tabela2[[#This Row],[N]]+Tabela2[[#This Row],[HM]])</f>
        <v>5</v>
      </c>
      <c r="R144" s="180">
        <f>SUM(Tabela2[[#This Row],[AO]]+Tabela2[[#This Row],[AD]]+Tabela2[[#This Row],[GWO]]+Tabela2[[#This Row],[GWD]])</f>
        <v>4</v>
      </c>
      <c r="S144" s="180">
        <f>Tabela2[[#This Row],[GWO]]+Tabela2[[#This Row],[GWD]]</f>
        <v>2</v>
      </c>
      <c r="T144" s="180">
        <f>SUM(Tabela2[[#This Row],[G]:[GWD]])</f>
        <v>9</v>
      </c>
    </row>
    <row r="145" spans="1:20" ht="30">
      <c r="A145" s="183">
        <v>144</v>
      </c>
      <c r="B145" s="171" t="s">
        <v>601</v>
      </c>
      <c r="C145" s="171" t="s">
        <v>412</v>
      </c>
      <c r="D145" s="171">
        <v>3</v>
      </c>
      <c r="E145" s="171" t="s">
        <v>251</v>
      </c>
      <c r="F145" s="171">
        <v>1</v>
      </c>
      <c r="G145" s="171">
        <v>1</v>
      </c>
      <c r="H145" s="171">
        <v>1</v>
      </c>
      <c r="I145" s="171">
        <v>1</v>
      </c>
      <c r="J145" s="171">
        <v>1</v>
      </c>
      <c r="K145" s="171">
        <v>2</v>
      </c>
      <c r="L145" s="171">
        <v>2</v>
      </c>
      <c r="M145" s="171">
        <v>1</v>
      </c>
      <c r="N145" s="170"/>
      <c r="O145" s="170"/>
      <c r="P145" s="170"/>
      <c r="Q145" s="180">
        <f>SUM(Tabela2[[#This Row],[G]]+Tabela2[[#This Row],[D]]+Tabela2[[#This Row],[N]]+Tabela2[[#This Row],[HM]])</f>
        <v>5</v>
      </c>
      <c r="R145" s="180">
        <f>SUM(Tabela2[[#This Row],[AO]]+Tabela2[[#This Row],[AD]]+Tabela2[[#This Row],[GWO]]+Tabela2[[#This Row],[GWD]])</f>
        <v>5</v>
      </c>
      <c r="S145" s="180">
        <f>Tabela2[[#This Row],[GWO]]+Tabela2[[#This Row],[GWD]]</f>
        <v>3</v>
      </c>
      <c r="T145" s="180">
        <f>SUM(Tabela2[[#This Row],[G]:[GWD]])</f>
        <v>10</v>
      </c>
    </row>
    <row r="146" spans="1:20">
      <c r="A146" s="183">
        <v>145</v>
      </c>
      <c r="B146" s="171" t="s">
        <v>600</v>
      </c>
      <c r="C146" s="171" t="s">
        <v>283</v>
      </c>
      <c r="D146" s="171">
        <v>3</v>
      </c>
      <c r="E146" s="171" t="s">
        <v>251</v>
      </c>
      <c r="F146" s="171">
        <v>1</v>
      </c>
      <c r="G146" s="171">
        <v>1</v>
      </c>
      <c r="H146" s="171">
        <v>1</v>
      </c>
      <c r="I146" s="171">
        <v>1</v>
      </c>
      <c r="J146" s="171">
        <v>1</v>
      </c>
      <c r="K146" s="171">
        <v>2</v>
      </c>
      <c r="L146" s="171">
        <v>1</v>
      </c>
      <c r="M146" s="171">
        <v>1</v>
      </c>
      <c r="N146" s="170"/>
      <c r="O146" s="170"/>
      <c r="P146" s="170"/>
      <c r="Q146" s="180">
        <f>SUM(Tabela2[[#This Row],[G]]+Tabela2[[#This Row],[D]]+Tabela2[[#This Row],[N]]+Tabela2[[#This Row],[HM]])</f>
        <v>5</v>
      </c>
      <c r="R146" s="180">
        <f>SUM(Tabela2[[#This Row],[AO]]+Tabela2[[#This Row],[AD]]+Tabela2[[#This Row],[GWO]]+Tabela2[[#This Row],[GWD]])</f>
        <v>4</v>
      </c>
      <c r="S146" s="180">
        <f>Tabela2[[#This Row],[GWO]]+Tabela2[[#This Row],[GWD]]</f>
        <v>2</v>
      </c>
      <c r="T146" s="180">
        <f>SUM(Tabela2[[#This Row],[G]:[GWD]])</f>
        <v>9</v>
      </c>
    </row>
    <row r="147" spans="1:20">
      <c r="A147" s="183">
        <v>146</v>
      </c>
      <c r="B147" s="171" t="s">
        <v>599</v>
      </c>
      <c r="C147" s="171" t="s">
        <v>552</v>
      </c>
      <c r="D147" s="171">
        <v>3</v>
      </c>
      <c r="E147" s="171" t="s">
        <v>251</v>
      </c>
      <c r="F147" s="171">
        <v>2</v>
      </c>
      <c r="G147" s="171">
        <v>1</v>
      </c>
      <c r="H147" s="171">
        <v>1</v>
      </c>
      <c r="I147" s="171">
        <v>2</v>
      </c>
      <c r="J147" s="171">
        <v>2</v>
      </c>
      <c r="K147" s="171">
        <v>3</v>
      </c>
      <c r="L147" s="171">
        <v>2</v>
      </c>
      <c r="M147" s="171">
        <v>1</v>
      </c>
      <c r="N147" s="170"/>
      <c r="O147" s="170"/>
      <c r="P147" s="170"/>
      <c r="Q147" s="180">
        <f>SUM(Tabela2[[#This Row],[G]]+Tabela2[[#This Row],[D]]+Tabela2[[#This Row],[N]]+Tabela2[[#This Row],[HM]])</f>
        <v>7</v>
      </c>
      <c r="R147" s="180">
        <f>SUM(Tabela2[[#This Row],[AO]]+Tabela2[[#This Row],[AD]]+Tabela2[[#This Row],[GWO]]+Tabela2[[#This Row],[GWD]])</f>
        <v>7</v>
      </c>
      <c r="S147" s="180">
        <f>Tabela2[[#This Row],[GWO]]+Tabela2[[#This Row],[GWD]]</f>
        <v>3</v>
      </c>
      <c r="T147" s="180">
        <f>SUM(Tabela2[[#This Row],[G]:[GWD]])</f>
        <v>14</v>
      </c>
    </row>
    <row r="148" spans="1:20" ht="30">
      <c r="A148" s="183">
        <v>147</v>
      </c>
      <c r="B148" s="171" t="s">
        <v>598</v>
      </c>
      <c r="C148" s="171" t="s">
        <v>550</v>
      </c>
      <c r="D148" s="171">
        <v>3</v>
      </c>
      <c r="E148" s="171" t="s">
        <v>251</v>
      </c>
      <c r="F148" s="171">
        <v>1</v>
      </c>
      <c r="G148" s="171">
        <v>1</v>
      </c>
      <c r="H148" s="171">
        <v>3</v>
      </c>
      <c r="I148" s="171">
        <v>2</v>
      </c>
      <c r="J148" s="171">
        <v>1</v>
      </c>
      <c r="K148" s="171">
        <v>5</v>
      </c>
      <c r="L148" s="171">
        <v>2</v>
      </c>
      <c r="M148" s="171">
        <v>1</v>
      </c>
      <c r="N148" s="170"/>
      <c r="O148" s="170"/>
      <c r="P148" s="194" t="s">
        <v>204</v>
      </c>
      <c r="Q148" s="180">
        <f>SUM(Tabela2[[#This Row],[G]]+Tabela2[[#This Row],[D]]+Tabela2[[#This Row],[N]]+Tabela2[[#This Row],[HM]])</f>
        <v>10</v>
      </c>
      <c r="R148" s="180">
        <f>SUM(Tabela2[[#This Row],[AO]]+Tabela2[[#This Row],[AD]]+Tabela2[[#This Row],[GWO]]+Tabela2[[#This Row],[GWD]])</f>
        <v>6</v>
      </c>
      <c r="S148" s="180">
        <f>Tabela2[[#This Row],[GWO]]+Tabela2[[#This Row],[GWD]]</f>
        <v>3</v>
      </c>
      <c r="T148" s="180">
        <f>SUM(Tabela2[[#This Row],[G]:[GWD]])</f>
        <v>16</v>
      </c>
    </row>
    <row r="149" spans="1:20">
      <c r="A149" s="183">
        <v>148</v>
      </c>
      <c r="B149" s="171" t="s">
        <v>597</v>
      </c>
      <c r="C149" s="171" t="s">
        <v>548</v>
      </c>
      <c r="D149" s="171">
        <v>3</v>
      </c>
      <c r="E149" s="171" t="s">
        <v>251</v>
      </c>
      <c r="F149" s="171">
        <v>1</v>
      </c>
      <c r="G149" s="171">
        <v>1</v>
      </c>
      <c r="H149" s="171">
        <v>3</v>
      </c>
      <c r="I149" s="171">
        <v>1</v>
      </c>
      <c r="J149" s="171">
        <v>1</v>
      </c>
      <c r="K149" s="171">
        <v>1</v>
      </c>
      <c r="L149" s="171">
        <v>1</v>
      </c>
      <c r="M149" s="171">
        <v>1</v>
      </c>
      <c r="N149" s="170"/>
      <c r="O149" s="170"/>
      <c r="P149" s="170"/>
      <c r="Q149" s="180">
        <f>SUM(Tabela2[[#This Row],[G]]+Tabela2[[#This Row],[D]]+Tabela2[[#This Row],[N]]+Tabela2[[#This Row],[HM]])</f>
        <v>6</v>
      </c>
      <c r="R149" s="180">
        <f>SUM(Tabela2[[#This Row],[AO]]+Tabela2[[#This Row],[AD]]+Tabela2[[#This Row],[GWO]]+Tabela2[[#This Row],[GWD]])</f>
        <v>4</v>
      </c>
      <c r="S149" s="180">
        <f>Tabela2[[#This Row],[GWO]]+Tabela2[[#This Row],[GWD]]</f>
        <v>2</v>
      </c>
      <c r="T149" s="180">
        <f>SUM(Tabela2[[#This Row],[G]:[GWD]])</f>
        <v>10</v>
      </c>
    </row>
    <row r="150" spans="1:20">
      <c r="A150" s="183">
        <v>149</v>
      </c>
      <c r="B150" s="171" t="s">
        <v>596</v>
      </c>
      <c r="C150" s="171" t="s">
        <v>546</v>
      </c>
      <c r="D150" s="171">
        <v>3</v>
      </c>
      <c r="E150" s="171" t="s">
        <v>251</v>
      </c>
      <c r="F150" s="171">
        <v>1</v>
      </c>
      <c r="G150" s="171">
        <v>1</v>
      </c>
      <c r="H150" s="171">
        <v>1</v>
      </c>
      <c r="I150" s="171">
        <v>1</v>
      </c>
      <c r="J150" s="171">
        <v>1</v>
      </c>
      <c r="K150" s="171">
        <v>1</v>
      </c>
      <c r="L150" s="171">
        <v>1</v>
      </c>
      <c r="M150" s="171">
        <v>1</v>
      </c>
      <c r="N150" s="170"/>
      <c r="O150" s="170"/>
      <c r="P150" s="170"/>
      <c r="Q150" s="180">
        <f>SUM(Tabela2[[#This Row],[G]]+Tabela2[[#This Row],[D]]+Tabela2[[#This Row],[N]]+Tabela2[[#This Row],[HM]])</f>
        <v>4</v>
      </c>
      <c r="R150" s="180">
        <f>SUM(Tabela2[[#This Row],[AO]]+Tabela2[[#This Row],[AD]]+Tabela2[[#This Row],[GWO]]+Tabela2[[#This Row],[GWD]])</f>
        <v>4</v>
      </c>
      <c r="S150" s="180">
        <f>Tabela2[[#This Row],[GWO]]+Tabela2[[#This Row],[GWD]]</f>
        <v>2</v>
      </c>
      <c r="T150" s="180">
        <f>SUM(Tabela2[[#This Row],[G]:[GWD]])</f>
        <v>8</v>
      </c>
    </row>
    <row r="151" spans="1:20">
      <c r="A151" s="183">
        <v>150</v>
      </c>
      <c r="B151" s="171" t="s">
        <v>595</v>
      </c>
      <c r="C151" s="171" t="s">
        <v>594</v>
      </c>
      <c r="D151" s="171">
        <v>3</v>
      </c>
      <c r="E151" s="171" t="s">
        <v>251</v>
      </c>
      <c r="F151" s="171">
        <v>1</v>
      </c>
      <c r="G151" s="171">
        <v>1</v>
      </c>
      <c r="H151" s="171">
        <v>1</v>
      </c>
      <c r="I151" s="171">
        <v>1</v>
      </c>
      <c r="J151" s="171">
        <v>1</v>
      </c>
      <c r="K151" s="171">
        <v>1</v>
      </c>
      <c r="L151" s="171">
        <v>1</v>
      </c>
      <c r="M151" s="171">
        <v>1</v>
      </c>
      <c r="N151" s="170"/>
      <c r="O151" s="170"/>
      <c r="P151" s="170"/>
      <c r="Q151" s="180">
        <f>SUM(Tabela2[[#This Row],[G]]+Tabela2[[#This Row],[D]]+Tabela2[[#This Row],[N]]+Tabela2[[#This Row],[HM]])</f>
        <v>4</v>
      </c>
      <c r="R151" s="180">
        <f>SUM(Tabela2[[#This Row],[AO]]+Tabela2[[#This Row],[AD]]+Tabela2[[#This Row],[GWO]]+Tabela2[[#This Row],[GWD]])</f>
        <v>4</v>
      </c>
      <c r="S151" s="180">
        <f>Tabela2[[#This Row],[GWO]]+Tabela2[[#This Row],[GWD]]</f>
        <v>2</v>
      </c>
      <c r="T151" s="180">
        <f>SUM(Tabela2[[#This Row],[G]:[GWD]])</f>
        <v>8</v>
      </c>
    </row>
    <row r="152" spans="1:20" ht="30">
      <c r="A152" s="183">
        <v>151</v>
      </c>
      <c r="B152" s="171" t="s">
        <v>593</v>
      </c>
      <c r="C152" s="171" t="s">
        <v>544</v>
      </c>
      <c r="D152" s="171">
        <v>3</v>
      </c>
      <c r="E152" s="171" t="s">
        <v>251</v>
      </c>
      <c r="F152" s="171">
        <v>1</v>
      </c>
      <c r="G152" s="171">
        <v>1</v>
      </c>
      <c r="H152" s="171">
        <v>1</v>
      </c>
      <c r="I152" s="171">
        <v>1</v>
      </c>
      <c r="J152" s="171">
        <v>1</v>
      </c>
      <c r="K152" s="171">
        <v>1</v>
      </c>
      <c r="L152" s="171">
        <v>1</v>
      </c>
      <c r="M152" s="171">
        <v>1</v>
      </c>
      <c r="N152" s="170"/>
      <c r="O152" s="170"/>
      <c r="P152" s="170"/>
      <c r="Q152" s="180">
        <f>SUM(Tabela2[[#This Row],[G]]+Tabela2[[#This Row],[D]]+Tabela2[[#This Row],[N]]+Tabela2[[#This Row],[HM]])</f>
        <v>4</v>
      </c>
      <c r="R152" s="180">
        <f>SUM(Tabela2[[#This Row],[AO]]+Tabela2[[#This Row],[AD]]+Tabela2[[#This Row],[GWO]]+Tabela2[[#This Row],[GWD]])</f>
        <v>4</v>
      </c>
      <c r="S152" s="180">
        <f>Tabela2[[#This Row],[GWO]]+Tabela2[[#This Row],[GWD]]</f>
        <v>2</v>
      </c>
      <c r="T152" s="180">
        <f>SUM(Tabela2[[#This Row],[G]:[GWD]])</f>
        <v>8</v>
      </c>
    </row>
    <row r="153" spans="1:20" ht="30">
      <c r="A153" s="183">
        <v>152</v>
      </c>
      <c r="B153" s="171" t="s">
        <v>592</v>
      </c>
      <c r="C153" s="171" t="s">
        <v>542</v>
      </c>
      <c r="D153" s="171">
        <v>3</v>
      </c>
      <c r="E153" s="171" t="s">
        <v>251</v>
      </c>
      <c r="F153" s="171">
        <v>1</v>
      </c>
      <c r="G153" s="171">
        <v>1</v>
      </c>
      <c r="H153" s="171">
        <v>1</v>
      </c>
      <c r="I153" s="171">
        <v>1</v>
      </c>
      <c r="J153" s="171">
        <v>1</v>
      </c>
      <c r="K153" s="171">
        <v>1</v>
      </c>
      <c r="L153" s="171">
        <v>1</v>
      </c>
      <c r="M153" s="171">
        <v>1</v>
      </c>
      <c r="N153" s="170"/>
      <c r="O153" s="170"/>
      <c r="P153" s="170"/>
      <c r="Q153" s="180">
        <f>SUM(Tabela2[[#This Row],[G]]+Tabela2[[#This Row],[D]]+Tabela2[[#This Row],[N]]+Tabela2[[#This Row],[HM]])</f>
        <v>4</v>
      </c>
      <c r="R153" s="180">
        <f>SUM(Tabela2[[#This Row],[AO]]+Tabela2[[#This Row],[AD]]+Tabela2[[#This Row],[GWO]]+Tabela2[[#This Row],[GWD]])</f>
        <v>4</v>
      </c>
      <c r="S153" s="180">
        <f>Tabela2[[#This Row],[GWO]]+Tabela2[[#This Row],[GWD]]</f>
        <v>2</v>
      </c>
      <c r="T153" s="180">
        <f>SUM(Tabela2[[#This Row],[G]:[GWD]])</f>
        <v>8</v>
      </c>
    </row>
    <row r="154" spans="1:20">
      <c r="A154" s="183">
        <v>153</v>
      </c>
      <c r="B154" s="171" t="s">
        <v>591</v>
      </c>
      <c r="C154" s="171" t="s">
        <v>540</v>
      </c>
      <c r="D154" s="171">
        <v>3</v>
      </c>
      <c r="E154" s="171" t="s">
        <v>251</v>
      </c>
      <c r="F154" s="171">
        <v>1</v>
      </c>
      <c r="G154" s="171">
        <v>1</v>
      </c>
      <c r="H154" s="171">
        <v>1</v>
      </c>
      <c r="I154" s="171">
        <v>1</v>
      </c>
      <c r="J154" s="171">
        <v>1</v>
      </c>
      <c r="K154" s="171">
        <v>1</v>
      </c>
      <c r="L154" s="171">
        <v>1</v>
      </c>
      <c r="M154" s="171">
        <v>1</v>
      </c>
      <c r="N154" s="170"/>
      <c r="O154" s="170"/>
      <c r="P154" s="170"/>
      <c r="Q154" s="180">
        <f>SUM(Tabela2[[#This Row],[G]]+Tabela2[[#This Row],[D]]+Tabela2[[#This Row],[N]]+Tabela2[[#This Row],[HM]])</f>
        <v>4</v>
      </c>
      <c r="R154" s="180">
        <f>SUM(Tabela2[[#This Row],[AO]]+Tabela2[[#This Row],[AD]]+Tabela2[[#This Row],[GWO]]+Tabela2[[#This Row],[GWD]])</f>
        <v>4</v>
      </c>
      <c r="S154" s="180">
        <f>Tabela2[[#This Row],[GWO]]+Tabela2[[#This Row],[GWD]]</f>
        <v>2</v>
      </c>
      <c r="T154" s="180">
        <f>SUM(Tabela2[[#This Row],[G]:[GWD]])</f>
        <v>8</v>
      </c>
    </row>
    <row r="155" spans="1:20">
      <c r="A155" s="183">
        <v>154</v>
      </c>
      <c r="B155" s="171" t="s">
        <v>590</v>
      </c>
      <c r="C155" s="171" t="s">
        <v>358</v>
      </c>
      <c r="D155" s="171">
        <v>3</v>
      </c>
      <c r="E155" s="171" t="s">
        <v>251</v>
      </c>
      <c r="F155" s="171">
        <v>1</v>
      </c>
      <c r="G155" s="171">
        <v>1</v>
      </c>
      <c r="H155" s="171">
        <v>1</v>
      </c>
      <c r="I155" s="171">
        <v>1</v>
      </c>
      <c r="J155" s="171">
        <v>1</v>
      </c>
      <c r="K155" s="171">
        <v>1</v>
      </c>
      <c r="L155" s="171">
        <v>1</v>
      </c>
      <c r="M155" s="171">
        <v>1</v>
      </c>
      <c r="N155" s="170"/>
      <c r="O155" s="170"/>
      <c r="P155" s="170"/>
      <c r="Q155" s="180">
        <f>SUM(Tabela2[[#This Row],[G]]+Tabela2[[#This Row],[D]]+Tabela2[[#This Row],[N]]+Tabela2[[#This Row],[HM]])</f>
        <v>4</v>
      </c>
      <c r="R155" s="180">
        <f>SUM(Tabela2[[#This Row],[AO]]+Tabela2[[#This Row],[AD]]+Tabela2[[#This Row],[GWO]]+Tabela2[[#This Row],[GWD]])</f>
        <v>4</v>
      </c>
      <c r="S155" s="180">
        <f>Tabela2[[#This Row],[GWO]]+Tabela2[[#This Row],[GWD]]</f>
        <v>2</v>
      </c>
      <c r="T155" s="180">
        <f>SUM(Tabela2[[#This Row],[G]:[GWD]])</f>
        <v>8</v>
      </c>
    </row>
    <row r="156" spans="1:20" ht="30">
      <c r="A156" s="183">
        <v>155</v>
      </c>
      <c r="B156" s="171" t="s">
        <v>589</v>
      </c>
      <c r="C156" s="171" t="s">
        <v>538</v>
      </c>
      <c r="D156" s="171">
        <v>3</v>
      </c>
      <c r="E156" s="171" t="s">
        <v>251</v>
      </c>
      <c r="F156" s="171">
        <v>1</v>
      </c>
      <c r="G156" s="171">
        <v>1</v>
      </c>
      <c r="H156" s="171">
        <v>1</v>
      </c>
      <c r="I156" s="171">
        <v>1</v>
      </c>
      <c r="J156" s="171">
        <v>1</v>
      </c>
      <c r="K156" s="171">
        <v>1</v>
      </c>
      <c r="L156" s="171">
        <v>1</v>
      </c>
      <c r="M156" s="171">
        <v>1</v>
      </c>
      <c r="N156" s="170"/>
      <c r="O156" s="170"/>
      <c r="P156" s="170"/>
      <c r="Q156" s="180">
        <f>SUM(Tabela2[[#This Row],[G]]+Tabela2[[#This Row],[D]]+Tabela2[[#This Row],[N]]+Tabela2[[#This Row],[HM]])</f>
        <v>4</v>
      </c>
      <c r="R156" s="180">
        <f>SUM(Tabela2[[#This Row],[AO]]+Tabela2[[#This Row],[AD]]+Tabela2[[#This Row],[GWO]]+Tabela2[[#This Row],[GWD]])</f>
        <v>4</v>
      </c>
      <c r="S156" s="180">
        <f>Tabela2[[#This Row],[GWO]]+Tabela2[[#This Row],[GWD]]</f>
        <v>2</v>
      </c>
      <c r="T156" s="180">
        <f>SUM(Tabela2[[#This Row],[G]:[GWD]])</f>
        <v>8</v>
      </c>
    </row>
    <row r="157" spans="1:20">
      <c r="A157" s="183">
        <v>156</v>
      </c>
      <c r="B157" s="171" t="s">
        <v>588</v>
      </c>
      <c r="C157" s="171" t="s">
        <v>536</v>
      </c>
      <c r="D157" s="171">
        <v>3</v>
      </c>
      <c r="E157" s="171" t="s">
        <v>251</v>
      </c>
      <c r="F157" s="171">
        <v>2</v>
      </c>
      <c r="G157" s="171">
        <v>2</v>
      </c>
      <c r="H157" s="171">
        <v>1</v>
      </c>
      <c r="I157" s="171">
        <v>1</v>
      </c>
      <c r="J157" s="171">
        <v>1</v>
      </c>
      <c r="K157" s="171">
        <v>3</v>
      </c>
      <c r="L157" s="171">
        <v>2</v>
      </c>
      <c r="M157" s="171">
        <v>1</v>
      </c>
      <c r="N157" s="170"/>
      <c r="O157" s="170"/>
      <c r="P157" s="170"/>
      <c r="Q157" s="180">
        <f>SUM(Tabela2[[#This Row],[G]]+Tabela2[[#This Row],[D]]+Tabela2[[#This Row],[N]]+Tabela2[[#This Row],[HM]])</f>
        <v>8</v>
      </c>
      <c r="R157" s="180">
        <f>SUM(Tabela2[[#This Row],[AO]]+Tabela2[[#This Row],[AD]]+Tabela2[[#This Row],[GWO]]+Tabela2[[#This Row],[GWD]])</f>
        <v>5</v>
      </c>
      <c r="S157" s="180">
        <f>Tabela2[[#This Row],[GWO]]+Tabela2[[#This Row],[GWD]]</f>
        <v>3</v>
      </c>
      <c r="T157" s="180">
        <f>SUM(Tabela2[[#This Row],[G]:[GWD]])</f>
        <v>13</v>
      </c>
    </row>
    <row r="158" spans="1:20" ht="30">
      <c r="A158" s="183">
        <v>157</v>
      </c>
      <c r="B158" s="171" t="s">
        <v>587</v>
      </c>
      <c r="C158" s="171" t="s">
        <v>534</v>
      </c>
      <c r="D158" s="171">
        <v>3</v>
      </c>
      <c r="E158" s="171" t="s">
        <v>251</v>
      </c>
      <c r="F158" s="171">
        <v>1</v>
      </c>
      <c r="G158" s="171">
        <v>1</v>
      </c>
      <c r="H158" s="171">
        <v>1</v>
      </c>
      <c r="I158" s="171">
        <v>1</v>
      </c>
      <c r="J158" s="171">
        <v>1</v>
      </c>
      <c r="K158" s="171">
        <v>1</v>
      </c>
      <c r="L158" s="171">
        <v>1</v>
      </c>
      <c r="M158" s="171">
        <v>1</v>
      </c>
      <c r="N158" s="170"/>
      <c r="O158" s="170"/>
      <c r="P158" s="170"/>
      <c r="Q158" s="180">
        <f>SUM(Tabela2[[#This Row],[G]]+Tabela2[[#This Row],[D]]+Tabela2[[#This Row],[N]]+Tabela2[[#This Row],[HM]])</f>
        <v>4</v>
      </c>
      <c r="R158" s="180">
        <f>SUM(Tabela2[[#This Row],[AO]]+Tabela2[[#This Row],[AD]]+Tabela2[[#This Row],[GWO]]+Tabela2[[#This Row],[GWD]])</f>
        <v>4</v>
      </c>
      <c r="S158" s="180">
        <f>Tabela2[[#This Row],[GWO]]+Tabela2[[#This Row],[GWD]]</f>
        <v>2</v>
      </c>
      <c r="T158" s="180">
        <f>SUM(Tabela2[[#This Row],[G]:[GWD]])</f>
        <v>8</v>
      </c>
    </row>
    <row r="159" spans="1:20" ht="30">
      <c r="A159" s="183">
        <v>158</v>
      </c>
      <c r="B159" s="171" t="s">
        <v>586</v>
      </c>
      <c r="C159" s="171" t="s">
        <v>532</v>
      </c>
      <c r="D159" s="171">
        <v>3</v>
      </c>
      <c r="E159" s="171" t="s">
        <v>251</v>
      </c>
      <c r="F159" s="171">
        <v>1</v>
      </c>
      <c r="G159" s="171">
        <v>1</v>
      </c>
      <c r="H159" s="171">
        <v>1</v>
      </c>
      <c r="I159" s="171">
        <v>1</v>
      </c>
      <c r="J159" s="171">
        <v>1</v>
      </c>
      <c r="K159" s="171">
        <v>1</v>
      </c>
      <c r="L159" s="171">
        <v>1</v>
      </c>
      <c r="M159" s="171">
        <v>1</v>
      </c>
      <c r="N159" s="170"/>
      <c r="O159" s="170"/>
      <c r="P159" s="170"/>
      <c r="Q159" s="180">
        <f>SUM(Tabela2[[#This Row],[G]]+Tabela2[[#This Row],[D]]+Tabela2[[#This Row],[N]]+Tabela2[[#This Row],[HM]])</f>
        <v>4</v>
      </c>
      <c r="R159" s="180">
        <f>SUM(Tabela2[[#This Row],[AO]]+Tabela2[[#This Row],[AD]]+Tabela2[[#This Row],[GWO]]+Tabela2[[#This Row],[GWD]])</f>
        <v>4</v>
      </c>
      <c r="S159" s="180">
        <f>Tabela2[[#This Row],[GWO]]+Tabela2[[#This Row],[GWD]]</f>
        <v>2</v>
      </c>
      <c r="T159" s="180">
        <f>SUM(Tabela2[[#This Row],[G]:[GWD]])</f>
        <v>8</v>
      </c>
    </row>
    <row r="160" spans="1:20" ht="30">
      <c r="A160" s="183">
        <v>159</v>
      </c>
      <c r="B160" s="171" t="s">
        <v>585</v>
      </c>
      <c r="C160" s="171" t="s">
        <v>530</v>
      </c>
      <c r="D160" s="171">
        <v>3</v>
      </c>
      <c r="E160" s="171" t="s">
        <v>251</v>
      </c>
      <c r="F160" s="171">
        <v>1</v>
      </c>
      <c r="G160" s="171">
        <v>1</v>
      </c>
      <c r="H160" s="171">
        <v>1</v>
      </c>
      <c r="I160" s="171">
        <v>1</v>
      </c>
      <c r="J160" s="171">
        <v>1</v>
      </c>
      <c r="K160" s="171">
        <v>1</v>
      </c>
      <c r="L160" s="171">
        <v>1</v>
      </c>
      <c r="M160" s="171">
        <v>1</v>
      </c>
      <c r="N160" s="170"/>
      <c r="O160" s="170"/>
      <c r="P160" s="170"/>
      <c r="Q160" s="180">
        <f>SUM(Tabela2[[#This Row],[G]]+Tabela2[[#This Row],[D]]+Tabela2[[#This Row],[N]]+Tabela2[[#This Row],[HM]])</f>
        <v>4</v>
      </c>
      <c r="R160" s="180">
        <f>SUM(Tabela2[[#This Row],[AO]]+Tabela2[[#This Row],[AD]]+Tabela2[[#This Row],[GWO]]+Tabela2[[#This Row],[GWD]])</f>
        <v>4</v>
      </c>
      <c r="S160" s="180">
        <f>Tabela2[[#This Row],[GWO]]+Tabela2[[#This Row],[GWD]]</f>
        <v>2</v>
      </c>
      <c r="T160" s="180">
        <f>SUM(Tabela2[[#This Row],[G]:[GWD]])</f>
        <v>8</v>
      </c>
    </row>
    <row r="161" spans="1:20" ht="30">
      <c r="A161" s="183">
        <v>160</v>
      </c>
      <c r="B161" s="171" t="s">
        <v>584</v>
      </c>
      <c r="C161" s="171" t="s">
        <v>528</v>
      </c>
      <c r="D161" s="171">
        <v>3</v>
      </c>
      <c r="E161" s="171" t="s">
        <v>251</v>
      </c>
      <c r="F161" s="171">
        <v>1</v>
      </c>
      <c r="G161" s="171">
        <v>1</v>
      </c>
      <c r="H161" s="171">
        <v>1</v>
      </c>
      <c r="I161" s="171">
        <v>1</v>
      </c>
      <c r="J161" s="171">
        <v>1</v>
      </c>
      <c r="K161" s="171">
        <v>1</v>
      </c>
      <c r="L161" s="171">
        <v>1</v>
      </c>
      <c r="M161" s="171">
        <v>1</v>
      </c>
      <c r="N161" s="170"/>
      <c r="O161" s="170"/>
      <c r="P161" s="170"/>
      <c r="Q161" s="180">
        <f>SUM(Tabela2[[#This Row],[G]]+Tabela2[[#This Row],[D]]+Tabela2[[#This Row],[N]]+Tabela2[[#This Row],[HM]])</f>
        <v>4</v>
      </c>
      <c r="R161" s="180">
        <f>SUM(Tabela2[[#This Row],[AO]]+Tabela2[[#This Row],[AD]]+Tabela2[[#This Row],[GWO]]+Tabela2[[#This Row],[GWD]])</f>
        <v>4</v>
      </c>
      <c r="S161" s="180">
        <f>Tabela2[[#This Row],[GWO]]+Tabela2[[#This Row],[GWD]]</f>
        <v>2</v>
      </c>
      <c r="T161" s="180">
        <f>SUM(Tabela2[[#This Row],[G]:[GWD]])</f>
        <v>8</v>
      </c>
    </row>
    <row r="162" spans="1:20" ht="30">
      <c r="A162" s="183">
        <v>161</v>
      </c>
      <c r="B162" s="171" t="s">
        <v>583</v>
      </c>
      <c r="C162" s="171" t="s">
        <v>526</v>
      </c>
      <c r="D162" s="171">
        <v>3</v>
      </c>
      <c r="E162" s="171" t="s">
        <v>251</v>
      </c>
      <c r="F162" s="171">
        <v>1</v>
      </c>
      <c r="G162" s="171">
        <v>1</v>
      </c>
      <c r="H162" s="171">
        <v>1</v>
      </c>
      <c r="I162" s="171">
        <v>1</v>
      </c>
      <c r="J162" s="171">
        <v>1</v>
      </c>
      <c r="K162" s="171">
        <v>1</v>
      </c>
      <c r="L162" s="171">
        <v>1</v>
      </c>
      <c r="M162" s="171">
        <v>1</v>
      </c>
      <c r="N162" s="170"/>
      <c r="O162" s="170"/>
      <c r="P162" s="170"/>
      <c r="Q162" s="180">
        <f>SUM(Tabela2[[#This Row],[G]]+Tabela2[[#This Row],[D]]+Tabela2[[#This Row],[N]]+Tabela2[[#This Row],[HM]])</f>
        <v>4</v>
      </c>
      <c r="R162" s="180">
        <f>SUM(Tabela2[[#This Row],[AO]]+Tabela2[[#This Row],[AD]]+Tabela2[[#This Row],[GWO]]+Tabela2[[#This Row],[GWD]])</f>
        <v>4</v>
      </c>
      <c r="S162" s="180">
        <f>Tabela2[[#This Row],[GWO]]+Tabela2[[#This Row],[GWD]]</f>
        <v>2</v>
      </c>
      <c r="T162" s="180">
        <f>SUM(Tabela2[[#This Row],[G]:[GWD]])</f>
        <v>8</v>
      </c>
    </row>
    <row r="163" spans="1:20">
      <c r="A163" s="183">
        <v>162</v>
      </c>
      <c r="B163" s="171" t="s">
        <v>582</v>
      </c>
      <c r="C163" s="171" t="s">
        <v>284</v>
      </c>
      <c r="D163" s="171">
        <v>3</v>
      </c>
      <c r="E163" s="171" t="s">
        <v>251</v>
      </c>
      <c r="F163" s="171">
        <v>1</v>
      </c>
      <c r="G163" s="171">
        <v>1</v>
      </c>
      <c r="H163" s="171">
        <v>1</v>
      </c>
      <c r="I163" s="171">
        <v>1</v>
      </c>
      <c r="J163" s="171">
        <v>1</v>
      </c>
      <c r="K163" s="171">
        <v>1</v>
      </c>
      <c r="L163" s="171">
        <v>1</v>
      </c>
      <c r="M163" s="171">
        <v>1</v>
      </c>
      <c r="N163" s="170"/>
      <c r="O163" s="170"/>
      <c r="P163" s="170"/>
      <c r="Q163" s="180">
        <f>SUM(Tabela2[[#This Row],[G]]+Tabela2[[#This Row],[D]]+Tabela2[[#This Row],[N]]+Tabela2[[#This Row],[HM]])</f>
        <v>4</v>
      </c>
      <c r="R163" s="180">
        <f>SUM(Tabela2[[#This Row],[AO]]+Tabela2[[#This Row],[AD]]+Tabela2[[#This Row],[GWO]]+Tabela2[[#This Row],[GWD]])</f>
        <v>4</v>
      </c>
      <c r="S163" s="180">
        <f>Tabela2[[#This Row],[GWO]]+Tabela2[[#This Row],[GWD]]</f>
        <v>2</v>
      </c>
      <c r="T163" s="180">
        <f>SUM(Tabela2[[#This Row],[G]:[GWD]])</f>
        <v>8</v>
      </c>
    </row>
    <row r="164" spans="1:20">
      <c r="A164" s="183">
        <v>163</v>
      </c>
      <c r="B164" s="171" t="s">
        <v>581</v>
      </c>
      <c r="C164" s="171" t="s">
        <v>376</v>
      </c>
      <c r="D164" s="171">
        <v>3</v>
      </c>
      <c r="E164" s="171" t="s">
        <v>251</v>
      </c>
      <c r="F164" s="171">
        <v>1</v>
      </c>
      <c r="G164" s="171">
        <v>1</v>
      </c>
      <c r="H164" s="171">
        <v>1</v>
      </c>
      <c r="I164" s="171">
        <v>1</v>
      </c>
      <c r="J164" s="171">
        <v>1</v>
      </c>
      <c r="K164" s="171">
        <v>1</v>
      </c>
      <c r="L164" s="171">
        <v>1</v>
      </c>
      <c r="M164" s="171">
        <v>1</v>
      </c>
      <c r="N164" s="170"/>
      <c r="O164" s="170"/>
      <c r="P164" s="170"/>
      <c r="Q164" s="180">
        <f>SUM(Tabela2[[#This Row],[G]]+Tabela2[[#This Row],[D]]+Tabela2[[#This Row],[N]]+Tabela2[[#This Row],[HM]])</f>
        <v>4</v>
      </c>
      <c r="R164" s="180">
        <f>SUM(Tabela2[[#This Row],[AO]]+Tabela2[[#This Row],[AD]]+Tabela2[[#This Row],[GWO]]+Tabela2[[#This Row],[GWD]])</f>
        <v>4</v>
      </c>
      <c r="S164" s="180">
        <f>Tabela2[[#This Row],[GWO]]+Tabela2[[#This Row],[GWD]]</f>
        <v>2</v>
      </c>
      <c r="T164" s="180">
        <f>SUM(Tabela2[[#This Row],[G]:[GWD]])</f>
        <v>8</v>
      </c>
    </row>
    <row r="165" spans="1:20">
      <c r="A165" s="183">
        <v>164</v>
      </c>
      <c r="B165" s="171" t="s">
        <v>580</v>
      </c>
      <c r="C165" s="171" t="s">
        <v>267</v>
      </c>
      <c r="D165" s="171">
        <v>3</v>
      </c>
      <c r="E165" s="171" t="s">
        <v>251</v>
      </c>
      <c r="F165" s="171">
        <v>1</v>
      </c>
      <c r="G165" s="171">
        <v>1</v>
      </c>
      <c r="H165" s="171">
        <v>1</v>
      </c>
      <c r="I165" s="171">
        <v>2</v>
      </c>
      <c r="J165" s="171">
        <v>3</v>
      </c>
      <c r="K165" s="171">
        <v>2</v>
      </c>
      <c r="L165" s="171">
        <v>3</v>
      </c>
      <c r="M165" s="171">
        <v>3</v>
      </c>
      <c r="N165" s="170"/>
      <c r="O165" s="170"/>
      <c r="P165" s="170"/>
      <c r="Q165" s="180">
        <f>SUM(Tabela2[[#This Row],[G]]+Tabela2[[#This Row],[D]]+Tabela2[[#This Row],[N]]+Tabela2[[#This Row],[HM]])</f>
        <v>5</v>
      </c>
      <c r="R165" s="180">
        <f>SUM(Tabela2[[#This Row],[AO]]+Tabela2[[#This Row],[AD]]+Tabela2[[#This Row],[GWO]]+Tabela2[[#This Row],[GWD]])</f>
        <v>11</v>
      </c>
      <c r="S165" s="180">
        <f>Tabela2[[#This Row],[GWO]]+Tabela2[[#This Row],[GWD]]</f>
        <v>6</v>
      </c>
      <c r="T165" s="180">
        <f>SUM(Tabela2[[#This Row],[G]:[GWD]])</f>
        <v>16</v>
      </c>
    </row>
    <row r="166" spans="1:20">
      <c r="A166" s="183">
        <v>165</v>
      </c>
      <c r="B166" s="171" t="s">
        <v>579</v>
      </c>
      <c r="C166" s="171" t="s">
        <v>578</v>
      </c>
      <c r="D166" s="171">
        <v>3</v>
      </c>
      <c r="E166" s="171" t="s">
        <v>251</v>
      </c>
      <c r="F166" s="171">
        <v>1</v>
      </c>
      <c r="G166" s="171">
        <v>1</v>
      </c>
      <c r="H166" s="171">
        <v>1</v>
      </c>
      <c r="I166" s="171">
        <v>1</v>
      </c>
      <c r="J166" s="171">
        <v>1</v>
      </c>
      <c r="K166" s="171">
        <v>1</v>
      </c>
      <c r="L166" s="171">
        <v>1</v>
      </c>
      <c r="M166" s="171">
        <v>1</v>
      </c>
      <c r="N166" s="170"/>
      <c r="O166" s="170"/>
      <c r="P166" s="170"/>
      <c r="Q166" s="180">
        <f>SUM(Tabela2[[#This Row],[G]]+Tabela2[[#This Row],[D]]+Tabela2[[#This Row],[N]]+Tabela2[[#This Row],[HM]])</f>
        <v>4</v>
      </c>
      <c r="R166" s="180">
        <f>SUM(Tabela2[[#This Row],[AO]]+Tabela2[[#This Row],[AD]]+Tabela2[[#This Row],[GWO]]+Tabela2[[#This Row],[GWD]])</f>
        <v>4</v>
      </c>
      <c r="S166" s="180">
        <f>Tabela2[[#This Row],[GWO]]+Tabela2[[#This Row],[GWD]]</f>
        <v>2</v>
      </c>
      <c r="T166" s="180">
        <f>SUM(Tabela2[[#This Row],[G]:[GWD]])</f>
        <v>8</v>
      </c>
    </row>
    <row r="167" spans="1:20">
      <c r="A167" s="183">
        <v>166</v>
      </c>
      <c r="B167" s="171" t="s">
        <v>577</v>
      </c>
      <c r="C167" s="171" t="s">
        <v>521</v>
      </c>
      <c r="D167" s="171">
        <v>3</v>
      </c>
      <c r="E167" s="171" t="s">
        <v>251</v>
      </c>
      <c r="F167" s="171">
        <v>1</v>
      </c>
      <c r="G167" s="171">
        <v>1</v>
      </c>
      <c r="H167" s="171">
        <v>1</v>
      </c>
      <c r="I167" s="171">
        <v>1</v>
      </c>
      <c r="J167" s="171">
        <v>2</v>
      </c>
      <c r="K167" s="171">
        <v>1</v>
      </c>
      <c r="L167" s="171">
        <v>1</v>
      </c>
      <c r="M167" s="171">
        <v>3</v>
      </c>
      <c r="N167" s="170"/>
      <c r="O167" s="170"/>
      <c r="P167" s="170"/>
      <c r="Q167" s="180">
        <f>SUM(Tabela2[[#This Row],[G]]+Tabela2[[#This Row],[D]]+Tabela2[[#This Row],[N]]+Tabela2[[#This Row],[HM]])</f>
        <v>4</v>
      </c>
      <c r="R167" s="180">
        <f>SUM(Tabela2[[#This Row],[AO]]+Tabela2[[#This Row],[AD]]+Tabela2[[#This Row],[GWO]]+Tabela2[[#This Row],[GWD]])</f>
        <v>7</v>
      </c>
      <c r="S167" s="180">
        <f>Tabela2[[#This Row],[GWO]]+Tabela2[[#This Row],[GWD]]</f>
        <v>4</v>
      </c>
      <c r="T167" s="180">
        <f>SUM(Tabela2[[#This Row],[G]:[GWD]])</f>
        <v>11</v>
      </c>
    </row>
    <row r="168" spans="1:20">
      <c r="A168" s="183">
        <v>167</v>
      </c>
      <c r="B168" s="171" t="s">
        <v>576</v>
      </c>
      <c r="C168" s="171" t="s">
        <v>287</v>
      </c>
      <c r="D168" s="171">
        <v>3</v>
      </c>
      <c r="E168" s="171" t="s">
        <v>251</v>
      </c>
      <c r="F168" s="171">
        <v>1</v>
      </c>
      <c r="G168" s="171">
        <v>1</v>
      </c>
      <c r="H168" s="171">
        <v>1</v>
      </c>
      <c r="I168" s="171">
        <v>1</v>
      </c>
      <c r="J168" s="171">
        <v>1</v>
      </c>
      <c r="K168" s="171">
        <v>1</v>
      </c>
      <c r="L168" s="171">
        <v>1</v>
      </c>
      <c r="M168" s="171">
        <v>1</v>
      </c>
      <c r="N168" s="171" t="s">
        <v>445</v>
      </c>
      <c r="O168" s="171"/>
      <c r="P168" s="171"/>
      <c r="Q168" s="187">
        <f>SUM(Tabela2[[#This Row],[G]]+Tabela2[[#This Row],[D]]+Tabela2[[#This Row],[N]]+Tabela2[[#This Row],[HM]])</f>
        <v>4</v>
      </c>
      <c r="R168" s="187">
        <f>SUM(Tabela2[[#This Row],[AO]]+Tabela2[[#This Row],[AD]]+Tabela2[[#This Row],[GWO]]+Tabela2[[#This Row],[GWD]])</f>
        <v>4</v>
      </c>
      <c r="S168" s="187">
        <f>Tabela2[[#This Row],[GWO]]+Tabela2[[#This Row],[GWD]]</f>
        <v>2</v>
      </c>
      <c r="T168" s="180">
        <f>SUM(Tabela2[[#This Row],[G]:[GWD]])</f>
        <v>8</v>
      </c>
    </row>
    <row r="169" spans="1:20">
      <c r="A169" s="183">
        <v>168</v>
      </c>
      <c r="B169" s="170" t="s">
        <v>575</v>
      </c>
      <c r="C169" s="170" t="s">
        <v>574</v>
      </c>
      <c r="D169" s="170">
        <v>3</v>
      </c>
      <c r="E169" s="170" t="s">
        <v>272</v>
      </c>
      <c r="F169" s="170">
        <v>1</v>
      </c>
      <c r="G169" s="170">
        <v>1</v>
      </c>
      <c r="H169" s="170">
        <v>2</v>
      </c>
      <c r="I169" s="170">
        <v>1</v>
      </c>
      <c r="J169" s="170">
        <v>1</v>
      </c>
      <c r="K169" s="170">
        <v>1</v>
      </c>
      <c r="L169" s="170">
        <v>1</v>
      </c>
      <c r="M169" s="170">
        <v>1</v>
      </c>
      <c r="N169" s="170"/>
      <c r="O169" s="170"/>
      <c r="P169" s="170"/>
      <c r="Q169" s="180">
        <f>SUM(Tabela2[[#This Row],[G]]+Tabela2[[#This Row],[D]]+Tabela2[[#This Row],[N]]+Tabela2[[#This Row],[HM]])</f>
        <v>5</v>
      </c>
      <c r="R169" s="180">
        <f>SUM(Tabela2[[#This Row],[AO]]+Tabela2[[#This Row],[AD]]+Tabela2[[#This Row],[GWO]]+Tabela2[[#This Row],[GWD]])</f>
        <v>4</v>
      </c>
      <c r="S169" s="180">
        <f>Tabela2[[#This Row],[GWO]]+Tabela2[[#This Row],[GWD]]</f>
        <v>2</v>
      </c>
      <c r="T169" s="180">
        <f>SUM(Tabela2[[#This Row],[G]:[GWD]])</f>
        <v>9</v>
      </c>
    </row>
    <row r="170" spans="1:20" ht="30">
      <c r="A170" s="183">
        <v>169</v>
      </c>
      <c r="B170" s="170" t="s">
        <v>573</v>
      </c>
      <c r="C170" s="170" t="s">
        <v>572</v>
      </c>
      <c r="D170" s="170">
        <v>3</v>
      </c>
      <c r="E170" s="170" t="s">
        <v>272</v>
      </c>
      <c r="F170" s="170">
        <v>1</v>
      </c>
      <c r="G170" s="170">
        <v>1</v>
      </c>
      <c r="H170" s="170">
        <v>1</v>
      </c>
      <c r="I170" s="170">
        <v>1</v>
      </c>
      <c r="J170" s="170">
        <v>1</v>
      </c>
      <c r="K170" s="170">
        <v>1</v>
      </c>
      <c r="L170" s="170">
        <v>4</v>
      </c>
      <c r="M170" s="170">
        <v>2</v>
      </c>
      <c r="N170" s="170"/>
      <c r="O170" s="170"/>
      <c r="P170" s="170"/>
      <c r="Q170" s="180">
        <f>SUM(Tabela2[[#This Row],[G]]+Tabela2[[#This Row],[D]]+Tabela2[[#This Row],[N]]+Tabela2[[#This Row],[HM]])</f>
        <v>4</v>
      </c>
      <c r="R170" s="180">
        <f>SUM(Tabela2[[#This Row],[AO]]+Tabela2[[#This Row],[AD]]+Tabela2[[#This Row],[GWO]]+Tabela2[[#This Row],[GWD]])</f>
        <v>8</v>
      </c>
      <c r="S170" s="180">
        <f>Tabela2[[#This Row],[GWO]]+Tabela2[[#This Row],[GWD]]</f>
        <v>6</v>
      </c>
      <c r="T170" s="180">
        <f>SUM(Tabela2[[#This Row],[G]:[GWD]])</f>
        <v>12</v>
      </c>
    </row>
    <row r="171" spans="1:20">
      <c r="A171" s="183">
        <v>170</v>
      </c>
      <c r="B171" s="170" t="s">
        <v>186</v>
      </c>
      <c r="C171" s="170" t="s">
        <v>290</v>
      </c>
      <c r="D171" s="170">
        <v>3</v>
      </c>
      <c r="E171" s="170" t="s">
        <v>272</v>
      </c>
      <c r="F171" s="170">
        <v>3</v>
      </c>
      <c r="G171" s="170">
        <v>3</v>
      </c>
      <c r="H171" s="170">
        <v>1</v>
      </c>
      <c r="I171" s="170">
        <v>2</v>
      </c>
      <c r="J171" s="170">
        <v>2</v>
      </c>
      <c r="K171" s="170">
        <v>3</v>
      </c>
      <c r="L171" s="170">
        <v>2</v>
      </c>
      <c r="M171" s="170">
        <v>2</v>
      </c>
      <c r="N171" s="170"/>
      <c r="O171" s="170" t="s">
        <v>204</v>
      </c>
      <c r="P171" s="170"/>
      <c r="Q171" s="180">
        <f>SUM(Tabela2[[#This Row],[G]]+Tabela2[[#This Row],[D]]+Tabela2[[#This Row],[N]]+Tabela2[[#This Row],[HM]])</f>
        <v>10</v>
      </c>
      <c r="R171" s="180">
        <f>SUM(Tabela2[[#This Row],[AO]]+Tabela2[[#This Row],[AD]]+Tabela2[[#This Row],[GWO]]+Tabela2[[#This Row],[GWD]])</f>
        <v>8</v>
      </c>
      <c r="S171" s="180">
        <f>Tabela2[[#This Row],[GWO]]+Tabela2[[#This Row],[GWD]]</f>
        <v>4</v>
      </c>
      <c r="T171" s="180">
        <f>SUM(Tabela2[[#This Row],[G]:[GWD]])</f>
        <v>18</v>
      </c>
    </row>
    <row r="172" spans="1:20" ht="30">
      <c r="A172" s="183">
        <v>171</v>
      </c>
      <c r="B172" s="170" t="s">
        <v>571</v>
      </c>
      <c r="C172" s="170" t="s">
        <v>570</v>
      </c>
      <c r="D172" s="170">
        <v>3</v>
      </c>
      <c r="E172" s="170" t="s">
        <v>272</v>
      </c>
      <c r="F172" s="170">
        <v>1</v>
      </c>
      <c r="G172" s="170">
        <v>2</v>
      </c>
      <c r="H172" s="170">
        <v>3</v>
      </c>
      <c r="I172" s="170">
        <v>1</v>
      </c>
      <c r="J172" s="170">
        <v>1</v>
      </c>
      <c r="K172" s="170">
        <v>2</v>
      </c>
      <c r="L172" s="170">
        <v>1</v>
      </c>
      <c r="M172" s="170">
        <v>1</v>
      </c>
      <c r="N172" s="170"/>
      <c r="O172" s="170"/>
      <c r="P172" s="170"/>
      <c r="Q172" s="180">
        <f>SUM(Tabela2[[#This Row],[G]]+Tabela2[[#This Row],[D]]+Tabela2[[#This Row],[N]]+Tabela2[[#This Row],[HM]])</f>
        <v>8</v>
      </c>
      <c r="R172" s="180">
        <f>SUM(Tabela2[[#This Row],[AO]]+Tabela2[[#This Row],[AD]]+Tabela2[[#This Row],[GWO]]+Tabela2[[#This Row],[GWD]])</f>
        <v>4</v>
      </c>
      <c r="S172" s="180">
        <f>Tabela2[[#This Row],[GWO]]+Tabela2[[#This Row],[GWD]]</f>
        <v>2</v>
      </c>
      <c r="T172" s="180">
        <f>SUM(Tabela2[[#This Row],[G]:[GWD]])</f>
        <v>12</v>
      </c>
    </row>
    <row r="173" spans="1:20" ht="30">
      <c r="A173" s="183">
        <v>172</v>
      </c>
      <c r="B173" s="170" t="s">
        <v>569</v>
      </c>
      <c r="C173" s="170" t="s">
        <v>568</v>
      </c>
      <c r="D173" s="170">
        <v>3</v>
      </c>
      <c r="E173" s="170" t="s">
        <v>272</v>
      </c>
      <c r="F173" s="170">
        <v>1</v>
      </c>
      <c r="G173" s="170">
        <v>1</v>
      </c>
      <c r="H173" s="170">
        <v>1</v>
      </c>
      <c r="I173" s="170">
        <v>1</v>
      </c>
      <c r="J173" s="170">
        <v>1</v>
      </c>
      <c r="K173" s="170">
        <v>1</v>
      </c>
      <c r="L173" s="170">
        <v>1</v>
      </c>
      <c r="M173" s="170">
        <v>1</v>
      </c>
      <c r="N173" s="170"/>
      <c r="O173" s="170"/>
      <c r="P173" s="170"/>
      <c r="Q173" s="180">
        <f>SUM(Tabela2[[#This Row],[G]]+Tabela2[[#This Row],[D]]+Tabela2[[#This Row],[N]]+Tabela2[[#This Row],[HM]])</f>
        <v>4</v>
      </c>
      <c r="R173" s="180">
        <f>SUM(Tabela2[[#This Row],[AO]]+Tabela2[[#This Row],[AD]]+Tabela2[[#This Row],[GWO]]+Tabela2[[#This Row],[GWD]])</f>
        <v>4</v>
      </c>
      <c r="S173" s="180">
        <f>Tabela2[[#This Row],[GWO]]+Tabela2[[#This Row],[GWD]]</f>
        <v>2</v>
      </c>
      <c r="T173" s="180">
        <f>SUM(Tabela2[[#This Row],[G]:[GWD]])</f>
        <v>8</v>
      </c>
    </row>
    <row r="174" spans="1:20" ht="30">
      <c r="A174" s="183">
        <v>173</v>
      </c>
      <c r="B174" s="170" t="s">
        <v>567</v>
      </c>
      <c r="C174" s="170" t="s">
        <v>566</v>
      </c>
      <c r="D174" s="170">
        <v>3</v>
      </c>
      <c r="E174" s="170" t="s">
        <v>272</v>
      </c>
      <c r="F174" s="170">
        <v>1</v>
      </c>
      <c r="G174" s="170">
        <v>1</v>
      </c>
      <c r="H174" s="170">
        <v>1</v>
      </c>
      <c r="I174" s="170">
        <v>1</v>
      </c>
      <c r="J174" s="170">
        <v>1</v>
      </c>
      <c r="K174" s="170">
        <v>1</v>
      </c>
      <c r="L174" s="170">
        <v>1</v>
      </c>
      <c r="M174" s="170">
        <v>1</v>
      </c>
      <c r="N174" s="170"/>
      <c r="O174" s="170"/>
      <c r="P174" s="170"/>
      <c r="Q174" s="180">
        <f>SUM(Tabela2[[#This Row],[G]]+Tabela2[[#This Row],[D]]+Tabela2[[#This Row],[N]]+Tabela2[[#This Row],[HM]])</f>
        <v>4</v>
      </c>
      <c r="R174" s="180">
        <f>SUM(Tabela2[[#This Row],[AO]]+Tabela2[[#This Row],[AD]]+Tabela2[[#This Row],[GWO]]+Tabela2[[#This Row],[GWD]])</f>
        <v>4</v>
      </c>
      <c r="S174" s="180">
        <f>Tabela2[[#This Row],[GWO]]+Tabela2[[#This Row],[GWD]]</f>
        <v>2</v>
      </c>
      <c r="T174" s="180">
        <f>SUM(Tabela2[[#This Row],[G]:[GWD]])</f>
        <v>8</v>
      </c>
    </row>
    <row r="175" spans="1:20">
      <c r="A175" s="183">
        <v>174</v>
      </c>
      <c r="B175" s="177" t="s">
        <v>565</v>
      </c>
      <c r="C175" s="177" t="s">
        <v>565</v>
      </c>
      <c r="D175" s="177">
        <v>3</v>
      </c>
      <c r="E175" s="177" t="s">
        <v>272</v>
      </c>
      <c r="F175" s="177"/>
      <c r="G175" s="177"/>
      <c r="H175" s="177"/>
      <c r="I175" s="177"/>
      <c r="J175" s="177"/>
      <c r="K175" s="177"/>
      <c r="L175" s="177"/>
      <c r="M175" s="177"/>
      <c r="N175" s="177"/>
      <c r="O175" s="177"/>
      <c r="P175" s="177"/>
      <c r="Q175" s="182">
        <f>SUM(Tabela2[[#This Row],[G]]+Tabela2[[#This Row],[D]]+Tabela2[[#This Row],[N]]+Tabela2[[#This Row],[HM]])</f>
        <v>0</v>
      </c>
      <c r="R175" s="182">
        <f>SUM(Tabela2[[#This Row],[AO]]+Tabela2[[#This Row],[AD]]+Tabela2[[#This Row],[GWO]]+Tabela2[[#This Row],[GWD]])</f>
        <v>0</v>
      </c>
      <c r="S175" s="182">
        <f>Tabela2[[#This Row],[GWO]]+Tabela2[[#This Row],[GWD]]</f>
        <v>0</v>
      </c>
      <c r="T175" s="182">
        <f>SUM(Tabela2[[#This Row],[G]:[GWD]])</f>
        <v>0</v>
      </c>
    </row>
    <row r="176" spans="1:20" ht="30">
      <c r="A176" s="183">
        <v>175</v>
      </c>
      <c r="B176" s="170" t="s">
        <v>564</v>
      </c>
      <c r="C176" s="170" t="s">
        <v>563</v>
      </c>
      <c r="D176" s="170">
        <v>3</v>
      </c>
      <c r="E176" s="170" t="s">
        <v>272</v>
      </c>
      <c r="F176" s="170">
        <v>1</v>
      </c>
      <c r="G176" s="170">
        <v>1</v>
      </c>
      <c r="H176" s="170">
        <v>1</v>
      </c>
      <c r="I176" s="170">
        <v>1</v>
      </c>
      <c r="J176" s="170">
        <v>1</v>
      </c>
      <c r="K176" s="170">
        <v>1</v>
      </c>
      <c r="L176" s="170">
        <v>1</v>
      </c>
      <c r="M176" s="170">
        <v>1</v>
      </c>
      <c r="N176" s="170"/>
      <c r="O176" s="170"/>
      <c r="P176" s="170"/>
      <c r="Q176" s="180">
        <f>SUM(Tabela2[[#This Row],[G]]+Tabela2[[#This Row],[D]]+Tabela2[[#This Row],[N]]+Tabela2[[#This Row],[HM]])</f>
        <v>4</v>
      </c>
      <c r="R176" s="180">
        <f>SUM(Tabela2[[#This Row],[AO]]+Tabela2[[#This Row],[AD]]+Tabela2[[#This Row],[GWO]]+Tabela2[[#This Row],[GWD]])</f>
        <v>4</v>
      </c>
      <c r="S176" s="180">
        <f>Tabela2[[#This Row],[GWO]]+Tabela2[[#This Row],[GWD]]</f>
        <v>2</v>
      </c>
      <c r="T176" s="180">
        <f>SUM(Tabela2[[#This Row],[G]:[GWD]])</f>
        <v>8</v>
      </c>
    </row>
    <row r="177" spans="1:20">
      <c r="A177" s="183">
        <v>176</v>
      </c>
      <c r="B177" s="170" t="s">
        <v>562</v>
      </c>
      <c r="C177" s="170" t="s">
        <v>561</v>
      </c>
      <c r="D177" s="170">
        <v>3</v>
      </c>
      <c r="E177" s="170" t="s">
        <v>272</v>
      </c>
      <c r="F177" s="170">
        <v>1</v>
      </c>
      <c r="G177" s="170">
        <v>1</v>
      </c>
      <c r="H177" s="170">
        <v>1</v>
      </c>
      <c r="I177" s="170">
        <v>1</v>
      </c>
      <c r="J177" s="170">
        <v>1</v>
      </c>
      <c r="K177" s="170">
        <v>1</v>
      </c>
      <c r="L177" s="170">
        <v>2</v>
      </c>
      <c r="M177" s="170">
        <v>1</v>
      </c>
      <c r="N177" s="170"/>
      <c r="O177" s="170"/>
      <c r="P177" s="170"/>
      <c r="Q177" s="180">
        <f>SUM(Tabela2[[#This Row],[G]]+Tabela2[[#This Row],[D]]+Tabela2[[#This Row],[N]]+Tabela2[[#This Row],[HM]])</f>
        <v>4</v>
      </c>
      <c r="R177" s="180">
        <f>SUM(Tabela2[[#This Row],[AO]]+Tabela2[[#This Row],[AD]]+Tabela2[[#This Row],[GWO]]+Tabela2[[#This Row],[GWD]])</f>
        <v>5</v>
      </c>
      <c r="S177" s="180">
        <f>Tabela2[[#This Row],[GWO]]+Tabela2[[#This Row],[GWD]]</f>
        <v>3</v>
      </c>
      <c r="T177" s="180">
        <f>SUM(Tabela2[[#This Row],[G]:[GWD]])</f>
        <v>9</v>
      </c>
    </row>
    <row r="178" spans="1:20">
      <c r="A178" s="183">
        <v>177</v>
      </c>
      <c r="B178" s="170" t="s">
        <v>560</v>
      </c>
      <c r="C178" s="170" t="s">
        <v>559</v>
      </c>
      <c r="D178" s="170">
        <v>3</v>
      </c>
      <c r="E178" s="170" t="s">
        <v>272</v>
      </c>
      <c r="F178" s="170">
        <v>1</v>
      </c>
      <c r="G178" s="170">
        <v>1</v>
      </c>
      <c r="H178" s="170">
        <v>1</v>
      </c>
      <c r="I178" s="170">
        <v>1</v>
      </c>
      <c r="J178" s="170">
        <v>1</v>
      </c>
      <c r="K178" s="170">
        <v>3</v>
      </c>
      <c r="L178" s="170">
        <v>1</v>
      </c>
      <c r="M178" s="170">
        <v>1</v>
      </c>
      <c r="N178" s="170"/>
      <c r="O178" s="170"/>
      <c r="P178" s="170"/>
      <c r="Q178" s="180">
        <f>SUM(Tabela2[[#This Row],[G]]+Tabela2[[#This Row],[D]]+Tabela2[[#This Row],[N]]+Tabela2[[#This Row],[HM]])</f>
        <v>6</v>
      </c>
      <c r="R178" s="180">
        <f>SUM(Tabela2[[#This Row],[AO]]+Tabela2[[#This Row],[AD]]+Tabela2[[#This Row],[GWO]]+Tabela2[[#This Row],[GWD]])</f>
        <v>4</v>
      </c>
      <c r="S178" s="180">
        <f>Tabela2[[#This Row],[GWO]]+Tabela2[[#This Row],[GWD]]</f>
        <v>2</v>
      </c>
      <c r="T178" s="180">
        <f>SUM(Tabela2[[#This Row],[G]:[GWD]])</f>
        <v>10</v>
      </c>
    </row>
    <row r="179" spans="1:20" ht="30">
      <c r="A179" s="183">
        <v>178</v>
      </c>
      <c r="B179" s="170" t="s">
        <v>558</v>
      </c>
      <c r="C179" s="170" t="s">
        <v>557</v>
      </c>
      <c r="D179" s="170">
        <v>3</v>
      </c>
      <c r="E179" s="170" t="s">
        <v>272</v>
      </c>
      <c r="F179" s="170">
        <v>1</v>
      </c>
      <c r="G179" s="170">
        <v>1</v>
      </c>
      <c r="H179" s="170">
        <v>1</v>
      </c>
      <c r="I179" s="170">
        <v>1</v>
      </c>
      <c r="J179" s="170">
        <v>1</v>
      </c>
      <c r="K179" s="170">
        <v>1</v>
      </c>
      <c r="L179" s="170">
        <v>1</v>
      </c>
      <c r="M179" s="170">
        <v>1</v>
      </c>
      <c r="N179" s="170"/>
      <c r="O179" s="170"/>
      <c r="P179" s="170"/>
      <c r="Q179" s="180">
        <f>SUM(Tabela2[[#This Row],[G]]+Tabela2[[#This Row],[D]]+Tabela2[[#This Row],[N]]+Tabela2[[#This Row],[HM]])</f>
        <v>4</v>
      </c>
      <c r="R179" s="180">
        <f>SUM(Tabela2[[#This Row],[AO]]+Tabela2[[#This Row],[AD]]+Tabela2[[#This Row],[GWO]]+Tabela2[[#This Row],[GWD]])</f>
        <v>4</v>
      </c>
      <c r="S179" s="180">
        <f>Tabela2[[#This Row],[GWO]]+Tabela2[[#This Row],[GWD]]</f>
        <v>2</v>
      </c>
      <c r="T179" s="180">
        <f>SUM(Tabela2[[#This Row],[G]:[GWD]])</f>
        <v>8</v>
      </c>
    </row>
    <row r="180" spans="1:20">
      <c r="A180" s="183">
        <v>179</v>
      </c>
      <c r="B180" s="170" t="s">
        <v>556</v>
      </c>
      <c r="C180" s="170" t="s">
        <v>555</v>
      </c>
      <c r="D180" s="170">
        <v>3</v>
      </c>
      <c r="E180" s="170" t="s">
        <v>272</v>
      </c>
      <c r="F180" s="170">
        <v>2</v>
      </c>
      <c r="G180" s="170">
        <v>2</v>
      </c>
      <c r="H180" s="170">
        <v>1</v>
      </c>
      <c r="I180" s="170">
        <v>2</v>
      </c>
      <c r="J180" s="170">
        <v>2</v>
      </c>
      <c r="K180" s="170">
        <v>1</v>
      </c>
      <c r="L180" s="170">
        <v>2</v>
      </c>
      <c r="M180" s="170">
        <v>1</v>
      </c>
      <c r="N180" s="170"/>
      <c r="O180" s="170"/>
      <c r="P180" s="170"/>
      <c r="Q180" s="180">
        <f>SUM(Tabela2[[#This Row],[G]]+Tabela2[[#This Row],[D]]+Tabela2[[#This Row],[N]]+Tabela2[[#This Row],[HM]])</f>
        <v>6</v>
      </c>
      <c r="R180" s="180">
        <f>SUM(Tabela2[[#This Row],[AO]]+Tabela2[[#This Row],[AD]]+Tabela2[[#This Row],[GWO]]+Tabela2[[#This Row],[GWD]])</f>
        <v>7</v>
      </c>
      <c r="S180" s="180">
        <f>Tabela2[[#This Row],[GWO]]+Tabela2[[#This Row],[GWD]]</f>
        <v>3</v>
      </c>
      <c r="T180" s="180">
        <f>SUM(Tabela2[[#This Row],[G]:[GWD]])</f>
        <v>13</v>
      </c>
    </row>
    <row r="181" spans="1:20">
      <c r="A181" s="183">
        <v>180</v>
      </c>
      <c r="B181" s="170" t="s">
        <v>554</v>
      </c>
      <c r="C181" s="170" t="s">
        <v>283</v>
      </c>
      <c r="D181" s="170">
        <v>3</v>
      </c>
      <c r="E181" s="170" t="s">
        <v>272</v>
      </c>
      <c r="F181" s="170">
        <v>1</v>
      </c>
      <c r="G181" s="170">
        <v>1</v>
      </c>
      <c r="H181" s="170">
        <v>1</v>
      </c>
      <c r="I181" s="170">
        <v>2</v>
      </c>
      <c r="J181" s="170">
        <v>1</v>
      </c>
      <c r="K181" s="170">
        <v>4</v>
      </c>
      <c r="L181" s="170">
        <v>3</v>
      </c>
      <c r="M181" s="170">
        <v>2</v>
      </c>
      <c r="N181" s="170"/>
      <c r="O181" s="170"/>
      <c r="P181" s="170"/>
      <c r="Q181" s="180">
        <f>SUM(Tabela2[[#This Row],[G]]+Tabela2[[#This Row],[D]]+Tabela2[[#This Row],[N]]+Tabela2[[#This Row],[HM]])</f>
        <v>7</v>
      </c>
      <c r="R181" s="180">
        <f>SUM(Tabela2[[#This Row],[AO]]+Tabela2[[#This Row],[AD]]+Tabela2[[#This Row],[GWO]]+Tabela2[[#This Row],[GWD]])</f>
        <v>8</v>
      </c>
      <c r="S181" s="180">
        <f>Tabela2[[#This Row],[GWO]]+Tabela2[[#This Row],[GWD]]</f>
        <v>5</v>
      </c>
      <c r="T181" s="180">
        <f>SUM(Tabela2[[#This Row],[G]:[GWD]])</f>
        <v>15</v>
      </c>
    </row>
    <row r="182" spans="1:20">
      <c r="A182" s="183">
        <v>181</v>
      </c>
      <c r="B182" s="170" t="s">
        <v>553</v>
      </c>
      <c r="C182" s="170" t="s">
        <v>552</v>
      </c>
      <c r="D182" s="170">
        <v>3</v>
      </c>
      <c r="E182" s="170" t="s">
        <v>272</v>
      </c>
      <c r="F182" s="170">
        <v>1</v>
      </c>
      <c r="G182" s="170">
        <v>1</v>
      </c>
      <c r="H182" s="170">
        <v>1</v>
      </c>
      <c r="I182" s="170">
        <v>1</v>
      </c>
      <c r="J182" s="170">
        <v>1</v>
      </c>
      <c r="K182" s="170">
        <v>1</v>
      </c>
      <c r="L182" s="170">
        <v>1</v>
      </c>
      <c r="M182" s="170">
        <v>1</v>
      </c>
      <c r="N182" s="170"/>
      <c r="O182" s="170"/>
      <c r="P182" s="170"/>
      <c r="Q182" s="180">
        <f>SUM(Tabela2[[#This Row],[G]]+Tabela2[[#This Row],[D]]+Tabela2[[#This Row],[N]]+Tabela2[[#This Row],[HM]])</f>
        <v>4</v>
      </c>
      <c r="R182" s="180">
        <f>SUM(Tabela2[[#This Row],[AO]]+Tabela2[[#This Row],[AD]]+Tabela2[[#This Row],[GWO]]+Tabela2[[#This Row],[GWD]])</f>
        <v>4</v>
      </c>
      <c r="S182" s="180">
        <f>Tabela2[[#This Row],[GWO]]+Tabela2[[#This Row],[GWD]]</f>
        <v>2</v>
      </c>
      <c r="T182" s="180">
        <f>SUM(Tabela2[[#This Row],[G]:[GWD]])</f>
        <v>8</v>
      </c>
    </row>
    <row r="183" spans="1:20" ht="30">
      <c r="A183" s="183">
        <v>182</v>
      </c>
      <c r="B183" s="170" t="s">
        <v>551</v>
      </c>
      <c r="C183" s="170" t="s">
        <v>550</v>
      </c>
      <c r="D183" s="170">
        <v>3</v>
      </c>
      <c r="E183" s="170" t="s">
        <v>272</v>
      </c>
      <c r="F183" s="170">
        <v>1</v>
      </c>
      <c r="G183" s="170">
        <v>1</v>
      </c>
      <c r="H183" s="170">
        <v>1</v>
      </c>
      <c r="I183" s="170">
        <v>3</v>
      </c>
      <c r="J183" s="170">
        <v>1</v>
      </c>
      <c r="K183" s="170">
        <v>3</v>
      </c>
      <c r="L183" s="170">
        <v>2</v>
      </c>
      <c r="M183" s="170">
        <v>1</v>
      </c>
      <c r="N183" s="170"/>
      <c r="O183" s="170"/>
      <c r="P183" s="170"/>
      <c r="Q183" s="180">
        <f>SUM(Tabela2[[#This Row],[G]]+Tabela2[[#This Row],[D]]+Tabela2[[#This Row],[N]]+Tabela2[[#This Row],[HM]])</f>
        <v>6</v>
      </c>
      <c r="R183" s="180">
        <f>SUM(Tabela2[[#This Row],[AO]]+Tabela2[[#This Row],[AD]]+Tabela2[[#This Row],[GWO]]+Tabela2[[#This Row],[GWD]])</f>
        <v>7</v>
      </c>
      <c r="S183" s="180">
        <f>Tabela2[[#This Row],[GWO]]+Tabela2[[#This Row],[GWD]]</f>
        <v>3</v>
      </c>
      <c r="T183" s="180">
        <f>SUM(Tabela2[[#This Row],[G]:[GWD]])</f>
        <v>13</v>
      </c>
    </row>
    <row r="184" spans="1:20">
      <c r="A184" s="183">
        <v>183</v>
      </c>
      <c r="B184" s="170" t="s">
        <v>549</v>
      </c>
      <c r="C184" s="170" t="s">
        <v>548</v>
      </c>
      <c r="D184" s="170">
        <v>3</v>
      </c>
      <c r="E184" s="170" t="s">
        <v>272</v>
      </c>
      <c r="F184" s="170">
        <v>1</v>
      </c>
      <c r="G184" s="170">
        <v>1</v>
      </c>
      <c r="H184" s="170">
        <v>3</v>
      </c>
      <c r="I184" s="170">
        <v>1</v>
      </c>
      <c r="J184" s="170">
        <v>1</v>
      </c>
      <c r="K184" s="170">
        <v>1</v>
      </c>
      <c r="L184" s="170">
        <v>1</v>
      </c>
      <c r="M184" s="170">
        <v>1</v>
      </c>
      <c r="N184" s="170"/>
      <c r="O184" s="170"/>
      <c r="P184" s="170"/>
      <c r="Q184" s="180">
        <f>SUM(Tabela2[[#This Row],[G]]+Tabela2[[#This Row],[D]]+Tabela2[[#This Row],[N]]+Tabela2[[#This Row],[HM]])</f>
        <v>6</v>
      </c>
      <c r="R184" s="180">
        <f>SUM(Tabela2[[#This Row],[AO]]+Tabela2[[#This Row],[AD]]+Tabela2[[#This Row],[GWO]]+Tabela2[[#This Row],[GWD]])</f>
        <v>4</v>
      </c>
      <c r="S184" s="180">
        <f>Tabela2[[#This Row],[GWO]]+Tabela2[[#This Row],[GWD]]</f>
        <v>2</v>
      </c>
      <c r="T184" s="180">
        <f>SUM(Tabela2[[#This Row],[G]:[GWD]])</f>
        <v>10</v>
      </c>
    </row>
    <row r="185" spans="1:20">
      <c r="A185" s="183">
        <v>184</v>
      </c>
      <c r="B185" s="170" t="s">
        <v>547</v>
      </c>
      <c r="C185" s="170" t="s">
        <v>546</v>
      </c>
      <c r="D185" s="170">
        <v>3</v>
      </c>
      <c r="E185" s="170" t="s">
        <v>272</v>
      </c>
      <c r="F185" s="170">
        <v>2</v>
      </c>
      <c r="G185" s="170">
        <v>2</v>
      </c>
      <c r="H185" s="170">
        <v>2</v>
      </c>
      <c r="I185" s="170">
        <v>2</v>
      </c>
      <c r="J185" s="170">
        <v>2</v>
      </c>
      <c r="K185" s="170">
        <v>1</v>
      </c>
      <c r="L185" s="170">
        <v>2</v>
      </c>
      <c r="M185" s="170">
        <v>1</v>
      </c>
      <c r="N185" s="170"/>
      <c r="O185" s="170"/>
      <c r="P185" s="170"/>
      <c r="Q185" s="180">
        <f>SUM(Tabela2[[#This Row],[G]]+Tabela2[[#This Row],[D]]+Tabela2[[#This Row],[N]]+Tabela2[[#This Row],[HM]])</f>
        <v>7</v>
      </c>
      <c r="R185" s="180">
        <f>SUM(Tabela2[[#This Row],[AO]]+Tabela2[[#This Row],[AD]]+Tabela2[[#This Row],[GWO]]+Tabela2[[#This Row],[GWD]])</f>
        <v>7</v>
      </c>
      <c r="S185" s="180">
        <f>Tabela2[[#This Row],[GWO]]+Tabela2[[#This Row],[GWD]]</f>
        <v>3</v>
      </c>
      <c r="T185" s="180">
        <f>SUM(Tabela2[[#This Row],[G]:[GWD]])</f>
        <v>14</v>
      </c>
    </row>
    <row r="186" spans="1:20" ht="30">
      <c r="A186" s="183">
        <v>185</v>
      </c>
      <c r="B186" s="170" t="s">
        <v>545</v>
      </c>
      <c r="C186" s="170" t="s">
        <v>544</v>
      </c>
      <c r="D186" s="170">
        <v>3</v>
      </c>
      <c r="E186" s="170" t="s">
        <v>272</v>
      </c>
      <c r="F186" s="170">
        <v>1</v>
      </c>
      <c r="G186" s="170">
        <v>1</v>
      </c>
      <c r="H186" s="170">
        <v>1</v>
      </c>
      <c r="I186" s="170">
        <v>2</v>
      </c>
      <c r="J186" s="170">
        <v>1</v>
      </c>
      <c r="K186" s="170">
        <v>1</v>
      </c>
      <c r="L186" s="170">
        <v>2</v>
      </c>
      <c r="M186" s="170">
        <v>1</v>
      </c>
      <c r="N186" s="170"/>
      <c r="O186" s="170"/>
      <c r="P186" s="170"/>
      <c r="Q186" s="180">
        <f>SUM(Tabela2[[#This Row],[G]]+Tabela2[[#This Row],[D]]+Tabela2[[#This Row],[N]]+Tabela2[[#This Row],[HM]])</f>
        <v>4</v>
      </c>
      <c r="R186" s="180">
        <f>SUM(Tabela2[[#This Row],[AO]]+Tabela2[[#This Row],[AD]]+Tabela2[[#This Row],[GWO]]+Tabela2[[#This Row],[GWD]])</f>
        <v>6</v>
      </c>
      <c r="S186" s="180">
        <f>Tabela2[[#This Row],[GWO]]+Tabela2[[#This Row],[GWD]]</f>
        <v>3</v>
      </c>
      <c r="T186" s="180">
        <f>SUM(Tabela2[[#This Row],[G]:[GWD]])</f>
        <v>10</v>
      </c>
    </row>
    <row r="187" spans="1:20" ht="30">
      <c r="A187" s="183">
        <v>186</v>
      </c>
      <c r="B187" s="170" t="s">
        <v>543</v>
      </c>
      <c r="C187" s="170" t="s">
        <v>542</v>
      </c>
      <c r="D187" s="170">
        <v>3</v>
      </c>
      <c r="E187" s="170" t="s">
        <v>272</v>
      </c>
      <c r="F187" s="170">
        <v>1</v>
      </c>
      <c r="G187" s="170">
        <v>1</v>
      </c>
      <c r="H187" s="170">
        <v>1</v>
      </c>
      <c r="I187" s="170">
        <v>1</v>
      </c>
      <c r="J187" s="170">
        <v>1</v>
      </c>
      <c r="K187" s="170">
        <v>1</v>
      </c>
      <c r="L187" s="170">
        <v>1</v>
      </c>
      <c r="M187" s="170">
        <v>1</v>
      </c>
      <c r="N187" s="170"/>
      <c r="O187" s="170"/>
      <c r="P187" s="170"/>
      <c r="Q187" s="180">
        <f>SUM(Tabela2[[#This Row],[G]]+Tabela2[[#This Row],[D]]+Tabela2[[#This Row],[N]]+Tabela2[[#This Row],[HM]])</f>
        <v>4</v>
      </c>
      <c r="R187" s="180">
        <f>SUM(Tabela2[[#This Row],[AO]]+Tabela2[[#This Row],[AD]]+Tabela2[[#This Row],[GWO]]+Tabela2[[#This Row],[GWD]])</f>
        <v>4</v>
      </c>
      <c r="S187" s="180">
        <f>Tabela2[[#This Row],[GWO]]+Tabela2[[#This Row],[GWD]]</f>
        <v>2</v>
      </c>
      <c r="T187" s="180">
        <f>SUM(Tabela2[[#This Row],[G]:[GWD]])</f>
        <v>8</v>
      </c>
    </row>
    <row r="188" spans="1:20">
      <c r="A188" s="183">
        <v>187</v>
      </c>
      <c r="B188" s="170" t="s">
        <v>541</v>
      </c>
      <c r="C188" s="170" t="s">
        <v>540</v>
      </c>
      <c r="D188" s="170">
        <v>3</v>
      </c>
      <c r="E188" s="170" t="s">
        <v>272</v>
      </c>
      <c r="F188" s="170">
        <v>1</v>
      </c>
      <c r="G188" s="170">
        <v>1</v>
      </c>
      <c r="H188" s="170">
        <v>1</v>
      </c>
      <c r="I188" s="170">
        <v>1</v>
      </c>
      <c r="J188" s="170">
        <v>1</v>
      </c>
      <c r="K188" s="170">
        <v>1</v>
      </c>
      <c r="L188" s="170">
        <v>1</v>
      </c>
      <c r="M188" s="170">
        <v>1</v>
      </c>
      <c r="N188" s="170"/>
      <c r="O188" s="170"/>
      <c r="P188" s="170"/>
      <c r="Q188" s="180">
        <f>SUM(Tabela2[[#This Row],[G]]+Tabela2[[#This Row],[D]]+Tabela2[[#This Row],[N]]+Tabela2[[#This Row],[HM]])</f>
        <v>4</v>
      </c>
      <c r="R188" s="180">
        <f>SUM(Tabela2[[#This Row],[AO]]+Tabela2[[#This Row],[AD]]+Tabela2[[#This Row],[GWO]]+Tabela2[[#This Row],[GWD]])</f>
        <v>4</v>
      </c>
      <c r="S188" s="180">
        <f>Tabela2[[#This Row],[GWO]]+Tabela2[[#This Row],[GWD]]</f>
        <v>2</v>
      </c>
      <c r="T188" s="180">
        <f>SUM(Tabela2[[#This Row],[G]:[GWD]])</f>
        <v>8</v>
      </c>
    </row>
    <row r="189" spans="1:20">
      <c r="A189" s="183">
        <v>188</v>
      </c>
      <c r="B189" s="170" t="s">
        <v>144</v>
      </c>
      <c r="C189" s="170" t="s">
        <v>358</v>
      </c>
      <c r="D189" s="170">
        <v>3</v>
      </c>
      <c r="E189" s="170" t="s">
        <v>272</v>
      </c>
      <c r="F189" s="170">
        <v>5</v>
      </c>
      <c r="G189" s="170">
        <v>5</v>
      </c>
      <c r="H189" s="170">
        <v>4</v>
      </c>
      <c r="I189" s="170">
        <v>3</v>
      </c>
      <c r="J189" s="170">
        <v>5</v>
      </c>
      <c r="K189" s="170">
        <v>4</v>
      </c>
      <c r="L189" s="170">
        <v>5</v>
      </c>
      <c r="M189" s="170">
        <v>4</v>
      </c>
      <c r="N189" s="170"/>
      <c r="O189" s="170" t="s">
        <v>204</v>
      </c>
      <c r="P189" s="170"/>
      <c r="Q189" s="180">
        <f>SUM(Tabela2[[#This Row],[G]]+Tabela2[[#This Row],[D]]+Tabela2[[#This Row],[N]]+Tabela2[[#This Row],[HM]])</f>
        <v>18</v>
      </c>
      <c r="R189" s="180">
        <f>SUM(Tabela2[[#This Row],[AO]]+Tabela2[[#This Row],[AD]]+Tabela2[[#This Row],[GWO]]+Tabela2[[#This Row],[GWD]])</f>
        <v>17</v>
      </c>
      <c r="S189" s="180">
        <f>Tabela2[[#This Row],[GWO]]+Tabela2[[#This Row],[GWD]]</f>
        <v>9</v>
      </c>
      <c r="T189" s="180">
        <f>SUM(Tabela2[[#This Row],[G]:[GWD]])</f>
        <v>35</v>
      </c>
    </row>
    <row r="190" spans="1:20" ht="30">
      <c r="A190" s="183">
        <v>189</v>
      </c>
      <c r="B190" s="170" t="s">
        <v>539</v>
      </c>
      <c r="C190" s="170" t="s">
        <v>538</v>
      </c>
      <c r="D190" s="170">
        <v>3</v>
      </c>
      <c r="E190" s="170" t="s">
        <v>272</v>
      </c>
      <c r="F190" s="170">
        <v>1</v>
      </c>
      <c r="G190" s="170">
        <v>1</v>
      </c>
      <c r="H190" s="170">
        <v>1</v>
      </c>
      <c r="I190" s="170">
        <v>2</v>
      </c>
      <c r="J190" s="170">
        <v>1</v>
      </c>
      <c r="K190" s="170">
        <v>1</v>
      </c>
      <c r="L190" s="170">
        <v>2</v>
      </c>
      <c r="M190" s="170">
        <v>1</v>
      </c>
      <c r="N190" s="170"/>
      <c r="O190" s="170"/>
      <c r="P190" s="170"/>
      <c r="Q190" s="180">
        <f>SUM(Tabela2[[#This Row],[G]]+Tabela2[[#This Row],[D]]+Tabela2[[#This Row],[N]]+Tabela2[[#This Row],[HM]])</f>
        <v>4</v>
      </c>
      <c r="R190" s="180">
        <f>SUM(Tabela2[[#This Row],[AO]]+Tabela2[[#This Row],[AD]]+Tabela2[[#This Row],[GWO]]+Tabela2[[#This Row],[GWD]])</f>
        <v>6</v>
      </c>
      <c r="S190" s="180">
        <f>Tabela2[[#This Row],[GWO]]+Tabela2[[#This Row],[GWD]]</f>
        <v>3</v>
      </c>
      <c r="T190" s="180">
        <f>SUM(Tabela2[[#This Row],[G]:[GWD]])</f>
        <v>10</v>
      </c>
    </row>
    <row r="191" spans="1:20">
      <c r="A191" s="183">
        <v>190</v>
      </c>
      <c r="B191" s="170" t="s">
        <v>537</v>
      </c>
      <c r="C191" s="170" t="s">
        <v>536</v>
      </c>
      <c r="D191" s="170">
        <v>3</v>
      </c>
      <c r="E191" s="170" t="s">
        <v>272</v>
      </c>
      <c r="F191" s="170">
        <v>1</v>
      </c>
      <c r="G191" s="170">
        <v>1</v>
      </c>
      <c r="H191" s="170">
        <v>2</v>
      </c>
      <c r="I191" s="170">
        <v>1</v>
      </c>
      <c r="J191" s="170">
        <v>1</v>
      </c>
      <c r="K191" s="170">
        <v>1</v>
      </c>
      <c r="L191" s="170">
        <v>2</v>
      </c>
      <c r="M191" s="170">
        <v>1</v>
      </c>
      <c r="N191" s="170"/>
      <c r="O191" s="170"/>
      <c r="P191" s="170"/>
      <c r="Q191" s="180">
        <f>SUM(Tabela2[[#This Row],[G]]+Tabela2[[#This Row],[D]]+Tabela2[[#This Row],[N]]+Tabela2[[#This Row],[HM]])</f>
        <v>5</v>
      </c>
      <c r="R191" s="180">
        <f>SUM(Tabela2[[#This Row],[AO]]+Tabela2[[#This Row],[AD]]+Tabela2[[#This Row],[GWO]]+Tabela2[[#This Row],[GWD]])</f>
        <v>5</v>
      </c>
      <c r="S191" s="180">
        <f>Tabela2[[#This Row],[GWO]]+Tabela2[[#This Row],[GWD]]</f>
        <v>3</v>
      </c>
      <c r="T191" s="180">
        <f>SUM(Tabela2[[#This Row],[G]:[GWD]])</f>
        <v>10</v>
      </c>
    </row>
    <row r="192" spans="1:20" ht="30">
      <c r="A192" s="183">
        <v>191</v>
      </c>
      <c r="B192" s="170" t="s">
        <v>535</v>
      </c>
      <c r="C192" s="170" t="s">
        <v>534</v>
      </c>
      <c r="D192" s="170">
        <v>3</v>
      </c>
      <c r="E192" s="170" t="s">
        <v>272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1</v>
      </c>
      <c r="M192" s="170">
        <v>1</v>
      </c>
      <c r="N192" s="170"/>
      <c r="O192" s="170"/>
      <c r="P192" s="170"/>
      <c r="Q192" s="180">
        <f>SUM(Tabela2[[#This Row],[G]]+Tabela2[[#This Row],[D]]+Tabela2[[#This Row],[N]]+Tabela2[[#This Row],[HM]])</f>
        <v>4</v>
      </c>
      <c r="R192" s="180">
        <f>SUM(Tabela2[[#This Row],[AO]]+Tabela2[[#This Row],[AD]]+Tabela2[[#This Row],[GWO]]+Tabela2[[#This Row],[GWD]])</f>
        <v>4</v>
      </c>
      <c r="S192" s="180">
        <f>Tabela2[[#This Row],[GWO]]+Tabela2[[#This Row],[GWD]]</f>
        <v>2</v>
      </c>
      <c r="T192" s="180">
        <f>SUM(Tabela2[[#This Row],[G]:[GWD]])</f>
        <v>8</v>
      </c>
    </row>
    <row r="193" spans="1:20" ht="30">
      <c r="A193" s="183">
        <v>192</v>
      </c>
      <c r="B193" s="170" t="s">
        <v>533</v>
      </c>
      <c r="C193" s="170" t="s">
        <v>532</v>
      </c>
      <c r="D193" s="170">
        <v>3</v>
      </c>
      <c r="E193" s="170" t="s">
        <v>272</v>
      </c>
      <c r="F193" s="170">
        <v>1</v>
      </c>
      <c r="G193" s="170">
        <v>1</v>
      </c>
      <c r="H193" s="170">
        <v>1</v>
      </c>
      <c r="I193" s="170">
        <v>1</v>
      </c>
      <c r="J193" s="170">
        <v>1</v>
      </c>
      <c r="K193" s="170">
        <v>1</v>
      </c>
      <c r="L193" s="170">
        <v>1</v>
      </c>
      <c r="M193" s="170">
        <v>1</v>
      </c>
      <c r="N193" s="170"/>
      <c r="O193" s="170"/>
      <c r="P193" s="170"/>
      <c r="Q193" s="180">
        <f>SUM(Tabela2[[#This Row],[G]]+Tabela2[[#This Row],[D]]+Tabela2[[#This Row],[N]]+Tabela2[[#This Row],[HM]])</f>
        <v>4</v>
      </c>
      <c r="R193" s="180">
        <f>SUM(Tabela2[[#This Row],[AO]]+Tabela2[[#This Row],[AD]]+Tabela2[[#This Row],[GWO]]+Tabela2[[#This Row],[GWD]])</f>
        <v>4</v>
      </c>
      <c r="S193" s="180">
        <f>Tabela2[[#This Row],[GWO]]+Tabela2[[#This Row],[GWD]]</f>
        <v>2</v>
      </c>
      <c r="T193" s="180">
        <f>SUM(Tabela2[[#This Row],[G]:[GWD]])</f>
        <v>8</v>
      </c>
    </row>
    <row r="194" spans="1:20" ht="30">
      <c r="A194" s="183">
        <v>193</v>
      </c>
      <c r="B194" s="170" t="s">
        <v>531</v>
      </c>
      <c r="C194" s="170" t="s">
        <v>530</v>
      </c>
      <c r="D194" s="170">
        <v>3</v>
      </c>
      <c r="E194" s="170" t="s">
        <v>272</v>
      </c>
      <c r="F194" s="170">
        <v>1</v>
      </c>
      <c r="G194" s="170">
        <v>1</v>
      </c>
      <c r="H194" s="170">
        <v>1</v>
      </c>
      <c r="I194" s="170">
        <v>1</v>
      </c>
      <c r="J194" s="170">
        <v>1</v>
      </c>
      <c r="K194" s="170">
        <v>1</v>
      </c>
      <c r="L194" s="170">
        <v>1</v>
      </c>
      <c r="M194" s="170">
        <v>1</v>
      </c>
      <c r="N194" s="170"/>
      <c r="O194" s="170"/>
      <c r="P194" s="170"/>
      <c r="Q194" s="180">
        <f>SUM(Tabela2[[#This Row],[G]]+Tabela2[[#This Row],[D]]+Tabela2[[#This Row],[N]]+Tabela2[[#This Row],[HM]])</f>
        <v>4</v>
      </c>
      <c r="R194" s="180">
        <f>SUM(Tabela2[[#This Row],[AO]]+Tabela2[[#This Row],[AD]]+Tabela2[[#This Row],[GWO]]+Tabela2[[#This Row],[GWD]])</f>
        <v>4</v>
      </c>
      <c r="S194" s="180">
        <f>Tabela2[[#This Row],[GWO]]+Tabela2[[#This Row],[GWD]]</f>
        <v>2</v>
      </c>
      <c r="T194" s="180">
        <f>SUM(Tabela2[[#This Row],[G]:[GWD]])</f>
        <v>8</v>
      </c>
    </row>
    <row r="195" spans="1:20" ht="30">
      <c r="A195" s="183">
        <v>194</v>
      </c>
      <c r="B195" s="170" t="s">
        <v>529</v>
      </c>
      <c r="C195" s="170" t="s">
        <v>528</v>
      </c>
      <c r="D195" s="170">
        <v>3</v>
      </c>
      <c r="E195" s="170" t="s">
        <v>272</v>
      </c>
      <c r="F195" s="170">
        <v>1</v>
      </c>
      <c r="G195" s="170">
        <v>1</v>
      </c>
      <c r="H195" s="170">
        <v>1</v>
      </c>
      <c r="I195" s="170">
        <v>1</v>
      </c>
      <c r="J195" s="170">
        <v>1</v>
      </c>
      <c r="K195" s="170">
        <v>2</v>
      </c>
      <c r="L195" s="170">
        <v>1</v>
      </c>
      <c r="M195" s="170">
        <v>1</v>
      </c>
      <c r="N195" s="170"/>
      <c r="O195" s="170"/>
      <c r="P195" s="170"/>
      <c r="Q195" s="180">
        <f>SUM(Tabela2[[#This Row],[G]]+Tabela2[[#This Row],[D]]+Tabela2[[#This Row],[N]]+Tabela2[[#This Row],[HM]])</f>
        <v>5</v>
      </c>
      <c r="R195" s="180">
        <f>SUM(Tabela2[[#This Row],[AO]]+Tabela2[[#This Row],[AD]]+Tabela2[[#This Row],[GWO]]+Tabela2[[#This Row],[GWD]])</f>
        <v>4</v>
      </c>
      <c r="S195" s="180">
        <f>Tabela2[[#This Row],[GWO]]+Tabela2[[#This Row],[GWD]]</f>
        <v>2</v>
      </c>
      <c r="T195" s="180">
        <f>SUM(Tabela2[[#This Row],[G]:[GWD]])</f>
        <v>9</v>
      </c>
    </row>
    <row r="196" spans="1:20" ht="30">
      <c r="A196" s="183">
        <v>195</v>
      </c>
      <c r="B196" s="170" t="s">
        <v>527</v>
      </c>
      <c r="C196" s="170" t="s">
        <v>526</v>
      </c>
      <c r="D196" s="170">
        <v>3</v>
      </c>
      <c r="E196" s="170" t="s">
        <v>272</v>
      </c>
      <c r="F196" s="170">
        <v>1</v>
      </c>
      <c r="G196" s="170">
        <v>1</v>
      </c>
      <c r="H196" s="170">
        <v>1</v>
      </c>
      <c r="I196" s="170">
        <v>1</v>
      </c>
      <c r="J196" s="170">
        <v>1</v>
      </c>
      <c r="K196" s="170">
        <v>1</v>
      </c>
      <c r="L196" s="170">
        <v>1</v>
      </c>
      <c r="M196" s="170">
        <v>1</v>
      </c>
      <c r="N196" s="170"/>
      <c r="O196" s="170"/>
      <c r="P196" s="170"/>
      <c r="Q196" s="180">
        <f>SUM(Tabela2[[#This Row],[G]]+Tabela2[[#This Row],[D]]+Tabela2[[#This Row],[N]]+Tabela2[[#This Row],[HM]])</f>
        <v>4</v>
      </c>
      <c r="R196" s="180">
        <f>SUM(Tabela2[[#This Row],[AO]]+Tabela2[[#This Row],[AD]]+Tabela2[[#This Row],[GWO]]+Tabela2[[#This Row],[GWD]])</f>
        <v>4</v>
      </c>
      <c r="S196" s="180">
        <f>Tabela2[[#This Row],[GWO]]+Tabela2[[#This Row],[GWD]]</f>
        <v>2</v>
      </c>
      <c r="T196" s="180">
        <f>SUM(Tabela2[[#This Row],[G]:[GWD]])</f>
        <v>8</v>
      </c>
    </row>
    <row r="197" spans="1:20">
      <c r="A197" s="183">
        <v>196</v>
      </c>
      <c r="B197" s="170" t="s">
        <v>525</v>
      </c>
      <c r="C197" s="170" t="s">
        <v>284</v>
      </c>
      <c r="D197" s="170">
        <v>3</v>
      </c>
      <c r="E197" s="170" t="s">
        <v>272</v>
      </c>
      <c r="F197" s="170">
        <v>1</v>
      </c>
      <c r="G197" s="170">
        <v>1</v>
      </c>
      <c r="H197" s="170">
        <v>1</v>
      </c>
      <c r="I197" s="170">
        <v>1</v>
      </c>
      <c r="J197" s="170">
        <v>1</v>
      </c>
      <c r="K197" s="170">
        <v>1</v>
      </c>
      <c r="L197" s="170">
        <v>1</v>
      </c>
      <c r="M197" s="170">
        <v>1</v>
      </c>
      <c r="N197" s="170"/>
      <c r="O197" s="170"/>
      <c r="P197" s="170"/>
      <c r="Q197" s="180">
        <f>SUM(Tabela2[[#This Row],[G]]+Tabela2[[#This Row],[D]]+Tabela2[[#This Row],[N]]+Tabela2[[#This Row],[HM]])</f>
        <v>4</v>
      </c>
      <c r="R197" s="180">
        <f>SUM(Tabela2[[#This Row],[AO]]+Tabela2[[#This Row],[AD]]+Tabela2[[#This Row],[GWO]]+Tabela2[[#This Row],[GWD]])</f>
        <v>4</v>
      </c>
      <c r="S197" s="180">
        <f>Tabela2[[#This Row],[GWO]]+Tabela2[[#This Row],[GWD]]</f>
        <v>2</v>
      </c>
      <c r="T197" s="180">
        <f>SUM(Tabela2[[#This Row],[G]:[GWD]])</f>
        <v>8</v>
      </c>
    </row>
    <row r="198" spans="1:20">
      <c r="A198" s="183">
        <v>197</v>
      </c>
      <c r="B198" s="170" t="s">
        <v>145</v>
      </c>
      <c r="C198" s="170" t="s">
        <v>267</v>
      </c>
      <c r="D198" s="170">
        <v>3</v>
      </c>
      <c r="E198" s="170" t="s">
        <v>272</v>
      </c>
      <c r="F198" s="170">
        <v>4</v>
      </c>
      <c r="G198" s="170">
        <v>2</v>
      </c>
      <c r="H198" s="170">
        <v>1</v>
      </c>
      <c r="I198" s="170">
        <v>3</v>
      </c>
      <c r="J198" s="170">
        <v>4</v>
      </c>
      <c r="K198" s="170">
        <v>3</v>
      </c>
      <c r="L198" s="170">
        <v>4</v>
      </c>
      <c r="M198" s="170">
        <v>4</v>
      </c>
      <c r="N198" s="170"/>
      <c r="O198" s="170" t="s">
        <v>204</v>
      </c>
      <c r="P198" s="170"/>
      <c r="Q198" s="180">
        <f>SUM(Tabela2[[#This Row],[G]]+Tabela2[[#This Row],[D]]+Tabela2[[#This Row],[N]]+Tabela2[[#This Row],[HM]])</f>
        <v>10</v>
      </c>
      <c r="R198" s="180">
        <f>SUM(Tabela2[[#This Row],[AO]]+Tabela2[[#This Row],[AD]]+Tabela2[[#This Row],[GWO]]+Tabela2[[#This Row],[GWD]])</f>
        <v>15</v>
      </c>
      <c r="S198" s="180">
        <f>Tabela2[[#This Row],[GWO]]+Tabela2[[#This Row],[GWD]]</f>
        <v>8</v>
      </c>
      <c r="T198" s="180">
        <f>SUM(Tabela2[[#This Row],[G]:[GWD]])</f>
        <v>25</v>
      </c>
    </row>
    <row r="199" spans="1:20">
      <c r="A199" s="183">
        <v>198</v>
      </c>
      <c r="B199" s="170" t="s">
        <v>524</v>
      </c>
      <c r="C199" s="170" t="s">
        <v>523</v>
      </c>
      <c r="D199" s="170">
        <v>3</v>
      </c>
      <c r="E199" s="170" t="s">
        <v>272</v>
      </c>
      <c r="F199" s="170">
        <v>1</v>
      </c>
      <c r="G199" s="170">
        <v>1</v>
      </c>
      <c r="H199" s="170">
        <v>1</v>
      </c>
      <c r="I199" s="170">
        <v>1</v>
      </c>
      <c r="J199" s="170">
        <v>1</v>
      </c>
      <c r="K199" s="170">
        <v>1</v>
      </c>
      <c r="L199" s="170">
        <v>1</v>
      </c>
      <c r="M199" s="170">
        <v>1</v>
      </c>
      <c r="N199" s="170"/>
      <c r="O199" s="170"/>
      <c r="P199" s="170"/>
      <c r="Q199" s="180">
        <f>SUM(Tabela2[[#This Row],[G]]+Tabela2[[#This Row],[D]]+Tabela2[[#This Row],[N]]+Tabela2[[#This Row],[HM]])</f>
        <v>4</v>
      </c>
      <c r="R199" s="180">
        <f>SUM(Tabela2[[#This Row],[AO]]+Tabela2[[#This Row],[AD]]+Tabela2[[#This Row],[GWO]]+Tabela2[[#This Row],[GWD]])</f>
        <v>4</v>
      </c>
      <c r="S199" s="180">
        <f>Tabela2[[#This Row],[GWO]]+Tabela2[[#This Row],[GWD]]</f>
        <v>2</v>
      </c>
      <c r="T199" s="180">
        <f>SUM(Tabela2[[#This Row],[G]:[GWD]])</f>
        <v>8</v>
      </c>
    </row>
    <row r="200" spans="1:20">
      <c r="A200" s="183">
        <v>199</v>
      </c>
      <c r="B200" s="170" t="s">
        <v>522</v>
      </c>
      <c r="C200" s="170" t="s">
        <v>521</v>
      </c>
      <c r="D200" s="170">
        <v>3</v>
      </c>
      <c r="E200" s="170" t="s">
        <v>272</v>
      </c>
      <c r="F200" s="170">
        <v>1</v>
      </c>
      <c r="G200" s="170">
        <v>2</v>
      </c>
      <c r="H200" s="170">
        <v>4</v>
      </c>
      <c r="I200" s="170">
        <v>3</v>
      </c>
      <c r="J200" s="170">
        <v>4</v>
      </c>
      <c r="K200" s="170">
        <v>1</v>
      </c>
      <c r="L200" s="170">
        <v>4</v>
      </c>
      <c r="M200" s="170">
        <v>3</v>
      </c>
      <c r="N200" s="170"/>
      <c r="O200" s="170"/>
      <c r="P200" s="194" t="s">
        <v>204</v>
      </c>
      <c r="Q200" s="180">
        <f>SUM(Tabela2[[#This Row],[G]]+Tabela2[[#This Row],[D]]+Tabela2[[#This Row],[N]]+Tabela2[[#This Row],[HM]])</f>
        <v>8</v>
      </c>
      <c r="R200" s="180">
        <f>SUM(Tabela2[[#This Row],[AO]]+Tabela2[[#This Row],[AD]]+Tabela2[[#This Row],[GWO]]+Tabela2[[#This Row],[GWD]])</f>
        <v>14</v>
      </c>
      <c r="S200" s="180">
        <f>Tabela2[[#This Row],[GWO]]+Tabela2[[#This Row],[GWD]]</f>
        <v>7</v>
      </c>
      <c r="T200" s="180">
        <f>SUM(Tabela2[[#This Row],[G]:[GWD]])</f>
        <v>22</v>
      </c>
    </row>
    <row r="201" spans="1:20">
      <c r="A201" s="183">
        <v>200</v>
      </c>
      <c r="B201" s="176" t="s">
        <v>520</v>
      </c>
      <c r="C201" s="175" t="s">
        <v>419</v>
      </c>
      <c r="D201" s="175">
        <v>4</v>
      </c>
      <c r="E201" s="175" t="s">
        <v>18</v>
      </c>
      <c r="F201" s="175">
        <v>1</v>
      </c>
      <c r="G201" s="175">
        <v>3</v>
      </c>
      <c r="H201" s="175">
        <v>3</v>
      </c>
      <c r="I201" s="175">
        <v>3</v>
      </c>
      <c r="J201" s="175">
        <v>1</v>
      </c>
      <c r="K201" s="175">
        <v>1</v>
      </c>
      <c r="L201" s="175">
        <v>3</v>
      </c>
      <c r="M201" s="175">
        <v>1</v>
      </c>
      <c r="N201" s="170"/>
      <c r="O201" s="170"/>
      <c r="P201" s="170"/>
      <c r="Q201" s="180">
        <f>SUM(Tabela2[[#This Row],[G]]+Tabela2[[#This Row],[D]]+Tabela2[[#This Row],[N]]+Tabela2[[#This Row],[HM]])</f>
        <v>8</v>
      </c>
      <c r="R201" s="180">
        <f>SUM(Tabela2[[#This Row],[AO]]+Tabela2[[#This Row],[AD]]+Tabela2[[#This Row],[GWO]]+Tabela2[[#This Row],[GWD]])</f>
        <v>8</v>
      </c>
      <c r="S201" s="180">
        <f>Tabela2[[#This Row],[GWO]]+Tabela2[[#This Row],[GWD]]</f>
        <v>4</v>
      </c>
      <c r="T201" s="180">
        <f>SUM(Tabela2[[#This Row],[G]:[GWD]])</f>
        <v>16</v>
      </c>
    </row>
    <row r="202" spans="1:20" ht="30">
      <c r="A202" s="183">
        <v>201</v>
      </c>
      <c r="B202" s="176" t="s">
        <v>519</v>
      </c>
      <c r="C202" s="175" t="s">
        <v>441</v>
      </c>
      <c r="D202" s="175">
        <v>4</v>
      </c>
      <c r="E202" s="175" t="s">
        <v>18</v>
      </c>
      <c r="F202" s="175">
        <v>1</v>
      </c>
      <c r="G202" s="175">
        <v>1</v>
      </c>
      <c r="H202" s="175">
        <v>2</v>
      </c>
      <c r="I202" s="175">
        <v>3</v>
      </c>
      <c r="J202" s="175">
        <v>1</v>
      </c>
      <c r="K202" s="175">
        <v>1</v>
      </c>
      <c r="L202" s="175">
        <v>3</v>
      </c>
      <c r="M202" s="175">
        <v>1</v>
      </c>
      <c r="N202" s="170"/>
      <c r="O202" s="170"/>
      <c r="P202" s="170"/>
      <c r="Q202" s="180">
        <f>SUM(Tabela2[[#This Row],[G]]+Tabela2[[#This Row],[D]]+Tabela2[[#This Row],[N]]+Tabela2[[#This Row],[HM]])</f>
        <v>5</v>
      </c>
      <c r="R202" s="180">
        <f>SUM(Tabela2[[#This Row],[AO]]+Tabela2[[#This Row],[AD]]+Tabela2[[#This Row],[GWO]]+Tabela2[[#This Row],[GWD]])</f>
        <v>8</v>
      </c>
      <c r="S202" s="180">
        <f>Tabela2[[#This Row],[GWO]]+Tabela2[[#This Row],[GWD]]</f>
        <v>4</v>
      </c>
      <c r="T202" s="180">
        <f>SUM(Tabela2[[#This Row],[G]:[GWD]])</f>
        <v>13</v>
      </c>
    </row>
    <row r="203" spans="1:20" ht="30">
      <c r="A203" s="183">
        <v>202</v>
      </c>
      <c r="B203" s="175" t="s">
        <v>518</v>
      </c>
      <c r="C203" s="175" t="s">
        <v>415</v>
      </c>
      <c r="D203" s="175">
        <v>4</v>
      </c>
      <c r="E203" s="175" t="s">
        <v>18</v>
      </c>
      <c r="F203" s="175">
        <v>1</v>
      </c>
      <c r="G203" s="175">
        <v>1</v>
      </c>
      <c r="H203" s="175">
        <v>1</v>
      </c>
      <c r="I203" s="175">
        <v>2</v>
      </c>
      <c r="J203" s="175">
        <v>3</v>
      </c>
      <c r="K203" s="175">
        <v>3</v>
      </c>
      <c r="L203" s="175">
        <v>3</v>
      </c>
      <c r="M203" s="175">
        <v>3</v>
      </c>
      <c r="N203" s="170"/>
      <c r="O203" s="170"/>
      <c r="P203" s="170"/>
      <c r="Q203" s="180">
        <f>SUM(Tabela2[[#This Row],[G]]+Tabela2[[#This Row],[D]]+Tabela2[[#This Row],[N]]+Tabela2[[#This Row],[HM]])</f>
        <v>6</v>
      </c>
      <c r="R203" s="180">
        <f>SUM(Tabela2[[#This Row],[AO]]+Tabela2[[#This Row],[AD]]+Tabela2[[#This Row],[GWO]]+Tabela2[[#This Row],[GWD]])</f>
        <v>11</v>
      </c>
      <c r="S203" s="180">
        <f>Tabela2[[#This Row],[GWO]]+Tabela2[[#This Row],[GWD]]</f>
        <v>6</v>
      </c>
      <c r="T203" s="180">
        <f>SUM(Tabela2[[#This Row],[G]:[GWD]])</f>
        <v>17</v>
      </c>
    </row>
    <row r="204" spans="1:20" ht="30">
      <c r="A204" s="183">
        <v>203</v>
      </c>
      <c r="B204" s="175" t="s">
        <v>517</v>
      </c>
      <c r="C204" s="175" t="s">
        <v>357</v>
      </c>
      <c r="D204" s="175">
        <v>4</v>
      </c>
      <c r="E204" s="175" t="s">
        <v>18</v>
      </c>
      <c r="F204" s="175">
        <v>1</v>
      </c>
      <c r="G204" s="175">
        <v>1</v>
      </c>
      <c r="H204" s="175">
        <v>1</v>
      </c>
      <c r="I204" s="175">
        <v>2</v>
      </c>
      <c r="J204" s="175">
        <v>2</v>
      </c>
      <c r="K204" s="175">
        <v>1</v>
      </c>
      <c r="L204" s="175">
        <v>4</v>
      </c>
      <c r="M204" s="175">
        <v>3</v>
      </c>
      <c r="N204" s="170"/>
      <c r="O204" s="170" t="s">
        <v>204</v>
      </c>
      <c r="P204" s="170"/>
      <c r="Q204" s="180">
        <f>SUM(Tabela2[[#This Row],[G]]+Tabela2[[#This Row],[D]]+Tabela2[[#This Row],[N]]+Tabela2[[#This Row],[HM]])</f>
        <v>4</v>
      </c>
      <c r="R204" s="180">
        <f>SUM(Tabela2[[#This Row],[AO]]+Tabela2[[#This Row],[AD]]+Tabela2[[#This Row],[GWO]]+Tabela2[[#This Row],[GWD]])</f>
        <v>11</v>
      </c>
      <c r="S204" s="180">
        <f>Tabela2[[#This Row],[GWO]]+Tabela2[[#This Row],[GWD]]</f>
        <v>7</v>
      </c>
      <c r="T204" s="180">
        <f>SUM(Tabela2[[#This Row],[G]:[GWD]])</f>
        <v>15</v>
      </c>
    </row>
    <row r="205" spans="1:20" ht="30">
      <c r="A205" s="183">
        <v>204</v>
      </c>
      <c r="B205" s="175" t="s">
        <v>516</v>
      </c>
      <c r="C205" s="175" t="s">
        <v>412</v>
      </c>
      <c r="D205" s="175">
        <v>4</v>
      </c>
      <c r="E205" s="175" t="s">
        <v>18</v>
      </c>
      <c r="F205" s="175">
        <v>1</v>
      </c>
      <c r="G205" s="175">
        <v>1</v>
      </c>
      <c r="H205" s="175">
        <v>1</v>
      </c>
      <c r="I205" s="175">
        <v>3</v>
      </c>
      <c r="J205" s="175">
        <v>5</v>
      </c>
      <c r="K205" s="175">
        <v>3</v>
      </c>
      <c r="L205" s="175">
        <v>4</v>
      </c>
      <c r="M205" s="175">
        <v>4</v>
      </c>
      <c r="N205" s="170"/>
      <c r="O205" s="170"/>
      <c r="P205" s="170"/>
      <c r="Q205" s="180">
        <f>SUM(Tabela2[[#This Row],[G]]+Tabela2[[#This Row],[D]]+Tabela2[[#This Row],[N]]+Tabela2[[#This Row],[HM]])</f>
        <v>6</v>
      </c>
      <c r="R205" s="180">
        <f>SUM(Tabela2[[#This Row],[AO]]+Tabela2[[#This Row],[AD]]+Tabela2[[#This Row],[GWO]]+Tabela2[[#This Row],[GWD]])</f>
        <v>16</v>
      </c>
      <c r="S205" s="180">
        <f>Tabela2[[#This Row],[GWO]]+Tabela2[[#This Row],[GWD]]</f>
        <v>8</v>
      </c>
      <c r="T205" s="180">
        <f>SUM(Tabela2[[#This Row],[G]:[GWD]])</f>
        <v>22</v>
      </c>
    </row>
    <row r="206" spans="1:20">
      <c r="A206" s="183">
        <v>205</v>
      </c>
      <c r="B206" s="175" t="s">
        <v>515</v>
      </c>
      <c r="C206" s="175" t="s">
        <v>210</v>
      </c>
      <c r="D206" s="175">
        <v>4</v>
      </c>
      <c r="E206" s="175" t="s">
        <v>18</v>
      </c>
      <c r="F206" s="175">
        <v>1</v>
      </c>
      <c r="G206" s="175">
        <v>1</v>
      </c>
      <c r="H206" s="175">
        <v>1</v>
      </c>
      <c r="I206" s="175">
        <v>3</v>
      </c>
      <c r="J206" s="175">
        <v>1</v>
      </c>
      <c r="K206" s="175">
        <v>1</v>
      </c>
      <c r="L206" s="175">
        <v>3</v>
      </c>
      <c r="M206" s="175">
        <v>1</v>
      </c>
      <c r="N206" s="175" t="s">
        <v>445</v>
      </c>
      <c r="O206" s="175"/>
      <c r="P206" s="175"/>
      <c r="Q206" s="184">
        <f>SUM(Tabela2[[#This Row],[G]]+Tabela2[[#This Row],[D]]+Tabela2[[#This Row],[N]]+Tabela2[[#This Row],[HM]])</f>
        <v>4</v>
      </c>
      <c r="R206" s="184">
        <f>SUM(Tabela2[[#This Row],[AO]]+Tabela2[[#This Row],[AD]]+Tabela2[[#This Row],[GWO]]+Tabela2[[#This Row],[GWD]])</f>
        <v>8</v>
      </c>
      <c r="S206" s="184">
        <f>Tabela2[[#This Row],[GWO]]+Tabela2[[#This Row],[GWD]]</f>
        <v>4</v>
      </c>
      <c r="T206" s="180">
        <f>SUM(Tabela2[[#This Row],[G]:[GWD]])</f>
        <v>12</v>
      </c>
    </row>
    <row r="207" spans="1:20" ht="30">
      <c r="A207" s="183">
        <v>206</v>
      </c>
      <c r="B207" s="175" t="s">
        <v>514</v>
      </c>
      <c r="C207" s="175" t="s">
        <v>409</v>
      </c>
      <c r="D207" s="175">
        <v>4</v>
      </c>
      <c r="E207" s="175" t="s">
        <v>18</v>
      </c>
      <c r="F207" s="175">
        <v>1</v>
      </c>
      <c r="G207" s="175">
        <v>1</v>
      </c>
      <c r="H207" s="175">
        <v>4</v>
      </c>
      <c r="I207" s="175">
        <v>1</v>
      </c>
      <c r="J207" s="175">
        <v>1</v>
      </c>
      <c r="K207" s="175">
        <v>1</v>
      </c>
      <c r="L207" s="175">
        <v>1</v>
      </c>
      <c r="M207" s="175">
        <v>1</v>
      </c>
      <c r="N207" s="170"/>
      <c r="O207" s="170"/>
      <c r="P207" s="170"/>
      <c r="Q207" s="180">
        <f>SUM(Tabela2[[#This Row],[G]]+Tabela2[[#This Row],[D]]+Tabela2[[#This Row],[N]]+Tabela2[[#This Row],[HM]])</f>
        <v>7</v>
      </c>
      <c r="R207" s="180">
        <f>SUM(Tabela2[[#This Row],[AO]]+Tabela2[[#This Row],[AD]]+Tabela2[[#This Row],[GWO]]+Tabela2[[#This Row],[GWD]])</f>
        <v>4</v>
      </c>
      <c r="S207" s="180">
        <f>Tabela2[[#This Row],[GWO]]+Tabela2[[#This Row],[GWD]]</f>
        <v>2</v>
      </c>
      <c r="T207" s="180">
        <f>SUM(Tabela2[[#This Row],[G]:[GWD]])</f>
        <v>11</v>
      </c>
    </row>
    <row r="208" spans="1:20" ht="30">
      <c r="A208" s="183">
        <v>207</v>
      </c>
      <c r="B208" s="175" t="s">
        <v>513</v>
      </c>
      <c r="C208" s="175" t="s">
        <v>407</v>
      </c>
      <c r="D208" s="175">
        <v>4</v>
      </c>
      <c r="E208" s="175" t="s">
        <v>18</v>
      </c>
      <c r="F208" s="175">
        <v>1</v>
      </c>
      <c r="G208" s="175">
        <v>1</v>
      </c>
      <c r="H208" s="175">
        <v>3</v>
      </c>
      <c r="I208" s="175">
        <v>1</v>
      </c>
      <c r="J208" s="175">
        <v>1</v>
      </c>
      <c r="K208" s="175">
        <v>1</v>
      </c>
      <c r="L208" s="175">
        <v>1</v>
      </c>
      <c r="M208" s="175">
        <v>1</v>
      </c>
      <c r="N208" s="170"/>
      <c r="O208" s="170"/>
      <c r="P208" s="170"/>
      <c r="Q208" s="180">
        <f>SUM(Tabela2[[#This Row],[G]]+Tabela2[[#This Row],[D]]+Tabela2[[#This Row],[N]]+Tabela2[[#This Row],[HM]])</f>
        <v>6</v>
      </c>
      <c r="R208" s="180">
        <f>SUM(Tabela2[[#This Row],[AO]]+Tabela2[[#This Row],[AD]]+Tabela2[[#This Row],[GWO]]+Tabela2[[#This Row],[GWD]])</f>
        <v>4</v>
      </c>
      <c r="S208" s="180">
        <f>Tabela2[[#This Row],[GWO]]+Tabela2[[#This Row],[GWD]]</f>
        <v>2</v>
      </c>
      <c r="T208" s="180">
        <f>SUM(Tabela2[[#This Row],[G]:[GWD]])</f>
        <v>10</v>
      </c>
    </row>
    <row r="209" spans="1:20">
      <c r="A209" s="183">
        <v>208</v>
      </c>
      <c r="B209" s="175" t="s">
        <v>512</v>
      </c>
      <c r="C209" s="175" t="s">
        <v>405</v>
      </c>
      <c r="D209" s="175">
        <v>4</v>
      </c>
      <c r="E209" s="175" t="s">
        <v>18</v>
      </c>
      <c r="F209" s="175">
        <v>1</v>
      </c>
      <c r="G209" s="175">
        <v>1</v>
      </c>
      <c r="H209" s="175">
        <v>1</v>
      </c>
      <c r="I209" s="175">
        <v>1</v>
      </c>
      <c r="J209" s="175">
        <v>1</v>
      </c>
      <c r="K209" s="175">
        <v>1</v>
      </c>
      <c r="L209" s="175">
        <v>1</v>
      </c>
      <c r="M209" s="175">
        <v>1</v>
      </c>
      <c r="N209" s="170"/>
      <c r="O209" s="170"/>
      <c r="P209" s="170"/>
      <c r="Q209" s="180">
        <f>SUM(Tabela2[[#This Row],[G]]+Tabela2[[#This Row],[D]]+Tabela2[[#This Row],[N]]+Tabela2[[#This Row],[HM]])</f>
        <v>4</v>
      </c>
      <c r="R209" s="180">
        <f>SUM(Tabela2[[#This Row],[AO]]+Tabela2[[#This Row],[AD]]+Tabela2[[#This Row],[GWO]]+Tabela2[[#This Row],[GWD]])</f>
        <v>4</v>
      </c>
      <c r="S209" s="180">
        <f>Tabela2[[#This Row],[GWO]]+Tabela2[[#This Row],[GWD]]</f>
        <v>2</v>
      </c>
      <c r="T209" s="180">
        <f>SUM(Tabela2[[#This Row],[G]:[GWD]])</f>
        <v>8</v>
      </c>
    </row>
    <row r="210" spans="1:20" ht="30">
      <c r="A210" s="183">
        <v>209</v>
      </c>
      <c r="B210" s="175" t="s">
        <v>511</v>
      </c>
      <c r="C210" s="175" t="s">
        <v>403</v>
      </c>
      <c r="D210" s="175">
        <v>4</v>
      </c>
      <c r="E210" s="175" t="s">
        <v>18</v>
      </c>
      <c r="F210" s="175">
        <v>1</v>
      </c>
      <c r="G210" s="175">
        <v>2</v>
      </c>
      <c r="H210" s="175">
        <v>2</v>
      </c>
      <c r="I210" s="175">
        <v>3</v>
      </c>
      <c r="J210" s="175">
        <v>1</v>
      </c>
      <c r="K210" s="175">
        <v>1</v>
      </c>
      <c r="L210" s="175">
        <v>3</v>
      </c>
      <c r="M210" s="175">
        <v>1</v>
      </c>
      <c r="N210" s="170"/>
      <c r="O210" s="170"/>
      <c r="P210" s="170"/>
      <c r="Q210" s="180">
        <f>SUM(Tabela2[[#This Row],[G]]+Tabela2[[#This Row],[D]]+Tabela2[[#This Row],[N]]+Tabela2[[#This Row],[HM]])</f>
        <v>6</v>
      </c>
      <c r="R210" s="180">
        <f>SUM(Tabela2[[#This Row],[AO]]+Tabela2[[#This Row],[AD]]+Tabela2[[#This Row],[GWO]]+Tabela2[[#This Row],[GWD]])</f>
        <v>8</v>
      </c>
      <c r="S210" s="180">
        <f>Tabela2[[#This Row],[GWO]]+Tabela2[[#This Row],[GWD]]</f>
        <v>4</v>
      </c>
      <c r="T210" s="180">
        <f>SUM(Tabela2[[#This Row],[G]:[GWD]])</f>
        <v>14</v>
      </c>
    </row>
    <row r="211" spans="1:20">
      <c r="A211" s="183">
        <v>210</v>
      </c>
      <c r="B211" s="175" t="s">
        <v>510</v>
      </c>
      <c r="C211" s="175" t="s">
        <v>398</v>
      </c>
      <c r="D211" s="175">
        <v>4</v>
      </c>
      <c r="E211" s="175" t="s">
        <v>18</v>
      </c>
      <c r="F211" s="175">
        <v>1</v>
      </c>
      <c r="G211" s="175">
        <v>3</v>
      </c>
      <c r="H211" s="175">
        <v>1</v>
      </c>
      <c r="I211" s="175">
        <v>3</v>
      </c>
      <c r="J211" s="175">
        <v>3</v>
      </c>
      <c r="K211" s="175">
        <v>2</v>
      </c>
      <c r="L211" s="175">
        <v>3</v>
      </c>
      <c r="M211" s="175">
        <v>2</v>
      </c>
      <c r="N211" s="170"/>
      <c r="O211" s="170"/>
      <c r="P211" s="170"/>
      <c r="Q211" s="180">
        <f>SUM(Tabela2[[#This Row],[G]]+Tabela2[[#This Row],[D]]+Tabela2[[#This Row],[N]]+Tabela2[[#This Row],[HM]])</f>
        <v>7</v>
      </c>
      <c r="R211" s="180">
        <f>SUM(Tabela2[[#This Row],[AO]]+Tabela2[[#This Row],[AD]]+Tabela2[[#This Row],[GWO]]+Tabela2[[#This Row],[GWD]])</f>
        <v>11</v>
      </c>
      <c r="S211" s="180">
        <f>Tabela2[[#This Row],[GWO]]+Tabela2[[#This Row],[GWD]]</f>
        <v>5</v>
      </c>
      <c r="T211" s="180">
        <f>SUM(Tabela2[[#This Row],[G]:[GWD]])</f>
        <v>18</v>
      </c>
    </row>
    <row r="212" spans="1:20" ht="30">
      <c r="A212" s="183">
        <v>211</v>
      </c>
      <c r="B212" s="175" t="s">
        <v>509</v>
      </c>
      <c r="C212" s="175" t="s">
        <v>396</v>
      </c>
      <c r="D212" s="175">
        <v>4</v>
      </c>
      <c r="E212" s="175" t="s">
        <v>18</v>
      </c>
      <c r="F212" s="175">
        <v>1</v>
      </c>
      <c r="G212" s="175">
        <v>4</v>
      </c>
      <c r="H212" s="175">
        <v>3</v>
      </c>
      <c r="I212" s="175">
        <v>3</v>
      </c>
      <c r="J212" s="175">
        <v>2</v>
      </c>
      <c r="K212" s="175">
        <v>1</v>
      </c>
      <c r="L212" s="175">
        <v>3</v>
      </c>
      <c r="M212" s="175">
        <v>2</v>
      </c>
      <c r="N212" s="170"/>
      <c r="O212" s="170"/>
      <c r="P212" s="170"/>
      <c r="Q212" s="180">
        <f>SUM(Tabela2[[#This Row],[G]]+Tabela2[[#This Row],[D]]+Tabela2[[#This Row],[N]]+Tabela2[[#This Row],[HM]])</f>
        <v>9</v>
      </c>
      <c r="R212" s="180">
        <f>SUM(Tabela2[[#This Row],[AO]]+Tabela2[[#This Row],[AD]]+Tabela2[[#This Row],[GWO]]+Tabela2[[#This Row],[GWD]])</f>
        <v>10</v>
      </c>
      <c r="S212" s="180">
        <f>Tabela2[[#This Row],[GWO]]+Tabela2[[#This Row],[GWD]]</f>
        <v>5</v>
      </c>
      <c r="T212" s="180">
        <f>SUM(Tabela2[[#This Row],[G]:[GWD]])</f>
        <v>19</v>
      </c>
    </row>
    <row r="213" spans="1:20" ht="30">
      <c r="A213" s="183">
        <v>212</v>
      </c>
      <c r="B213" s="175" t="s">
        <v>508</v>
      </c>
      <c r="C213" s="175" t="s">
        <v>394</v>
      </c>
      <c r="D213" s="175">
        <v>4</v>
      </c>
      <c r="E213" s="175" t="s">
        <v>18</v>
      </c>
      <c r="F213" s="175">
        <v>1</v>
      </c>
      <c r="G213" s="175">
        <v>3</v>
      </c>
      <c r="H213" s="175">
        <v>3</v>
      </c>
      <c r="I213" s="175">
        <v>3</v>
      </c>
      <c r="J213" s="175">
        <v>1</v>
      </c>
      <c r="K213" s="175">
        <v>1</v>
      </c>
      <c r="L213" s="175">
        <v>3</v>
      </c>
      <c r="M213" s="175">
        <v>1</v>
      </c>
      <c r="N213" s="170"/>
      <c r="O213" s="170"/>
      <c r="P213" s="170"/>
      <c r="Q213" s="180">
        <f>SUM(Tabela2[[#This Row],[G]]+Tabela2[[#This Row],[D]]+Tabela2[[#This Row],[N]]+Tabela2[[#This Row],[HM]])</f>
        <v>8</v>
      </c>
      <c r="R213" s="180">
        <f>SUM(Tabela2[[#This Row],[AO]]+Tabela2[[#This Row],[AD]]+Tabela2[[#This Row],[GWO]]+Tabela2[[#This Row],[GWD]])</f>
        <v>8</v>
      </c>
      <c r="S213" s="180">
        <f>Tabela2[[#This Row],[GWO]]+Tabela2[[#This Row],[GWD]]</f>
        <v>4</v>
      </c>
      <c r="T213" s="180">
        <f>SUM(Tabela2[[#This Row],[G]:[GWD]])</f>
        <v>16</v>
      </c>
    </row>
    <row r="214" spans="1:20" ht="30">
      <c r="A214" s="183">
        <v>213</v>
      </c>
      <c r="B214" s="175" t="s">
        <v>507</v>
      </c>
      <c r="C214" s="175" t="s">
        <v>392</v>
      </c>
      <c r="D214" s="175">
        <v>4</v>
      </c>
      <c r="E214" s="175" t="s">
        <v>18</v>
      </c>
      <c r="F214" s="175">
        <v>1</v>
      </c>
      <c r="G214" s="175">
        <v>1</v>
      </c>
      <c r="H214" s="175">
        <v>5</v>
      </c>
      <c r="I214" s="175">
        <v>3</v>
      </c>
      <c r="J214" s="175">
        <v>1</v>
      </c>
      <c r="K214" s="175">
        <v>1</v>
      </c>
      <c r="L214" s="175">
        <v>3</v>
      </c>
      <c r="M214" s="175">
        <v>1</v>
      </c>
      <c r="N214" s="173"/>
      <c r="O214" s="173"/>
      <c r="P214" s="173"/>
      <c r="Q214" s="181">
        <f>SUM(Tabela2[[#This Row],[G]]+Tabela2[[#This Row],[D]]+Tabela2[[#This Row],[N]]+Tabela2[[#This Row],[HM]])</f>
        <v>8</v>
      </c>
      <c r="R214" s="181">
        <f>SUM(Tabela2[[#This Row],[AO]]+Tabela2[[#This Row],[AD]]+Tabela2[[#This Row],[GWO]]+Tabela2[[#This Row],[GWD]])</f>
        <v>8</v>
      </c>
      <c r="S214" s="181">
        <f>Tabela2[[#This Row],[GWO]]+Tabela2[[#This Row],[GWD]]</f>
        <v>4</v>
      </c>
      <c r="T214" s="181">
        <f>SUM(Tabela2[[#This Row],[G]:[GWD]])</f>
        <v>16</v>
      </c>
    </row>
    <row r="215" spans="1:20">
      <c r="A215" s="183">
        <v>214</v>
      </c>
      <c r="B215" s="175" t="s">
        <v>506</v>
      </c>
      <c r="C215" s="175" t="s">
        <v>215</v>
      </c>
      <c r="D215" s="175">
        <v>4</v>
      </c>
      <c r="E215" s="175" t="s">
        <v>18</v>
      </c>
      <c r="F215" s="175">
        <v>1</v>
      </c>
      <c r="G215" s="175">
        <v>1</v>
      </c>
      <c r="H215" s="175">
        <v>1</v>
      </c>
      <c r="I215" s="175">
        <v>1</v>
      </c>
      <c r="J215" s="175">
        <v>1</v>
      </c>
      <c r="K215" s="175">
        <v>1</v>
      </c>
      <c r="L215" s="175">
        <v>1</v>
      </c>
      <c r="M215" s="175">
        <v>1</v>
      </c>
      <c r="N215" s="170"/>
      <c r="O215" s="170"/>
      <c r="P215" s="170"/>
      <c r="Q215" s="180">
        <f>SUM(Tabela2[[#This Row],[G]]+Tabela2[[#This Row],[D]]+Tabela2[[#This Row],[N]]+Tabela2[[#This Row],[HM]])</f>
        <v>4</v>
      </c>
      <c r="R215" s="180">
        <f>SUM(Tabela2[[#This Row],[AO]]+Tabela2[[#This Row],[AD]]+Tabela2[[#This Row],[GWO]]+Tabela2[[#This Row],[GWD]])</f>
        <v>4</v>
      </c>
      <c r="S215" s="180">
        <f>Tabela2[[#This Row],[GWO]]+Tabela2[[#This Row],[GWD]]</f>
        <v>2</v>
      </c>
      <c r="T215" s="180">
        <f>SUM(Tabela2[[#This Row],[G]:[GWD]])</f>
        <v>8</v>
      </c>
    </row>
    <row r="216" spans="1:20" ht="30">
      <c r="A216" s="183">
        <v>215</v>
      </c>
      <c r="B216" s="175" t="s">
        <v>505</v>
      </c>
      <c r="C216" s="175" t="s">
        <v>344</v>
      </c>
      <c r="D216" s="175">
        <v>4</v>
      </c>
      <c r="E216" s="175" t="s">
        <v>18</v>
      </c>
      <c r="F216" s="175">
        <v>1</v>
      </c>
      <c r="G216" s="175">
        <v>2</v>
      </c>
      <c r="H216" s="175">
        <v>1</v>
      </c>
      <c r="I216" s="175">
        <v>3</v>
      </c>
      <c r="J216" s="175">
        <v>1</v>
      </c>
      <c r="K216" s="175">
        <v>1</v>
      </c>
      <c r="L216" s="175">
        <v>4</v>
      </c>
      <c r="M216" s="175">
        <v>1</v>
      </c>
      <c r="N216" s="170"/>
      <c r="O216" s="170"/>
      <c r="P216" s="170"/>
      <c r="Q216" s="180">
        <f>SUM(Tabela2[[#This Row],[G]]+Tabela2[[#This Row],[D]]+Tabela2[[#This Row],[N]]+Tabela2[[#This Row],[HM]])</f>
        <v>5</v>
      </c>
      <c r="R216" s="180">
        <f>SUM(Tabela2[[#This Row],[AO]]+Tabela2[[#This Row],[AD]]+Tabela2[[#This Row],[GWO]]+Tabela2[[#This Row],[GWD]])</f>
        <v>9</v>
      </c>
      <c r="S216" s="180">
        <f>Tabela2[[#This Row],[GWO]]+Tabela2[[#This Row],[GWD]]</f>
        <v>5</v>
      </c>
      <c r="T216" s="180">
        <f>SUM(Tabela2[[#This Row],[G]:[GWD]])</f>
        <v>14</v>
      </c>
    </row>
    <row r="217" spans="1:20">
      <c r="A217" s="183">
        <v>216</v>
      </c>
      <c r="B217" s="175" t="s">
        <v>504</v>
      </c>
      <c r="C217" s="175" t="s">
        <v>388</v>
      </c>
      <c r="D217" s="175">
        <v>4</v>
      </c>
      <c r="E217" s="175" t="s">
        <v>18</v>
      </c>
      <c r="F217" s="175">
        <v>1</v>
      </c>
      <c r="G217" s="175">
        <v>3</v>
      </c>
      <c r="H217" s="175">
        <v>3</v>
      </c>
      <c r="I217" s="175">
        <v>3</v>
      </c>
      <c r="J217" s="175">
        <v>1</v>
      </c>
      <c r="K217" s="175">
        <v>2</v>
      </c>
      <c r="L217" s="175">
        <v>2</v>
      </c>
      <c r="M217" s="175">
        <v>1</v>
      </c>
      <c r="N217" s="170"/>
      <c r="O217" s="170"/>
      <c r="P217" s="170"/>
      <c r="Q217" s="180">
        <f>SUM(Tabela2[[#This Row],[G]]+Tabela2[[#This Row],[D]]+Tabela2[[#This Row],[N]]+Tabela2[[#This Row],[HM]])</f>
        <v>9</v>
      </c>
      <c r="R217" s="180">
        <f>SUM(Tabela2[[#This Row],[AO]]+Tabela2[[#This Row],[AD]]+Tabela2[[#This Row],[GWO]]+Tabela2[[#This Row],[GWD]])</f>
        <v>7</v>
      </c>
      <c r="S217" s="180">
        <f>Tabela2[[#This Row],[GWO]]+Tabela2[[#This Row],[GWD]]</f>
        <v>3</v>
      </c>
      <c r="T217" s="180">
        <f>SUM(Tabela2[[#This Row],[G]:[GWD]])</f>
        <v>16</v>
      </c>
    </row>
    <row r="218" spans="1:20" ht="30">
      <c r="A218" s="183">
        <v>217</v>
      </c>
      <c r="B218" s="175" t="s">
        <v>503</v>
      </c>
      <c r="C218" s="175" t="s">
        <v>386</v>
      </c>
      <c r="D218" s="175">
        <v>4</v>
      </c>
      <c r="E218" s="175" t="s">
        <v>18</v>
      </c>
      <c r="F218" s="175">
        <v>1</v>
      </c>
      <c r="G218" s="175">
        <v>1</v>
      </c>
      <c r="H218" s="175">
        <v>1</v>
      </c>
      <c r="I218" s="175">
        <v>2</v>
      </c>
      <c r="J218" s="175">
        <v>1</v>
      </c>
      <c r="K218" s="175">
        <v>1</v>
      </c>
      <c r="L218" s="175">
        <v>3</v>
      </c>
      <c r="M218" s="175">
        <v>1</v>
      </c>
      <c r="N218" s="170"/>
      <c r="O218" s="170"/>
      <c r="P218" s="170"/>
      <c r="Q218" s="180">
        <f>SUM(Tabela2[[#This Row],[G]]+Tabela2[[#This Row],[D]]+Tabela2[[#This Row],[N]]+Tabela2[[#This Row],[HM]])</f>
        <v>4</v>
      </c>
      <c r="R218" s="180">
        <f>SUM(Tabela2[[#This Row],[AO]]+Tabela2[[#This Row],[AD]]+Tabela2[[#This Row],[GWO]]+Tabela2[[#This Row],[GWD]])</f>
        <v>7</v>
      </c>
      <c r="S218" s="180">
        <f>Tabela2[[#This Row],[GWO]]+Tabela2[[#This Row],[GWD]]</f>
        <v>4</v>
      </c>
      <c r="T218" s="180">
        <f>SUM(Tabela2[[#This Row],[G]:[GWD]])</f>
        <v>11</v>
      </c>
    </row>
    <row r="219" spans="1:20">
      <c r="A219" s="183">
        <v>218</v>
      </c>
      <c r="B219" s="175" t="s">
        <v>502</v>
      </c>
      <c r="C219" s="175" t="s">
        <v>384</v>
      </c>
      <c r="D219" s="175">
        <v>4</v>
      </c>
      <c r="E219" s="175" t="s">
        <v>18</v>
      </c>
      <c r="F219" s="175">
        <v>2</v>
      </c>
      <c r="G219" s="175">
        <v>5</v>
      </c>
      <c r="H219" s="175">
        <v>2</v>
      </c>
      <c r="I219" s="175">
        <v>3</v>
      </c>
      <c r="J219" s="175">
        <v>2</v>
      </c>
      <c r="K219" s="175">
        <v>4</v>
      </c>
      <c r="L219" s="175">
        <v>4</v>
      </c>
      <c r="M219" s="175">
        <v>2</v>
      </c>
      <c r="N219" s="170"/>
      <c r="O219" s="170"/>
      <c r="P219" s="170"/>
      <c r="Q219" s="180">
        <f>SUM(Tabela2[[#This Row],[G]]+Tabela2[[#This Row],[D]]+Tabela2[[#This Row],[N]]+Tabela2[[#This Row],[HM]])</f>
        <v>13</v>
      </c>
      <c r="R219" s="180">
        <f>SUM(Tabela2[[#This Row],[AO]]+Tabela2[[#This Row],[AD]]+Tabela2[[#This Row],[GWO]]+Tabela2[[#This Row],[GWD]])</f>
        <v>11</v>
      </c>
      <c r="S219" s="180">
        <f>Tabela2[[#This Row],[GWO]]+Tabela2[[#This Row],[GWD]]</f>
        <v>6</v>
      </c>
      <c r="T219" s="180">
        <f>SUM(Tabela2[[#This Row],[G]:[GWD]])</f>
        <v>24</v>
      </c>
    </row>
    <row r="220" spans="1:20">
      <c r="A220" s="183">
        <v>219</v>
      </c>
      <c r="B220" s="175" t="s">
        <v>501</v>
      </c>
      <c r="C220" s="175" t="s">
        <v>382</v>
      </c>
      <c r="D220" s="175">
        <v>4</v>
      </c>
      <c r="E220" s="175" t="s">
        <v>18</v>
      </c>
      <c r="F220" s="175">
        <v>1</v>
      </c>
      <c r="G220" s="175">
        <v>1</v>
      </c>
      <c r="H220" s="175">
        <v>1</v>
      </c>
      <c r="I220" s="175">
        <v>2</v>
      </c>
      <c r="J220" s="175">
        <v>1</v>
      </c>
      <c r="K220" s="175">
        <v>1</v>
      </c>
      <c r="L220" s="175">
        <v>3</v>
      </c>
      <c r="M220" s="175">
        <v>1</v>
      </c>
      <c r="N220" s="170"/>
      <c r="O220" s="170"/>
      <c r="P220" s="170"/>
      <c r="Q220" s="180">
        <f>SUM(Tabela2[[#This Row],[G]]+Tabela2[[#This Row],[D]]+Tabela2[[#This Row],[N]]+Tabela2[[#This Row],[HM]])</f>
        <v>4</v>
      </c>
      <c r="R220" s="180">
        <f>SUM(Tabela2[[#This Row],[AO]]+Tabela2[[#This Row],[AD]]+Tabela2[[#This Row],[GWO]]+Tabela2[[#This Row],[GWD]])</f>
        <v>7</v>
      </c>
      <c r="S220" s="180">
        <f>Tabela2[[#This Row],[GWO]]+Tabela2[[#This Row],[GWD]]</f>
        <v>4</v>
      </c>
      <c r="T220" s="180">
        <f>SUM(Tabela2[[#This Row],[G]:[GWD]])</f>
        <v>11</v>
      </c>
    </row>
    <row r="221" spans="1:20" ht="30">
      <c r="A221" s="183">
        <v>220</v>
      </c>
      <c r="B221" s="175" t="s">
        <v>500</v>
      </c>
      <c r="C221" s="175" t="s">
        <v>451</v>
      </c>
      <c r="D221" s="175">
        <v>4</v>
      </c>
      <c r="E221" s="175" t="s">
        <v>18</v>
      </c>
      <c r="F221" s="175">
        <v>1</v>
      </c>
      <c r="G221" s="175">
        <v>1</v>
      </c>
      <c r="H221" s="175">
        <v>5</v>
      </c>
      <c r="I221" s="175">
        <v>3</v>
      </c>
      <c r="J221" s="175">
        <v>1</v>
      </c>
      <c r="K221" s="175">
        <v>1</v>
      </c>
      <c r="L221" s="175">
        <v>3</v>
      </c>
      <c r="M221" s="175">
        <v>1</v>
      </c>
      <c r="N221" s="170"/>
      <c r="O221" s="170"/>
      <c r="P221" s="170"/>
      <c r="Q221" s="180">
        <f>SUM(Tabela2[[#This Row],[G]]+Tabela2[[#This Row],[D]]+Tabela2[[#This Row],[N]]+Tabela2[[#This Row],[HM]])</f>
        <v>8</v>
      </c>
      <c r="R221" s="180">
        <f>SUM(Tabela2[[#This Row],[AO]]+Tabela2[[#This Row],[AD]]+Tabela2[[#This Row],[GWO]]+Tabela2[[#This Row],[GWD]])</f>
        <v>8</v>
      </c>
      <c r="S221" s="180">
        <f>Tabela2[[#This Row],[GWO]]+Tabela2[[#This Row],[GWD]]</f>
        <v>4</v>
      </c>
      <c r="T221" s="180">
        <f>SUM(Tabela2[[#This Row],[G]:[GWD]])</f>
        <v>16</v>
      </c>
    </row>
    <row r="222" spans="1:20">
      <c r="A222" s="183">
        <v>221</v>
      </c>
      <c r="B222" s="175" t="s">
        <v>499</v>
      </c>
      <c r="C222" s="175" t="s">
        <v>227</v>
      </c>
      <c r="D222" s="175">
        <v>4</v>
      </c>
      <c r="E222" s="175" t="s">
        <v>18</v>
      </c>
      <c r="F222" s="175">
        <v>1</v>
      </c>
      <c r="G222" s="175">
        <v>1</v>
      </c>
      <c r="H222" s="175">
        <v>1</v>
      </c>
      <c r="I222" s="175">
        <v>2</v>
      </c>
      <c r="J222" s="175">
        <v>1</v>
      </c>
      <c r="K222" s="175">
        <v>1</v>
      </c>
      <c r="L222" s="175">
        <v>2</v>
      </c>
      <c r="M222" s="175">
        <v>1</v>
      </c>
      <c r="N222" s="175" t="s">
        <v>445</v>
      </c>
      <c r="O222" s="175"/>
      <c r="P222" s="175"/>
      <c r="Q222" s="184">
        <f>SUM(Tabela2[[#This Row],[G]]+Tabela2[[#This Row],[D]]+Tabela2[[#This Row],[N]]+Tabela2[[#This Row],[HM]])</f>
        <v>4</v>
      </c>
      <c r="R222" s="184">
        <f>SUM(Tabela2[[#This Row],[AO]]+Tabela2[[#This Row],[AD]]+Tabela2[[#This Row],[GWO]]+Tabela2[[#This Row],[GWD]])</f>
        <v>6</v>
      </c>
      <c r="S222" s="184">
        <f>Tabela2[[#This Row],[GWO]]+Tabela2[[#This Row],[GWD]]</f>
        <v>3</v>
      </c>
      <c r="T222" s="180">
        <f>SUM(Tabela2[[#This Row],[G]:[GWD]])</f>
        <v>10</v>
      </c>
    </row>
    <row r="223" spans="1:20">
      <c r="A223" s="183">
        <v>222</v>
      </c>
      <c r="B223" s="175" t="s">
        <v>343</v>
      </c>
      <c r="C223" s="175" t="s">
        <v>225</v>
      </c>
      <c r="D223" s="175">
        <v>4</v>
      </c>
      <c r="E223" s="175" t="s">
        <v>18</v>
      </c>
      <c r="F223" s="175">
        <v>1</v>
      </c>
      <c r="G223" s="175">
        <v>4</v>
      </c>
      <c r="H223" s="175">
        <v>1</v>
      </c>
      <c r="I223" s="175">
        <v>3</v>
      </c>
      <c r="J223" s="175">
        <v>1</v>
      </c>
      <c r="K223" s="175">
        <v>5</v>
      </c>
      <c r="L223" s="175">
        <v>3</v>
      </c>
      <c r="M223" s="175">
        <v>1</v>
      </c>
      <c r="N223" s="175" t="s">
        <v>445</v>
      </c>
      <c r="O223" s="175" t="s">
        <v>204</v>
      </c>
      <c r="P223" s="175"/>
      <c r="Q223" s="184">
        <f>SUM(Tabela2[[#This Row],[G]]+Tabela2[[#This Row],[D]]+Tabela2[[#This Row],[N]]+Tabela2[[#This Row],[HM]])</f>
        <v>11</v>
      </c>
      <c r="R223" s="184">
        <f>SUM(Tabela2[[#This Row],[AO]]+Tabela2[[#This Row],[AD]]+Tabela2[[#This Row],[GWO]]+Tabela2[[#This Row],[GWD]])</f>
        <v>8</v>
      </c>
      <c r="S223" s="184">
        <f>Tabela2[[#This Row],[GWO]]+Tabela2[[#This Row],[GWD]]</f>
        <v>4</v>
      </c>
      <c r="T223" s="180">
        <f>SUM(Tabela2[[#This Row],[G]:[GWD]])</f>
        <v>19</v>
      </c>
    </row>
    <row r="224" spans="1:20">
      <c r="A224" s="183">
        <v>223</v>
      </c>
      <c r="B224" s="175" t="s">
        <v>498</v>
      </c>
      <c r="C224" s="175" t="s">
        <v>378</v>
      </c>
      <c r="D224" s="175">
        <v>4</v>
      </c>
      <c r="E224" s="175" t="s">
        <v>18</v>
      </c>
      <c r="F224" s="175">
        <v>1</v>
      </c>
      <c r="G224" s="175">
        <v>1</v>
      </c>
      <c r="H224" s="175">
        <v>1</v>
      </c>
      <c r="I224" s="175">
        <v>1</v>
      </c>
      <c r="J224" s="175">
        <v>1</v>
      </c>
      <c r="K224" s="175">
        <v>1</v>
      </c>
      <c r="L224" s="175">
        <v>1</v>
      </c>
      <c r="M224" s="175">
        <v>1</v>
      </c>
      <c r="N224" s="170"/>
      <c r="O224" s="170"/>
      <c r="P224" s="170"/>
      <c r="Q224" s="180">
        <f>SUM(Tabela2[[#This Row],[G]]+Tabela2[[#This Row],[D]]+Tabela2[[#This Row],[N]]+Tabela2[[#This Row],[HM]])</f>
        <v>4</v>
      </c>
      <c r="R224" s="180">
        <f>SUM(Tabela2[[#This Row],[AO]]+Tabela2[[#This Row],[AD]]+Tabela2[[#This Row],[GWO]]+Tabela2[[#This Row],[GWD]])</f>
        <v>4</v>
      </c>
      <c r="S224" s="180">
        <f>Tabela2[[#This Row],[GWO]]+Tabela2[[#This Row],[GWD]]</f>
        <v>2</v>
      </c>
      <c r="T224" s="180">
        <f>SUM(Tabela2[[#This Row],[G]:[GWD]])</f>
        <v>8</v>
      </c>
    </row>
    <row r="225" spans="1:20">
      <c r="A225" s="183">
        <v>224</v>
      </c>
      <c r="B225" s="175" t="s">
        <v>497</v>
      </c>
      <c r="C225" s="175" t="s">
        <v>226</v>
      </c>
      <c r="D225" s="175">
        <v>4</v>
      </c>
      <c r="E225" s="175" t="s">
        <v>18</v>
      </c>
      <c r="F225" s="175">
        <v>1</v>
      </c>
      <c r="G225" s="175">
        <v>3</v>
      </c>
      <c r="H225" s="175">
        <v>1</v>
      </c>
      <c r="I225" s="175">
        <v>1</v>
      </c>
      <c r="J225" s="175">
        <v>1</v>
      </c>
      <c r="K225" s="175">
        <v>2</v>
      </c>
      <c r="L225" s="175">
        <v>1</v>
      </c>
      <c r="M225" s="175">
        <v>1</v>
      </c>
      <c r="N225" s="170"/>
      <c r="O225" s="170"/>
      <c r="P225" s="170"/>
      <c r="Q225" s="180">
        <f>SUM(Tabela2[[#This Row],[G]]+Tabela2[[#This Row],[D]]+Tabela2[[#This Row],[N]]+Tabela2[[#This Row],[HM]])</f>
        <v>7</v>
      </c>
      <c r="R225" s="180">
        <f>SUM(Tabela2[[#This Row],[AO]]+Tabela2[[#This Row],[AD]]+Tabela2[[#This Row],[GWO]]+Tabela2[[#This Row],[GWD]])</f>
        <v>4</v>
      </c>
      <c r="S225" s="180">
        <f>Tabela2[[#This Row],[GWO]]+Tabela2[[#This Row],[GWD]]</f>
        <v>2</v>
      </c>
      <c r="T225" s="180">
        <f>SUM(Tabela2[[#This Row],[G]:[GWD]])</f>
        <v>11</v>
      </c>
    </row>
    <row r="226" spans="1:20">
      <c r="A226" s="183">
        <v>225</v>
      </c>
      <c r="B226" s="175" t="s">
        <v>496</v>
      </c>
      <c r="C226" s="175" t="s">
        <v>184</v>
      </c>
      <c r="D226" s="175">
        <v>4</v>
      </c>
      <c r="E226" s="175" t="s">
        <v>18</v>
      </c>
      <c r="F226" s="175">
        <v>3</v>
      </c>
      <c r="G226" s="175">
        <v>5</v>
      </c>
      <c r="H226" s="175">
        <v>3</v>
      </c>
      <c r="I226" s="175">
        <v>5</v>
      </c>
      <c r="J226" s="175">
        <v>5</v>
      </c>
      <c r="K226" s="175">
        <v>5</v>
      </c>
      <c r="L226" s="175">
        <v>4</v>
      </c>
      <c r="M226" s="175">
        <v>5</v>
      </c>
      <c r="N226" s="170"/>
      <c r="O226" s="170"/>
      <c r="P226" s="170"/>
      <c r="Q226" s="180">
        <f>SUM(Tabela2[[#This Row],[G]]+Tabela2[[#This Row],[D]]+Tabela2[[#This Row],[N]]+Tabela2[[#This Row],[HM]])</f>
        <v>16</v>
      </c>
      <c r="R226" s="180">
        <f>SUM(Tabela2[[#This Row],[AO]]+Tabela2[[#This Row],[AD]]+Tabela2[[#This Row],[GWO]]+Tabela2[[#This Row],[GWD]])</f>
        <v>19</v>
      </c>
      <c r="S226" s="180">
        <f>Tabela2[[#This Row],[GWO]]+Tabela2[[#This Row],[GWD]]</f>
        <v>9</v>
      </c>
      <c r="T226" s="180">
        <f>SUM(Tabela2[[#This Row],[G]:[GWD]])</f>
        <v>35</v>
      </c>
    </row>
    <row r="227" spans="1:20">
      <c r="A227" s="183">
        <v>226</v>
      </c>
      <c r="B227" s="174" t="s">
        <v>495</v>
      </c>
      <c r="C227" s="174" t="s">
        <v>419</v>
      </c>
      <c r="D227" s="174">
        <v>4</v>
      </c>
      <c r="E227" s="174" t="s">
        <v>249</v>
      </c>
      <c r="F227" s="174">
        <v>1</v>
      </c>
      <c r="G227" s="174">
        <v>1</v>
      </c>
      <c r="H227" s="174">
        <v>1</v>
      </c>
      <c r="I227" s="174">
        <v>1</v>
      </c>
      <c r="J227" s="174">
        <v>1</v>
      </c>
      <c r="K227" s="174">
        <v>1</v>
      </c>
      <c r="L227" s="174">
        <v>3</v>
      </c>
      <c r="M227" s="174">
        <v>1</v>
      </c>
      <c r="N227" s="170"/>
      <c r="O227" s="194"/>
      <c r="P227" s="170"/>
      <c r="Q227" s="180">
        <f>SUM(Tabela2[[#This Row],[G]]+Tabela2[[#This Row],[D]]+Tabela2[[#This Row],[N]]+Tabela2[[#This Row],[HM]])</f>
        <v>4</v>
      </c>
      <c r="R227" s="180">
        <f>SUM(Tabela2[[#This Row],[AO]]+Tabela2[[#This Row],[AD]]+Tabela2[[#This Row],[GWO]]+Tabela2[[#This Row],[GWD]])</f>
        <v>6</v>
      </c>
      <c r="S227" s="180">
        <f>Tabela2[[#This Row],[GWO]]+Tabela2[[#This Row],[GWD]]</f>
        <v>4</v>
      </c>
      <c r="T227" s="180">
        <f>SUM(Tabela2[[#This Row],[G]:[GWD]])</f>
        <v>10</v>
      </c>
    </row>
    <row r="228" spans="1:20" ht="30">
      <c r="A228" s="183">
        <v>227</v>
      </c>
      <c r="B228" s="174" t="s">
        <v>494</v>
      </c>
      <c r="C228" s="174" t="s">
        <v>441</v>
      </c>
      <c r="D228" s="174">
        <v>4</v>
      </c>
      <c r="E228" s="174" t="s">
        <v>249</v>
      </c>
      <c r="F228" s="174">
        <v>1</v>
      </c>
      <c r="G228" s="174">
        <v>3</v>
      </c>
      <c r="H228" s="174">
        <v>3</v>
      </c>
      <c r="I228" s="174">
        <v>2</v>
      </c>
      <c r="J228" s="174">
        <v>1</v>
      </c>
      <c r="K228" s="174">
        <v>1</v>
      </c>
      <c r="L228" s="174">
        <v>2</v>
      </c>
      <c r="M228" s="174">
        <v>1</v>
      </c>
      <c r="N228" s="170"/>
      <c r="O228" s="170"/>
      <c r="P228" s="170"/>
      <c r="Q228" s="180">
        <f>SUM(Tabela2[[#This Row],[G]]+Tabela2[[#This Row],[D]]+Tabela2[[#This Row],[N]]+Tabela2[[#This Row],[HM]])</f>
        <v>8</v>
      </c>
      <c r="R228" s="180">
        <f>SUM(Tabela2[[#This Row],[AO]]+Tabela2[[#This Row],[AD]]+Tabela2[[#This Row],[GWO]]+Tabela2[[#This Row],[GWD]])</f>
        <v>6</v>
      </c>
      <c r="S228" s="180">
        <f>Tabela2[[#This Row],[GWO]]+Tabela2[[#This Row],[GWD]]</f>
        <v>3</v>
      </c>
      <c r="T228" s="180">
        <f>SUM(Tabela2[[#This Row],[G]:[GWD]])</f>
        <v>14</v>
      </c>
    </row>
    <row r="229" spans="1:20" ht="30">
      <c r="A229" s="183">
        <v>228</v>
      </c>
      <c r="B229" s="174" t="s">
        <v>493</v>
      </c>
      <c r="C229" s="174" t="s">
        <v>415</v>
      </c>
      <c r="D229" s="174">
        <v>4</v>
      </c>
      <c r="E229" s="174" t="s">
        <v>249</v>
      </c>
      <c r="F229" s="174">
        <v>2</v>
      </c>
      <c r="G229" s="174">
        <v>3</v>
      </c>
      <c r="H229" s="174">
        <v>1</v>
      </c>
      <c r="I229" s="174">
        <v>4</v>
      </c>
      <c r="J229" s="174">
        <v>5</v>
      </c>
      <c r="K229" s="174">
        <v>1</v>
      </c>
      <c r="L229" s="174">
        <v>5</v>
      </c>
      <c r="M229" s="174">
        <v>5</v>
      </c>
      <c r="N229" s="170"/>
      <c r="O229" s="170" t="s">
        <v>204</v>
      </c>
      <c r="P229" s="170"/>
      <c r="Q229" s="180">
        <f>SUM(Tabela2[[#This Row],[G]]+Tabela2[[#This Row],[D]]+Tabela2[[#This Row],[N]]+Tabela2[[#This Row],[HM]])</f>
        <v>7</v>
      </c>
      <c r="R229" s="180">
        <f>SUM(Tabela2[[#This Row],[AO]]+Tabela2[[#This Row],[AD]]+Tabela2[[#This Row],[GWO]]+Tabela2[[#This Row],[GWD]])</f>
        <v>19</v>
      </c>
      <c r="S229" s="180">
        <f>Tabela2[[#This Row],[GWO]]+Tabela2[[#This Row],[GWD]]</f>
        <v>10</v>
      </c>
      <c r="T229" s="180">
        <f>SUM(Tabela2[[#This Row],[G]:[GWD]])</f>
        <v>26</v>
      </c>
    </row>
    <row r="230" spans="1:20" ht="30">
      <c r="A230" s="183">
        <v>229</v>
      </c>
      <c r="B230" s="174" t="s">
        <v>492</v>
      </c>
      <c r="C230" s="174" t="s">
        <v>357</v>
      </c>
      <c r="D230" s="174">
        <v>4</v>
      </c>
      <c r="E230" s="174" t="s">
        <v>249</v>
      </c>
      <c r="F230" s="174">
        <v>1</v>
      </c>
      <c r="G230" s="174">
        <v>2</v>
      </c>
      <c r="H230" s="174">
        <v>1</v>
      </c>
      <c r="I230" s="174">
        <v>2</v>
      </c>
      <c r="J230" s="174">
        <v>2</v>
      </c>
      <c r="K230" s="174">
        <v>2</v>
      </c>
      <c r="L230" s="174">
        <v>1</v>
      </c>
      <c r="M230" s="174">
        <v>1</v>
      </c>
      <c r="N230" s="170"/>
      <c r="O230" s="170"/>
      <c r="P230" s="170"/>
      <c r="Q230" s="180">
        <f>SUM(Tabela2[[#This Row],[G]]+Tabela2[[#This Row],[D]]+Tabela2[[#This Row],[N]]+Tabela2[[#This Row],[HM]])</f>
        <v>6</v>
      </c>
      <c r="R230" s="180">
        <f>SUM(Tabela2[[#This Row],[AO]]+Tabela2[[#This Row],[AD]]+Tabela2[[#This Row],[GWO]]+Tabela2[[#This Row],[GWD]])</f>
        <v>6</v>
      </c>
      <c r="S230" s="180">
        <f>Tabela2[[#This Row],[GWO]]+Tabela2[[#This Row],[GWD]]</f>
        <v>2</v>
      </c>
      <c r="T230" s="180">
        <f>SUM(Tabela2[[#This Row],[G]:[GWD]])</f>
        <v>12</v>
      </c>
    </row>
    <row r="231" spans="1:20">
      <c r="A231" s="183">
        <v>230</v>
      </c>
      <c r="B231" s="174" t="s">
        <v>491</v>
      </c>
      <c r="C231" s="174" t="s">
        <v>210</v>
      </c>
      <c r="D231" s="174">
        <v>4</v>
      </c>
      <c r="E231" s="174" t="s">
        <v>249</v>
      </c>
      <c r="F231" s="174">
        <v>1</v>
      </c>
      <c r="G231" s="174">
        <v>1</v>
      </c>
      <c r="H231" s="174">
        <v>1</v>
      </c>
      <c r="I231" s="174">
        <v>2</v>
      </c>
      <c r="J231" s="174">
        <v>3</v>
      </c>
      <c r="K231" s="174">
        <v>1</v>
      </c>
      <c r="L231" s="174">
        <v>3</v>
      </c>
      <c r="M231" s="174">
        <v>4</v>
      </c>
      <c r="N231" s="170"/>
      <c r="O231" s="170"/>
      <c r="P231" s="170"/>
      <c r="Q231" s="180">
        <f>SUM(Tabela2[[#This Row],[G]]+Tabela2[[#This Row],[D]]+Tabela2[[#This Row],[N]]+Tabela2[[#This Row],[HM]])</f>
        <v>4</v>
      </c>
      <c r="R231" s="180">
        <f>SUM(Tabela2[[#This Row],[AO]]+Tabela2[[#This Row],[AD]]+Tabela2[[#This Row],[GWO]]+Tabela2[[#This Row],[GWD]])</f>
        <v>12</v>
      </c>
      <c r="S231" s="180">
        <f>Tabela2[[#This Row],[GWO]]+Tabela2[[#This Row],[GWD]]</f>
        <v>7</v>
      </c>
      <c r="T231" s="180">
        <f>SUM(Tabela2[[#This Row],[G]:[GWD]])</f>
        <v>16</v>
      </c>
    </row>
    <row r="232" spans="1:20" ht="30">
      <c r="A232" s="183">
        <v>231</v>
      </c>
      <c r="B232" s="174" t="s">
        <v>490</v>
      </c>
      <c r="C232" s="174" t="s">
        <v>409</v>
      </c>
      <c r="D232" s="174">
        <v>4</v>
      </c>
      <c r="E232" s="174" t="s">
        <v>249</v>
      </c>
      <c r="F232" s="174">
        <v>1</v>
      </c>
      <c r="G232" s="174">
        <v>1</v>
      </c>
      <c r="H232" s="174">
        <v>3</v>
      </c>
      <c r="I232" s="174">
        <v>4</v>
      </c>
      <c r="J232" s="174">
        <v>1</v>
      </c>
      <c r="K232" s="174">
        <v>3</v>
      </c>
      <c r="L232" s="174">
        <v>3</v>
      </c>
      <c r="M232" s="174">
        <v>1</v>
      </c>
      <c r="N232" s="170"/>
      <c r="O232" s="170"/>
      <c r="P232" s="170"/>
      <c r="Q232" s="180">
        <f>SUM(Tabela2[[#This Row],[G]]+Tabela2[[#This Row],[D]]+Tabela2[[#This Row],[N]]+Tabela2[[#This Row],[HM]])</f>
        <v>8</v>
      </c>
      <c r="R232" s="180">
        <f>SUM(Tabela2[[#This Row],[AO]]+Tabela2[[#This Row],[AD]]+Tabela2[[#This Row],[GWO]]+Tabela2[[#This Row],[GWD]])</f>
        <v>9</v>
      </c>
      <c r="S232" s="180">
        <f>Tabela2[[#This Row],[GWO]]+Tabela2[[#This Row],[GWD]]</f>
        <v>4</v>
      </c>
      <c r="T232" s="180">
        <f>SUM(Tabela2[[#This Row],[G]:[GWD]])</f>
        <v>17</v>
      </c>
    </row>
    <row r="233" spans="1:20" ht="30">
      <c r="A233" s="183">
        <v>232</v>
      </c>
      <c r="B233" s="174" t="s">
        <v>489</v>
      </c>
      <c r="C233" s="174" t="s">
        <v>407</v>
      </c>
      <c r="D233" s="174">
        <v>4</v>
      </c>
      <c r="E233" s="174" t="s">
        <v>249</v>
      </c>
      <c r="F233" s="174">
        <v>1</v>
      </c>
      <c r="G233" s="174">
        <v>1</v>
      </c>
      <c r="H233" s="174">
        <v>3</v>
      </c>
      <c r="I233" s="174">
        <v>2</v>
      </c>
      <c r="J233" s="174">
        <v>1</v>
      </c>
      <c r="K233" s="174">
        <v>1</v>
      </c>
      <c r="L233" s="174">
        <v>2</v>
      </c>
      <c r="M233" s="174">
        <v>1</v>
      </c>
      <c r="N233" s="170"/>
      <c r="O233" s="170"/>
      <c r="P233" s="170"/>
      <c r="Q233" s="180">
        <f>SUM(Tabela2[[#This Row],[G]]+Tabela2[[#This Row],[D]]+Tabela2[[#This Row],[N]]+Tabela2[[#This Row],[HM]])</f>
        <v>6</v>
      </c>
      <c r="R233" s="180">
        <f>SUM(Tabela2[[#This Row],[AO]]+Tabela2[[#This Row],[AD]]+Tabela2[[#This Row],[GWO]]+Tabela2[[#This Row],[GWD]])</f>
        <v>6</v>
      </c>
      <c r="S233" s="180">
        <f>Tabela2[[#This Row],[GWO]]+Tabela2[[#This Row],[GWD]]</f>
        <v>3</v>
      </c>
      <c r="T233" s="180">
        <f>SUM(Tabela2[[#This Row],[G]:[GWD]])</f>
        <v>12</v>
      </c>
    </row>
    <row r="234" spans="1:20">
      <c r="A234" s="183">
        <v>233</v>
      </c>
      <c r="B234" s="174" t="s">
        <v>488</v>
      </c>
      <c r="C234" s="174" t="s">
        <v>405</v>
      </c>
      <c r="D234" s="174">
        <v>4</v>
      </c>
      <c r="E234" s="174" t="s">
        <v>249</v>
      </c>
      <c r="F234" s="174">
        <v>1</v>
      </c>
      <c r="G234" s="174">
        <v>1</v>
      </c>
      <c r="H234" s="174">
        <v>1</v>
      </c>
      <c r="I234" s="174">
        <v>1</v>
      </c>
      <c r="J234" s="174">
        <v>1</v>
      </c>
      <c r="K234" s="174">
        <v>1</v>
      </c>
      <c r="L234" s="174">
        <v>1</v>
      </c>
      <c r="M234" s="174">
        <v>1</v>
      </c>
      <c r="N234" s="170"/>
      <c r="O234" s="170"/>
      <c r="P234" s="170"/>
      <c r="Q234" s="180">
        <f>SUM(Tabela2[[#This Row],[G]]+Tabela2[[#This Row],[D]]+Tabela2[[#This Row],[N]]+Tabela2[[#This Row],[HM]])</f>
        <v>4</v>
      </c>
      <c r="R234" s="180">
        <f>SUM(Tabela2[[#This Row],[AO]]+Tabela2[[#This Row],[AD]]+Tabela2[[#This Row],[GWO]]+Tabela2[[#This Row],[GWD]])</f>
        <v>4</v>
      </c>
      <c r="S234" s="180">
        <f>Tabela2[[#This Row],[GWO]]+Tabela2[[#This Row],[GWD]]</f>
        <v>2</v>
      </c>
      <c r="T234" s="180">
        <f>SUM(Tabela2[[#This Row],[G]:[GWD]])</f>
        <v>8</v>
      </c>
    </row>
    <row r="235" spans="1:20" ht="30">
      <c r="A235" s="183">
        <v>234</v>
      </c>
      <c r="B235" s="174" t="s">
        <v>246</v>
      </c>
      <c r="C235" s="174" t="s">
        <v>403</v>
      </c>
      <c r="D235" s="174">
        <v>4</v>
      </c>
      <c r="E235" s="174" t="s">
        <v>249</v>
      </c>
      <c r="F235" s="174">
        <v>1</v>
      </c>
      <c r="G235" s="174">
        <v>1</v>
      </c>
      <c r="H235" s="174">
        <v>3</v>
      </c>
      <c r="I235" s="174">
        <v>2</v>
      </c>
      <c r="J235" s="174">
        <v>1</v>
      </c>
      <c r="K235" s="174">
        <v>1</v>
      </c>
      <c r="L235" s="174">
        <v>1</v>
      </c>
      <c r="M235" s="174">
        <v>1</v>
      </c>
      <c r="N235" s="170"/>
      <c r="O235" s="170"/>
      <c r="P235" s="170"/>
      <c r="Q235" s="180">
        <f>SUM(Tabela2[[#This Row],[G]]+Tabela2[[#This Row],[D]]+Tabela2[[#This Row],[N]]+Tabela2[[#This Row],[HM]])</f>
        <v>6</v>
      </c>
      <c r="R235" s="180">
        <f>SUM(Tabela2[[#This Row],[AO]]+Tabela2[[#This Row],[AD]]+Tabela2[[#This Row],[GWO]]+Tabela2[[#This Row],[GWD]])</f>
        <v>5</v>
      </c>
      <c r="S235" s="180">
        <f>Tabela2[[#This Row],[GWO]]+Tabela2[[#This Row],[GWD]]</f>
        <v>2</v>
      </c>
      <c r="T235" s="180">
        <f>SUM(Tabela2[[#This Row],[G]:[GWD]])</f>
        <v>11</v>
      </c>
    </row>
    <row r="236" spans="1:20">
      <c r="A236" s="183">
        <v>235</v>
      </c>
      <c r="B236" s="174" t="s">
        <v>487</v>
      </c>
      <c r="C236" s="174" t="s">
        <v>398</v>
      </c>
      <c r="D236" s="174">
        <v>4</v>
      </c>
      <c r="E236" s="174" t="s">
        <v>249</v>
      </c>
      <c r="F236" s="174">
        <v>1</v>
      </c>
      <c r="G236" s="174">
        <v>1</v>
      </c>
      <c r="H236" s="174">
        <v>1</v>
      </c>
      <c r="I236" s="174">
        <v>1</v>
      </c>
      <c r="J236" s="174">
        <v>1</v>
      </c>
      <c r="K236" s="174">
        <v>2</v>
      </c>
      <c r="L236" s="174">
        <v>1</v>
      </c>
      <c r="M236" s="174">
        <v>1</v>
      </c>
      <c r="N236" s="170"/>
      <c r="O236" s="170"/>
      <c r="P236" s="170"/>
      <c r="Q236" s="180">
        <f>SUM(Tabela2[[#This Row],[G]]+Tabela2[[#This Row],[D]]+Tabela2[[#This Row],[N]]+Tabela2[[#This Row],[HM]])</f>
        <v>5</v>
      </c>
      <c r="R236" s="180">
        <f>SUM(Tabela2[[#This Row],[AO]]+Tabela2[[#This Row],[AD]]+Tabela2[[#This Row],[GWO]]+Tabela2[[#This Row],[GWD]])</f>
        <v>4</v>
      </c>
      <c r="S236" s="180">
        <f>Tabela2[[#This Row],[GWO]]+Tabela2[[#This Row],[GWD]]</f>
        <v>2</v>
      </c>
      <c r="T236" s="180">
        <f>SUM(Tabela2[[#This Row],[G]:[GWD]])</f>
        <v>9</v>
      </c>
    </row>
    <row r="237" spans="1:20" ht="30">
      <c r="A237" s="183">
        <v>236</v>
      </c>
      <c r="B237" s="174" t="s">
        <v>486</v>
      </c>
      <c r="C237" s="174" t="s">
        <v>396</v>
      </c>
      <c r="D237" s="174">
        <v>4</v>
      </c>
      <c r="E237" s="174" t="s">
        <v>249</v>
      </c>
      <c r="F237" s="174">
        <v>2</v>
      </c>
      <c r="G237" s="174">
        <v>2</v>
      </c>
      <c r="H237" s="174">
        <v>4</v>
      </c>
      <c r="I237" s="174">
        <v>1</v>
      </c>
      <c r="J237" s="174">
        <v>1</v>
      </c>
      <c r="K237" s="174">
        <v>3</v>
      </c>
      <c r="L237" s="174">
        <v>1</v>
      </c>
      <c r="M237" s="174">
        <v>2</v>
      </c>
      <c r="N237" s="170"/>
      <c r="O237" s="194" t="s">
        <v>204</v>
      </c>
      <c r="P237" s="194"/>
      <c r="Q237" s="180">
        <f>SUM(Tabela2[[#This Row],[G]]+Tabela2[[#This Row],[D]]+Tabela2[[#This Row],[N]]+Tabela2[[#This Row],[HM]])</f>
        <v>11</v>
      </c>
      <c r="R237" s="180">
        <f>SUM(Tabela2[[#This Row],[AO]]+Tabela2[[#This Row],[AD]]+Tabela2[[#This Row],[GWO]]+Tabela2[[#This Row],[GWD]])</f>
        <v>5</v>
      </c>
      <c r="S237" s="180">
        <f>Tabela2[[#This Row],[GWO]]+Tabela2[[#This Row],[GWD]]</f>
        <v>3</v>
      </c>
      <c r="T237" s="180">
        <f>SUM(Tabela2[[#This Row],[G]:[GWD]])</f>
        <v>16</v>
      </c>
    </row>
    <row r="238" spans="1:20" ht="30">
      <c r="A238" s="183">
        <v>237</v>
      </c>
      <c r="B238" s="174" t="s">
        <v>485</v>
      </c>
      <c r="C238" s="174" t="s">
        <v>394</v>
      </c>
      <c r="D238" s="174">
        <v>4</v>
      </c>
      <c r="E238" s="174" t="s">
        <v>249</v>
      </c>
      <c r="F238" s="174">
        <v>1</v>
      </c>
      <c r="G238" s="174">
        <v>4</v>
      </c>
      <c r="H238" s="174">
        <v>1</v>
      </c>
      <c r="I238" s="174">
        <v>1</v>
      </c>
      <c r="J238" s="174">
        <v>1</v>
      </c>
      <c r="K238" s="174">
        <v>1</v>
      </c>
      <c r="L238" s="174">
        <v>3</v>
      </c>
      <c r="M238" s="174">
        <v>1</v>
      </c>
      <c r="N238" s="170"/>
      <c r="O238" s="170"/>
      <c r="P238" s="170"/>
      <c r="Q238" s="180">
        <f>SUM(Tabela2[[#This Row],[G]]+Tabela2[[#This Row],[D]]+Tabela2[[#This Row],[N]]+Tabela2[[#This Row],[HM]])</f>
        <v>7</v>
      </c>
      <c r="R238" s="180">
        <f>SUM(Tabela2[[#This Row],[AO]]+Tabela2[[#This Row],[AD]]+Tabela2[[#This Row],[GWO]]+Tabela2[[#This Row],[GWD]])</f>
        <v>6</v>
      </c>
      <c r="S238" s="180">
        <f>Tabela2[[#This Row],[GWO]]+Tabela2[[#This Row],[GWD]]</f>
        <v>4</v>
      </c>
      <c r="T238" s="180">
        <f>SUM(Tabela2[[#This Row],[G]:[GWD]])</f>
        <v>13</v>
      </c>
    </row>
    <row r="239" spans="1:20" ht="30">
      <c r="A239" s="183">
        <v>238</v>
      </c>
      <c r="B239" s="174" t="s">
        <v>484</v>
      </c>
      <c r="C239" s="174" t="s">
        <v>392</v>
      </c>
      <c r="D239" s="174">
        <v>4</v>
      </c>
      <c r="E239" s="174" t="s">
        <v>249</v>
      </c>
      <c r="F239" s="174">
        <v>1</v>
      </c>
      <c r="G239" s="174">
        <v>1</v>
      </c>
      <c r="H239" s="174">
        <v>3</v>
      </c>
      <c r="I239" s="174">
        <v>3</v>
      </c>
      <c r="J239" s="174">
        <v>1</v>
      </c>
      <c r="K239" s="174">
        <v>1</v>
      </c>
      <c r="L239" s="174">
        <v>2</v>
      </c>
      <c r="M239" s="174">
        <v>1</v>
      </c>
      <c r="N239" s="170"/>
      <c r="O239" s="170"/>
      <c r="P239" s="170"/>
      <c r="Q239" s="180">
        <f>SUM(Tabela2[[#This Row],[G]]+Tabela2[[#This Row],[D]]+Tabela2[[#This Row],[N]]+Tabela2[[#This Row],[HM]])</f>
        <v>6</v>
      </c>
      <c r="R239" s="180">
        <f>SUM(Tabela2[[#This Row],[AO]]+Tabela2[[#This Row],[AD]]+Tabela2[[#This Row],[GWO]]+Tabela2[[#This Row],[GWD]])</f>
        <v>7</v>
      </c>
      <c r="S239" s="180">
        <f>Tabela2[[#This Row],[GWO]]+Tabela2[[#This Row],[GWD]]</f>
        <v>3</v>
      </c>
      <c r="T239" s="180">
        <f>SUM(Tabela2[[#This Row],[G]:[GWD]])</f>
        <v>13</v>
      </c>
    </row>
    <row r="240" spans="1:20">
      <c r="A240" s="183">
        <v>239</v>
      </c>
      <c r="B240" s="174" t="s">
        <v>483</v>
      </c>
      <c r="C240" s="174" t="s">
        <v>215</v>
      </c>
      <c r="D240" s="174">
        <v>4</v>
      </c>
      <c r="E240" s="174" t="s">
        <v>249</v>
      </c>
      <c r="F240" s="174">
        <v>1</v>
      </c>
      <c r="G240" s="174">
        <v>1</v>
      </c>
      <c r="H240" s="174">
        <v>1</v>
      </c>
      <c r="I240" s="174">
        <v>1</v>
      </c>
      <c r="J240" s="174">
        <v>1</v>
      </c>
      <c r="K240" s="174">
        <v>1</v>
      </c>
      <c r="L240" s="174">
        <v>1</v>
      </c>
      <c r="M240" s="174">
        <v>1</v>
      </c>
      <c r="N240" s="174" t="s">
        <v>445</v>
      </c>
      <c r="O240" s="174"/>
      <c r="P240" s="174"/>
      <c r="Q240" s="185">
        <f>SUM(Tabela2[[#This Row],[G]]+Tabela2[[#This Row],[D]]+Tabela2[[#This Row],[N]]+Tabela2[[#This Row],[HM]])</f>
        <v>4</v>
      </c>
      <c r="R240" s="185">
        <f>SUM(Tabela2[[#This Row],[AO]]+Tabela2[[#This Row],[AD]]+Tabela2[[#This Row],[GWO]]+Tabela2[[#This Row],[GWD]])</f>
        <v>4</v>
      </c>
      <c r="S240" s="185">
        <f>Tabela2[[#This Row],[GWO]]+Tabela2[[#This Row],[GWD]]</f>
        <v>2</v>
      </c>
      <c r="T240" s="180">
        <f>SUM(Tabela2[[#This Row],[G]:[GWD]])</f>
        <v>8</v>
      </c>
    </row>
    <row r="241" spans="1:20" ht="30">
      <c r="A241" s="183">
        <v>240</v>
      </c>
      <c r="B241" s="174" t="s">
        <v>482</v>
      </c>
      <c r="C241" s="174" t="s">
        <v>344</v>
      </c>
      <c r="D241" s="174">
        <v>4</v>
      </c>
      <c r="E241" s="174" t="s">
        <v>249</v>
      </c>
      <c r="F241" s="174">
        <v>1</v>
      </c>
      <c r="G241" s="174">
        <v>2</v>
      </c>
      <c r="H241" s="174">
        <v>1</v>
      </c>
      <c r="I241" s="174">
        <v>5</v>
      </c>
      <c r="J241" s="174">
        <v>3</v>
      </c>
      <c r="K241" s="174">
        <v>3</v>
      </c>
      <c r="L241" s="174">
        <v>5</v>
      </c>
      <c r="M241" s="174">
        <v>2</v>
      </c>
      <c r="N241" s="170"/>
      <c r="O241" s="170"/>
      <c r="P241" s="170"/>
      <c r="Q241" s="180">
        <f>SUM(Tabela2[[#This Row],[G]]+Tabela2[[#This Row],[D]]+Tabela2[[#This Row],[N]]+Tabela2[[#This Row],[HM]])</f>
        <v>7</v>
      </c>
      <c r="R241" s="180">
        <f>SUM(Tabela2[[#This Row],[AO]]+Tabela2[[#This Row],[AD]]+Tabela2[[#This Row],[GWO]]+Tabela2[[#This Row],[GWD]])</f>
        <v>15</v>
      </c>
      <c r="S241" s="180">
        <f>Tabela2[[#This Row],[GWO]]+Tabela2[[#This Row],[GWD]]</f>
        <v>7</v>
      </c>
      <c r="T241" s="180">
        <f>SUM(Tabela2[[#This Row],[G]:[GWD]])</f>
        <v>22</v>
      </c>
    </row>
    <row r="242" spans="1:20">
      <c r="A242" s="183">
        <v>241</v>
      </c>
      <c r="B242" s="174" t="s">
        <v>481</v>
      </c>
      <c r="C242" s="174" t="s">
        <v>388</v>
      </c>
      <c r="D242" s="174">
        <v>4</v>
      </c>
      <c r="E242" s="174" t="s">
        <v>249</v>
      </c>
      <c r="F242" s="174">
        <v>1</v>
      </c>
      <c r="G242" s="174">
        <v>1</v>
      </c>
      <c r="H242" s="174">
        <v>3</v>
      </c>
      <c r="I242" s="174">
        <v>4</v>
      </c>
      <c r="J242" s="174">
        <v>1</v>
      </c>
      <c r="K242" s="174">
        <v>1</v>
      </c>
      <c r="L242" s="174">
        <v>4</v>
      </c>
      <c r="M242" s="174">
        <v>1</v>
      </c>
      <c r="N242" s="170"/>
      <c r="O242" s="170"/>
      <c r="P242" s="170"/>
      <c r="Q242" s="180">
        <f>SUM(Tabela2[[#This Row],[G]]+Tabela2[[#This Row],[D]]+Tabela2[[#This Row],[N]]+Tabela2[[#This Row],[HM]])</f>
        <v>6</v>
      </c>
      <c r="R242" s="180">
        <f>SUM(Tabela2[[#This Row],[AO]]+Tabela2[[#This Row],[AD]]+Tabela2[[#This Row],[GWO]]+Tabela2[[#This Row],[GWD]])</f>
        <v>10</v>
      </c>
      <c r="S242" s="180">
        <f>Tabela2[[#This Row],[GWO]]+Tabela2[[#This Row],[GWD]]</f>
        <v>5</v>
      </c>
      <c r="T242" s="180">
        <f>SUM(Tabela2[[#This Row],[G]:[GWD]])</f>
        <v>16</v>
      </c>
    </row>
    <row r="243" spans="1:20" ht="30">
      <c r="A243" s="183">
        <v>242</v>
      </c>
      <c r="B243" s="174" t="s">
        <v>480</v>
      </c>
      <c r="C243" s="174" t="s">
        <v>386</v>
      </c>
      <c r="D243" s="174">
        <v>4</v>
      </c>
      <c r="E243" s="174" t="s">
        <v>249</v>
      </c>
      <c r="F243" s="174">
        <v>5</v>
      </c>
      <c r="G243" s="174">
        <v>5</v>
      </c>
      <c r="H243" s="174">
        <v>1</v>
      </c>
      <c r="I243" s="174">
        <v>5</v>
      </c>
      <c r="J243" s="174">
        <v>2</v>
      </c>
      <c r="K243" s="174">
        <v>1</v>
      </c>
      <c r="L243" s="174">
        <v>5</v>
      </c>
      <c r="M243" s="174">
        <v>5</v>
      </c>
      <c r="N243" s="170"/>
      <c r="O243" s="170"/>
      <c r="P243" s="170"/>
      <c r="Q243" s="180">
        <f>SUM(Tabela2[[#This Row],[G]]+Tabela2[[#This Row],[D]]+Tabela2[[#This Row],[N]]+Tabela2[[#This Row],[HM]])</f>
        <v>12</v>
      </c>
      <c r="R243" s="180">
        <f>SUM(Tabela2[[#This Row],[AO]]+Tabela2[[#This Row],[AD]]+Tabela2[[#This Row],[GWO]]+Tabela2[[#This Row],[GWD]])</f>
        <v>17</v>
      </c>
      <c r="S243" s="180">
        <f>Tabela2[[#This Row],[GWO]]+Tabela2[[#This Row],[GWD]]</f>
        <v>10</v>
      </c>
      <c r="T243" s="180">
        <f>SUM(Tabela2[[#This Row],[G]:[GWD]])</f>
        <v>29</v>
      </c>
    </row>
    <row r="244" spans="1:20">
      <c r="A244" s="183">
        <v>243</v>
      </c>
      <c r="B244" s="174" t="s">
        <v>479</v>
      </c>
      <c r="C244" s="174" t="s">
        <v>384</v>
      </c>
      <c r="D244" s="174">
        <v>4</v>
      </c>
      <c r="E244" s="174" t="s">
        <v>249</v>
      </c>
      <c r="F244" s="174">
        <v>2</v>
      </c>
      <c r="G244" s="174">
        <v>4</v>
      </c>
      <c r="H244" s="174">
        <v>1</v>
      </c>
      <c r="I244" s="174">
        <v>2</v>
      </c>
      <c r="J244" s="174">
        <v>1</v>
      </c>
      <c r="K244" s="174">
        <v>1</v>
      </c>
      <c r="L244" s="174">
        <v>4</v>
      </c>
      <c r="M244" s="174">
        <v>1</v>
      </c>
      <c r="N244" s="170"/>
      <c r="O244" s="170" t="s">
        <v>204</v>
      </c>
      <c r="P244" s="170"/>
      <c r="Q244" s="180">
        <f>SUM(Tabela2[[#This Row],[G]]+Tabela2[[#This Row],[D]]+Tabela2[[#This Row],[N]]+Tabela2[[#This Row],[HM]])</f>
        <v>8</v>
      </c>
      <c r="R244" s="180">
        <f>SUM(Tabela2[[#This Row],[AO]]+Tabela2[[#This Row],[AD]]+Tabela2[[#This Row],[GWO]]+Tabela2[[#This Row],[GWD]])</f>
        <v>8</v>
      </c>
      <c r="S244" s="180">
        <f>Tabela2[[#This Row],[GWO]]+Tabela2[[#This Row],[GWD]]</f>
        <v>5</v>
      </c>
      <c r="T244" s="180">
        <f>SUM(Tabela2[[#This Row],[G]:[GWD]])</f>
        <v>16</v>
      </c>
    </row>
    <row r="245" spans="1:20">
      <c r="A245" s="183">
        <v>244</v>
      </c>
      <c r="B245" s="174" t="s">
        <v>478</v>
      </c>
      <c r="C245" s="174" t="s">
        <v>382</v>
      </c>
      <c r="D245" s="174">
        <v>4</v>
      </c>
      <c r="E245" s="174" t="s">
        <v>249</v>
      </c>
      <c r="F245" s="174">
        <v>1</v>
      </c>
      <c r="G245" s="174">
        <v>1</v>
      </c>
      <c r="H245" s="174">
        <v>1</v>
      </c>
      <c r="I245" s="174">
        <v>1</v>
      </c>
      <c r="J245" s="174">
        <v>1</v>
      </c>
      <c r="K245" s="174">
        <v>1</v>
      </c>
      <c r="L245" s="174">
        <v>3</v>
      </c>
      <c r="M245" s="174">
        <v>1</v>
      </c>
      <c r="N245" s="170"/>
      <c r="O245" s="170"/>
      <c r="P245" s="170"/>
      <c r="Q245" s="180">
        <f>SUM(Tabela2[[#This Row],[G]]+Tabela2[[#This Row],[D]]+Tabela2[[#This Row],[N]]+Tabela2[[#This Row],[HM]])</f>
        <v>4</v>
      </c>
      <c r="R245" s="180">
        <f>SUM(Tabela2[[#This Row],[AO]]+Tabela2[[#This Row],[AD]]+Tabela2[[#This Row],[GWO]]+Tabela2[[#This Row],[GWD]])</f>
        <v>6</v>
      </c>
      <c r="S245" s="180">
        <f>Tabela2[[#This Row],[GWO]]+Tabela2[[#This Row],[GWD]]</f>
        <v>4</v>
      </c>
      <c r="T245" s="180">
        <f>SUM(Tabela2[[#This Row],[G]:[GWD]])</f>
        <v>10</v>
      </c>
    </row>
    <row r="246" spans="1:20" ht="30">
      <c r="A246" s="183">
        <v>245</v>
      </c>
      <c r="B246" s="174" t="s">
        <v>477</v>
      </c>
      <c r="C246" s="174" t="s">
        <v>451</v>
      </c>
      <c r="D246" s="174">
        <v>4</v>
      </c>
      <c r="E246" s="174" t="s">
        <v>249</v>
      </c>
      <c r="F246" s="174">
        <v>1</v>
      </c>
      <c r="G246" s="174">
        <v>1</v>
      </c>
      <c r="H246" s="174">
        <v>1</v>
      </c>
      <c r="I246" s="174">
        <v>1</v>
      </c>
      <c r="J246" s="174">
        <v>2</v>
      </c>
      <c r="K246" s="174">
        <v>3</v>
      </c>
      <c r="L246" s="174">
        <v>2</v>
      </c>
      <c r="M246" s="174">
        <v>2</v>
      </c>
      <c r="N246" s="170"/>
      <c r="O246" s="170"/>
      <c r="P246" s="170"/>
      <c r="Q246" s="180">
        <f>SUM(Tabela2[[#This Row],[G]]+Tabela2[[#This Row],[D]]+Tabela2[[#This Row],[N]]+Tabela2[[#This Row],[HM]])</f>
        <v>6</v>
      </c>
      <c r="R246" s="180">
        <f>SUM(Tabela2[[#This Row],[AO]]+Tabela2[[#This Row],[AD]]+Tabela2[[#This Row],[GWO]]+Tabela2[[#This Row],[GWD]])</f>
        <v>7</v>
      </c>
      <c r="S246" s="180">
        <f>Tabela2[[#This Row],[GWO]]+Tabela2[[#This Row],[GWD]]</f>
        <v>4</v>
      </c>
      <c r="T246" s="180">
        <f>SUM(Tabela2[[#This Row],[G]:[GWD]])</f>
        <v>13</v>
      </c>
    </row>
    <row r="247" spans="1:20">
      <c r="A247" s="183">
        <v>246</v>
      </c>
      <c r="B247" s="174" t="s">
        <v>476</v>
      </c>
      <c r="C247" s="174" t="s">
        <v>227</v>
      </c>
      <c r="D247" s="174">
        <v>4</v>
      </c>
      <c r="E247" s="174" t="s">
        <v>249</v>
      </c>
      <c r="F247" s="174">
        <v>1</v>
      </c>
      <c r="G247" s="174">
        <v>1</v>
      </c>
      <c r="H247" s="174">
        <v>2</v>
      </c>
      <c r="I247" s="174">
        <v>3</v>
      </c>
      <c r="J247" s="174">
        <v>3</v>
      </c>
      <c r="K247" s="174">
        <v>1</v>
      </c>
      <c r="L247" s="174">
        <v>1</v>
      </c>
      <c r="M247" s="174">
        <v>1</v>
      </c>
      <c r="N247" s="170"/>
      <c r="O247" s="170"/>
      <c r="P247" s="170"/>
      <c r="Q247" s="180">
        <f>SUM(Tabela2[[#This Row],[G]]+Tabela2[[#This Row],[D]]+Tabela2[[#This Row],[N]]+Tabela2[[#This Row],[HM]])</f>
        <v>5</v>
      </c>
      <c r="R247" s="180">
        <f>SUM(Tabela2[[#This Row],[AO]]+Tabela2[[#This Row],[AD]]+Tabela2[[#This Row],[GWO]]+Tabela2[[#This Row],[GWD]])</f>
        <v>8</v>
      </c>
      <c r="S247" s="180">
        <f>Tabela2[[#This Row],[GWO]]+Tabela2[[#This Row],[GWD]]</f>
        <v>2</v>
      </c>
      <c r="T247" s="180">
        <f>SUM(Tabela2[[#This Row],[G]:[GWD]])</f>
        <v>13</v>
      </c>
    </row>
    <row r="248" spans="1:20">
      <c r="A248" s="183">
        <v>247</v>
      </c>
      <c r="B248" s="174" t="s">
        <v>475</v>
      </c>
      <c r="C248" s="174" t="s">
        <v>225</v>
      </c>
      <c r="D248" s="174">
        <v>4</v>
      </c>
      <c r="E248" s="174" t="s">
        <v>249</v>
      </c>
      <c r="F248" s="174">
        <v>1</v>
      </c>
      <c r="G248" s="174">
        <v>2</v>
      </c>
      <c r="H248" s="174">
        <v>1</v>
      </c>
      <c r="I248" s="174">
        <v>4</v>
      </c>
      <c r="J248" s="174">
        <v>5</v>
      </c>
      <c r="K248" s="174">
        <v>5</v>
      </c>
      <c r="L248" s="174">
        <v>3</v>
      </c>
      <c r="M248" s="174">
        <v>3</v>
      </c>
      <c r="N248" s="170"/>
      <c r="O248" s="205" t="s">
        <v>204</v>
      </c>
      <c r="P248" s="170"/>
      <c r="Q248" s="180">
        <f>SUM(Tabela2[[#This Row],[G]]+Tabela2[[#This Row],[D]]+Tabela2[[#This Row],[N]]+Tabela2[[#This Row],[HM]])</f>
        <v>9</v>
      </c>
      <c r="R248" s="180">
        <f>SUM(Tabela2[[#This Row],[AO]]+Tabela2[[#This Row],[AD]]+Tabela2[[#This Row],[GWO]]+Tabela2[[#This Row],[GWD]])</f>
        <v>15</v>
      </c>
      <c r="S248" s="180">
        <f>Tabela2[[#This Row],[GWO]]+Tabela2[[#This Row],[GWD]]</f>
        <v>6</v>
      </c>
      <c r="T248" s="180">
        <f>SUM(Tabela2[[#This Row],[G]:[GWD]])</f>
        <v>24</v>
      </c>
    </row>
    <row r="249" spans="1:20">
      <c r="A249" s="183">
        <v>248</v>
      </c>
      <c r="B249" s="174" t="s">
        <v>474</v>
      </c>
      <c r="C249" s="174" t="s">
        <v>378</v>
      </c>
      <c r="D249" s="174">
        <v>4</v>
      </c>
      <c r="E249" s="174" t="s">
        <v>249</v>
      </c>
      <c r="F249" s="174">
        <v>2</v>
      </c>
      <c r="G249" s="174">
        <v>3</v>
      </c>
      <c r="H249" s="174">
        <v>1</v>
      </c>
      <c r="I249" s="174">
        <v>1</v>
      </c>
      <c r="J249" s="174">
        <v>1</v>
      </c>
      <c r="K249" s="174">
        <v>1</v>
      </c>
      <c r="L249" s="174">
        <v>3</v>
      </c>
      <c r="M249" s="174">
        <v>1</v>
      </c>
      <c r="N249" s="170"/>
      <c r="O249" s="170"/>
      <c r="P249" s="170"/>
      <c r="Q249" s="180">
        <f>SUM(Tabela2[[#This Row],[G]]+Tabela2[[#This Row],[D]]+Tabela2[[#This Row],[N]]+Tabela2[[#This Row],[HM]])</f>
        <v>7</v>
      </c>
      <c r="R249" s="180">
        <f>SUM(Tabela2[[#This Row],[AO]]+Tabela2[[#This Row],[AD]]+Tabela2[[#This Row],[GWO]]+Tabela2[[#This Row],[GWD]])</f>
        <v>6</v>
      </c>
      <c r="S249" s="180">
        <f>Tabela2[[#This Row],[GWO]]+Tabela2[[#This Row],[GWD]]</f>
        <v>4</v>
      </c>
      <c r="T249" s="180">
        <f>SUM(Tabela2[[#This Row],[G]:[GWD]])</f>
        <v>13</v>
      </c>
    </row>
    <row r="250" spans="1:20">
      <c r="A250" s="183">
        <v>249</v>
      </c>
      <c r="B250" s="174" t="s">
        <v>473</v>
      </c>
      <c r="C250" s="174" t="s">
        <v>226</v>
      </c>
      <c r="D250" s="174">
        <v>4</v>
      </c>
      <c r="E250" s="174" t="s">
        <v>249</v>
      </c>
      <c r="F250" s="174">
        <v>1</v>
      </c>
      <c r="G250" s="174">
        <v>2</v>
      </c>
      <c r="H250" s="174">
        <v>1</v>
      </c>
      <c r="I250" s="174">
        <v>1</v>
      </c>
      <c r="J250" s="174">
        <v>1</v>
      </c>
      <c r="K250" s="174">
        <v>1</v>
      </c>
      <c r="L250" s="174">
        <v>2</v>
      </c>
      <c r="M250" s="174">
        <v>1</v>
      </c>
      <c r="N250" s="174" t="s">
        <v>445</v>
      </c>
      <c r="O250" s="174"/>
      <c r="P250" s="174"/>
      <c r="Q250" s="185">
        <f>SUM(Tabela2[[#This Row],[G]]+Tabela2[[#This Row],[D]]+Tabela2[[#This Row],[N]]+Tabela2[[#This Row],[HM]])</f>
        <v>5</v>
      </c>
      <c r="R250" s="185">
        <f>SUM(Tabela2[[#This Row],[AO]]+Tabela2[[#This Row],[AD]]+Tabela2[[#This Row],[GWO]]+Tabela2[[#This Row],[GWD]])</f>
        <v>5</v>
      </c>
      <c r="S250" s="185">
        <f>Tabela2[[#This Row],[GWO]]+Tabela2[[#This Row],[GWD]]</f>
        <v>3</v>
      </c>
      <c r="T250" s="180">
        <f>SUM(Tabela2[[#This Row],[G]:[GWD]])</f>
        <v>10</v>
      </c>
    </row>
    <row r="251" spans="1:20">
      <c r="A251" s="183">
        <v>250</v>
      </c>
      <c r="B251" s="174" t="s">
        <v>472</v>
      </c>
      <c r="C251" s="174" t="s">
        <v>184</v>
      </c>
      <c r="D251" s="174">
        <v>4</v>
      </c>
      <c r="E251" s="174" t="s">
        <v>249</v>
      </c>
      <c r="F251" s="174">
        <v>1</v>
      </c>
      <c r="G251" s="174">
        <v>1</v>
      </c>
      <c r="H251" s="174">
        <v>1</v>
      </c>
      <c r="I251" s="174">
        <v>1</v>
      </c>
      <c r="J251" s="174">
        <v>1</v>
      </c>
      <c r="K251" s="174">
        <v>1</v>
      </c>
      <c r="L251" s="174">
        <v>1</v>
      </c>
      <c r="M251" s="174">
        <v>1</v>
      </c>
      <c r="N251" s="170"/>
      <c r="O251" s="170"/>
      <c r="P251" s="170"/>
      <c r="Q251" s="180">
        <f>SUM(Tabela2[[#This Row],[G]]+Tabela2[[#This Row],[D]]+Tabela2[[#This Row],[N]]+Tabela2[[#This Row],[HM]])</f>
        <v>4</v>
      </c>
      <c r="R251" s="180">
        <f>SUM(Tabela2[[#This Row],[AO]]+Tabela2[[#This Row],[AD]]+Tabela2[[#This Row],[GWO]]+Tabela2[[#This Row],[GWD]])</f>
        <v>4</v>
      </c>
      <c r="S251" s="180">
        <f>Tabela2[[#This Row],[GWO]]+Tabela2[[#This Row],[GWD]]</f>
        <v>2</v>
      </c>
      <c r="T251" s="180">
        <f>SUM(Tabela2[[#This Row],[G]:[GWD]])</f>
        <v>8</v>
      </c>
    </row>
    <row r="252" spans="1:20">
      <c r="A252" s="183">
        <v>251</v>
      </c>
      <c r="B252" s="174" t="s">
        <v>471</v>
      </c>
      <c r="C252" s="174" t="s">
        <v>376</v>
      </c>
      <c r="D252" s="174">
        <v>4</v>
      </c>
      <c r="E252" s="174" t="s">
        <v>249</v>
      </c>
      <c r="F252" s="174">
        <v>1</v>
      </c>
      <c r="G252" s="174">
        <v>1</v>
      </c>
      <c r="H252" s="174">
        <v>1</v>
      </c>
      <c r="I252" s="174">
        <v>1</v>
      </c>
      <c r="J252" s="174">
        <v>1</v>
      </c>
      <c r="K252" s="174">
        <v>1</v>
      </c>
      <c r="L252" s="174">
        <v>1</v>
      </c>
      <c r="M252" s="174">
        <v>1</v>
      </c>
      <c r="N252" s="170"/>
      <c r="O252" s="170"/>
      <c r="P252" s="170"/>
      <c r="Q252" s="180">
        <f>SUM(Tabela2[[#This Row],[G]]+Tabela2[[#This Row],[D]]+Tabela2[[#This Row],[N]]+Tabela2[[#This Row],[HM]])</f>
        <v>4</v>
      </c>
      <c r="R252" s="180">
        <f>SUM(Tabela2[[#This Row],[AO]]+Tabela2[[#This Row],[AD]]+Tabela2[[#This Row],[GWO]]+Tabela2[[#This Row],[GWD]])</f>
        <v>4</v>
      </c>
      <c r="S252" s="180">
        <f>Tabela2[[#This Row],[GWO]]+Tabela2[[#This Row],[GWD]]</f>
        <v>2</v>
      </c>
      <c r="T252" s="180">
        <f>SUM(Tabela2[[#This Row],[G]:[GWD]])</f>
        <v>8</v>
      </c>
    </row>
    <row r="253" spans="1:20">
      <c r="A253" s="183">
        <v>252</v>
      </c>
      <c r="B253" s="172" t="s">
        <v>470</v>
      </c>
      <c r="C253" s="172" t="s">
        <v>419</v>
      </c>
      <c r="D253" s="172">
        <v>4</v>
      </c>
      <c r="E253" s="172" t="s">
        <v>250</v>
      </c>
      <c r="F253" s="172">
        <v>2</v>
      </c>
      <c r="G253" s="172">
        <v>1</v>
      </c>
      <c r="H253" s="172">
        <v>1</v>
      </c>
      <c r="I253" s="172">
        <v>1</v>
      </c>
      <c r="J253" s="172">
        <v>1</v>
      </c>
      <c r="K253" s="172">
        <v>1</v>
      </c>
      <c r="L253" s="172">
        <v>4</v>
      </c>
      <c r="M253" s="172">
        <v>1</v>
      </c>
      <c r="N253" s="170"/>
      <c r="O253" s="191" t="s">
        <v>204</v>
      </c>
      <c r="P253" s="191"/>
      <c r="Q253" s="180">
        <f>SUM(Tabela2[[#This Row],[G]]+Tabela2[[#This Row],[D]]+Tabela2[[#This Row],[N]]+Tabela2[[#This Row],[HM]])</f>
        <v>5</v>
      </c>
      <c r="R253" s="180">
        <f>SUM(Tabela2[[#This Row],[AO]]+Tabela2[[#This Row],[AD]]+Tabela2[[#This Row],[GWO]]+Tabela2[[#This Row],[GWD]])</f>
        <v>7</v>
      </c>
      <c r="S253" s="180">
        <f>Tabela2[[#This Row],[GWO]]+Tabela2[[#This Row],[GWD]]</f>
        <v>5</v>
      </c>
      <c r="T253" s="180">
        <f>SUM(Tabela2[[#This Row],[G]:[GWD]])</f>
        <v>12</v>
      </c>
    </row>
    <row r="254" spans="1:20" ht="30">
      <c r="A254" s="183">
        <v>253</v>
      </c>
      <c r="B254" s="172" t="s">
        <v>469</v>
      </c>
      <c r="C254" s="172" t="s">
        <v>441</v>
      </c>
      <c r="D254" s="172">
        <v>4</v>
      </c>
      <c r="E254" s="172" t="s">
        <v>250</v>
      </c>
      <c r="F254" s="172">
        <v>2</v>
      </c>
      <c r="G254" s="172">
        <v>1</v>
      </c>
      <c r="H254" s="172">
        <v>1</v>
      </c>
      <c r="I254" s="172">
        <v>1</v>
      </c>
      <c r="J254" s="172">
        <v>1</v>
      </c>
      <c r="K254" s="172">
        <v>1</v>
      </c>
      <c r="L254" s="172">
        <v>1</v>
      </c>
      <c r="M254" s="172">
        <v>1</v>
      </c>
      <c r="N254" s="170"/>
      <c r="O254" s="170"/>
      <c r="P254" s="170"/>
      <c r="Q254" s="180">
        <f>SUM(Tabela2[[#This Row],[G]]+Tabela2[[#This Row],[D]]+Tabela2[[#This Row],[N]]+Tabela2[[#This Row],[HM]])</f>
        <v>5</v>
      </c>
      <c r="R254" s="180">
        <f>SUM(Tabela2[[#This Row],[AO]]+Tabela2[[#This Row],[AD]]+Tabela2[[#This Row],[GWO]]+Tabela2[[#This Row],[GWD]])</f>
        <v>4</v>
      </c>
      <c r="S254" s="180">
        <f>Tabela2[[#This Row],[GWO]]+Tabela2[[#This Row],[GWD]]</f>
        <v>2</v>
      </c>
      <c r="T254" s="180">
        <f>SUM(Tabela2[[#This Row],[G]:[GWD]])</f>
        <v>9</v>
      </c>
    </row>
    <row r="255" spans="1:20" ht="30">
      <c r="A255" s="183">
        <v>254</v>
      </c>
      <c r="B255" s="172" t="s">
        <v>468</v>
      </c>
      <c r="C255" s="172" t="s">
        <v>415</v>
      </c>
      <c r="D255" s="172">
        <v>4</v>
      </c>
      <c r="E255" s="172" t="s">
        <v>250</v>
      </c>
      <c r="F255" s="172">
        <v>3</v>
      </c>
      <c r="G255" s="172">
        <v>1</v>
      </c>
      <c r="H255" s="172">
        <v>1</v>
      </c>
      <c r="I255" s="172">
        <v>4</v>
      </c>
      <c r="J255" s="172">
        <v>3</v>
      </c>
      <c r="K255" s="172">
        <v>1</v>
      </c>
      <c r="L255" s="172">
        <v>4</v>
      </c>
      <c r="M255" s="172">
        <v>1</v>
      </c>
      <c r="N255" s="170"/>
      <c r="O255" s="170"/>
      <c r="P255" s="170"/>
      <c r="Q255" s="180">
        <f>SUM(Tabela2[[#This Row],[G]]+Tabela2[[#This Row],[D]]+Tabela2[[#This Row],[N]]+Tabela2[[#This Row],[HM]])</f>
        <v>6</v>
      </c>
      <c r="R255" s="180">
        <f>SUM(Tabela2[[#This Row],[AO]]+Tabela2[[#This Row],[AD]]+Tabela2[[#This Row],[GWO]]+Tabela2[[#This Row],[GWD]])</f>
        <v>12</v>
      </c>
      <c r="S255" s="180">
        <f>Tabela2[[#This Row],[GWO]]+Tabela2[[#This Row],[GWD]]</f>
        <v>5</v>
      </c>
      <c r="T255" s="180">
        <f>SUM(Tabela2[[#This Row],[G]:[GWD]])</f>
        <v>18</v>
      </c>
    </row>
    <row r="256" spans="1:20" ht="30">
      <c r="A256" s="183">
        <v>255</v>
      </c>
      <c r="B256" s="172" t="s">
        <v>467</v>
      </c>
      <c r="C256" s="172" t="s">
        <v>357</v>
      </c>
      <c r="D256" s="172">
        <v>4</v>
      </c>
      <c r="E256" s="172" t="s">
        <v>250</v>
      </c>
      <c r="F256" s="172">
        <v>3</v>
      </c>
      <c r="G256" s="172">
        <v>3</v>
      </c>
      <c r="H256" s="172">
        <v>1</v>
      </c>
      <c r="I256" s="172">
        <v>1</v>
      </c>
      <c r="J256" s="172">
        <v>3</v>
      </c>
      <c r="K256" s="172">
        <v>5</v>
      </c>
      <c r="L256" s="172">
        <v>4</v>
      </c>
      <c r="M256" s="172">
        <v>3</v>
      </c>
      <c r="N256" s="170"/>
      <c r="O256" s="170"/>
      <c r="P256" s="170"/>
      <c r="Q256" s="180">
        <f>SUM(Tabela2[[#This Row],[G]]+Tabela2[[#This Row],[D]]+Tabela2[[#This Row],[N]]+Tabela2[[#This Row],[HM]])</f>
        <v>12</v>
      </c>
      <c r="R256" s="180">
        <f>SUM(Tabela2[[#This Row],[AO]]+Tabela2[[#This Row],[AD]]+Tabela2[[#This Row],[GWO]]+Tabela2[[#This Row],[GWD]])</f>
        <v>11</v>
      </c>
      <c r="S256" s="180">
        <f>Tabela2[[#This Row],[GWO]]+Tabela2[[#This Row],[GWD]]</f>
        <v>7</v>
      </c>
      <c r="T256" s="180">
        <f>SUM(Tabela2[[#This Row],[G]:[GWD]])</f>
        <v>23</v>
      </c>
    </row>
    <row r="257" spans="1:20">
      <c r="A257" s="183">
        <v>256</v>
      </c>
      <c r="B257" s="172" t="s">
        <v>466</v>
      </c>
      <c r="C257" s="172" t="s">
        <v>210</v>
      </c>
      <c r="D257" s="172">
        <v>4</v>
      </c>
      <c r="E257" s="172" t="s">
        <v>250</v>
      </c>
      <c r="F257" s="172">
        <v>5</v>
      </c>
      <c r="G257" s="172">
        <v>1</v>
      </c>
      <c r="H257" s="172">
        <v>2</v>
      </c>
      <c r="I257" s="172">
        <v>5</v>
      </c>
      <c r="J257" s="172">
        <v>1</v>
      </c>
      <c r="K257" s="172">
        <v>1</v>
      </c>
      <c r="L257" s="172">
        <v>5</v>
      </c>
      <c r="M257" s="172">
        <v>1</v>
      </c>
      <c r="N257" s="170"/>
      <c r="O257" s="170"/>
      <c r="P257" s="170"/>
      <c r="Q257" s="180">
        <f>SUM(Tabela2[[#This Row],[G]]+Tabela2[[#This Row],[D]]+Tabela2[[#This Row],[N]]+Tabela2[[#This Row],[HM]])</f>
        <v>9</v>
      </c>
      <c r="R257" s="180">
        <f>SUM(Tabela2[[#This Row],[AO]]+Tabela2[[#This Row],[AD]]+Tabela2[[#This Row],[GWO]]+Tabela2[[#This Row],[GWD]])</f>
        <v>12</v>
      </c>
      <c r="S257" s="180">
        <f>Tabela2[[#This Row],[GWO]]+Tabela2[[#This Row],[GWD]]</f>
        <v>6</v>
      </c>
      <c r="T257" s="180">
        <f>SUM(Tabela2[[#This Row],[G]:[GWD]])</f>
        <v>21</v>
      </c>
    </row>
    <row r="258" spans="1:20" ht="30">
      <c r="A258" s="183">
        <v>257</v>
      </c>
      <c r="B258" s="172" t="s">
        <v>465</v>
      </c>
      <c r="C258" s="172" t="s">
        <v>409</v>
      </c>
      <c r="D258" s="172">
        <v>4</v>
      </c>
      <c r="E258" s="172" t="s">
        <v>250</v>
      </c>
      <c r="F258" s="172">
        <v>3</v>
      </c>
      <c r="G258" s="172">
        <v>1</v>
      </c>
      <c r="H258" s="172">
        <v>2</v>
      </c>
      <c r="I258" s="172">
        <v>4</v>
      </c>
      <c r="J258" s="172">
        <v>1</v>
      </c>
      <c r="K258" s="172">
        <v>1</v>
      </c>
      <c r="L258" s="172">
        <v>4</v>
      </c>
      <c r="M258" s="172">
        <v>1</v>
      </c>
      <c r="N258" s="170"/>
      <c r="O258" s="170"/>
      <c r="P258" s="170"/>
      <c r="Q258" s="180">
        <f>SUM(Tabela2[[#This Row],[G]]+Tabela2[[#This Row],[D]]+Tabela2[[#This Row],[N]]+Tabela2[[#This Row],[HM]])</f>
        <v>7</v>
      </c>
      <c r="R258" s="180">
        <f>SUM(Tabela2[[#This Row],[AO]]+Tabela2[[#This Row],[AD]]+Tabela2[[#This Row],[GWO]]+Tabela2[[#This Row],[GWD]])</f>
        <v>10</v>
      </c>
      <c r="S258" s="180">
        <f>Tabela2[[#This Row],[GWO]]+Tabela2[[#This Row],[GWD]]</f>
        <v>5</v>
      </c>
      <c r="T258" s="180">
        <f>SUM(Tabela2[[#This Row],[G]:[GWD]])</f>
        <v>17</v>
      </c>
    </row>
    <row r="259" spans="1:20" ht="30">
      <c r="A259" s="183">
        <v>258</v>
      </c>
      <c r="B259" s="172" t="s">
        <v>464</v>
      </c>
      <c r="C259" s="172" t="s">
        <v>407</v>
      </c>
      <c r="D259" s="172">
        <v>4</v>
      </c>
      <c r="E259" s="172" t="s">
        <v>250</v>
      </c>
      <c r="F259" s="172">
        <v>1</v>
      </c>
      <c r="G259" s="172">
        <v>1</v>
      </c>
      <c r="H259" s="172">
        <v>1</v>
      </c>
      <c r="I259" s="172">
        <v>1</v>
      </c>
      <c r="J259" s="172">
        <v>1</v>
      </c>
      <c r="K259" s="172">
        <v>1</v>
      </c>
      <c r="L259" s="172">
        <v>1</v>
      </c>
      <c r="M259" s="172">
        <v>1</v>
      </c>
      <c r="N259" s="170"/>
      <c r="O259" s="170"/>
      <c r="P259" s="170"/>
      <c r="Q259" s="180">
        <f>SUM(Tabela2[[#This Row],[G]]+Tabela2[[#This Row],[D]]+Tabela2[[#This Row],[N]]+Tabela2[[#This Row],[HM]])</f>
        <v>4</v>
      </c>
      <c r="R259" s="180">
        <f>SUM(Tabela2[[#This Row],[AO]]+Tabela2[[#This Row],[AD]]+Tabela2[[#This Row],[GWO]]+Tabela2[[#This Row],[GWD]])</f>
        <v>4</v>
      </c>
      <c r="S259" s="180">
        <f>Tabela2[[#This Row],[GWO]]+Tabela2[[#This Row],[GWD]]</f>
        <v>2</v>
      </c>
      <c r="T259" s="180">
        <f>SUM(Tabela2[[#This Row],[G]:[GWD]])</f>
        <v>8</v>
      </c>
    </row>
    <row r="260" spans="1:20">
      <c r="A260" s="183">
        <v>259</v>
      </c>
      <c r="B260" s="172" t="s">
        <v>463</v>
      </c>
      <c r="C260" s="172" t="s">
        <v>405</v>
      </c>
      <c r="D260" s="172">
        <v>4</v>
      </c>
      <c r="E260" s="172" t="s">
        <v>250</v>
      </c>
      <c r="F260" s="172">
        <v>2</v>
      </c>
      <c r="G260" s="172">
        <v>1</v>
      </c>
      <c r="H260" s="172">
        <v>1</v>
      </c>
      <c r="I260" s="172">
        <v>1</v>
      </c>
      <c r="J260" s="172">
        <v>1</v>
      </c>
      <c r="K260" s="172">
        <v>1</v>
      </c>
      <c r="L260" s="172">
        <v>2</v>
      </c>
      <c r="M260" s="172">
        <v>1</v>
      </c>
      <c r="N260" s="170"/>
      <c r="O260" s="170"/>
      <c r="P260" s="170"/>
      <c r="Q260" s="180">
        <f>SUM(Tabela2[[#This Row],[G]]+Tabela2[[#This Row],[D]]+Tabela2[[#This Row],[N]]+Tabela2[[#This Row],[HM]])</f>
        <v>5</v>
      </c>
      <c r="R260" s="180">
        <f>SUM(Tabela2[[#This Row],[AO]]+Tabela2[[#This Row],[AD]]+Tabela2[[#This Row],[GWO]]+Tabela2[[#This Row],[GWD]])</f>
        <v>5</v>
      </c>
      <c r="S260" s="180">
        <f>Tabela2[[#This Row],[GWO]]+Tabela2[[#This Row],[GWD]]</f>
        <v>3</v>
      </c>
      <c r="T260" s="180">
        <f>SUM(Tabela2[[#This Row],[G]:[GWD]])</f>
        <v>10</v>
      </c>
    </row>
    <row r="261" spans="1:20" ht="30">
      <c r="A261" s="183">
        <v>260</v>
      </c>
      <c r="B261" s="172" t="s">
        <v>462</v>
      </c>
      <c r="C261" s="172" t="s">
        <v>403</v>
      </c>
      <c r="D261" s="172">
        <v>4</v>
      </c>
      <c r="E261" s="172" t="s">
        <v>250</v>
      </c>
      <c r="F261" s="172">
        <v>3</v>
      </c>
      <c r="G261" s="172">
        <v>1</v>
      </c>
      <c r="H261" s="172">
        <v>2</v>
      </c>
      <c r="I261" s="172">
        <v>1</v>
      </c>
      <c r="J261" s="172">
        <v>1</v>
      </c>
      <c r="K261" s="172">
        <v>1</v>
      </c>
      <c r="L261" s="172">
        <v>1</v>
      </c>
      <c r="M261" s="172">
        <v>1</v>
      </c>
      <c r="N261" s="170"/>
      <c r="O261" s="170"/>
      <c r="P261" s="170"/>
      <c r="Q261" s="180">
        <f>SUM(Tabela2[[#This Row],[G]]+Tabela2[[#This Row],[D]]+Tabela2[[#This Row],[N]]+Tabela2[[#This Row],[HM]])</f>
        <v>7</v>
      </c>
      <c r="R261" s="180">
        <f>SUM(Tabela2[[#This Row],[AO]]+Tabela2[[#This Row],[AD]]+Tabela2[[#This Row],[GWO]]+Tabela2[[#This Row],[GWD]])</f>
        <v>4</v>
      </c>
      <c r="S261" s="180">
        <f>Tabela2[[#This Row],[GWO]]+Tabela2[[#This Row],[GWD]]</f>
        <v>2</v>
      </c>
      <c r="T261" s="180">
        <f>SUM(Tabela2[[#This Row],[G]:[GWD]])</f>
        <v>11</v>
      </c>
    </row>
    <row r="262" spans="1:20">
      <c r="A262" s="183">
        <v>261</v>
      </c>
      <c r="B262" s="172" t="s">
        <v>461</v>
      </c>
      <c r="C262" s="172" t="s">
        <v>398</v>
      </c>
      <c r="D262" s="172">
        <v>4</v>
      </c>
      <c r="E262" s="172" t="s">
        <v>250</v>
      </c>
      <c r="F262" s="172">
        <v>3</v>
      </c>
      <c r="G262" s="172">
        <v>1</v>
      </c>
      <c r="H262" s="172">
        <v>1</v>
      </c>
      <c r="I262" s="172">
        <v>1</v>
      </c>
      <c r="J262" s="172">
        <v>1</v>
      </c>
      <c r="K262" s="172">
        <v>1</v>
      </c>
      <c r="L262" s="172">
        <v>1</v>
      </c>
      <c r="M262" s="172">
        <v>1</v>
      </c>
      <c r="N262" s="170"/>
      <c r="O262" s="170"/>
      <c r="P262" s="170"/>
      <c r="Q262" s="180">
        <f>SUM(Tabela2[[#This Row],[G]]+Tabela2[[#This Row],[D]]+Tabela2[[#This Row],[N]]+Tabela2[[#This Row],[HM]])</f>
        <v>6</v>
      </c>
      <c r="R262" s="180">
        <f>SUM(Tabela2[[#This Row],[AO]]+Tabela2[[#This Row],[AD]]+Tabela2[[#This Row],[GWO]]+Tabela2[[#This Row],[GWD]])</f>
        <v>4</v>
      </c>
      <c r="S262" s="180">
        <f>Tabela2[[#This Row],[GWO]]+Tabela2[[#This Row],[GWD]]</f>
        <v>2</v>
      </c>
      <c r="T262" s="180">
        <f>SUM(Tabela2[[#This Row],[G]:[GWD]])</f>
        <v>10</v>
      </c>
    </row>
    <row r="263" spans="1:20" ht="30">
      <c r="A263" s="183">
        <v>262</v>
      </c>
      <c r="B263" s="172" t="s">
        <v>460</v>
      </c>
      <c r="C263" s="172" t="s">
        <v>396</v>
      </c>
      <c r="D263" s="172">
        <v>4</v>
      </c>
      <c r="E263" s="172" t="s">
        <v>250</v>
      </c>
      <c r="F263" s="172">
        <v>3</v>
      </c>
      <c r="G263" s="172">
        <v>1</v>
      </c>
      <c r="H263" s="172">
        <v>1</v>
      </c>
      <c r="I263" s="172">
        <v>1</v>
      </c>
      <c r="J263" s="172">
        <v>2</v>
      </c>
      <c r="K263" s="172">
        <v>1</v>
      </c>
      <c r="L263" s="172">
        <v>3</v>
      </c>
      <c r="M263" s="172">
        <v>3</v>
      </c>
      <c r="N263" s="170"/>
      <c r="O263" s="170"/>
      <c r="P263" s="170"/>
      <c r="Q263" s="180">
        <f>SUM(Tabela2[[#This Row],[G]]+Tabela2[[#This Row],[D]]+Tabela2[[#This Row],[N]]+Tabela2[[#This Row],[HM]])</f>
        <v>6</v>
      </c>
      <c r="R263" s="180">
        <f>SUM(Tabela2[[#This Row],[AO]]+Tabela2[[#This Row],[AD]]+Tabela2[[#This Row],[GWO]]+Tabela2[[#This Row],[GWD]])</f>
        <v>9</v>
      </c>
      <c r="S263" s="180">
        <f>Tabela2[[#This Row],[GWO]]+Tabela2[[#This Row],[GWD]]</f>
        <v>6</v>
      </c>
      <c r="T263" s="180">
        <f>SUM(Tabela2[[#This Row],[G]:[GWD]])</f>
        <v>15</v>
      </c>
    </row>
    <row r="264" spans="1:20" ht="30">
      <c r="A264" s="183">
        <v>263</v>
      </c>
      <c r="B264" s="172" t="s">
        <v>459</v>
      </c>
      <c r="C264" s="172" t="s">
        <v>394</v>
      </c>
      <c r="D264" s="172">
        <v>4</v>
      </c>
      <c r="E264" s="172" t="s">
        <v>250</v>
      </c>
      <c r="F264" s="172">
        <v>3</v>
      </c>
      <c r="G264" s="172">
        <v>1</v>
      </c>
      <c r="H264" s="172">
        <v>1</v>
      </c>
      <c r="I264" s="172">
        <v>1</v>
      </c>
      <c r="J264" s="172">
        <v>1</v>
      </c>
      <c r="K264" s="172">
        <v>1</v>
      </c>
      <c r="L264" s="172">
        <v>3</v>
      </c>
      <c r="M264" s="172">
        <v>1</v>
      </c>
      <c r="N264" s="170"/>
      <c r="O264" s="170"/>
      <c r="P264" s="170"/>
      <c r="Q264" s="180">
        <f>SUM(Tabela2[[#This Row],[G]]+Tabela2[[#This Row],[D]]+Tabela2[[#This Row],[N]]+Tabela2[[#This Row],[HM]])</f>
        <v>6</v>
      </c>
      <c r="R264" s="180">
        <f>SUM(Tabela2[[#This Row],[AO]]+Tabela2[[#This Row],[AD]]+Tabela2[[#This Row],[GWO]]+Tabela2[[#This Row],[GWD]])</f>
        <v>6</v>
      </c>
      <c r="S264" s="180">
        <f>Tabela2[[#This Row],[GWO]]+Tabela2[[#This Row],[GWD]]</f>
        <v>4</v>
      </c>
      <c r="T264" s="180">
        <f>SUM(Tabela2[[#This Row],[G]:[GWD]])</f>
        <v>12</v>
      </c>
    </row>
    <row r="265" spans="1:20" ht="30">
      <c r="A265" s="183">
        <v>264</v>
      </c>
      <c r="B265" s="172" t="s">
        <v>458</v>
      </c>
      <c r="C265" s="172" t="s">
        <v>392</v>
      </c>
      <c r="D265" s="172">
        <v>4</v>
      </c>
      <c r="E265" s="172" t="s">
        <v>250</v>
      </c>
      <c r="F265" s="172">
        <v>4</v>
      </c>
      <c r="G265" s="172">
        <v>1</v>
      </c>
      <c r="H265" s="172">
        <v>4</v>
      </c>
      <c r="I265" s="172">
        <v>1</v>
      </c>
      <c r="J265" s="172">
        <v>1</v>
      </c>
      <c r="K265" s="172">
        <v>1</v>
      </c>
      <c r="L265" s="172">
        <v>3</v>
      </c>
      <c r="M265" s="172">
        <v>1</v>
      </c>
      <c r="N265" s="172" t="s">
        <v>445</v>
      </c>
      <c r="O265" s="172"/>
      <c r="P265" s="172"/>
      <c r="Q265" s="186">
        <f>SUM(Tabela2[[#This Row],[G]]+Tabela2[[#This Row],[D]]+Tabela2[[#This Row],[N]]+Tabela2[[#This Row],[HM]])</f>
        <v>10</v>
      </c>
      <c r="R265" s="186">
        <f>SUM(Tabela2[[#This Row],[AO]]+Tabela2[[#This Row],[AD]]+Tabela2[[#This Row],[GWO]]+Tabela2[[#This Row],[GWD]])</f>
        <v>6</v>
      </c>
      <c r="S265" s="186">
        <f>Tabela2[[#This Row],[GWO]]+Tabela2[[#This Row],[GWD]]</f>
        <v>4</v>
      </c>
      <c r="T265" s="180">
        <f>SUM(Tabela2[[#This Row],[G]:[GWD]])</f>
        <v>16</v>
      </c>
    </row>
    <row r="266" spans="1:20">
      <c r="A266" s="183">
        <v>265</v>
      </c>
      <c r="B266" s="172" t="s">
        <v>356</v>
      </c>
      <c r="C266" s="172" t="s">
        <v>215</v>
      </c>
      <c r="D266" s="172">
        <v>4</v>
      </c>
      <c r="E266" s="172" t="s">
        <v>250</v>
      </c>
      <c r="F266" s="172">
        <v>5</v>
      </c>
      <c r="G266" s="172">
        <v>1</v>
      </c>
      <c r="H266" s="172">
        <v>5</v>
      </c>
      <c r="I266" s="172">
        <v>1</v>
      </c>
      <c r="J266" s="172">
        <v>1</v>
      </c>
      <c r="K266" s="172">
        <v>1</v>
      </c>
      <c r="L266" s="172">
        <v>3</v>
      </c>
      <c r="M266" s="172">
        <v>1</v>
      </c>
      <c r="N266" s="173"/>
      <c r="O266" s="173" t="s">
        <v>204</v>
      </c>
      <c r="P266" s="173"/>
      <c r="Q266" s="181">
        <f>SUM(Tabela2[[#This Row],[G]]+Tabela2[[#This Row],[D]]+Tabela2[[#This Row],[N]]+Tabela2[[#This Row],[HM]])</f>
        <v>12</v>
      </c>
      <c r="R266" s="181">
        <f>SUM(Tabela2[[#This Row],[AO]]+Tabela2[[#This Row],[AD]]+Tabela2[[#This Row],[GWO]]+Tabela2[[#This Row],[GWD]])</f>
        <v>6</v>
      </c>
      <c r="S266" s="181">
        <f>Tabela2[[#This Row],[GWO]]+Tabela2[[#This Row],[GWD]]</f>
        <v>4</v>
      </c>
      <c r="T266" s="181">
        <f>SUM(Tabela2[[#This Row],[G]:[GWD]])</f>
        <v>18</v>
      </c>
    </row>
    <row r="267" spans="1:20" ht="30">
      <c r="A267" s="183">
        <v>266</v>
      </c>
      <c r="B267" s="172" t="s">
        <v>457</v>
      </c>
      <c r="C267" s="172" t="s">
        <v>344</v>
      </c>
      <c r="D267" s="172">
        <v>4</v>
      </c>
      <c r="E267" s="172" t="s">
        <v>250</v>
      </c>
      <c r="F267" s="172">
        <v>3</v>
      </c>
      <c r="G267" s="172">
        <v>1</v>
      </c>
      <c r="H267" s="172">
        <v>1</v>
      </c>
      <c r="I267" s="172">
        <v>3</v>
      </c>
      <c r="J267" s="172">
        <v>1</v>
      </c>
      <c r="K267" s="172">
        <v>1</v>
      </c>
      <c r="L267" s="172">
        <v>2</v>
      </c>
      <c r="M267" s="172">
        <v>1</v>
      </c>
      <c r="N267" s="170"/>
      <c r="O267" s="170" t="s">
        <v>204</v>
      </c>
      <c r="P267" s="170"/>
      <c r="Q267" s="180">
        <f>SUM(Tabela2[[#This Row],[G]]+Tabela2[[#This Row],[D]]+Tabela2[[#This Row],[N]]+Tabela2[[#This Row],[HM]])</f>
        <v>6</v>
      </c>
      <c r="R267" s="180">
        <f>SUM(Tabela2[[#This Row],[AO]]+Tabela2[[#This Row],[AD]]+Tabela2[[#This Row],[GWO]]+Tabela2[[#This Row],[GWD]])</f>
        <v>7</v>
      </c>
      <c r="S267" s="180">
        <f>Tabela2[[#This Row],[GWO]]+Tabela2[[#This Row],[GWD]]</f>
        <v>3</v>
      </c>
      <c r="T267" s="180">
        <f>SUM(Tabela2[[#This Row],[G]:[GWD]])</f>
        <v>13</v>
      </c>
    </row>
    <row r="268" spans="1:20">
      <c r="A268" s="183">
        <v>267</v>
      </c>
      <c r="B268" s="172" t="s">
        <v>456</v>
      </c>
      <c r="C268" s="172" t="s">
        <v>388</v>
      </c>
      <c r="D268" s="172">
        <v>4</v>
      </c>
      <c r="E268" s="172" t="s">
        <v>250</v>
      </c>
      <c r="F268" s="172">
        <v>2</v>
      </c>
      <c r="G268" s="172">
        <v>1</v>
      </c>
      <c r="H268" s="172">
        <v>3</v>
      </c>
      <c r="I268" s="172">
        <v>1</v>
      </c>
      <c r="J268" s="172">
        <v>1</v>
      </c>
      <c r="K268" s="172">
        <v>1</v>
      </c>
      <c r="L268" s="172">
        <v>3</v>
      </c>
      <c r="M268" s="172">
        <v>1</v>
      </c>
      <c r="N268" s="170"/>
      <c r="O268" s="170"/>
      <c r="P268" s="170"/>
      <c r="Q268" s="180">
        <f>SUM(Tabela2[[#This Row],[G]]+Tabela2[[#This Row],[D]]+Tabela2[[#This Row],[N]]+Tabela2[[#This Row],[HM]])</f>
        <v>7</v>
      </c>
      <c r="R268" s="180">
        <f>SUM(Tabela2[[#This Row],[AO]]+Tabela2[[#This Row],[AD]]+Tabela2[[#This Row],[GWO]]+Tabela2[[#This Row],[GWD]])</f>
        <v>6</v>
      </c>
      <c r="S268" s="180">
        <f>Tabela2[[#This Row],[GWO]]+Tabela2[[#This Row],[GWD]]</f>
        <v>4</v>
      </c>
      <c r="T268" s="180">
        <f>SUM(Tabela2[[#This Row],[G]:[GWD]])</f>
        <v>13</v>
      </c>
    </row>
    <row r="269" spans="1:20" ht="30">
      <c r="A269" s="183">
        <v>268</v>
      </c>
      <c r="B269" s="172" t="s">
        <v>455</v>
      </c>
      <c r="C269" s="172" t="s">
        <v>386</v>
      </c>
      <c r="D269" s="172">
        <v>4</v>
      </c>
      <c r="E269" s="172" t="s">
        <v>250</v>
      </c>
      <c r="F269" s="172">
        <v>2</v>
      </c>
      <c r="G269" s="172">
        <v>1</v>
      </c>
      <c r="H269" s="172">
        <v>1</v>
      </c>
      <c r="I269" s="172">
        <v>1</v>
      </c>
      <c r="J269" s="172">
        <v>1</v>
      </c>
      <c r="K269" s="172">
        <v>1</v>
      </c>
      <c r="L269" s="172">
        <v>3</v>
      </c>
      <c r="M269" s="172">
        <v>1</v>
      </c>
      <c r="N269" s="170"/>
      <c r="O269" s="170"/>
      <c r="P269" s="170"/>
      <c r="Q269" s="180">
        <f>SUM(Tabela2[[#This Row],[G]]+Tabela2[[#This Row],[D]]+Tabela2[[#This Row],[N]]+Tabela2[[#This Row],[HM]])</f>
        <v>5</v>
      </c>
      <c r="R269" s="180">
        <f>SUM(Tabela2[[#This Row],[AO]]+Tabela2[[#This Row],[AD]]+Tabela2[[#This Row],[GWO]]+Tabela2[[#This Row],[GWD]])</f>
        <v>6</v>
      </c>
      <c r="S269" s="180">
        <f>Tabela2[[#This Row],[GWO]]+Tabela2[[#This Row],[GWD]]</f>
        <v>4</v>
      </c>
      <c r="T269" s="180">
        <f>SUM(Tabela2[[#This Row],[G]:[GWD]])</f>
        <v>11</v>
      </c>
    </row>
    <row r="270" spans="1:20">
      <c r="A270" s="183">
        <v>269</v>
      </c>
      <c r="B270" s="172" t="s">
        <v>454</v>
      </c>
      <c r="C270" s="172" t="s">
        <v>384</v>
      </c>
      <c r="D270" s="172">
        <v>4</v>
      </c>
      <c r="E270" s="172" t="s">
        <v>250</v>
      </c>
      <c r="F270" s="172">
        <v>3</v>
      </c>
      <c r="G270" s="172">
        <v>1</v>
      </c>
      <c r="H270" s="172">
        <v>4</v>
      </c>
      <c r="I270" s="172">
        <v>2</v>
      </c>
      <c r="J270" s="172">
        <v>1</v>
      </c>
      <c r="K270" s="172">
        <v>1</v>
      </c>
      <c r="L270" s="172">
        <v>3</v>
      </c>
      <c r="M270" s="172">
        <v>1</v>
      </c>
      <c r="N270" s="170"/>
      <c r="O270" s="170"/>
      <c r="P270" s="170"/>
      <c r="Q270" s="180">
        <f>SUM(Tabela2[[#This Row],[G]]+Tabela2[[#This Row],[D]]+Tabela2[[#This Row],[N]]+Tabela2[[#This Row],[HM]])</f>
        <v>9</v>
      </c>
      <c r="R270" s="180">
        <f>SUM(Tabela2[[#This Row],[AO]]+Tabela2[[#This Row],[AD]]+Tabela2[[#This Row],[GWO]]+Tabela2[[#This Row],[GWD]])</f>
        <v>7</v>
      </c>
      <c r="S270" s="180">
        <f>Tabela2[[#This Row],[GWO]]+Tabela2[[#This Row],[GWD]]</f>
        <v>4</v>
      </c>
      <c r="T270" s="180">
        <f>SUM(Tabela2[[#This Row],[G]:[GWD]])</f>
        <v>16</v>
      </c>
    </row>
    <row r="271" spans="1:20">
      <c r="A271" s="183">
        <v>270</v>
      </c>
      <c r="B271" s="172" t="s">
        <v>453</v>
      </c>
      <c r="C271" s="172" t="s">
        <v>382</v>
      </c>
      <c r="D271" s="172">
        <v>4</v>
      </c>
      <c r="E271" s="172" t="s">
        <v>250</v>
      </c>
      <c r="F271" s="172">
        <v>1</v>
      </c>
      <c r="G271" s="172">
        <v>1</v>
      </c>
      <c r="H271" s="172">
        <v>1</v>
      </c>
      <c r="I271" s="172">
        <v>1</v>
      </c>
      <c r="J271" s="172">
        <v>1</v>
      </c>
      <c r="K271" s="172">
        <v>1</v>
      </c>
      <c r="L271" s="172">
        <v>3</v>
      </c>
      <c r="M271" s="172">
        <v>1</v>
      </c>
      <c r="N271" s="170"/>
      <c r="O271" s="170"/>
      <c r="P271" s="170"/>
      <c r="Q271" s="180">
        <f>SUM(Tabela2[[#This Row],[G]]+Tabela2[[#This Row],[D]]+Tabela2[[#This Row],[N]]+Tabela2[[#This Row],[HM]])</f>
        <v>4</v>
      </c>
      <c r="R271" s="180">
        <f>SUM(Tabela2[[#This Row],[AO]]+Tabela2[[#This Row],[AD]]+Tabela2[[#This Row],[GWO]]+Tabela2[[#This Row],[GWD]])</f>
        <v>6</v>
      </c>
      <c r="S271" s="180">
        <f>Tabela2[[#This Row],[GWO]]+Tabela2[[#This Row],[GWD]]</f>
        <v>4</v>
      </c>
      <c r="T271" s="180">
        <f>SUM(Tabela2[[#This Row],[G]:[GWD]])</f>
        <v>10</v>
      </c>
    </row>
    <row r="272" spans="1:20" ht="30">
      <c r="A272" s="183">
        <v>271</v>
      </c>
      <c r="B272" s="172" t="s">
        <v>452</v>
      </c>
      <c r="C272" s="172" t="s">
        <v>451</v>
      </c>
      <c r="D272" s="172">
        <v>4</v>
      </c>
      <c r="E272" s="172" t="s">
        <v>250</v>
      </c>
      <c r="F272" s="172">
        <v>5</v>
      </c>
      <c r="G272" s="172">
        <v>3</v>
      </c>
      <c r="H272" s="172">
        <v>3</v>
      </c>
      <c r="I272" s="172">
        <v>4</v>
      </c>
      <c r="J272" s="172">
        <v>5</v>
      </c>
      <c r="K272" s="172">
        <v>5</v>
      </c>
      <c r="L272" s="172">
        <v>5</v>
      </c>
      <c r="M272" s="172">
        <v>5</v>
      </c>
      <c r="N272" s="170"/>
      <c r="O272" s="170"/>
      <c r="P272" s="170"/>
      <c r="Q272" s="180">
        <f>SUM(Tabela2[[#This Row],[G]]+Tabela2[[#This Row],[D]]+Tabela2[[#This Row],[N]]+Tabela2[[#This Row],[HM]])</f>
        <v>16</v>
      </c>
      <c r="R272" s="180">
        <f>SUM(Tabela2[[#This Row],[AO]]+Tabela2[[#This Row],[AD]]+Tabela2[[#This Row],[GWO]]+Tabela2[[#This Row],[GWD]])</f>
        <v>19</v>
      </c>
      <c r="S272" s="180">
        <f>Tabela2[[#This Row],[GWO]]+Tabela2[[#This Row],[GWD]]</f>
        <v>10</v>
      </c>
      <c r="T272" s="180">
        <f>SUM(Tabela2[[#This Row],[G]:[GWD]])</f>
        <v>35</v>
      </c>
    </row>
    <row r="273" spans="1:20">
      <c r="A273" s="183">
        <v>272</v>
      </c>
      <c r="B273" s="172" t="s">
        <v>450</v>
      </c>
      <c r="C273" s="172" t="s">
        <v>227</v>
      </c>
      <c r="D273" s="172">
        <v>4</v>
      </c>
      <c r="E273" s="172" t="s">
        <v>250</v>
      </c>
      <c r="F273" s="172">
        <v>2</v>
      </c>
      <c r="G273" s="172">
        <v>1</v>
      </c>
      <c r="H273" s="172">
        <v>4</v>
      </c>
      <c r="I273" s="172">
        <v>1</v>
      </c>
      <c r="J273" s="172">
        <v>1</v>
      </c>
      <c r="K273" s="172">
        <v>1</v>
      </c>
      <c r="L273" s="172">
        <v>3</v>
      </c>
      <c r="M273" s="172">
        <v>1</v>
      </c>
      <c r="N273" s="170"/>
      <c r="O273" s="170"/>
      <c r="P273" s="170"/>
      <c r="Q273" s="180">
        <f>SUM(Tabela2[[#This Row],[G]]+Tabela2[[#This Row],[D]]+Tabela2[[#This Row],[N]]+Tabela2[[#This Row],[HM]])</f>
        <v>8</v>
      </c>
      <c r="R273" s="180">
        <f>SUM(Tabela2[[#This Row],[AO]]+Tabela2[[#This Row],[AD]]+Tabela2[[#This Row],[GWO]]+Tabela2[[#This Row],[GWD]])</f>
        <v>6</v>
      </c>
      <c r="S273" s="180">
        <f>Tabela2[[#This Row],[GWO]]+Tabela2[[#This Row],[GWD]]</f>
        <v>4</v>
      </c>
      <c r="T273" s="180">
        <f>SUM(Tabela2[[#This Row],[G]:[GWD]])</f>
        <v>14</v>
      </c>
    </row>
    <row r="274" spans="1:20">
      <c r="A274" s="183">
        <v>273</v>
      </c>
      <c r="B274" s="172" t="s">
        <v>449</v>
      </c>
      <c r="C274" s="172" t="s">
        <v>225</v>
      </c>
      <c r="D274" s="172">
        <v>4</v>
      </c>
      <c r="E274" s="172" t="s">
        <v>250</v>
      </c>
      <c r="F274" s="172">
        <v>2</v>
      </c>
      <c r="G274" s="172">
        <v>1</v>
      </c>
      <c r="H274" s="172">
        <v>1</v>
      </c>
      <c r="I274" s="172">
        <v>3</v>
      </c>
      <c r="J274" s="172">
        <v>1</v>
      </c>
      <c r="K274" s="172">
        <v>1</v>
      </c>
      <c r="L274" s="172">
        <v>2</v>
      </c>
      <c r="M274" s="172">
        <v>1</v>
      </c>
      <c r="N274" s="170"/>
      <c r="O274" s="170"/>
      <c r="P274" s="170"/>
      <c r="Q274" s="180">
        <f>SUM(Tabela2[[#This Row],[G]]+Tabela2[[#This Row],[D]]+Tabela2[[#This Row],[N]]+Tabela2[[#This Row],[HM]])</f>
        <v>5</v>
      </c>
      <c r="R274" s="180">
        <f>SUM(Tabela2[[#This Row],[AO]]+Tabela2[[#This Row],[AD]]+Tabela2[[#This Row],[GWO]]+Tabela2[[#This Row],[GWD]])</f>
        <v>7</v>
      </c>
      <c r="S274" s="180">
        <f>Tabela2[[#This Row],[GWO]]+Tabela2[[#This Row],[GWD]]</f>
        <v>3</v>
      </c>
      <c r="T274" s="180">
        <f>SUM(Tabela2[[#This Row],[G]:[GWD]])</f>
        <v>12</v>
      </c>
    </row>
    <row r="275" spans="1:20">
      <c r="A275" s="183">
        <v>274</v>
      </c>
      <c r="B275" s="172" t="s">
        <v>448</v>
      </c>
      <c r="C275" s="172" t="s">
        <v>378</v>
      </c>
      <c r="D275" s="172">
        <v>4</v>
      </c>
      <c r="E275" s="172" t="s">
        <v>250</v>
      </c>
      <c r="F275" s="172">
        <v>5</v>
      </c>
      <c r="G275" s="172">
        <v>1</v>
      </c>
      <c r="H275" s="172">
        <v>1</v>
      </c>
      <c r="I275" s="172">
        <v>1</v>
      </c>
      <c r="J275" s="172">
        <v>1</v>
      </c>
      <c r="K275" s="172">
        <v>3</v>
      </c>
      <c r="L275" s="172">
        <v>3</v>
      </c>
      <c r="M275" s="172">
        <v>2</v>
      </c>
      <c r="N275" s="170"/>
      <c r="O275" s="170"/>
      <c r="P275" s="170"/>
      <c r="Q275" s="180">
        <f>SUM(Tabela2[[#This Row],[G]]+Tabela2[[#This Row],[D]]+Tabela2[[#This Row],[N]]+Tabela2[[#This Row],[HM]])</f>
        <v>10</v>
      </c>
      <c r="R275" s="180">
        <f>SUM(Tabela2[[#This Row],[AO]]+Tabela2[[#This Row],[AD]]+Tabela2[[#This Row],[GWO]]+Tabela2[[#This Row],[GWD]])</f>
        <v>7</v>
      </c>
      <c r="S275" s="180">
        <f>Tabela2[[#This Row],[GWO]]+Tabela2[[#This Row],[GWD]]</f>
        <v>5</v>
      </c>
      <c r="T275" s="180">
        <f>SUM(Tabela2[[#This Row],[G]:[GWD]])</f>
        <v>17</v>
      </c>
    </row>
    <row r="276" spans="1:20">
      <c r="A276" s="183">
        <v>275</v>
      </c>
      <c r="B276" s="172" t="s">
        <v>447</v>
      </c>
      <c r="C276" s="172" t="s">
        <v>226</v>
      </c>
      <c r="D276" s="172">
        <v>4</v>
      </c>
      <c r="E276" s="172" t="s">
        <v>250</v>
      </c>
      <c r="F276" s="172">
        <v>4</v>
      </c>
      <c r="G276" s="172">
        <v>1</v>
      </c>
      <c r="H276" s="172">
        <v>1</v>
      </c>
      <c r="I276" s="172">
        <v>3</v>
      </c>
      <c r="J276" s="172">
        <v>3</v>
      </c>
      <c r="K276" s="172">
        <v>2</v>
      </c>
      <c r="L276" s="172">
        <v>4</v>
      </c>
      <c r="M276" s="172">
        <v>2</v>
      </c>
      <c r="N276" s="170"/>
      <c r="O276" s="204" t="s">
        <v>204</v>
      </c>
      <c r="P276" s="170"/>
      <c r="Q276" s="180">
        <f>SUM(Tabela2[[#This Row],[G]]+Tabela2[[#This Row],[D]]+Tabela2[[#This Row],[N]]+Tabela2[[#This Row],[HM]])</f>
        <v>8</v>
      </c>
      <c r="R276" s="180">
        <f>SUM(Tabela2[[#This Row],[AO]]+Tabela2[[#This Row],[AD]]+Tabela2[[#This Row],[GWO]]+Tabela2[[#This Row],[GWD]])</f>
        <v>12</v>
      </c>
      <c r="S276" s="180">
        <f>Tabela2[[#This Row],[GWO]]+Tabela2[[#This Row],[GWD]]</f>
        <v>6</v>
      </c>
      <c r="T276" s="180">
        <f>SUM(Tabela2[[#This Row],[G]:[GWD]])</f>
        <v>20</v>
      </c>
    </row>
    <row r="277" spans="1:20">
      <c r="A277" s="183">
        <v>276</v>
      </c>
      <c r="B277" s="172" t="s">
        <v>446</v>
      </c>
      <c r="C277" s="172" t="s">
        <v>184</v>
      </c>
      <c r="D277" s="172">
        <v>4</v>
      </c>
      <c r="E277" s="172" t="s">
        <v>250</v>
      </c>
      <c r="F277" s="172">
        <v>4</v>
      </c>
      <c r="G277" s="172">
        <v>1</v>
      </c>
      <c r="H277" s="172">
        <v>1</v>
      </c>
      <c r="I277" s="172">
        <v>1</v>
      </c>
      <c r="J277" s="172">
        <v>1</v>
      </c>
      <c r="K277" s="172">
        <v>1</v>
      </c>
      <c r="L277" s="172">
        <v>3</v>
      </c>
      <c r="M277" s="172">
        <v>1</v>
      </c>
      <c r="N277" s="172" t="s">
        <v>445</v>
      </c>
      <c r="O277" s="172"/>
      <c r="P277" s="172"/>
      <c r="Q277" s="186">
        <f>SUM(Tabela2[[#This Row],[G]]+Tabela2[[#This Row],[D]]+Tabela2[[#This Row],[N]]+Tabela2[[#This Row],[HM]])</f>
        <v>7</v>
      </c>
      <c r="R277" s="186">
        <f>SUM(Tabela2[[#This Row],[AO]]+Tabela2[[#This Row],[AD]]+Tabela2[[#This Row],[GWO]]+Tabela2[[#This Row],[GWD]])</f>
        <v>6</v>
      </c>
      <c r="S277" s="186">
        <f>Tabela2[[#This Row],[GWO]]+Tabela2[[#This Row],[GWD]]</f>
        <v>4</v>
      </c>
      <c r="T277" s="180">
        <f>SUM(Tabela2[[#This Row],[G]:[GWD]])</f>
        <v>13</v>
      </c>
    </row>
    <row r="278" spans="1:20">
      <c r="A278" s="183">
        <v>277</v>
      </c>
      <c r="B278" s="172" t="s">
        <v>444</v>
      </c>
      <c r="C278" s="172" t="s">
        <v>376</v>
      </c>
      <c r="D278" s="172">
        <v>4</v>
      </c>
      <c r="E278" s="172" t="s">
        <v>250</v>
      </c>
      <c r="F278" s="172">
        <v>3</v>
      </c>
      <c r="G278" s="172">
        <v>1</v>
      </c>
      <c r="H278" s="172">
        <v>1</v>
      </c>
      <c r="I278" s="172">
        <v>3</v>
      </c>
      <c r="J278" s="172">
        <v>1</v>
      </c>
      <c r="K278" s="172">
        <v>3</v>
      </c>
      <c r="L278" s="172">
        <v>1</v>
      </c>
      <c r="M278" s="172">
        <v>1</v>
      </c>
      <c r="N278" s="170"/>
      <c r="O278" s="170"/>
      <c r="P278" s="170"/>
      <c r="Q278" s="180">
        <f>SUM(Tabela2[[#This Row],[G]]+Tabela2[[#This Row],[D]]+Tabela2[[#This Row],[N]]+Tabela2[[#This Row],[HM]])</f>
        <v>8</v>
      </c>
      <c r="R278" s="180">
        <f>SUM(Tabela2[[#This Row],[AO]]+Tabela2[[#This Row],[AD]]+Tabela2[[#This Row],[GWO]]+Tabela2[[#This Row],[GWD]])</f>
        <v>6</v>
      </c>
      <c r="S278" s="180">
        <f>Tabela2[[#This Row],[GWO]]+Tabela2[[#This Row],[GWD]]</f>
        <v>2</v>
      </c>
      <c r="T278" s="180">
        <f>SUM(Tabela2[[#This Row],[G]:[GWD]])</f>
        <v>14</v>
      </c>
    </row>
    <row r="279" spans="1:20">
      <c r="A279" s="183">
        <v>278</v>
      </c>
      <c r="B279" s="171" t="s">
        <v>443</v>
      </c>
      <c r="C279" s="171" t="s">
        <v>419</v>
      </c>
      <c r="D279" s="171">
        <v>4</v>
      </c>
      <c r="E279" s="171" t="s">
        <v>251</v>
      </c>
      <c r="F279" s="171">
        <v>1</v>
      </c>
      <c r="G279" s="171">
        <v>1</v>
      </c>
      <c r="H279" s="171">
        <v>1</v>
      </c>
      <c r="I279" s="171">
        <v>1</v>
      </c>
      <c r="J279" s="171">
        <v>1</v>
      </c>
      <c r="K279" s="171">
        <v>1</v>
      </c>
      <c r="L279" s="171">
        <v>3</v>
      </c>
      <c r="M279" s="171">
        <v>1</v>
      </c>
      <c r="N279" s="170"/>
      <c r="O279" s="170"/>
      <c r="P279" s="170"/>
      <c r="Q279" s="180">
        <f>SUM(Tabela2[[#This Row],[G]]+Tabela2[[#This Row],[D]]+Tabela2[[#This Row],[N]]+Tabela2[[#This Row],[HM]])</f>
        <v>4</v>
      </c>
      <c r="R279" s="180">
        <f>SUM(Tabela2[[#This Row],[AO]]+Tabela2[[#This Row],[AD]]+Tabela2[[#This Row],[GWO]]+Tabela2[[#This Row],[GWD]])</f>
        <v>6</v>
      </c>
      <c r="S279" s="180">
        <f>Tabela2[[#This Row],[GWO]]+Tabela2[[#This Row],[GWD]]</f>
        <v>4</v>
      </c>
      <c r="T279" s="180">
        <f>SUM(Tabela2[[#This Row],[G]:[GWD]])</f>
        <v>10</v>
      </c>
    </row>
    <row r="280" spans="1:20" ht="30">
      <c r="A280" s="183">
        <v>279</v>
      </c>
      <c r="B280" s="171" t="s">
        <v>442</v>
      </c>
      <c r="C280" s="171" t="s">
        <v>441</v>
      </c>
      <c r="D280" s="171">
        <v>4</v>
      </c>
      <c r="E280" s="171" t="s">
        <v>251</v>
      </c>
      <c r="F280" s="171">
        <v>2</v>
      </c>
      <c r="G280" s="171">
        <v>2</v>
      </c>
      <c r="H280" s="171">
        <v>2</v>
      </c>
      <c r="I280" s="171">
        <v>3</v>
      </c>
      <c r="J280" s="171">
        <v>1</v>
      </c>
      <c r="K280" s="171">
        <v>1</v>
      </c>
      <c r="L280" s="171">
        <v>4</v>
      </c>
      <c r="M280" s="171">
        <v>1</v>
      </c>
      <c r="N280" s="170"/>
      <c r="O280" s="170"/>
      <c r="P280" s="170"/>
      <c r="Q280" s="180">
        <f>SUM(Tabela2[[#This Row],[G]]+Tabela2[[#This Row],[D]]+Tabela2[[#This Row],[N]]+Tabela2[[#This Row],[HM]])</f>
        <v>7</v>
      </c>
      <c r="R280" s="180">
        <f>SUM(Tabela2[[#This Row],[AO]]+Tabela2[[#This Row],[AD]]+Tabela2[[#This Row],[GWO]]+Tabela2[[#This Row],[GWD]])</f>
        <v>9</v>
      </c>
      <c r="S280" s="180">
        <f>Tabela2[[#This Row],[GWO]]+Tabela2[[#This Row],[GWD]]</f>
        <v>5</v>
      </c>
      <c r="T280" s="180">
        <f>SUM(Tabela2[[#This Row],[G]:[GWD]])</f>
        <v>16</v>
      </c>
    </row>
    <row r="281" spans="1:20" ht="30">
      <c r="A281" s="183">
        <v>280</v>
      </c>
      <c r="B281" s="171" t="s">
        <v>440</v>
      </c>
      <c r="C281" s="171" t="s">
        <v>415</v>
      </c>
      <c r="D281" s="171">
        <v>4</v>
      </c>
      <c r="E281" s="171" t="s">
        <v>251</v>
      </c>
      <c r="F281" s="171">
        <v>1</v>
      </c>
      <c r="G281" s="171">
        <v>1</v>
      </c>
      <c r="H281" s="171">
        <v>1</v>
      </c>
      <c r="I281" s="171">
        <v>4</v>
      </c>
      <c r="J281" s="171">
        <v>3</v>
      </c>
      <c r="K281" s="171">
        <v>3</v>
      </c>
      <c r="L281" s="171">
        <v>3</v>
      </c>
      <c r="M281" s="171">
        <v>3</v>
      </c>
      <c r="N281" s="170"/>
      <c r="O281" s="170"/>
      <c r="P281" s="170"/>
      <c r="Q281" s="180">
        <f>SUM(Tabela2[[#This Row],[G]]+Tabela2[[#This Row],[D]]+Tabela2[[#This Row],[N]]+Tabela2[[#This Row],[HM]])</f>
        <v>6</v>
      </c>
      <c r="R281" s="180">
        <f>SUM(Tabela2[[#This Row],[AO]]+Tabela2[[#This Row],[AD]]+Tabela2[[#This Row],[GWO]]+Tabela2[[#This Row],[GWD]])</f>
        <v>13</v>
      </c>
      <c r="S281" s="180">
        <f>Tabela2[[#This Row],[GWO]]+Tabela2[[#This Row],[GWD]]</f>
        <v>6</v>
      </c>
      <c r="T281" s="180">
        <f>SUM(Tabela2[[#This Row],[G]:[GWD]])</f>
        <v>19</v>
      </c>
    </row>
    <row r="282" spans="1:20" ht="30">
      <c r="A282" s="183">
        <v>281</v>
      </c>
      <c r="B282" s="171" t="s">
        <v>439</v>
      </c>
      <c r="C282" s="171" t="s">
        <v>357</v>
      </c>
      <c r="D282" s="171">
        <v>4</v>
      </c>
      <c r="E282" s="171" t="s">
        <v>251</v>
      </c>
      <c r="F282" s="171">
        <v>3</v>
      </c>
      <c r="G282" s="171">
        <v>1</v>
      </c>
      <c r="H282" s="171">
        <v>1</v>
      </c>
      <c r="I282" s="171">
        <v>1</v>
      </c>
      <c r="J282" s="171">
        <v>3</v>
      </c>
      <c r="K282" s="171">
        <v>1</v>
      </c>
      <c r="L282" s="171">
        <v>3</v>
      </c>
      <c r="M282" s="171">
        <v>3</v>
      </c>
      <c r="N282" s="170"/>
      <c r="O282" s="170"/>
      <c r="P282" s="170"/>
      <c r="Q282" s="180">
        <f>SUM(Tabela2[[#This Row],[G]]+Tabela2[[#This Row],[D]]+Tabela2[[#This Row],[N]]+Tabela2[[#This Row],[HM]])</f>
        <v>6</v>
      </c>
      <c r="R282" s="180">
        <f>SUM(Tabela2[[#This Row],[AO]]+Tabela2[[#This Row],[AD]]+Tabela2[[#This Row],[GWO]]+Tabela2[[#This Row],[GWD]])</f>
        <v>10</v>
      </c>
      <c r="S282" s="180">
        <f>Tabela2[[#This Row],[GWO]]+Tabela2[[#This Row],[GWD]]</f>
        <v>6</v>
      </c>
      <c r="T282" s="180">
        <f>SUM(Tabela2[[#This Row],[G]:[GWD]])</f>
        <v>16</v>
      </c>
    </row>
    <row r="283" spans="1:20">
      <c r="A283" s="183">
        <v>282</v>
      </c>
      <c r="B283" s="171" t="s">
        <v>438</v>
      </c>
      <c r="C283" s="171" t="s">
        <v>210</v>
      </c>
      <c r="D283" s="171">
        <v>4</v>
      </c>
      <c r="E283" s="171" t="s">
        <v>251</v>
      </c>
      <c r="F283" s="171">
        <v>1</v>
      </c>
      <c r="G283" s="171">
        <v>1</v>
      </c>
      <c r="H283" s="171">
        <v>1</v>
      </c>
      <c r="I283" s="171">
        <v>4</v>
      </c>
      <c r="J283" s="171">
        <v>1</v>
      </c>
      <c r="K283" s="171">
        <v>3</v>
      </c>
      <c r="L283" s="171">
        <v>4</v>
      </c>
      <c r="M283" s="171">
        <v>3</v>
      </c>
      <c r="N283" s="170"/>
      <c r="O283" s="170"/>
      <c r="P283" s="170"/>
      <c r="Q283" s="180">
        <f>SUM(Tabela2[[#This Row],[G]]+Tabela2[[#This Row],[D]]+Tabela2[[#This Row],[N]]+Tabela2[[#This Row],[HM]])</f>
        <v>6</v>
      </c>
      <c r="R283" s="180">
        <f>SUM(Tabela2[[#This Row],[AO]]+Tabela2[[#This Row],[AD]]+Tabela2[[#This Row],[GWO]]+Tabela2[[#This Row],[GWD]])</f>
        <v>12</v>
      </c>
      <c r="S283" s="180">
        <f>Tabela2[[#This Row],[GWO]]+Tabela2[[#This Row],[GWD]]</f>
        <v>7</v>
      </c>
      <c r="T283" s="180">
        <f>SUM(Tabela2[[#This Row],[G]:[GWD]])</f>
        <v>18</v>
      </c>
    </row>
    <row r="284" spans="1:20" ht="30">
      <c r="A284" s="183">
        <v>283</v>
      </c>
      <c r="B284" s="171" t="s">
        <v>437</v>
      </c>
      <c r="C284" s="171" t="s">
        <v>409</v>
      </c>
      <c r="D284" s="171">
        <v>4</v>
      </c>
      <c r="E284" s="171" t="s">
        <v>251</v>
      </c>
      <c r="F284" s="171">
        <v>1</v>
      </c>
      <c r="G284" s="171">
        <v>1</v>
      </c>
      <c r="H284" s="171">
        <v>2</v>
      </c>
      <c r="I284" s="171">
        <v>4</v>
      </c>
      <c r="J284" s="171">
        <v>2</v>
      </c>
      <c r="K284" s="171">
        <v>1</v>
      </c>
      <c r="L284" s="171">
        <v>3</v>
      </c>
      <c r="M284" s="171">
        <v>1</v>
      </c>
      <c r="N284" s="170"/>
      <c r="O284" s="170"/>
      <c r="P284" s="170"/>
      <c r="Q284" s="180">
        <f>SUM(Tabela2[[#This Row],[G]]+Tabela2[[#This Row],[D]]+Tabela2[[#This Row],[N]]+Tabela2[[#This Row],[HM]])</f>
        <v>5</v>
      </c>
      <c r="R284" s="180">
        <f>SUM(Tabela2[[#This Row],[AO]]+Tabela2[[#This Row],[AD]]+Tabela2[[#This Row],[GWO]]+Tabela2[[#This Row],[GWD]])</f>
        <v>10</v>
      </c>
      <c r="S284" s="180">
        <f>Tabela2[[#This Row],[GWO]]+Tabela2[[#This Row],[GWD]]</f>
        <v>4</v>
      </c>
      <c r="T284" s="180">
        <f>SUM(Tabela2[[#This Row],[G]:[GWD]])</f>
        <v>15</v>
      </c>
    </row>
    <row r="285" spans="1:20" ht="30">
      <c r="A285" s="183">
        <v>284</v>
      </c>
      <c r="B285" s="171" t="s">
        <v>436</v>
      </c>
      <c r="C285" s="171" t="s">
        <v>407</v>
      </c>
      <c r="D285" s="171">
        <v>4</v>
      </c>
      <c r="E285" s="171" t="s">
        <v>251</v>
      </c>
      <c r="F285" s="171">
        <v>2</v>
      </c>
      <c r="G285" s="171">
        <v>2</v>
      </c>
      <c r="H285" s="171">
        <v>4</v>
      </c>
      <c r="I285" s="171">
        <v>4</v>
      </c>
      <c r="J285" s="171">
        <v>4</v>
      </c>
      <c r="K285" s="171">
        <v>1</v>
      </c>
      <c r="L285" s="171">
        <v>5</v>
      </c>
      <c r="M285" s="171">
        <v>4</v>
      </c>
      <c r="N285" s="170"/>
      <c r="O285" s="170"/>
      <c r="P285" s="170"/>
      <c r="Q285" s="180">
        <f>SUM(Tabela2[[#This Row],[G]]+Tabela2[[#This Row],[D]]+Tabela2[[#This Row],[N]]+Tabela2[[#This Row],[HM]])</f>
        <v>9</v>
      </c>
      <c r="R285" s="180">
        <f>SUM(Tabela2[[#This Row],[AO]]+Tabela2[[#This Row],[AD]]+Tabela2[[#This Row],[GWO]]+Tabela2[[#This Row],[GWD]])</f>
        <v>17</v>
      </c>
      <c r="S285" s="180">
        <f>Tabela2[[#This Row],[GWO]]+Tabela2[[#This Row],[GWD]]</f>
        <v>9</v>
      </c>
      <c r="T285" s="180">
        <f>SUM(Tabela2[[#This Row],[G]:[GWD]])</f>
        <v>26</v>
      </c>
    </row>
    <row r="286" spans="1:20">
      <c r="A286" s="183">
        <v>285</v>
      </c>
      <c r="B286" s="171" t="s">
        <v>435</v>
      </c>
      <c r="C286" s="171" t="s">
        <v>405</v>
      </c>
      <c r="D286" s="171">
        <v>4</v>
      </c>
      <c r="E286" s="171" t="s">
        <v>251</v>
      </c>
      <c r="F286" s="171">
        <v>1</v>
      </c>
      <c r="G286" s="171">
        <v>1</v>
      </c>
      <c r="H286" s="171">
        <v>1</v>
      </c>
      <c r="I286" s="171">
        <v>1</v>
      </c>
      <c r="J286" s="171">
        <v>3</v>
      </c>
      <c r="K286" s="171">
        <v>1</v>
      </c>
      <c r="L286" s="171">
        <v>3</v>
      </c>
      <c r="M286" s="171">
        <v>3</v>
      </c>
      <c r="N286" s="170"/>
      <c r="O286" s="170"/>
      <c r="P286" s="170"/>
      <c r="Q286" s="180">
        <f>SUM(Tabela2[[#This Row],[G]]+Tabela2[[#This Row],[D]]+Tabela2[[#This Row],[N]]+Tabela2[[#This Row],[HM]])</f>
        <v>4</v>
      </c>
      <c r="R286" s="180">
        <f>SUM(Tabela2[[#This Row],[AO]]+Tabela2[[#This Row],[AD]]+Tabela2[[#This Row],[GWO]]+Tabela2[[#This Row],[GWD]])</f>
        <v>10</v>
      </c>
      <c r="S286" s="180">
        <f>Tabela2[[#This Row],[GWO]]+Tabela2[[#This Row],[GWD]]</f>
        <v>6</v>
      </c>
      <c r="T286" s="180">
        <f>SUM(Tabela2[[#This Row],[G]:[GWD]])</f>
        <v>14</v>
      </c>
    </row>
    <row r="287" spans="1:20" ht="30">
      <c r="A287" s="183">
        <v>286</v>
      </c>
      <c r="B287" s="171" t="s">
        <v>434</v>
      </c>
      <c r="C287" s="171" t="s">
        <v>403</v>
      </c>
      <c r="D287" s="171">
        <v>4</v>
      </c>
      <c r="E287" s="171" t="s">
        <v>251</v>
      </c>
      <c r="F287" s="171">
        <v>3</v>
      </c>
      <c r="G287" s="171">
        <v>3</v>
      </c>
      <c r="H287" s="171">
        <v>4</v>
      </c>
      <c r="I287" s="171">
        <v>2</v>
      </c>
      <c r="J287" s="171">
        <v>2</v>
      </c>
      <c r="K287" s="171">
        <v>2</v>
      </c>
      <c r="L287" s="171">
        <v>3</v>
      </c>
      <c r="M287" s="171">
        <v>2</v>
      </c>
      <c r="N287" s="170"/>
      <c r="O287" s="194" t="s">
        <v>204</v>
      </c>
      <c r="P287" s="170"/>
      <c r="Q287" s="180">
        <f>SUM(Tabela2[[#This Row],[G]]+Tabela2[[#This Row],[D]]+Tabela2[[#This Row],[N]]+Tabela2[[#This Row],[HM]])</f>
        <v>12</v>
      </c>
      <c r="R287" s="180">
        <f>SUM(Tabela2[[#This Row],[AO]]+Tabela2[[#This Row],[AD]]+Tabela2[[#This Row],[GWO]]+Tabela2[[#This Row],[GWD]])</f>
        <v>9</v>
      </c>
      <c r="S287" s="180">
        <f>Tabela2[[#This Row],[GWO]]+Tabela2[[#This Row],[GWD]]</f>
        <v>5</v>
      </c>
      <c r="T287" s="180">
        <f>SUM(Tabela2[[#This Row],[G]:[GWD]])</f>
        <v>21</v>
      </c>
    </row>
    <row r="288" spans="1:20" ht="30">
      <c r="A288" s="183">
        <v>287</v>
      </c>
      <c r="B288" s="171" t="s">
        <v>433</v>
      </c>
      <c r="C288" s="171" t="s">
        <v>400</v>
      </c>
      <c r="D288" s="171">
        <v>4</v>
      </c>
      <c r="E288" s="171" t="s">
        <v>251</v>
      </c>
      <c r="F288" s="171">
        <v>1</v>
      </c>
      <c r="G288" s="171">
        <v>1</v>
      </c>
      <c r="H288" s="171">
        <v>1</v>
      </c>
      <c r="I288" s="171">
        <v>2</v>
      </c>
      <c r="J288" s="171">
        <v>1</v>
      </c>
      <c r="K288" s="171">
        <v>1</v>
      </c>
      <c r="L288" s="171">
        <v>4</v>
      </c>
      <c r="M288" s="171">
        <v>1</v>
      </c>
      <c r="N288" s="170"/>
      <c r="O288" s="170"/>
      <c r="P288" s="170"/>
      <c r="Q288" s="180">
        <f>SUM(Tabela2[[#This Row],[G]]+Tabela2[[#This Row],[D]]+Tabela2[[#This Row],[N]]+Tabela2[[#This Row],[HM]])</f>
        <v>4</v>
      </c>
      <c r="R288" s="180">
        <f>SUM(Tabela2[[#This Row],[AO]]+Tabela2[[#This Row],[AD]]+Tabela2[[#This Row],[GWO]]+Tabela2[[#This Row],[GWD]])</f>
        <v>8</v>
      </c>
      <c r="S288" s="180">
        <f>Tabela2[[#This Row],[GWO]]+Tabela2[[#This Row],[GWD]]</f>
        <v>5</v>
      </c>
      <c r="T288" s="180">
        <f>SUM(Tabela2[[#This Row],[G]:[GWD]])</f>
        <v>12</v>
      </c>
    </row>
    <row r="289" spans="1:20">
      <c r="A289" s="183">
        <v>288</v>
      </c>
      <c r="B289" s="171" t="s">
        <v>432</v>
      </c>
      <c r="C289" s="171" t="s">
        <v>398</v>
      </c>
      <c r="D289" s="171">
        <v>4</v>
      </c>
      <c r="E289" s="171" t="s">
        <v>251</v>
      </c>
      <c r="F289" s="171">
        <v>3</v>
      </c>
      <c r="G289" s="171">
        <v>2</v>
      </c>
      <c r="H289" s="171">
        <v>1</v>
      </c>
      <c r="I289" s="171">
        <v>1</v>
      </c>
      <c r="J289" s="171">
        <v>3</v>
      </c>
      <c r="K289" s="171">
        <v>1</v>
      </c>
      <c r="L289" s="171">
        <v>3</v>
      </c>
      <c r="M289" s="171">
        <v>5</v>
      </c>
      <c r="N289" s="170"/>
      <c r="O289" s="170"/>
      <c r="P289" s="170"/>
      <c r="Q289" s="180">
        <f>SUM(Tabela2[[#This Row],[G]]+Tabela2[[#This Row],[D]]+Tabela2[[#This Row],[N]]+Tabela2[[#This Row],[HM]])</f>
        <v>7</v>
      </c>
      <c r="R289" s="180">
        <f>SUM(Tabela2[[#This Row],[AO]]+Tabela2[[#This Row],[AD]]+Tabela2[[#This Row],[GWO]]+Tabela2[[#This Row],[GWD]])</f>
        <v>12</v>
      </c>
      <c r="S289" s="180">
        <f>Tabela2[[#This Row],[GWO]]+Tabela2[[#This Row],[GWD]]</f>
        <v>8</v>
      </c>
      <c r="T289" s="180">
        <f>SUM(Tabela2[[#This Row],[G]:[GWD]])</f>
        <v>19</v>
      </c>
    </row>
    <row r="290" spans="1:20" ht="30">
      <c r="A290" s="183">
        <v>289</v>
      </c>
      <c r="B290" s="171" t="s">
        <v>431</v>
      </c>
      <c r="C290" s="171" t="s">
        <v>394</v>
      </c>
      <c r="D290" s="171">
        <v>4</v>
      </c>
      <c r="E290" s="171" t="s">
        <v>251</v>
      </c>
      <c r="F290" s="171">
        <v>1</v>
      </c>
      <c r="G290" s="171">
        <v>1</v>
      </c>
      <c r="H290" s="171">
        <v>1</v>
      </c>
      <c r="I290" s="171">
        <v>2</v>
      </c>
      <c r="J290" s="171">
        <v>1</v>
      </c>
      <c r="K290" s="171">
        <v>1</v>
      </c>
      <c r="L290" s="171">
        <v>4</v>
      </c>
      <c r="M290" s="171">
        <v>1</v>
      </c>
      <c r="N290" s="170"/>
      <c r="O290" s="170"/>
      <c r="P290" s="170"/>
      <c r="Q290" s="180">
        <f>SUM(Tabela2[[#This Row],[G]]+Tabela2[[#This Row],[D]]+Tabela2[[#This Row],[N]]+Tabela2[[#This Row],[HM]])</f>
        <v>4</v>
      </c>
      <c r="R290" s="180">
        <f>SUM(Tabela2[[#This Row],[AO]]+Tabela2[[#This Row],[AD]]+Tabela2[[#This Row],[GWO]]+Tabela2[[#This Row],[GWD]])</f>
        <v>8</v>
      </c>
      <c r="S290" s="180">
        <f>Tabela2[[#This Row],[GWO]]+Tabela2[[#This Row],[GWD]]</f>
        <v>5</v>
      </c>
      <c r="T290" s="180">
        <f>SUM(Tabela2[[#This Row],[G]:[GWD]])</f>
        <v>12</v>
      </c>
    </row>
    <row r="291" spans="1:20" ht="30">
      <c r="A291" s="183">
        <v>290</v>
      </c>
      <c r="B291" s="171" t="s">
        <v>430</v>
      </c>
      <c r="C291" s="171" t="s">
        <v>392</v>
      </c>
      <c r="D291" s="171">
        <v>4</v>
      </c>
      <c r="E291" s="171" t="s">
        <v>251</v>
      </c>
      <c r="F291" s="171">
        <v>1</v>
      </c>
      <c r="G291" s="171">
        <v>1</v>
      </c>
      <c r="H291" s="171">
        <v>1</v>
      </c>
      <c r="I291" s="171">
        <v>1</v>
      </c>
      <c r="J291" s="171">
        <v>1</v>
      </c>
      <c r="K291" s="171">
        <v>1</v>
      </c>
      <c r="L291" s="171">
        <v>3</v>
      </c>
      <c r="M291" s="171">
        <v>1</v>
      </c>
      <c r="N291" s="170"/>
      <c r="O291" s="170"/>
      <c r="P291" s="170"/>
      <c r="Q291" s="180">
        <f>SUM(Tabela2[[#This Row],[G]]+Tabela2[[#This Row],[D]]+Tabela2[[#This Row],[N]]+Tabela2[[#This Row],[HM]])</f>
        <v>4</v>
      </c>
      <c r="R291" s="180">
        <f>SUM(Tabela2[[#This Row],[AO]]+Tabela2[[#This Row],[AD]]+Tabela2[[#This Row],[GWO]]+Tabela2[[#This Row],[GWD]])</f>
        <v>6</v>
      </c>
      <c r="S291" s="180">
        <f>Tabela2[[#This Row],[GWO]]+Tabela2[[#This Row],[GWD]]</f>
        <v>4</v>
      </c>
      <c r="T291" s="180">
        <f>SUM(Tabela2[[#This Row],[G]:[GWD]])</f>
        <v>10</v>
      </c>
    </row>
    <row r="292" spans="1:20" ht="30">
      <c r="A292" s="183">
        <v>291</v>
      </c>
      <c r="B292" s="171" t="s">
        <v>429</v>
      </c>
      <c r="C292" s="171" t="s">
        <v>344</v>
      </c>
      <c r="D292" s="171">
        <v>4</v>
      </c>
      <c r="E292" s="171" t="s">
        <v>251</v>
      </c>
      <c r="F292" s="171">
        <v>1</v>
      </c>
      <c r="G292" s="171">
        <v>1</v>
      </c>
      <c r="H292" s="171">
        <v>1</v>
      </c>
      <c r="I292" s="171">
        <v>2</v>
      </c>
      <c r="J292" s="171">
        <v>1</v>
      </c>
      <c r="K292" s="171">
        <v>1</v>
      </c>
      <c r="L292" s="171">
        <v>4</v>
      </c>
      <c r="M292" s="171">
        <v>1</v>
      </c>
      <c r="N292" s="170"/>
      <c r="O292" s="170"/>
      <c r="P292" s="170"/>
      <c r="Q292" s="180">
        <f>SUM(Tabela2[[#This Row],[G]]+Tabela2[[#This Row],[D]]+Tabela2[[#This Row],[N]]+Tabela2[[#This Row],[HM]])</f>
        <v>4</v>
      </c>
      <c r="R292" s="180">
        <f>SUM(Tabela2[[#This Row],[AO]]+Tabela2[[#This Row],[AD]]+Tabela2[[#This Row],[GWO]]+Tabela2[[#This Row],[GWD]])</f>
        <v>8</v>
      </c>
      <c r="S292" s="180">
        <f>Tabela2[[#This Row],[GWO]]+Tabela2[[#This Row],[GWD]]</f>
        <v>5</v>
      </c>
      <c r="T292" s="180">
        <f>SUM(Tabela2[[#This Row],[G]:[GWD]])</f>
        <v>12</v>
      </c>
    </row>
    <row r="293" spans="1:20">
      <c r="A293" s="183">
        <v>292</v>
      </c>
      <c r="B293" s="171" t="s">
        <v>428</v>
      </c>
      <c r="C293" s="171" t="s">
        <v>388</v>
      </c>
      <c r="D293" s="171">
        <v>4</v>
      </c>
      <c r="E293" s="171" t="s">
        <v>251</v>
      </c>
      <c r="F293" s="171">
        <v>1</v>
      </c>
      <c r="G293" s="171">
        <v>4</v>
      </c>
      <c r="H293" s="171">
        <v>3</v>
      </c>
      <c r="I293" s="171">
        <v>1</v>
      </c>
      <c r="J293" s="171">
        <v>1</v>
      </c>
      <c r="K293" s="171">
        <v>1</v>
      </c>
      <c r="L293" s="171">
        <v>3</v>
      </c>
      <c r="M293" s="171">
        <v>1</v>
      </c>
      <c r="N293" s="170"/>
      <c r="O293" s="170"/>
      <c r="P293" s="170"/>
      <c r="Q293" s="180">
        <f>SUM(Tabela2[[#This Row],[G]]+Tabela2[[#This Row],[D]]+Tabela2[[#This Row],[N]]+Tabela2[[#This Row],[HM]])</f>
        <v>9</v>
      </c>
      <c r="R293" s="180">
        <f>SUM(Tabela2[[#This Row],[AO]]+Tabela2[[#This Row],[AD]]+Tabela2[[#This Row],[GWO]]+Tabela2[[#This Row],[GWD]])</f>
        <v>6</v>
      </c>
      <c r="S293" s="180">
        <f>Tabela2[[#This Row],[GWO]]+Tabela2[[#This Row],[GWD]]</f>
        <v>4</v>
      </c>
      <c r="T293" s="180">
        <f>SUM(Tabela2[[#This Row],[G]:[GWD]])</f>
        <v>15</v>
      </c>
    </row>
    <row r="294" spans="1:20" ht="30">
      <c r="A294" s="183">
        <v>293</v>
      </c>
      <c r="B294" s="171" t="s">
        <v>427</v>
      </c>
      <c r="C294" s="171" t="s">
        <v>386</v>
      </c>
      <c r="D294" s="171">
        <v>4</v>
      </c>
      <c r="E294" s="171" t="s">
        <v>251</v>
      </c>
      <c r="F294" s="171">
        <v>1</v>
      </c>
      <c r="G294" s="171">
        <v>1</v>
      </c>
      <c r="H294" s="171">
        <v>1</v>
      </c>
      <c r="I294" s="171">
        <v>4</v>
      </c>
      <c r="J294" s="171">
        <v>1</v>
      </c>
      <c r="K294" s="171">
        <v>1</v>
      </c>
      <c r="L294" s="171">
        <v>3</v>
      </c>
      <c r="M294" s="171">
        <v>1</v>
      </c>
      <c r="N294" s="170"/>
      <c r="O294" s="170"/>
      <c r="P294" s="170"/>
      <c r="Q294" s="180">
        <f>SUM(Tabela2[[#This Row],[G]]+Tabela2[[#This Row],[D]]+Tabela2[[#This Row],[N]]+Tabela2[[#This Row],[HM]])</f>
        <v>4</v>
      </c>
      <c r="R294" s="180">
        <f>SUM(Tabela2[[#This Row],[AO]]+Tabela2[[#This Row],[AD]]+Tabela2[[#This Row],[GWO]]+Tabela2[[#This Row],[GWD]])</f>
        <v>9</v>
      </c>
      <c r="S294" s="180">
        <f>Tabela2[[#This Row],[GWO]]+Tabela2[[#This Row],[GWD]]</f>
        <v>4</v>
      </c>
      <c r="T294" s="180">
        <f>SUM(Tabela2[[#This Row],[G]:[GWD]])</f>
        <v>13</v>
      </c>
    </row>
    <row r="295" spans="1:20">
      <c r="A295" s="183">
        <v>294</v>
      </c>
      <c r="B295" s="171" t="s">
        <v>426</v>
      </c>
      <c r="C295" s="171" t="s">
        <v>384</v>
      </c>
      <c r="D295" s="171">
        <v>4</v>
      </c>
      <c r="E295" s="171" t="s">
        <v>251</v>
      </c>
      <c r="F295" s="171">
        <v>3</v>
      </c>
      <c r="G295" s="171">
        <v>1</v>
      </c>
      <c r="H295" s="171">
        <v>3</v>
      </c>
      <c r="I295" s="171">
        <v>2</v>
      </c>
      <c r="J295" s="171">
        <v>1</v>
      </c>
      <c r="K295" s="171">
        <v>1</v>
      </c>
      <c r="L295" s="171">
        <v>3</v>
      </c>
      <c r="M295" s="171">
        <v>1</v>
      </c>
      <c r="N295" s="170"/>
      <c r="O295" s="170"/>
      <c r="P295" s="170"/>
      <c r="Q295" s="180">
        <f>SUM(Tabela2[[#This Row],[G]]+Tabela2[[#This Row],[D]]+Tabela2[[#This Row],[N]]+Tabela2[[#This Row],[HM]])</f>
        <v>8</v>
      </c>
      <c r="R295" s="180">
        <f>SUM(Tabela2[[#This Row],[AO]]+Tabela2[[#This Row],[AD]]+Tabela2[[#This Row],[GWO]]+Tabela2[[#This Row],[GWD]])</f>
        <v>7</v>
      </c>
      <c r="S295" s="180">
        <f>Tabela2[[#This Row],[GWO]]+Tabela2[[#This Row],[GWD]]</f>
        <v>4</v>
      </c>
      <c r="T295" s="180">
        <f>SUM(Tabela2[[#This Row],[G]:[GWD]])</f>
        <v>15</v>
      </c>
    </row>
    <row r="296" spans="1:20">
      <c r="A296" s="183">
        <v>295</v>
      </c>
      <c r="B296" s="171" t="s">
        <v>425</v>
      </c>
      <c r="C296" s="171" t="s">
        <v>382</v>
      </c>
      <c r="D296" s="171">
        <v>4</v>
      </c>
      <c r="E296" s="171" t="s">
        <v>251</v>
      </c>
      <c r="F296" s="171">
        <v>2</v>
      </c>
      <c r="G296" s="171">
        <v>1</v>
      </c>
      <c r="H296" s="171">
        <v>2</v>
      </c>
      <c r="I296" s="171">
        <v>5</v>
      </c>
      <c r="J296" s="171">
        <v>1</v>
      </c>
      <c r="K296" s="171">
        <v>1</v>
      </c>
      <c r="L296" s="171">
        <v>4</v>
      </c>
      <c r="M296" s="171">
        <v>1</v>
      </c>
      <c r="N296" s="170"/>
      <c r="O296" s="170"/>
      <c r="P296" s="170"/>
      <c r="Q296" s="180">
        <f>SUM(Tabela2[[#This Row],[G]]+Tabela2[[#This Row],[D]]+Tabela2[[#This Row],[N]]+Tabela2[[#This Row],[HM]])</f>
        <v>6</v>
      </c>
      <c r="R296" s="180">
        <f>SUM(Tabela2[[#This Row],[AO]]+Tabela2[[#This Row],[AD]]+Tabela2[[#This Row],[GWO]]+Tabela2[[#This Row],[GWD]])</f>
        <v>11</v>
      </c>
      <c r="S296" s="180">
        <f>Tabela2[[#This Row],[GWO]]+Tabela2[[#This Row],[GWD]]</f>
        <v>5</v>
      </c>
      <c r="T296" s="180">
        <f>SUM(Tabela2[[#This Row],[G]:[GWD]])</f>
        <v>17</v>
      </c>
    </row>
    <row r="297" spans="1:20">
      <c r="A297" s="183">
        <v>296</v>
      </c>
      <c r="B297" s="171" t="s">
        <v>424</v>
      </c>
      <c r="C297" s="171" t="s">
        <v>227</v>
      </c>
      <c r="D297" s="171">
        <v>4</v>
      </c>
      <c r="E297" s="171" t="s">
        <v>251</v>
      </c>
      <c r="F297" s="171">
        <v>1</v>
      </c>
      <c r="G297" s="171">
        <v>1</v>
      </c>
      <c r="H297" s="171">
        <v>1</v>
      </c>
      <c r="I297" s="171">
        <v>2</v>
      </c>
      <c r="J297" s="171">
        <v>1</v>
      </c>
      <c r="K297" s="171">
        <v>1</v>
      </c>
      <c r="L297" s="171">
        <v>4</v>
      </c>
      <c r="M297" s="171">
        <v>1</v>
      </c>
      <c r="N297" s="170"/>
      <c r="O297" s="170"/>
      <c r="P297" s="170"/>
      <c r="Q297" s="180">
        <f>SUM(Tabela2[[#This Row],[G]]+Tabela2[[#This Row],[D]]+Tabela2[[#This Row],[N]]+Tabela2[[#This Row],[HM]])</f>
        <v>4</v>
      </c>
      <c r="R297" s="180">
        <f>SUM(Tabela2[[#This Row],[AO]]+Tabela2[[#This Row],[AD]]+Tabela2[[#This Row],[GWO]]+Tabela2[[#This Row],[GWD]])</f>
        <v>8</v>
      </c>
      <c r="S297" s="180">
        <f>Tabela2[[#This Row],[GWO]]+Tabela2[[#This Row],[GWD]]</f>
        <v>5</v>
      </c>
      <c r="T297" s="180">
        <f>SUM(Tabela2[[#This Row],[G]:[GWD]])</f>
        <v>12</v>
      </c>
    </row>
    <row r="298" spans="1:20">
      <c r="A298" s="183">
        <v>297</v>
      </c>
      <c r="B298" s="171" t="s">
        <v>423</v>
      </c>
      <c r="C298" s="171" t="s">
        <v>225</v>
      </c>
      <c r="D298" s="171">
        <v>4</v>
      </c>
      <c r="E298" s="171" t="s">
        <v>251</v>
      </c>
      <c r="F298" s="171">
        <v>2</v>
      </c>
      <c r="G298" s="171">
        <v>1</v>
      </c>
      <c r="H298" s="171">
        <v>1</v>
      </c>
      <c r="I298" s="171">
        <v>3</v>
      </c>
      <c r="J298" s="171">
        <v>2</v>
      </c>
      <c r="K298" s="171">
        <v>1</v>
      </c>
      <c r="L298" s="171">
        <v>3</v>
      </c>
      <c r="M298" s="171">
        <v>2</v>
      </c>
      <c r="N298" s="170"/>
      <c r="O298" s="170"/>
      <c r="P298" s="170"/>
      <c r="Q298" s="180">
        <f>SUM(Tabela2[[#This Row],[G]]+Tabela2[[#This Row],[D]]+Tabela2[[#This Row],[N]]+Tabela2[[#This Row],[HM]])</f>
        <v>5</v>
      </c>
      <c r="R298" s="180">
        <f>SUM(Tabela2[[#This Row],[AO]]+Tabela2[[#This Row],[AD]]+Tabela2[[#This Row],[GWO]]+Tabela2[[#This Row],[GWD]])</f>
        <v>10</v>
      </c>
      <c r="S298" s="180">
        <f>Tabela2[[#This Row],[GWO]]+Tabela2[[#This Row],[GWD]]</f>
        <v>5</v>
      </c>
      <c r="T298" s="180">
        <f>SUM(Tabela2[[#This Row],[G]:[GWD]])</f>
        <v>15</v>
      </c>
    </row>
    <row r="299" spans="1:20">
      <c r="A299" s="183">
        <v>298</v>
      </c>
      <c r="B299" s="171" t="s">
        <v>422</v>
      </c>
      <c r="C299" s="171" t="s">
        <v>378</v>
      </c>
      <c r="D299" s="171">
        <v>4</v>
      </c>
      <c r="E299" s="171" t="s">
        <v>251</v>
      </c>
      <c r="F299" s="171">
        <v>1</v>
      </c>
      <c r="G299" s="171">
        <v>1</v>
      </c>
      <c r="H299" s="171">
        <v>1</v>
      </c>
      <c r="I299" s="171">
        <v>3</v>
      </c>
      <c r="J299" s="171">
        <v>3</v>
      </c>
      <c r="K299" s="171">
        <v>3</v>
      </c>
      <c r="L299" s="171">
        <v>2</v>
      </c>
      <c r="M299" s="171">
        <v>1</v>
      </c>
      <c r="N299" s="170"/>
      <c r="O299" s="170"/>
      <c r="P299" s="170"/>
      <c r="Q299" s="180">
        <f>SUM(Tabela2[[#This Row],[G]]+Tabela2[[#This Row],[D]]+Tabela2[[#This Row],[N]]+Tabela2[[#This Row],[HM]])</f>
        <v>6</v>
      </c>
      <c r="R299" s="180">
        <f>SUM(Tabela2[[#This Row],[AO]]+Tabela2[[#This Row],[AD]]+Tabela2[[#This Row],[GWO]]+Tabela2[[#This Row],[GWD]])</f>
        <v>9</v>
      </c>
      <c r="S299" s="180">
        <f>Tabela2[[#This Row],[GWO]]+Tabela2[[#This Row],[GWD]]</f>
        <v>3</v>
      </c>
      <c r="T299" s="180">
        <f>SUM(Tabela2[[#This Row],[G]:[GWD]])</f>
        <v>15</v>
      </c>
    </row>
    <row r="300" spans="1:20">
      <c r="A300" s="183">
        <v>299</v>
      </c>
      <c r="B300" s="171" t="s">
        <v>421</v>
      </c>
      <c r="C300" s="171" t="s">
        <v>226</v>
      </c>
      <c r="D300" s="171">
        <v>4</v>
      </c>
      <c r="E300" s="171" t="s">
        <v>251</v>
      </c>
      <c r="F300" s="171">
        <v>1</v>
      </c>
      <c r="G300" s="171">
        <v>1</v>
      </c>
      <c r="H300" s="171">
        <v>1</v>
      </c>
      <c r="I300" s="171">
        <v>2</v>
      </c>
      <c r="J300" s="171">
        <v>2</v>
      </c>
      <c r="K300" s="171">
        <v>1</v>
      </c>
      <c r="L300" s="171">
        <v>3</v>
      </c>
      <c r="M300" s="171">
        <v>2</v>
      </c>
      <c r="N300" s="170"/>
      <c r="O300" s="170"/>
      <c r="P300" s="170"/>
      <c r="Q300" s="180">
        <f>SUM(Tabela2[[#This Row],[G]]+Tabela2[[#This Row],[D]]+Tabela2[[#This Row],[N]]+Tabela2[[#This Row],[HM]])</f>
        <v>4</v>
      </c>
      <c r="R300" s="180">
        <f>SUM(Tabela2[[#This Row],[AO]]+Tabela2[[#This Row],[AD]]+Tabela2[[#This Row],[GWO]]+Tabela2[[#This Row],[GWD]])</f>
        <v>9</v>
      </c>
      <c r="S300" s="180">
        <f>Tabela2[[#This Row],[GWO]]+Tabela2[[#This Row],[GWD]]</f>
        <v>5</v>
      </c>
      <c r="T300" s="180">
        <f>SUM(Tabela2[[#This Row],[G]:[GWD]])</f>
        <v>13</v>
      </c>
    </row>
    <row r="301" spans="1:20">
      <c r="A301" s="183">
        <v>300</v>
      </c>
      <c r="B301" s="170" t="s">
        <v>420</v>
      </c>
      <c r="C301" s="170" t="s">
        <v>419</v>
      </c>
      <c r="D301" s="170">
        <v>4</v>
      </c>
      <c r="E301" s="170" t="s">
        <v>272</v>
      </c>
      <c r="F301" s="170">
        <v>2</v>
      </c>
      <c r="G301" s="170">
        <v>2</v>
      </c>
      <c r="H301" s="170">
        <v>1</v>
      </c>
      <c r="I301" s="170">
        <v>2</v>
      </c>
      <c r="J301" s="170">
        <v>1</v>
      </c>
      <c r="K301" s="170">
        <v>2</v>
      </c>
      <c r="L301" s="170">
        <v>3</v>
      </c>
      <c r="M301" s="170">
        <v>1</v>
      </c>
      <c r="N301" s="170"/>
      <c r="O301" s="170"/>
      <c r="P301" s="170"/>
      <c r="Q301" s="180">
        <f>SUM(Tabela2[[#This Row],[G]]+Tabela2[[#This Row],[D]]+Tabela2[[#This Row],[N]]+Tabela2[[#This Row],[HM]])</f>
        <v>7</v>
      </c>
      <c r="R301" s="180">
        <f>SUM(Tabela2[[#This Row],[AO]]+Tabela2[[#This Row],[AD]]+Tabela2[[#This Row],[GWO]]+Tabela2[[#This Row],[GWD]])</f>
        <v>7</v>
      </c>
      <c r="S301" s="180">
        <f>Tabela2[[#This Row],[GWO]]+Tabela2[[#This Row],[GWD]]</f>
        <v>4</v>
      </c>
      <c r="T301" s="180">
        <f>SUM(Tabela2[[#This Row],[G]:[GWD]])</f>
        <v>14</v>
      </c>
    </row>
    <row r="302" spans="1:20" ht="30">
      <c r="A302" s="183">
        <v>301</v>
      </c>
      <c r="B302" s="170" t="s">
        <v>418</v>
      </c>
      <c r="C302" s="170" t="s">
        <v>417</v>
      </c>
      <c r="D302" s="170">
        <v>4</v>
      </c>
      <c r="E302" s="170" t="s">
        <v>272</v>
      </c>
      <c r="F302" s="170">
        <v>2</v>
      </c>
      <c r="G302" s="170">
        <v>2</v>
      </c>
      <c r="H302" s="170">
        <v>1</v>
      </c>
      <c r="I302" s="170">
        <v>2</v>
      </c>
      <c r="J302" s="170">
        <v>1</v>
      </c>
      <c r="K302" s="170">
        <v>1</v>
      </c>
      <c r="L302" s="170">
        <v>4</v>
      </c>
      <c r="M302" s="170">
        <v>1</v>
      </c>
      <c r="N302" s="170"/>
      <c r="O302" s="170"/>
      <c r="P302" s="170"/>
      <c r="Q302" s="180">
        <f>SUM(Tabela2[[#This Row],[G]]+Tabela2[[#This Row],[D]]+Tabela2[[#This Row],[N]]+Tabela2[[#This Row],[HM]])</f>
        <v>6</v>
      </c>
      <c r="R302" s="180">
        <f>SUM(Tabela2[[#This Row],[AO]]+Tabela2[[#This Row],[AD]]+Tabela2[[#This Row],[GWO]]+Tabela2[[#This Row],[GWD]])</f>
        <v>8</v>
      </c>
      <c r="S302" s="180">
        <f>Tabela2[[#This Row],[GWO]]+Tabela2[[#This Row],[GWD]]</f>
        <v>5</v>
      </c>
      <c r="T302" s="180">
        <f>SUM(Tabela2[[#This Row],[G]:[GWD]])</f>
        <v>14</v>
      </c>
    </row>
    <row r="303" spans="1:20" ht="30">
      <c r="A303" s="183">
        <v>302</v>
      </c>
      <c r="B303" s="170" t="s">
        <v>416</v>
      </c>
      <c r="C303" s="170" t="s">
        <v>415</v>
      </c>
      <c r="D303" s="170">
        <v>4</v>
      </c>
      <c r="E303" s="170" t="s">
        <v>272</v>
      </c>
      <c r="F303" s="170">
        <v>1</v>
      </c>
      <c r="G303" s="170">
        <v>1</v>
      </c>
      <c r="H303" s="170">
        <v>1</v>
      </c>
      <c r="I303" s="170">
        <v>2</v>
      </c>
      <c r="J303" s="170">
        <v>1</v>
      </c>
      <c r="K303" s="170">
        <v>1</v>
      </c>
      <c r="L303" s="170">
        <v>2</v>
      </c>
      <c r="M303" s="170">
        <v>1</v>
      </c>
      <c r="N303" s="170"/>
      <c r="O303" s="170"/>
      <c r="P303" s="170"/>
      <c r="Q303" s="180">
        <f>SUM(Tabela2[[#This Row],[G]]+Tabela2[[#This Row],[D]]+Tabela2[[#This Row],[N]]+Tabela2[[#This Row],[HM]])</f>
        <v>4</v>
      </c>
      <c r="R303" s="180">
        <f>SUM(Tabela2[[#This Row],[AO]]+Tabela2[[#This Row],[AD]]+Tabela2[[#This Row],[GWO]]+Tabela2[[#This Row],[GWD]])</f>
        <v>6</v>
      </c>
      <c r="S303" s="180">
        <f>Tabela2[[#This Row],[GWO]]+Tabela2[[#This Row],[GWD]]</f>
        <v>3</v>
      </c>
      <c r="T303" s="180">
        <f>SUM(Tabela2[[#This Row],[G]:[GWD]])</f>
        <v>10</v>
      </c>
    </row>
    <row r="304" spans="1:20" ht="30">
      <c r="A304" s="183">
        <v>303</v>
      </c>
      <c r="B304" s="170" t="s">
        <v>414</v>
      </c>
      <c r="C304" s="170" t="s">
        <v>357</v>
      </c>
      <c r="D304" s="170">
        <v>4</v>
      </c>
      <c r="E304" s="170" t="s">
        <v>272</v>
      </c>
      <c r="F304" s="170">
        <v>1</v>
      </c>
      <c r="G304" s="170">
        <v>1</v>
      </c>
      <c r="H304" s="170">
        <v>1</v>
      </c>
      <c r="I304" s="170">
        <v>1</v>
      </c>
      <c r="J304" s="170">
        <v>1</v>
      </c>
      <c r="K304" s="170">
        <v>1</v>
      </c>
      <c r="L304" s="170">
        <v>1</v>
      </c>
      <c r="M304" s="170">
        <v>1</v>
      </c>
      <c r="N304" s="170"/>
      <c r="O304" s="170"/>
      <c r="P304" s="170"/>
      <c r="Q304" s="180">
        <f>SUM(Tabela2[[#This Row],[G]]+Tabela2[[#This Row],[D]]+Tabela2[[#This Row],[N]]+Tabela2[[#This Row],[HM]])</f>
        <v>4</v>
      </c>
      <c r="R304" s="180">
        <f>SUM(Tabela2[[#This Row],[AO]]+Tabela2[[#This Row],[AD]]+Tabela2[[#This Row],[GWO]]+Tabela2[[#This Row],[GWD]])</f>
        <v>4</v>
      </c>
      <c r="S304" s="180">
        <f>Tabela2[[#This Row],[GWO]]+Tabela2[[#This Row],[GWD]]</f>
        <v>2</v>
      </c>
      <c r="T304" s="180">
        <f>SUM(Tabela2[[#This Row],[G]:[GWD]])</f>
        <v>8</v>
      </c>
    </row>
    <row r="305" spans="1:20" ht="30">
      <c r="A305" s="183">
        <v>304</v>
      </c>
      <c r="B305" s="170" t="s">
        <v>413</v>
      </c>
      <c r="C305" s="170" t="s">
        <v>412</v>
      </c>
      <c r="D305" s="170">
        <v>4</v>
      </c>
      <c r="E305" s="170" t="s">
        <v>272</v>
      </c>
      <c r="F305" s="170">
        <v>1</v>
      </c>
      <c r="G305" s="170">
        <v>2</v>
      </c>
      <c r="H305" s="170">
        <v>1</v>
      </c>
      <c r="I305" s="170">
        <v>2</v>
      </c>
      <c r="J305" s="170">
        <v>4</v>
      </c>
      <c r="K305" s="170">
        <v>4</v>
      </c>
      <c r="L305" s="170">
        <v>5</v>
      </c>
      <c r="M305" s="170">
        <v>5</v>
      </c>
      <c r="N305" s="170"/>
      <c r="O305" s="170"/>
      <c r="P305" s="170"/>
      <c r="Q305" s="180">
        <f>SUM(Tabela2[[#This Row],[G]]+Tabela2[[#This Row],[D]]+Tabela2[[#This Row],[N]]+Tabela2[[#This Row],[HM]])</f>
        <v>8</v>
      </c>
      <c r="R305" s="180">
        <f>SUM(Tabela2[[#This Row],[AO]]+Tabela2[[#This Row],[AD]]+Tabela2[[#This Row],[GWO]]+Tabela2[[#This Row],[GWD]])</f>
        <v>16</v>
      </c>
      <c r="S305" s="180">
        <f>Tabela2[[#This Row],[GWO]]+Tabela2[[#This Row],[GWD]]</f>
        <v>10</v>
      </c>
      <c r="T305" s="180">
        <f>SUM(Tabela2[[#This Row],[G]:[GWD]])</f>
        <v>24</v>
      </c>
    </row>
    <row r="306" spans="1:20">
      <c r="A306" s="183">
        <v>305</v>
      </c>
      <c r="B306" s="170" t="s">
        <v>411</v>
      </c>
      <c r="C306" s="170" t="s">
        <v>210</v>
      </c>
      <c r="D306" s="170">
        <v>4</v>
      </c>
      <c r="E306" s="170" t="s">
        <v>272</v>
      </c>
      <c r="F306" s="170">
        <v>1</v>
      </c>
      <c r="G306" s="170">
        <v>1</v>
      </c>
      <c r="H306" s="170">
        <v>1</v>
      </c>
      <c r="I306" s="170">
        <v>2</v>
      </c>
      <c r="J306" s="170">
        <v>1</v>
      </c>
      <c r="K306" s="170">
        <v>1</v>
      </c>
      <c r="L306" s="170">
        <v>2</v>
      </c>
      <c r="M306" s="170">
        <v>1</v>
      </c>
      <c r="N306" s="170"/>
      <c r="O306" s="170"/>
      <c r="P306" s="170"/>
      <c r="Q306" s="180">
        <f>SUM(Tabela2[[#This Row],[G]]+Tabela2[[#This Row],[D]]+Tabela2[[#This Row],[N]]+Tabela2[[#This Row],[HM]])</f>
        <v>4</v>
      </c>
      <c r="R306" s="180">
        <f>SUM(Tabela2[[#This Row],[AO]]+Tabela2[[#This Row],[AD]]+Tabela2[[#This Row],[GWO]]+Tabela2[[#This Row],[GWD]])</f>
        <v>6</v>
      </c>
      <c r="S306" s="180">
        <f>Tabela2[[#This Row],[GWO]]+Tabela2[[#This Row],[GWD]]</f>
        <v>3</v>
      </c>
      <c r="T306" s="180">
        <f>SUM(Tabela2[[#This Row],[G]:[GWD]])</f>
        <v>10</v>
      </c>
    </row>
    <row r="307" spans="1:20" ht="30">
      <c r="A307" s="183">
        <v>306</v>
      </c>
      <c r="B307" s="170" t="s">
        <v>410</v>
      </c>
      <c r="C307" s="170" t="s">
        <v>409</v>
      </c>
      <c r="D307" s="170">
        <v>4</v>
      </c>
      <c r="E307" s="170" t="s">
        <v>272</v>
      </c>
      <c r="F307" s="170">
        <v>1</v>
      </c>
      <c r="G307" s="170">
        <v>1</v>
      </c>
      <c r="H307" s="170">
        <v>1</v>
      </c>
      <c r="I307" s="170">
        <v>4</v>
      </c>
      <c r="J307" s="170">
        <v>1</v>
      </c>
      <c r="K307" s="170">
        <v>2</v>
      </c>
      <c r="L307" s="170">
        <v>4</v>
      </c>
      <c r="M307" s="170">
        <v>1</v>
      </c>
      <c r="N307" s="170"/>
      <c r="O307" s="170"/>
      <c r="P307" s="170"/>
      <c r="Q307" s="180">
        <f>SUM(Tabela2[[#This Row],[G]]+Tabela2[[#This Row],[D]]+Tabela2[[#This Row],[N]]+Tabela2[[#This Row],[HM]])</f>
        <v>5</v>
      </c>
      <c r="R307" s="180">
        <f>SUM(Tabela2[[#This Row],[AO]]+Tabela2[[#This Row],[AD]]+Tabela2[[#This Row],[GWO]]+Tabela2[[#This Row],[GWD]])</f>
        <v>10</v>
      </c>
      <c r="S307" s="180">
        <f>Tabela2[[#This Row],[GWO]]+Tabela2[[#This Row],[GWD]]</f>
        <v>5</v>
      </c>
      <c r="T307" s="180">
        <f>SUM(Tabela2[[#This Row],[G]:[GWD]])</f>
        <v>15</v>
      </c>
    </row>
    <row r="308" spans="1:20" ht="30">
      <c r="A308" s="183">
        <v>307</v>
      </c>
      <c r="B308" s="170" t="s">
        <v>408</v>
      </c>
      <c r="C308" s="170" t="s">
        <v>407</v>
      </c>
      <c r="D308" s="170">
        <v>4</v>
      </c>
      <c r="E308" s="170" t="s">
        <v>272</v>
      </c>
      <c r="F308" s="170">
        <v>1</v>
      </c>
      <c r="G308" s="170">
        <v>1</v>
      </c>
      <c r="H308" s="170">
        <v>3</v>
      </c>
      <c r="I308" s="170">
        <v>2</v>
      </c>
      <c r="J308" s="170">
        <v>1</v>
      </c>
      <c r="K308" s="170">
        <v>1</v>
      </c>
      <c r="L308" s="170">
        <v>3</v>
      </c>
      <c r="M308" s="170">
        <v>1</v>
      </c>
      <c r="N308" s="170"/>
      <c r="O308" s="170"/>
      <c r="P308" s="170"/>
      <c r="Q308" s="180">
        <f>SUM(Tabela2[[#This Row],[G]]+Tabela2[[#This Row],[D]]+Tabela2[[#This Row],[N]]+Tabela2[[#This Row],[HM]])</f>
        <v>6</v>
      </c>
      <c r="R308" s="180">
        <f>SUM(Tabela2[[#This Row],[AO]]+Tabela2[[#This Row],[AD]]+Tabela2[[#This Row],[GWO]]+Tabela2[[#This Row],[GWD]])</f>
        <v>7</v>
      </c>
      <c r="S308" s="180">
        <f>Tabela2[[#This Row],[GWO]]+Tabela2[[#This Row],[GWD]]</f>
        <v>4</v>
      </c>
      <c r="T308" s="180">
        <f>SUM(Tabela2[[#This Row],[G]:[GWD]])</f>
        <v>13</v>
      </c>
    </row>
    <row r="309" spans="1:20">
      <c r="A309" s="183">
        <v>308</v>
      </c>
      <c r="B309" s="170" t="s">
        <v>406</v>
      </c>
      <c r="C309" s="170" t="s">
        <v>405</v>
      </c>
      <c r="D309" s="170">
        <v>4</v>
      </c>
      <c r="E309" s="170" t="s">
        <v>272</v>
      </c>
      <c r="F309" s="170">
        <v>1</v>
      </c>
      <c r="G309" s="170">
        <v>1</v>
      </c>
      <c r="H309" s="170">
        <v>1</v>
      </c>
      <c r="I309" s="170">
        <v>1</v>
      </c>
      <c r="J309" s="170">
        <v>1</v>
      </c>
      <c r="K309" s="170">
        <v>1</v>
      </c>
      <c r="L309" s="170">
        <v>1</v>
      </c>
      <c r="M309" s="170">
        <v>1</v>
      </c>
      <c r="N309" s="170"/>
      <c r="O309" s="170"/>
      <c r="P309" s="170"/>
      <c r="Q309" s="180">
        <f>SUM(Tabela2[[#This Row],[G]]+Tabela2[[#This Row],[D]]+Tabela2[[#This Row],[N]]+Tabela2[[#This Row],[HM]])</f>
        <v>4</v>
      </c>
      <c r="R309" s="180">
        <f>SUM(Tabela2[[#This Row],[AO]]+Tabela2[[#This Row],[AD]]+Tabela2[[#This Row],[GWO]]+Tabela2[[#This Row],[GWD]])</f>
        <v>4</v>
      </c>
      <c r="S309" s="180">
        <f>Tabela2[[#This Row],[GWO]]+Tabela2[[#This Row],[GWD]]</f>
        <v>2</v>
      </c>
      <c r="T309" s="180">
        <f>SUM(Tabela2[[#This Row],[G]:[GWD]])</f>
        <v>8</v>
      </c>
    </row>
    <row r="310" spans="1:20" ht="30">
      <c r="A310" s="183">
        <v>309</v>
      </c>
      <c r="B310" s="170" t="s">
        <v>404</v>
      </c>
      <c r="C310" s="170" t="s">
        <v>403</v>
      </c>
      <c r="D310" s="170">
        <v>4</v>
      </c>
      <c r="E310" s="170" t="s">
        <v>272</v>
      </c>
      <c r="F310" s="170">
        <v>1</v>
      </c>
      <c r="G310" s="170">
        <v>1</v>
      </c>
      <c r="H310" s="170">
        <v>3</v>
      </c>
      <c r="I310" s="170">
        <v>1</v>
      </c>
      <c r="J310" s="170">
        <v>1</v>
      </c>
      <c r="K310" s="170">
        <v>1</v>
      </c>
      <c r="L310" s="170">
        <v>2</v>
      </c>
      <c r="M310" s="170">
        <v>1</v>
      </c>
      <c r="N310" s="170"/>
      <c r="O310" s="170"/>
      <c r="P310" s="170"/>
      <c r="Q310" s="180">
        <f>SUM(Tabela2[[#This Row],[G]]+Tabela2[[#This Row],[D]]+Tabela2[[#This Row],[N]]+Tabela2[[#This Row],[HM]])</f>
        <v>6</v>
      </c>
      <c r="R310" s="180">
        <f>SUM(Tabela2[[#This Row],[AO]]+Tabela2[[#This Row],[AD]]+Tabela2[[#This Row],[GWO]]+Tabela2[[#This Row],[GWD]])</f>
        <v>5</v>
      </c>
      <c r="S310" s="180">
        <f>Tabela2[[#This Row],[GWO]]+Tabela2[[#This Row],[GWD]]</f>
        <v>3</v>
      </c>
      <c r="T310" s="180">
        <f>SUM(Tabela2[[#This Row],[G]:[GWD]])</f>
        <v>11</v>
      </c>
    </row>
    <row r="311" spans="1:20" ht="30">
      <c r="A311" s="183">
        <v>310</v>
      </c>
      <c r="B311" s="170" t="s">
        <v>402</v>
      </c>
      <c r="C311" s="170" t="s">
        <v>400</v>
      </c>
      <c r="D311" s="170">
        <v>4</v>
      </c>
      <c r="E311" s="170" t="s">
        <v>272</v>
      </c>
      <c r="F311" s="170">
        <v>1</v>
      </c>
      <c r="G311" s="170">
        <v>1</v>
      </c>
      <c r="H311" s="170">
        <v>1</v>
      </c>
      <c r="I311" s="170">
        <v>2</v>
      </c>
      <c r="J311" s="170">
        <v>1</v>
      </c>
      <c r="K311" s="170">
        <v>1</v>
      </c>
      <c r="L311" s="170">
        <v>3</v>
      </c>
      <c r="M311" s="170">
        <v>1</v>
      </c>
      <c r="N311" s="170"/>
      <c r="O311" s="170"/>
      <c r="P311" s="170"/>
      <c r="Q311" s="180">
        <f>SUM(Tabela2[[#This Row],[G]]+Tabela2[[#This Row],[D]]+Tabela2[[#This Row],[N]]+Tabela2[[#This Row],[HM]])</f>
        <v>4</v>
      </c>
      <c r="R311" s="180">
        <f>SUM(Tabela2[[#This Row],[AO]]+Tabela2[[#This Row],[AD]]+Tabela2[[#This Row],[GWO]]+Tabela2[[#This Row],[GWD]])</f>
        <v>7</v>
      </c>
      <c r="S311" s="180">
        <f>Tabela2[[#This Row],[GWO]]+Tabela2[[#This Row],[GWD]]</f>
        <v>4</v>
      </c>
      <c r="T311" s="180">
        <f>SUM(Tabela2[[#This Row],[G]:[GWD]])</f>
        <v>11</v>
      </c>
    </row>
    <row r="312" spans="1:20" ht="30">
      <c r="A312" s="183">
        <v>311</v>
      </c>
      <c r="B312" s="170" t="s">
        <v>401</v>
      </c>
      <c r="C312" s="170" t="s">
        <v>400</v>
      </c>
      <c r="D312" s="170">
        <v>4</v>
      </c>
      <c r="E312" s="170" t="s">
        <v>272</v>
      </c>
      <c r="F312" s="170">
        <v>1</v>
      </c>
      <c r="G312" s="170">
        <v>1</v>
      </c>
      <c r="H312" s="170">
        <v>1</v>
      </c>
      <c r="I312" s="170">
        <v>2</v>
      </c>
      <c r="J312" s="170">
        <v>1</v>
      </c>
      <c r="K312" s="170">
        <v>1</v>
      </c>
      <c r="L312" s="170">
        <v>3</v>
      </c>
      <c r="M312" s="170">
        <v>1</v>
      </c>
      <c r="N312" s="170"/>
      <c r="O312" s="170"/>
      <c r="P312" s="170"/>
      <c r="Q312" s="180">
        <f>SUM(Tabela2[[#This Row],[G]]+Tabela2[[#This Row],[D]]+Tabela2[[#This Row],[N]]+Tabela2[[#This Row],[HM]])</f>
        <v>4</v>
      </c>
      <c r="R312" s="180">
        <f>SUM(Tabela2[[#This Row],[AO]]+Tabela2[[#This Row],[AD]]+Tabela2[[#This Row],[GWO]]+Tabela2[[#This Row],[GWD]])</f>
        <v>7</v>
      </c>
      <c r="S312" s="180">
        <f>Tabela2[[#This Row],[GWO]]+Tabela2[[#This Row],[GWD]]</f>
        <v>4</v>
      </c>
      <c r="T312" s="180">
        <f>SUM(Tabela2[[#This Row],[G]:[GWD]])</f>
        <v>11</v>
      </c>
    </row>
    <row r="313" spans="1:20">
      <c r="A313" s="183">
        <v>312</v>
      </c>
      <c r="B313" s="170" t="s">
        <v>399</v>
      </c>
      <c r="C313" s="170" t="s">
        <v>398</v>
      </c>
      <c r="D313" s="170">
        <v>4</v>
      </c>
      <c r="E313" s="170" t="s">
        <v>272</v>
      </c>
      <c r="F313" s="170">
        <v>1</v>
      </c>
      <c r="G313" s="170">
        <v>1</v>
      </c>
      <c r="H313" s="170">
        <v>1</v>
      </c>
      <c r="I313" s="170">
        <v>1</v>
      </c>
      <c r="J313" s="170">
        <v>4</v>
      </c>
      <c r="K313" s="170">
        <v>1</v>
      </c>
      <c r="L313" s="170">
        <v>1</v>
      </c>
      <c r="M313" s="170">
        <v>3</v>
      </c>
      <c r="N313" s="170"/>
      <c r="O313" s="170"/>
      <c r="P313" s="170"/>
      <c r="Q313" s="180">
        <f>SUM(Tabela2[[#This Row],[G]]+Tabela2[[#This Row],[D]]+Tabela2[[#This Row],[N]]+Tabela2[[#This Row],[HM]])</f>
        <v>4</v>
      </c>
      <c r="R313" s="180">
        <f>SUM(Tabela2[[#This Row],[AO]]+Tabela2[[#This Row],[AD]]+Tabela2[[#This Row],[GWO]]+Tabela2[[#This Row],[GWD]])</f>
        <v>9</v>
      </c>
      <c r="S313" s="180">
        <f>Tabela2[[#This Row],[GWO]]+Tabela2[[#This Row],[GWD]]</f>
        <v>4</v>
      </c>
      <c r="T313" s="180">
        <f>SUM(Tabela2[[#This Row],[G]:[GWD]])</f>
        <v>13</v>
      </c>
    </row>
    <row r="314" spans="1:20" ht="30">
      <c r="A314" s="183">
        <v>313</v>
      </c>
      <c r="B314" s="170" t="s">
        <v>397</v>
      </c>
      <c r="C314" s="170" t="s">
        <v>396</v>
      </c>
      <c r="D314" s="170"/>
      <c r="E314" s="170" t="s">
        <v>272</v>
      </c>
      <c r="F314" s="170">
        <v>1</v>
      </c>
      <c r="G314" s="170">
        <v>1</v>
      </c>
      <c r="H314" s="170">
        <v>1</v>
      </c>
      <c r="I314" s="170">
        <v>1</v>
      </c>
      <c r="J314" s="170">
        <v>1</v>
      </c>
      <c r="K314" s="170">
        <v>3</v>
      </c>
      <c r="L314" s="170">
        <v>3</v>
      </c>
      <c r="M314" s="170">
        <v>1</v>
      </c>
      <c r="N314" s="170"/>
      <c r="O314" s="170"/>
      <c r="P314" s="170"/>
      <c r="Q314" s="180">
        <f>SUM(Tabela2[[#This Row],[G]]+Tabela2[[#This Row],[D]]+Tabela2[[#This Row],[N]]+Tabela2[[#This Row],[HM]])</f>
        <v>6</v>
      </c>
      <c r="R314" s="180">
        <f>SUM(Tabela2[[#This Row],[AO]]+Tabela2[[#This Row],[AD]]+Tabela2[[#This Row],[GWO]]+Tabela2[[#This Row],[GWD]])</f>
        <v>6</v>
      </c>
      <c r="S314" s="180">
        <f>Tabela2[[#This Row],[GWO]]+Tabela2[[#This Row],[GWD]]</f>
        <v>4</v>
      </c>
      <c r="T314" s="180">
        <f>SUM(Tabela2[[#This Row],[G]:[GWD]])</f>
        <v>12</v>
      </c>
    </row>
    <row r="315" spans="1:20" ht="30">
      <c r="A315" s="183">
        <v>314</v>
      </c>
      <c r="B315" s="170" t="s">
        <v>395</v>
      </c>
      <c r="C315" s="170" t="s">
        <v>394</v>
      </c>
      <c r="D315" s="170">
        <v>4</v>
      </c>
      <c r="E315" s="170" t="s">
        <v>272</v>
      </c>
      <c r="F315" s="170">
        <v>1</v>
      </c>
      <c r="G315" s="170">
        <v>1</v>
      </c>
      <c r="H315" s="170">
        <v>1</v>
      </c>
      <c r="I315" s="170">
        <v>1</v>
      </c>
      <c r="J315" s="170">
        <v>1</v>
      </c>
      <c r="K315" s="170">
        <v>1</v>
      </c>
      <c r="L315" s="170">
        <v>3</v>
      </c>
      <c r="M315" s="170">
        <v>3</v>
      </c>
      <c r="N315" s="170"/>
      <c r="O315" s="170"/>
      <c r="P315" s="170"/>
      <c r="Q315" s="180">
        <f>SUM(Tabela2[[#This Row],[G]]+Tabela2[[#This Row],[D]]+Tabela2[[#This Row],[N]]+Tabela2[[#This Row],[HM]])</f>
        <v>4</v>
      </c>
      <c r="R315" s="180">
        <f>SUM(Tabela2[[#This Row],[AO]]+Tabela2[[#This Row],[AD]]+Tabela2[[#This Row],[GWO]]+Tabela2[[#This Row],[GWD]])</f>
        <v>8</v>
      </c>
      <c r="S315" s="180">
        <f>Tabela2[[#This Row],[GWO]]+Tabela2[[#This Row],[GWD]]</f>
        <v>6</v>
      </c>
      <c r="T315" s="180">
        <f>SUM(Tabela2[[#This Row],[G]:[GWD]])</f>
        <v>12</v>
      </c>
    </row>
    <row r="316" spans="1:20" ht="30">
      <c r="A316" s="183">
        <v>315</v>
      </c>
      <c r="B316" s="170" t="s">
        <v>393</v>
      </c>
      <c r="C316" s="170" t="s">
        <v>392</v>
      </c>
      <c r="D316" s="170">
        <v>4</v>
      </c>
      <c r="E316" s="170" t="s">
        <v>272</v>
      </c>
      <c r="F316" s="170">
        <v>1</v>
      </c>
      <c r="G316" s="170">
        <v>1</v>
      </c>
      <c r="H316" s="170">
        <v>3</v>
      </c>
      <c r="I316" s="170">
        <v>1</v>
      </c>
      <c r="J316" s="170">
        <v>1</v>
      </c>
      <c r="K316" s="170">
        <v>1</v>
      </c>
      <c r="L316" s="170">
        <v>3</v>
      </c>
      <c r="M316" s="170">
        <v>1</v>
      </c>
      <c r="N316" s="170"/>
      <c r="O316" s="170"/>
      <c r="P316" s="170"/>
      <c r="Q316" s="180">
        <f>SUM(Tabela2[[#This Row],[G]]+Tabela2[[#This Row],[D]]+Tabela2[[#This Row],[N]]+Tabela2[[#This Row],[HM]])</f>
        <v>6</v>
      </c>
      <c r="R316" s="180">
        <f>SUM(Tabela2[[#This Row],[AO]]+Tabela2[[#This Row],[AD]]+Tabela2[[#This Row],[GWO]]+Tabela2[[#This Row],[GWD]])</f>
        <v>6</v>
      </c>
      <c r="S316" s="180">
        <f>Tabela2[[#This Row],[GWO]]+Tabela2[[#This Row],[GWD]]</f>
        <v>4</v>
      </c>
      <c r="T316" s="180">
        <f>SUM(Tabela2[[#This Row],[G]:[GWD]])</f>
        <v>12</v>
      </c>
    </row>
    <row r="317" spans="1:20">
      <c r="A317" s="183">
        <v>316</v>
      </c>
      <c r="B317" s="170" t="s">
        <v>391</v>
      </c>
      <c r="C317" s="170" t="s">
        <v>215</v>
      </c>
      <c r="D317" s="170">
        <v>4</v>
      </c>
      <c r="E317" s="170" t="s">
        <v>272</v>
      </c>
      <c r="F317" s="170">
        <v>1</v>
      </c>
      <c r="G317" s="170">
        <v>1</v>
      </c>
      <c r="H317" s="170">
        <v>1</v>
      </c>
      <c r="I317" s="170">
        <v>2</v>
      </c>
      <c r="J317" s="170">
        <v>1</v>
      </c>
      <c r="K317" s="170">
        <v>2</v>
      </c>
      <c r="L317" s="170">
        <v>2</v>
      </c>
      <c r="M317" s="170">
        <v>1</v>
      </c>
      <c r="N317" s="170"/>
      <c r="O317" s="170"/>
      <c r="P317" s="170"/>
      <c r="Q317" s="180">
        <f>SUM(Tabela2[[#This Row],[G]]+Tabela2[[#This Row],[D]]+Tabela2[[#This Row],[N]]+Tabela2[[#This Row],[HM]])</f>
        <v>5</v>
      </c>
      <c r="R317" s="180">
        <f>SUM(Tabela2[[#This Row],[AO]]+Tabela2[[#This Row],[AD]]+Tabela2[[#This Row],[GWO]]+Tabela2[[#This Row],[GWD]])</f>
        <v>6</v>
      </c>
      <c r="S317" s="180">
        <f>Tabela2[[#This Row],[GWO]]+Tabela2[[#This Row],[GWD]]</f>
        <v>3</v>
      </c>
      <c r="T317" s="180">
        <f>SUM(Tabela2[[#This Row],[G]:[GWD]])</f>
        <v>11</v>
      </c>
    </row>
    <row r="318" spans="1:20" ht="30">
      <c r="A318" s="183">
        <v>317</v>
      </c>
      <c r="B318" s="170" t="s">
        <v>390</v>
      </c>
      <c r="C318" s="170" t="s">
        <v>344</v>
      </c>
      <c r="D318" s="170">
        <v>4</v>
      </c>
      <c r="E318" s="170" t="s">
        <v>272</v>
      </c>
      <c r="F318" s="170">
        <v>1</v>
      </c>
      <c r="G318" s="170">
        <v>1</v>
      </c>
      <c r="H318" s="170">
        <v>1</v>
      </c>
      <c r="I318" s="170">
        <v>2</v>
      </c>
      <c r="J318" s="170">
        <v>1</v>
      </c>
      <c r="K318" s="170">
        <v>3</v>
      </c>
      <c r="L318" s="170">
        <v>3</v>
      </c>
      <c r="M318" s="170">
        <v>1</v>
      </c>
      <c r="N318" s="170"/>
      <c r="O318" s="170"/>
      <c r="P318" s="170"/>
      <c r="Q318" s="180">
        <f>SUM(Tabela2[[#This Row],[G]]+Tabela2[[#This Row],[D]]+Tabela2[[#This Row],[N]]+Tabela2[[#This Row],[HM]])</f>
        <v>6</v>
      </c>
      <c r="R318" s="180">
        <f>SUM(Tabela2[[#This Row],[AO]]+Tabela2[[#This Row],[AD]]+Tabela2[[#This Row],[GWO]]+Tabela2[[#This Row],[GWD]])</f>
        <v>7</v>
      </c>
      <c r="S318" s="180">
        <f>Tabela2[[#This Row],[GWO]]+Tabela2[[#This Row],[GWD]]</f>
        <v>4</v>
      </c>
      <c r="T318" s="180">
        <f>SUM(Tabela2[[#This Row],[G]:[GWD]])</f>
        <v>13</v>
      </c>
    </row>
    <row r="319" spans="1:20">
      <c r="A319" s="183">
        <v>318</v>
      </c>
      <c r="B319" s="170" t="s">
        <v>389</v>
      </c>
      <c r="C319" s="170" t="s">
        <v>388</v>
      </c>
      <c r="D319" s="170">
        <v>4</v>
      </c>
      <c r="E319" s="170" t="s">
        <v>272</v>
      </c>
      <c r="F319" s="170">
        <v>1</v>
      </c>
      <c r="G319" s="170">
        <v>1</v>
      </c>
      <c r="H319" s="170">
        <v>3</v>
      </c>
      <c r="I319" s="170">
        <v>2</v>
      </c>
      <c r="J319" s="170">
        <v>1</v>
      </c>
      <c r="K319" s="170">
        <v>1</v>
      </c>
      <c r="L319" s="170">
        <v>4</v>
      </c>
      <c r="M319" s="170">
        <v>1</v>
      </c>
      <c r="N319" s="170"/>
      <c r="O319" s="170"/>
      <c r="P319" s="170"/>
      <c r="Q319" s="180">
        <f>SUM(Tabela2[[#This Row],[G]]+Tabela2[[#This Row],[D]]+Tabela2[[#This Row],[N]]+Tabela2[[#This Row],[HM]])</f>
        <v>6</v>
      </c>
      <c r="R319" s="180">
        <f>SUM(Tabela2[[#This Row],[AO]]+Tabela2[[#This Row],[AD]]+Tabela2[[#This Row],[GWO]]+Tabela2[[#This Row],[GWD]])</f>
        <v>8</v>
      </c>
      <c r="S319" s="180">
        <f>Tabela2[[#This Row],[GWO]]+Tabela2[[#This Row],[GWD]]</f>
        <v>5</v>
      </c>
      <c r="T319" s="180">
        <f>SUM(Tabela2[[#This Row],[G]:[GWD]])</f>
        <v>14</v>
      </c>
    </row>
    <row r="320" spans="1:20" ht="30">
      <c r="A320" s="183">
        <v>319</v>
      </c>
      <c r="B320" s="170" t="s">
        <v>387</v>
      </c>
      <c r="C320" s="170" t="s">
        <v>386</v>
      </c>
      <c r="D320" s="170">
        <v>4</v>
      </c>
      <c r="E320" s="170" t="s">
        <v>272</v>
      </c>
      <c r="F320" s="170">
        <v>2</v>
      </c>
      <c r="G320" s="170">
        <v>1</v>
      </c>
      <c r="H320" s="170">
        <v>1</v>
      </c>
      <c r="I320" s="170">
        <v>2</v>
      </c>
      <c r="J320" s="170">
        <v>1</v>
      </c>
      <c r="K320" s="170">
        <v>1</v>
      </c>
      <c r="L320" s="170">
        <v>3</v>
      </c>
      <c r="M320" s="170">
        <v>1</v>
      </c>
      <c r="N320" s="170"/>
      <c r="O320" s="170"/>
      <c r="P320" s="170"/>
      <c r="Q320" s="180">
        <f>SUM(Tabela2[[#This Row],[G]]+Tabela2[[#This Row],[D]]+Tabela2[[#This Row],[N]]+Tabela2[[#This Row],[HM]])</f>
        <v>5</v>
      </c>
      <c r="R320" s="180">
        <f>SUM(Tabela2[[#This Row],[AO]]+Tabela2[[#This Row],[AD]]+Tabela2[[#This Row],[GWO]]+Tabela2[[#This Row],[GWD]])</f>
        <v>7</v>
      </c>
      <c r="S320" s="180">
        <f>Tabela2[[#This Row],[GWO]]+Tabela2[[#This Row],[GWD]]</f>
        <v>4</v>
      </c>
      <c r="T320" s="180">
        <f>SUM(Tabela2[[#This Row],[G]:[GWD]])</f>
        <v>12</v>
      </c>
    </row>
    <row r="321" spans="1:20">
      <c r="A321" s="183">
        <v>320</v>
      </c>
      <c r="B321" s="170" t="s">
        <v>385</v>
      </c>
      <c r="C321" s="170" t="s">
        <v>384</v>
      </c>
      <c r="D321" s="170">
        <v>4</v>
      </c>
      <c r="E321" s="170" t="s">
        <v>272</v>
      </c>
      <c r="F321" s="170">
        <v>3</v>
      </c>
      <c r="G321" s="170">
        <v>1</v>
      </c>
      <c r="H321" s="170">
        <v>5</v>
      </c>
      <c r="I321" s="170">
        <v>3</v>
      </c>
      <c r="J321" s="170">
        <v>1</v>
      </c>
      <c r="K321" s="170">
        <v>1</v>
      </c>
      <c r="L321" s="170">
        <v>4</v>
      </c>
      <c r="M321" s="170">
        <v>1</v>
      </c>
      <c r="N321" s="170"/>
      <c r="O321" s="170"/>
      <c r="P321" s="170"/>
      <c r="Q321" s="180">
        <f>SUM(Tabela2[[#This Row],[G]]+Tabela2[[#This Row],[D]]+Tabela2[[#This Row],[N]]+Tabela2[[#This Row],[HM]])</f>
        <v>10</v>
      </c>
      <c r="R321" s="180">
        <f>SUM(Tabela2[[#This Row],[AO]]+Tabela2[[#This Row],[AD]]+Tabela2[[#This Row],[GWO]]+Tabela2[[#This Row],[GWD]])</f>
        <v>9</v>
      </c>
      <c r="S321" s="180">
        <f>Tabela2[[#This Row],[GWO]]+Tabela2[[#This Row],[GWD]]</f>
        <v>5</v>
      </c>
      <c r="T321" s="180">
        <f>SUM(Tabela2[[#This Row],[G]:[GWD]])</f>
        <v>19</v>
      </c>
    </row>
    <row r="322" spans="1:20">
      <c r="A322" s="183">
        <v>321</v>
      </c>
      <c r="B322" s="170" t="s">
        <v>383</v>
      </c>
      <c r="C322" s="170" t="s">
        <v>382</v>
      </c>
      <c r="D322" s="170">
        <v>4</v>
      </c>
      <c r="E322" s="170" t="s">
        <v>272</v>
      </c>
      <c r="F322" s="170">
        <v>2</v>
      </c>
      <c r="G322" s="170">
        <v>2</v>
      </c>
      <c r="H322" s="170">
        <v>1</v>
      </c>
      <c r="I322" s="170">
        <v>5</v>
      </c>
      <c r="J322" s="170">
        <v>1</v>
      </c>
      <c r="K322" s="170">
        <v>1</v>
      </c>
      <c r="L322" s="170">
        <v>4</v>
      </c>
      <c r="M322" s="170">
        <v>1</v>
      </c>
      <c r="N322" s="170"/>
      <c r="O322" s="170"/>
      <c r="P322" s="170"/>
      <c r="Q322" s="180">
        <f>SUM(Tabela2[[#This Row],[G]]+Tabela2[[#This Row],[D]]+Tabela2[[#This Row],[N]]+Tabela2[[#This Row],[HM]])</f>
        <v>6</v>
      </c>
      <c r="R322" s="180">
        <f>SUM(Tabela2[[#This Row],[AO]]+Tabela2[[#This Row],[AD]]+Tabela2[[#This Row],[GWO]]+Tabela2[[#This Row],[GWD]])</f>
        <v>11</v>
      </c>
      <c r="S322" s="180">
        <f>Tabela2[[#This Row],[GWO]]+Tabela2[[#This Row],[GWD]]</f>
        <v>5</v>
      </c>
      <c r="T322" s="180">
        <f>SUM(Tabela2[[#This Row],[G]:[GWD]])</f>
        <v>17</v>
      </c>
    </row>
    <row r="323" spans="1:20">
      <c r="A323" s="183">
        <v>322</v>
      </c>
      <c r="B323" s="170" t="s">
        <v>381</v>
      </c>
      <c r="C323" s="170" t="s">
        <v>227</v>
      </c>
      <c r="D323" s="170">
        <v>4</v>
      </c>
      <c r="E323" s="170" t="s">
        <v>272</v>
      </c>
      <c r="F323" s="170">
        <v>2</v>
      </c>
      <c r="G323" s="170">
        <v>1</v>
      </c>
      <c r="H323" s="170">
        <v>1</v>
      </c>
      <c r="I323" s="170">
        <v>3</v>
      </c>
      <c r="J323" s="170">
        <v>3</v>
      </c>
      <c r="K323" s="170">
        <v>5</v>
      </c>
      <c r="L323" s="170">
        <v>3</v>
      </c>
      <c r="M323" s="170">
        <v>2</v>
      </c>
      <c r="N323" s="170"/>
      <c r="O323" s="170"/>
      <c r="P323" s="170"/>
      <c r="Q323" s="180">
        <f>SUM(Tabela2[[#This Row],[G]]+Tabela2[[#This Row],[D]]+Tabela2[[#This Row],[N]]+Tabela2[[#This Row],[HM]])</f>
        <v>9</v>
      </c>
      <c r="R323" s="180">
        <f>SUM(Tabela2[[#This Row],[AO]]+Tabela2[[#This Row],[AD]]+Tabela2[[#This Row],[GWO]]+Tabela2[[#This Row],[GWD]])</f>
        <v>11</v>
      </c>
      <c r="S323" s="180">
        <f>Tabela2[[#This Row],[GWO]]+Tabela2[[#This Row],[GWD]]</f>
        <v>5</v>
      </c>
      <c r="T323" s="180">
        <f>SUM(Tabela2[[#This Row],[G]:[GWD]])</f>
        <v>20</v>
      </c>
    </row>
    <row r="324" spans="1:20">
      <c r="A324" s="183">
        <v>323</v>
      </c>
      <c r="B324" s="170" t="s">
        <v>380</v>
      </c>
      <c r="C324" s="170" t="s">
        <v>225</v>
      </c>
      <c r="D324" s="170">
        <v>4</v>
      </c>
      <c r="E324" s="170" t="s">
        <v>272</v>
      </c>
      <c r="F324" s="170">
        <v>2</v>
      </c>
      <c r="G324" s="170">
        <v>1</v>
      </c>
      <c r="H324" s="170">
        <v>1</v>
      </c>
      <c r="I324" s="170">
        <v>2</v>
      </c>
      <c r="J324" s="170">
        <v>3</v>
      </c>
      <c r="K324" s="170">
        <v>3</v>
      </c>
      <c r="L324" s="170">
        <v>2</v>
      </c>
      <c r="M324" s="170">
        <v>1</v>
      </c>
      <c r="N324" s="170"/>
      <c r="O324" s="170"/>
      <c r="P324" s="170"/>
      <c r="Q324" s="180">
        <f>SUM(Tabela2[[#This Row],[G]]+Tabela2[[#This Row],[D]]+Tabela2[[#This Row],[N]]+Tabela2[[#This Row],[HM]])</f>
        <v>7</v>
      </c>
      <c r="R324" s="180">
        <f>SUM(Tabela2[[#This Row],[AO]]+Tabela2[[#This Row],[AD]]+Tabela2[[#This Row],[GWO]]+Tabela2[[#This Row],[GWD]])</f>
        <v>8</v>
      </c>
      <c r="S324" s="180">
        <f>Tabela2[[#This Row],[GWO]]+Tabela2[[#This Row],[GWD]]</f>
        <v>3</v>
      </c>
      <c r="T324" s="180">
        <f>SUM(Tabela2[[#This Row],[G]:[GWD]])</f>
        <v>15</v>
      </c>
    </row>
    <row r="325" spans="1:20">
      <c r="A325" s="183">
        <v>324</v>
      </c>
      <c r="B325" s="170" t="s">
        <v>379</v>
      </c>
      <c r="C325" s="170" t="s">
        <v>378</v>
      </c>
      <c r="D325" s="170">
        <v>4</v>
      </c>
      <c r="E325" s="170" t="s">
        <v>272</v>
      </c>
      <c r="F325" s="170">
        <v>3</v>
      </c>
      <c r="G325" s="170">
        <v>4</v>
      </c>
      <c r="H325" s="170">
        <v>1</v>
      </c>
      <c r="I325" s="170">
        <v>2</v>
      </c>
      <c r="J325" s="170">
        <v>4</v>
      </c>
      <c r="K325" s="170">
        <v>2</v>
      </c>
      <c r="L325" s="170">
        <v>5</v>
      </c>
      <c r="M325" s="170">
        <v>4</v>
      </c>
      <c r="N325" s="170"/>
      <c r="O325" s="170"/>
      <c r="P325" s="170"/>
      <c r="Q325" s="180">
        <f>SUM(Tabela2[[#This Row],[G]]+Tabela2[[#This Row],[D]]+Tabela2[[#This Row],[N]]+Tabela2[[#This Row],[HM]])</f>
        <v>10</v>
      </c>
      <c r="R325" s="180">
        <f>SUM(Tabela2[[#This Row],[AO]]+Tabela2[[#This Row],[AD]]+Tabela2[[#This Row],[GWO]]+Tabela2[[#This Row],[GWD]])</f>
        <v>15</v>
      </c>
      <c r="S325" s="180">
        <f>Tabela2[[#This Row],[GWO]]+Tabela2[[#This Row],[GWD]]</f>
        <v>9</v>
      </c>
      <c r="T325" s="180">
        <f>SUM(Tabela2[[#This Row],[G]:[GWD]])</f>
        <v>25</v>
      </c>
    </row>
    <row r="326" spans="1:20">
      <c r="A326" s="183">
        <v>325</v>
      </c>
      <c r="B326" s="170" t="s">
        <v>377</v>
      </c>
      <c r="C326" s="170" t="s">
        <v>376</v>
      </c>
      <c r="D326" s="170">
        <v>4</v>
      </c>
      <c r="E326" s="170" t="s">
        <v>272</v>
      </c>
      <c r="F326" s="170">
        <v>3</v>
      </c>
      <c r="G326" s="170">
        <v>3</v>
      </c>
      <c r="H326" s="170">
        <v>3</v>
      </c>
      <c r="I326" s="170">
        <v>5</v>
      </c>
      <c r="J326" s="170">
        <v>5</v>
      </c>
      <c r="K326" s="170">
        <v>5</v>
      </c>
      <c r="L326" s="170">
        <v>5</v>
      </c>
      <c r="M326" s="170">
        <v>4</v>
      </c>
      <c r="N326" s="170"/>
      <c r="O326" s="170"/>
      <c r="P326" s="170"/>
      <c r="Q326" s="180">
        <f>SUM(Tabela2[[#This Row],[G]]+Tabela2[[#This Row],[D]]+Tabela2[[#This Row],[N]]+Tabela2[[#This Row],[HM]])</f>
        <v>14</v>
      </c>
      <c r="R326" s="180">
        <f>SUM(Tabela2[[#This Row],[AO]]+Tabela2[[#This Row],[AD]]+Tabela2[[#This Row],[GWO]]+Tabela2[[#This Row],[GWD]])</f>
        <v>19</v>
      </c>
      <c r="S326" s="180">
        <f>Tabela2[[#This Row],[GWO]]+Tabela2[[#This Row],[GWD]]</f>
        <v>9</v>
      </c>
      <c r="T326" s="180">
        <f>SUM(Tabela2[[#This Row],[G]:[GWD]])</f>
        <v>33</v>
      </c>
    </row>
    <row r="327" spans="1:20">
      <c r="A327" s="183">
        <v>326</v>
      </c>
      <c r="B327" s="170" t="s">
        <v>375</v>
      </c>
      <c r="C327" s="170" t="s">
        <v>226</v>
      </c>
      <c r="D327" s="170">
        <v>4</v>
      </c>
      <c r="E327" s="170" t="s">
        <v>272</v>
      </c>
      <c r="F327" s="170">
        <v>1</v>
      </c>
      <c r="G327" s="170">
        <v>1</v>
      </c>
      <c r="H327" s="170">
        <v>1</v>
      </c>
      <c r="I327" s="170">
        <v>2</v>
      </c>
      <c r="J327" s="170">
        <v>1</v>
      </c>
      <c r="K327" s="170">
        <v>3</v>
      </c>
      <c r="L327" s="170">
        <v>3</v>
      </c>
      <c r="M327" s="170">
        <v>1</v>
      </c>
      <c r="N327" s="170"/>
      <c r="O327" s="170"/>
      <c r="P327" s="170"/>
      <c r="Q327" s="180">
        <f>SUM(Tabela2[[#This Row],[G]]+Tabela2[[#This Row],[D]]+Tabela2[[#This Row],[N]]+Tabela2[[#This Row],[HM]])</f>
        <v>6</v>
      </c>
      <c r="R327" s="180">
        <f>SUM(Tabela2[[#This Row],[AO]]+Tabela2[[#This Row],[AD]]+Tabela2[[#This Row],[GWO]]+Tabela2[[#This Row],[GWD]])</f>
        <v>7</v>
      </c>
      <c r="S327" s="180">
        <f>Tabela2[[#This Row],[GWO]]+Tabela2[[#This Row],[GWD]]</f>
        <v>4</v>
      </c>
      <c r="T327" s="180">
        <f>SUM(Tabela2[[#This Row],[G]:[GWD]])</f>
        <v>13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K4"/>
  <sheetViews>
    <sheetView workbookViewId="0">
      <selection activeCell="K2" sqref="K2"/>
    </sheetView>
  </sheetViews>
  <sheetFormatPr defaultRowHeight="14.25"/>
  <sheetData>
    <row r="1" spans="1:11">
      <c r="G1">
        <v>1</v>
      </c>
      <c r="H1">
        <v>2</v>
      </c>
      <c r="I1">
        <v>3</v>
      </c>
      <c r="J1">
        <v>4</v>
      </c>
      <c r="K1">
        <v>5</v>
      </c>
    </row>
    <row r="2" spans="1:11">
      <c r="A2" t="s">
        <v>854</v>
      </c>
      <c r="B2" s="15">
        <v>0.22</v>
      </c>
      <c r="C2">
        <v>1</v>
      </c>
      <c r="D2">
        <f>SUMPRODUCT(B2:B4,C2:C4)</f>
        <v>0.30826399999999998</v>
      </c>
      <c r="F2">
        <v>0.22</v>
      </c>
      <c r="G2">
        <f>POWER(1-$F$2,G1)</f>
        <v>0.78</v>
      </c>
      <c r="H2">
        <f>POWER(1-$F$2,H1)</f>
        <v>0.60840000000000005</v>
      </c>
      <c r="I2">
        <f>POWER(1-$F$2,I1)</f>
        <v>0.47455200000000003</v>
      </c>
      <c r="J2">
        <f>POWER(1-$F$2,J1)</f>
        <v>0.37015056000000007</v>
      </c>
      <c r="K2">
        <f>POWER(1-$F$2,K1)</f>
        <v>0.28871743680000006</v>
      </c>
    </row>
    <row r="3" spans="1:11">
      <c r="A3" t="s">
        <v>855</v>
      </c>
      <c r="B3" s="15">
        <f>22%*17%</f>
        <v>3.7400000000000003E-2</v>
      </c>
      <c r="C3">
        <v>2</v>
      </c>
      <c r="D3">
        <f>SUMPRODUCT(B2:B3,C2:C3)</f>
        <v>0.29480000000000001</v>
      </c>
    </row>
    <row r="4" spans="1:11">
      <c r="A4" t="s">
        <v>856</v>
      </c>
      <c r="B4" s="15">
        <f>B3*12%</f>
        <v>4.4879999999999998E-3</v>
      </c>
      <c r="C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18</vt:i4>
      </vt:variant>
    </vt:vector>
  </HeadingPairs>
  <TitlesOfParts>
    <vt:vector size="18" baseType="lpstr">
      <vt:lpstr>HP vs DEF</vt:lpstr>
      <vt:lpstr>Crystals</vt:lpstr>
      <vt:lpstr>EXP lvls</vt:lpstr>
      <vt:lpstr>Arkusz3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ToA auto</vt:lpstr>
      <vt:lpstr>Mon.Utilities</vt:lpstr>
      <vt:lpstr>Arkusz2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2015-12-29T16:39:33Z</dcterms:modified>
</cp:coreProperties>
</file>