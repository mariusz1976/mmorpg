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2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</sheets>
  <calcPr calcId="125725"/>
  <pivotCaches>
    <pivotCache cacheId="0" r:id="rId8"/>
  </pivotCaches>
</workbook>
</file>

<file path=xl/calcChain.xml><?xml version="1.0" encoding="utf-8"?>
<calcChain xmlns="http://schemas.openxmlformats.org/spreadsheetml/2006/main">
  <c r="M2" i="4"/>
  <c r="M4"/>
  <c r="M8"/>
  <c r="M9"/>
  <c r="M11"/>
  <c r="M12"/>
  <c r="M13"/>
  <c r="M14"/>
  <c r="M15"/>
  <c r="M16"/>
  <c r="M17"/>
  <c r="M18"/>
  <c r="M20"/>
  <c r="M21"/>
  <c r="M17" i="1" l="1"/>
  <c r="M19" s="1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12" i="4"/>
  <c r="M18" i="1" l="1"/>
  <c r="M20" s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K21" i="4"/>
  <c r="L21"/>
  <c r="J21"/>
  <c r="I21"/>
  <c r="M16" i="1"/>
  <c r="O16" s="1"/>
  <c r="M21" l="1"/>
  <c r="M22" s="1"/>
  <c r="M23" s="1"/>
  <c r="O21" i="4"/>
  <c r="N21"/>
  <c r="O18" i="1"/>
  <c r="I16" i="5"/>
  <c r="I15"/>
  <c r="I14"/>
  <c r="I18" i="4"/>
  <c r="O20" i="1" l="1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I20"/>
  <c r="L20"/>
  <c r="Y8" i="1" l="1"/>
  <c r="Y7"/>
  <c r="Y6"/>
  <c r="Y5"/>
  <c r="Y4"/>
  <c r="X4"/>
  <c r="X8"/>
  <c r="X7"/>
  <c r="X6"/>
  <c r="X5"/>
  <c r="O20" i="4"/>
  <c r="N20"/>
  <c r="Q17" i="1"/>
  <c r="O22" l="1"/>
  <c r="O24" s="1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18"/>
  <c r="L38" i="2" s="1"/>
  <c r="Q38" s="1"/>
  <c r="Y2" i="1" l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N27" i="2" s="1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O6" i="1" l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I17"/>
  <c r="L16"/>
  <c r="J16"/>
  <c r="I16"/>
  <c r="L15"/>
  <c r="I15"/>
  <c r="M10" i="1" l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N17" i="4"/>
  <c r="N16"/>
  <c r="O16"/>
  <c r="O17"/>
  <c r="L12"/>
  <c r="I12"/>
  <c r="M11" i="1" l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N12" i="4"/>
  <c r="O12"/>
  <c r="L9"/>
  <c r="I14"/>
  <c r="N14" s="1"/>
  <c r="L14"/>
  <c r="O14" s="1"/>
  <c r="J13"/>
  <c r="I13"/>
  <c r="L13"/>
  <c r="O17" i="2"/>
  <c r="C45"/>
  <c r="B45"/>
  <c r="C44"/>
  <c r="B44"/>
  <c r="J8" i="4"/>
  <c r="J9"/>
  <c r="J18" s="1"/>
  <c r="O13" i="2"/>
  <c r="O12"/>
  <c r="O16"/>
  <c r="L39" l="1"/>
  <c r="L40"/>
  <c r="N39"/>
  <c r="N40"/>
  <c r="J19" i="4"/>
  <c r="N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O13" i="4"/>
  <c r="N17" i="2"/>
  <c r="N13" i="4"/>
  <c r="H12" i="2"/>
  <c r="O15"/>
  <c r="O14"/>
  <c r="O11"/>
  <c r="O10"/>
  <c r="O19" i="4" l="1"/>
  <c r="U33" i="2"/>
  <c r="R33"/>
  <c r="T33"/>
  <c r="Q33"/>
  <c r="N38"/>
  <c r="R38" s="1"/>
  <c r="N37"/>
  <c r="N18" i="4"/>
  <c r="N36" i="2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O18" i="4"/>
  <c r="F29" i="2"/>
  <c r="F30" s="1"/>
  <c r="F31" s="1"/>
  <c r="F32" s="1"/>
  <c r="G28"/>
  <c r="B27"/>
  <c r="C27"/>
  <c r="B26"/>
  <c r="C26"/>
  <c r="O15" i="4"/>
  <c r="N15"/>
  <c r="H16" i="2"/>
  <c r="L17"/>
  <c r="I9" i="4"/>
  <c r="I8"/>
  <c r="L8"/>
  <c r="A3" i="2"/>
  <c r="B3" s="1"/>
  <c r="L2" i="4"/>
  <c r="J2"/>
  <c r="I2"/>
  <c r="L4"/>
  <c r="J4"/>
  <c r="I4"/>
  <c r="M40" i="2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N9" i="4"/>
  <c r="L13" i="2"/>
  <c r="L12"/>
  <c r="L10"/>
  <c r="L11"/>
  <c r="O2" i="4"/>
  <c r="L16" i="2"/>
  <c r="L14"/>
  <c r="L15"/>
  <c r="M12"/>
  <c r="M13"/>
  <c r="N16"/>
  <c r="N14"/>
  <c r="N15"/>
  <c r="M16"/>
  <c r="M14"/>
  <c r="M15"/>
  <c r="N12"/>
  <c r="N13"/>
  <c r="N10"/>
  <c r="N11"/>
  <c r="M10"/>
  <c r="M11"/>
  <c r="O8" i="4"/>
  <c r="N8"/>
  <c r="O9"/>
  <c r="N2"/>
  <c r="O4"/>
  <c r="N4"/>
  <c r="C3" i="2" l="1"/>
  <c r="D3" s="1"/>
  <c r="Q12" i="4"/>
  <c r="P15"/>
  <c r="P12"/>
  <c r="C33" i="2"/>
  <c r="B36"/>
  <c r="H37"/>
  <c r="F38"/>
  <c r="B34"/>
  <c r="C34"/>
  <c r="B31"/>
  <c r="C31"/>
  <c r="C32"/>
  <c r="B32"/>
  <c r="B35"/>
  <c r="C35"/>
  <c r="Q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Q9" i="4"/>
  <c r="P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<sst xmlns="http://schemas.openxmlformats.org/spreadsheetml/2006/main" count="1646" uniqueCount="218">
  <si>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</si>
  <si>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</si>
  <si>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</si>
  <si>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</si>
  <si>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</si>
  <si>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</si>
  <si>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</si>
  <si>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</si>
  <si>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</si>
  <si>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</si>
  <si>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</si>
  <si>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</si>
  <si>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</si>
  <si>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</si>
  <si>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</si>
  <si>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</si>
  <si>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</si>
  <si>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</si>
  <si>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</si>
  <si>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</si>
  <si>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</si>
  <si>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</si>
  <si>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</si>
  <si>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</si>
  <si>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</si>
  <si>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</si>
  <si>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</si>
  <si>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</si>
  <si>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</si>
  <si>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</si>
  <si>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</si>
  <si>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</si>
  <si>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</si>
  <si>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</si>
  <si>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</si>
  <si>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</si>
  <si>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</si>
  <si>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</si>
  <si>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</si>
  <si>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</si>
  <si>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</si>
  <si>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</si>
  <si>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</si>
  <si>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</si>
  <si>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</si>
  <si>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</si>
  <si>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</si>
  <si>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</si>
  <si>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</si>
  <si>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</si>
  <si>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</si>
  <si>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</si>
  <si>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</si>
  <si>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</si>
  <si>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</si>
  <si>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</si>
  <si>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</si>
  <si>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</si>
  <si>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</si>
  <si>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</si>
  <si>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</si>
  <si>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</si>
  <si>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</si>
  <si>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</si>
  <si>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</si>
  <si>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</si>
  <si>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</si>
  <si>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</si>
  <si>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</si>
  <si>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</si>
  <si>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</si>
  <si>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</si>
  <si>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</si>
  <si>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</si>
  <si>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</si>
  <si>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</si>
  <si>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</si>
  <si>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</si>
  <si>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</si>
  <si>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</si>
  <si>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</si>
  <si>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</si>
  <si>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</si>
  <si>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</si>
  <si>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</si>
  <si>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</si>
  <si>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</si>
  <si>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</si>
  <si>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</si>
  <si>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</si>
  <si>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</si>
  <si>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</si>
  <si>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</si>
  <si>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</si>
  <si>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</si>
  <si>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</si>
  <si>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</si>
  <si>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</si>
  <si>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</si>
  <si>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</si>
  <si>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</si>
  <si>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</si>
  <si>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</si>
  <si>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</si>
  <si>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</si>
  <si>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</si>
  <si>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</si>
  <si>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</si>
  <si>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</si>
  <si>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</si>
  <si>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</si>
  <si>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</si>
  <si>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</si>
  <si>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</si>
  <si>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</si>
  <si>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</si>
  <si>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</si>
  <si>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</si>
  <si>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</si>
  <si>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</si>
  <si>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</si>
  <si>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</si>
  <si>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</si>
  <si>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</si>
  <si>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</si>
  <si>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</si>
  <si>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</si>
  <si>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</si>
  <si>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</si>
  <si>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</si>
  <si>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</si>
  <si>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</si>
  <si>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</si>
  <si>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</si>
  <si>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</si>
  <si>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</si>
  <si>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</si>
  <si>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</si>
  <si>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</si>
  <si>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</si>
  <si>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</si>
  <si>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</si>
  <si>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</si>
  <si>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</si>
  <si>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</si>
  <si>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</si>
  <si>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</si>
  <si>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</si>
  <si>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</si>
  <si>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</si>
  <si>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</si>
  <si>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</si>
  <si>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</si>
  <si>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</si>
  <si>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</si>
  <si>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</si>
  <si>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</si>
  <si>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</si>
  <si>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</si>
  <si>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</si>
  <si>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</si>
  <si>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</si>
  <si>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</si>
  <si>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</si>
  <si>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</si>
  <si>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</si>
  <si>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</si>
  <si>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</si>
  <si>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</si>
  <si>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</si>
  <si>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</si>
  <si>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</si>
  <si>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</si>
  <si>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</si>
  <si>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</si>
  <si>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</si>
  <si>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</si>
  <si>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</si>
  <si>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</si>
  <si>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</si>
  <si>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</si>
  <si>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</si>
  <si>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</si>
  <si>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</si>
  <si>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</si>
  <si>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</si>
  <si>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</si>
  <si>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</si>
  <si>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</si>
  <si>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</si>
  <si>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</si>
  <si>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</si>
  <si>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</si>
  <si>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</si>
  <si>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</si>
  <si>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</si>
  <si>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</si>
  <si>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</si>
  <si>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SPD//Acc</t>
  </si>
  <si>
    <t>HP/HP/HP</t>
  </si>
  <si>
    <t>HP/CP/Acc</t>
  </si>
  <si>
    <t>Energy/Revenge</t>
  </si>
  <si>
    <t>SPD/HP/HP</t>
  </si>
  <si>
    <t>Acc/SPD</t>
  </si>
  <si>
    <t>B10 farm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</si>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</sst>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</cellXfs>
  <cellStyles count="1">
    <cellStyle name="Normalny" xfId="0" builtinId="0"/>
  </cellStyles>
  <dxfs count="7">
    <dxf>
      <numFmt numFmtId="0" formatCode="General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U115" totalsRowShown="0">
  <autoFilter ref="A1:U115">
    <filterColumn colId="12"/>
  </autoFilter>
  <tableColumns count="21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/>
    <tableColumn id="10" name="Energy gain"/>
    <tableColumn id="17" name="XP Total Gain" dataDxfId="4">
      <calculatedColumnFormula>4*LocFeatures[[#This Row],[XP Gain per member]]</calculatedColumnFormula>
    </tableColumn>
    <tableColumn id="11" name="XP Train Gain"/>
    <tableColumn id="22" name="XP drop" dataDxfId="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K743" totalsRowShown="0">
  <autoFilter ref="A1:K743"/>
  <tableColumns count="11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0" name="Exp Gain" dataDxfId="3">
      <calculatedColumnFormula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N22" sqref="N2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3</v>
      </c>
      <c r="N4">
        <v>2</v>
      </c>
      <c r="O4" s="1">
        <f>M4*$B$5</f>
        <v>569250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69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89</v>
      </c>
      <c r="N8">
        <v>0</v>
      </c>
      <c r="O8" s="1">
        <f>M8*$B$3</f>
        <v>3188158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178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267</v>
      </c>
      <c r="N10">
        <v>0</v>
      </c>
      <c r="O10" s="52">
        <f>Tabela6[[#This Row],[Missing]]*$B$2</f>
        <v>4037040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534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9438088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5-Tabela66[[#This Row],[Done]]</f>
        <v>5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5</v>
      </c>
      <c r="N18">
        <v>0</v>
      </c>
      <c r="O18" s="1">
        <f>M18*$B$4</f>
        <v>410910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13</v>
      </c>
      <c r="N19">
        <v>2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18</v>
      </c>
      <c r="N20">
        <v>0</v>
      </c>
      <c r="O20" s="1">
        <f>M20*$B$3</f>
        <v>644796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20</v>
      </c>
      <c r="N21">
        <v>16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38</v>
      </c>
      <c r="N22">
        <v>0</v>
      </c>
      <c r="O22" s="52">
        <f>Tabela66[[#This Row],[Missing]]*$B$2</f>
        <v>574560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50</v>
      </c>
      <c r="N23">
        <v>26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1630266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U115"/>
  <sheetViews>
    <sheetView topLeftCell="A2" workbookViewId="0">
      <selection activeCell="M18" sqref="M18"/>
    </sheetView>
  </sheetViews>
  <sheetFormatPr defaultRowHeight="14.25"/>
  <cols>
    <col min="1" max="1" width="12.25" bestFit="1" customWidth="1"/>
    <col min="4" max="4" width="9.125" customWidth="1"/>
    <col min="5" max="5" width="21" customWidth="1"/>
    <col min="6" max="6" width="10.125" customWidth="1"/>
    <col min="8" max="8" width="15" customWidth="1"/>
    <col min="9" max="9" width="16.125" customWidth="1"/>
    <col min="10" max="11" width="13.25" customWidth="1"/>
    <col min="12" max="13" width="9.875" customWidth="1"/>
    <col min="14" max="14" width="14.25" customWidth="1"/>
    <col min="15" max="15" width="12" customWidth="1"/>
    <col min="19" max="19" width="20.125" bestFit="1" customWidth="1"/>
  </cols>
  <sheetData>
    <row r="1" spans="1:21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211</v>
      </c>
      <c r="J1" t="s">
        <v>24</v>
      </c>
      <c r="K1" t="s">
        <v>60</v>
      </c>
      <c r="L1" t="s">
        <v>59</v>
      </c>
      <c r="M1" t="s">
        <v>217</v>
      </c>
      <c r="N1" t="s">
        <v>212</v>
      </c>
      <c r="O1" t="s">
        <v>26</v>
      </c>
      <c r="P1" t="s">
        <v>37</v>
      </c>
      <c r="Q1" t="s">
        <v>38</v>
      </c>
      <c r="R1" t="s">
        <v>152</v>
      </c>
      <c r="S1" t="s">
        <v>151</v>
      </c>
      <c r="T1" t="s">
        <v>155</v>
      </c>
      <c r="U1" t="s">
        <v>156</v>
      </c>
    </row>
    <row r="2" spans="1:21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</f>
        <v>2227</v>
      </c>
      <c r="J2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49">
        <f>AVERAGEIFS(DropAnalityka[Exp Gain],DropAnalityka[Location],'Location features'!$A2,DropAnalityka[LVL],'Location features'!$B2,DropAnalityka[Stage],'Location features'!$C2)</f>
        <v>0</v>
      </c>
      <c r="N2">
        <f>I2/(D2-J2)</f>
        <v>2227</v>
      </c>
      <c r="O2">
        <f>L2/(D2-J2)</f>
        <v>1890</v>
      </c>
    </row>
    <row r="3" spans="1:21">
      <c r="A3" t="s">
        <v>8</v>
      </c>
      <c r="B3" t="s">
        <v>9</v>
      </c>
      <c r="C3">
        <v>2</v>
      </c>
      <c r="D3">
        <v>3</v>
      </c>
      <c r="K3">
        <f>4*LocFeatures[[#This Row],[XP Gain per member]]</f>
        <v>0</v>
      </c>
      <c r="M3" s="49"/>
    </row>
    <row r="4" spans="1:21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</f>
        <v>1946.7804878048782</v>
      </c>
      <c r="J4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49">
        <f>AVERAGEIFS(DropAnalityka[Exp Gain],DropAnalityka[Location],'Location features'!$A4,DropAnalityka[LVL],'Location features'!$B4,DropAnalityka[Stage],'Location features'!$C4)</f>
        <v>1106.3414634146341</v>
      </c>
      <c r="N4">
        <f>I4/(D4-J4)</f>
        <v>896.83146067415737</v>
      </c>
      <c r="O4">
        <f>L4/(D4-J4)</f>
        <v>887.25842696629206</v>
      </c>
    </row>
    <row r="5" spans="1:21">
      <c r="A5" t="s">
        <v>8</v>
      </c>
      <c r="B5" t="s">
        <v>9</v>
      </c>
      <c r="C5">
        <v>3</v>
      </c>
      <c r="D5">
        <v>3</v>
      </c>
      <c r="K5">
        <f>4*LocFeatures[[#This Row],[XP Gain per member]]</f>
        <v>0</v>
      </c>
      <c r="M5" s="49"/>
    </row>
    <row r="6" spans="1:21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10"/>
      <c r="J6" s="10"/>
      <c r="K6" s="10">
        <f>4*LocFeatures[[#This Row],[XP Gain per member]]</f>
        <v>0</v>
      </c>
      <c r="L6" s="10"/>
      <c r="M6" s="53"/>
      <c r="N6" s="10"/>
      <c r="O6" s="10"/>
      <c r="P6" s="10"/>
      <c r="Q6" s="10"/>
    </row>
    <row r="7" spans="1:21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10"/>
      <c r="J7" s="10"/>
      <c r="K7" s="10">
        <f>4*LocFeatures[[#This Row],[XP Gain per member]]</f>
        <v>0</v>
      </c>
      <c r="L7" s="10"/>
      <c r="M7" s="53"/>
      <c r="N7" s="10"/>
      <c r="O7" s="10"/>
      <c r="P7" s="10"/>
      <c r="Q7" s="10"/>
    </row>
    <row r="8" spans="1:21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10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</f>
        <v>3028.7952488687779</v>
      </c>
      <c r="J8" s="10">
        <f>AVERAGEIFS(DropAnalityka[Energy Drop],DropAnalityka[Location],'Location features'!$A8,DropAnalityka[LVL],'Location features'!$B8,DropAnalityka[Stage],'Location features'!$C8)</f>
        <v>0.82692307692307687</v>
      </c>
      <c r="K8" s="10">
        <f>4*LocFeatures[[#This Row],[XP Gain per member]]</f>
        <v>4392</v>
      </c>
      <c r="L8" s="10">
        <f>3*E8</f>
        <v>3294</v>
      </c>
      <c r="M8" s="53">
        <f>AVERAGEIFS(DropAnalityka[Exp Gain],DropAnalityka[Location],'Location features'!$A8,DropAnalityka[LVL],'Location features'!$B8,DropAnalityka[Stage],'Location features'!$C8)</f>
        <v>2724.2692307692309</v>
      </c>
      <c r="N8" s="10">
        <f>I8/(D8-J8)</f>
        <v>954.52941176470563</v>
      </c>
      <c r="O8" s="10">
        <f>L8/(D8-J8)</f>
        <v>1038.1090909090908</v>
      </c>
      <c r="R8"/>
    </row>
    <row r="9" spans="1:21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10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</f>
        <v>2798.4320987654319</v>
      </c>
      <c r="J9" s="10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3">
        <f>AVERAGEIFS(DropAnalityka[Exp Gain],DropAnalityka[Location],'Location features'!$A9,DropAnalityka[LVL],'Location features'!$B9,DropAnalityka[Stage],'Location features'!$C9)</f>
        <v>560</v>
      </c>
      <c r="N9" s="10">
        <f>I9/(D9-J9)</f>
        <v>1317.8662790697672</v>
      </c>
      <c r="O9" s="10">
        <f>L9/(D9-J9)</f>
        <v>1068.0697674418604</v>
      </c>
      <c r="P9" s="10">
        <f>LocFeatures[[#This Row],[DropWorthGain/Energy]]/N8-1</f>
        <v>0.38064502028631586</v>
      </c>
      <c r="Q9" s="10">
        <f>LocFeatures[[#This Row],[XP/Energy]]/O8-1</f>
        <v>2.8860817032757557E-2</v>
      </c>
      <c r="R9">
        <v>62</v>
      </c>
      <c r="S9" s="10" t="s">
        <v>215</v>
      </c>
      <c r="T9" s="10">
        <v>125</v>
      </c>
      <c r="U9" s="10" t="s">
        <v>157</v>
      </c>
    </row>
    <row r="10" spans="1:21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K10" s="10">
        <f>4*LocFeatures[[#This Row],[XP Gain per member]]</f>
        <v>4476</v>
      </c>
      <c r="M10" s="53"/>
      <c r="R10"/>
    </row>
    <row r="11" spans="1:21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R11"/>
    </row>
    <row r="12" spans="1:21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10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</f>
        <v>3451.4926470588234</v>
      </c>
      <c r="J12" s="10">
        <f>AVERAGEIFS(DropAnalityka[Energy Drop],DropAnalityka[Location],'Location features'!$A12,DropAnalityka[LVL],'Location features'!$B12,DropAnalityka[Stage],'Location features'!$C12)</f>
        <v>0.91176470588235292</v>
      </c>
      <c r="K12" s="10">
        <f>4*LocFeatures[[#This Row],[XP Gain per member]]</f>
        <v>7200</v>
      </c>
      <c r="L12" s="10">
        <f t="shared" ref="L12:L17" si="0">3*E12</f>
        <v>5400</v>
      </c>
      <c r="M12" s="53">
        <f>AVERAGEIFS(DropAnalityka[Exp Gain],DropAnalityka[Location],'Location features'!$A12,DropAnalityka[LVL],'Location features'!$B12,DropAnalityka[Stage],'Location features'!$C12)</f>
        <v>1527.3823529411766</v>
      </c>
      <c r="N12" s="10">
        <f t="shared" ref="N12:N19" si="1">I12/(D12-J12)</f>
        <v>844.25</v>
      </c>
      <c r="O12" s="10">
        <f t="shared" ref="O12:O17" si="2">L12/(D12-J12)</f>
        <v>1320.8633093525182</v>
      </c>
      <c r="P12" s="10">
        <f>LocFeatures[[#This Row],[DropWorthGain/Energy]]/N9-1</f>
        <v>-0.35938113493887658</v>
      </c>
      <c r="Q12" s="10">
        <f>LocFeatures[[#This Row],[XP/Energy]]/O9-1</f>
        <v>0.23668261158269166</v>
      </c>
      <c r="R12">
        <v>178</v>
      </c>
      <c r="S12" s="10" t="s">
        <v>157</v>
      </c>
      <c r="U12" s="10" t="s">
        <v>216</v>
      </c>
    </row>
    <row r="13" spans="1:21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10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</f>
        <v>4124.8571428571431</v>
      </c>
      <c r="J13" s="10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3">
        <f>AVERAGEIFS(DropAnalityka[Exp Gain],DropAnalityka[Location],'Location features'!$A13,DropAnalityka[LVL],'Location features'!$B13,DropAnalityka[Stage],'Location features'!$C13)</f>
        <v>0</v>
      </c>
      <c r="N13" s="10">
        <f t="shared" si="1"/>
        <v>962.46666666666681</v>
      </c>
      <c r="O13" s="10">
        <f t="shared" si="2"/>
        <v>307.3</v>
      </c>
      <c r="R13"/>
    </row>
    <row r="14" spans="1:21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10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</f>
        <v>1192</v>
      </c>
      <c r="J14" s="10">
        <v>0.65</v>
      </c>
      <c r="K14" s="10">
        <f>4*LocFeatures[[#This Row],[XP Gain per member]]</f>
        <v>6000</v>
      </c>
      <c r="L14" s="10">
        <f t="shared" si="0"/>
        <v>4500</v>
      </c>
      <c r="M14" s="53">
        <f>AVERAGEIFS(DropAnalityka[Exp Gain],DropAnalityka[Location],'Location features'!$A14,DropAnalityka[LVL],'Location features'!$B14,DropAnalityka[Stage],'Location features'!$C14)</f>
        <v>81182</v>
      </c>
      <c r="N14" s="10">
        <f t="shared" si="1"/>
        <v>274.02298850574715</v>
      </c>
      <c r="O14" s="10">
        <f t="shared" si="2"/>
        <v>1034.4827586206898</v>
      </c>
      <c r="R14"/>
    </row>
    <row r="15" spans="1:21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10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</f>
        <v>2695.1685393258426</v>
      </c>
      <c r="J15" s="10">
        <f>AVERAGEIFS(DropAnalityka[Energy Drop],DropAnalityka[Location],'Location features'!$A15,DropAnalityka[LVL],'Location features'!$B15,DropAnalityka[Stage],'Location features'!$C15)</f>
        <v>0.88764044943820219</v>
      </c>
      <c r="K15" s="10">
        <f>4*LocFeatures[[#This Row],[XP Gain per member]]</f>
        <v>3196</v>
      </c>
      <c r="L15" s="10">
        <f t="shared" si="0"/>
        <v>2397</v>
      </c>
      <c r="M15" s="53">
        <f>AVERAGEIFS(DropAnalityka[Exp Gain],DropAnalityka[Location],'Location features'!$A15,DropAnalityka[LVL],'Location features'!$B15,DropAnalityka[Stage],'Location features'!$C15)</f>
        <v>1528.9887640449438</v>
      </c>
      <c r="N15" s="10">
        <f t="shared" si="1"/>
        <v>1275.9042553191491</v>
      </c>
      <c r="O15" s="10">
        <f t="shared" si="2"/>
        <v>1134.75</v>
      </c>
      <c r="P15" s="10">
        <f>LocFeatures[[#This Row],[DropWorthGain/Energy]]/N9-1</f>
        <v>-3.1840881292021117E-2</v>
      </c>
      <c r="Q15" s="10">
        <f>LocFeatures[[#This Row],[XP/Energy]]/O9-1</f>
        <v>6.2430596381213732E-2</v>
      </c>
      <c r="R15"/>
    </row>
    <row r="16" spans="1:21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10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</f>
        <v>3392</v>
      </c>
      <c r="J16" s="10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3">
        <f>AVERAGEIFS(DropAnalityka[Exp Gain],DropAnalityka[Location],'Location features'!$A16,DropAnalityka[LVL],'Location features'!$B16,DropAnalityka[Stage],'Location features'!$C16)</f>
        <v>0</v>
      </c>
      <c r="N16" s="10">
        <f t="shared" si="1"/>
        <v>1130.6666666666667</v>
      </c>
      <c r="O16" s="10">
        <f t="shared" si="2"/>
        <v>804</v>
      </c>
      <c r="R16"/>
    </row>
    <row r="17" spans="1:19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10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</f>
        <v>2964</v>
      </c>
      <c r="J17" s="10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3">
        <f>AVERAGEIFS(DropAnalityka[Exp Gain],DropAnalityka[Location],'Location features'!$A17,DropAnalityka[LVL],'Location features'!$B17,DropAnalityka[Stage],'Location features'!$C17)</f>
        <v>0</v>
      </c>
      <c r="N17" s="10">
        <f t="shared" si="1"/>
        <v>988</v>
      </c>
      <c r="O17" s="10">
        <f t="shared" si="2"/>
        <v>804</v>
      </c>
      <c r="R17"/>
    </row>
    <row r="18" spans="1:19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10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</f>
        <v>3709.0930232558139</v>
      </c>
      <c r="J18" s="10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3">
        <f>AVERAGEIFS(DropAnalityka[Exp Gain],DropAnalityka[Location],'Location features'!$A18,DropAnalityka[LVL],'Location features'!$B18,DropAnalityka[Stage],'Location features'!$C18)</f>
        <v>4830.7906976744189</v>
      </c>
      <c r="N18" s="10">
        <f t="shared" si="1"/>
        <v>1187.4961853111499</v>
      </c>
      <c r="O18" s="10">
        <f>L18/(D18-J18)</f>
        <v>1225.5652173913043</v>
      </c>
      <c r="R18">
        <v>122</v>
      </c>
      <c r="S18" s="10" t="s">
        <v>154</v>
      </c>
    </row>
    <row r="19" spans="1:19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10"/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s="10">
        <f t="shared" si="1"/>
        <v>0</v>
      </c>
      <c r="O19" s="10">
        <f>L19/(D19-J19)</f>
        <v>1473.2784431137725</v>
      </c>
      <c r="P19" s="10"/>
      <c r="Q19" s="10"/>
      <c r="S19" s="16"/>
    </row>
    <row r="20" spans="1:19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10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</f>
        <v>2788.25</v>
      </c>
      <c r="J20" s="10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3">
        <f>AVERAGEIFS(DropAnalityka[Exp Gain],DropAnalityka[Location],'Location features'!$A20,DropAnalityka[LVL],'Location features'!$B20,DropAnalityka[Stage],'Location features'!$C20)</f>
        <v>0</v>
      </c>
      <c r="N20" s="10">
        <f t="shared" ref="N20" si="3">I20/(D20-J20)</f>
        <v>506.95454545454544</v>
      </c>
      <c r="O20" s="10">
        <f>L20/(D20-J20)</f>
        <v>213.81818181818181</v>
      </c>
      <c r="P20" s="10"/>
      <c r="Q20" s="10"/>
    </row>
    <row r="21" spans="1:19">
      <c r="A21" s="10" t="s">
        <v>206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10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</f>
        <v>7394.5</v>
      </c>
      <c r="J21" s="10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3">
        <f>AVERAGEIFS(DropAnalityka[Exp Gain],DropAnalityka[Location],'Location features'!$A21,DropAnalityka[LVL],'Location features'!$B21,DropAnalityka[Stage],'Location features'!$C21)</f>
        <v>0</v>
      </c>
      <c r="N21" s="10">
        <f>I21/(D21-J21)</f>
        <v>1408.4761904761904</v>
      </c>
      <c r="O21" s="10">
        <f>L21/(D21-J21)</f>
        <v>345.71428571428572</v>
      </c>
      <c r="P21" s="10"/>
      <c r="Q21" s="10"/>
    </row>
    <row r="22" spans="1:19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53"/>
      <c r="N22" s="10"/>
      <c r="O22" s="10"/>
      <c r="P22" s="10"/>
      <c r="Q22" s="10"/>
    </row>
    <row r="23" spans="1:19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53"/>
      <c r="N23" s="10"/>
      <c r="O23" s="10"/>
      <c r="P23" s="10"/>
      <c r="Q23" s="10"/>
    </row>
    <row r="24" spans="1:19">
      <c r="J24" s="10"/>
      <c r="K24" s="10"/>
      <c r="L24" s="10"/>
      <c r="M24" s="53"/>
      <c r="N24" s="10"/>
      <c r="O24" s="10"/>
      <c r="P24" s="10"/>
      <c r="Q24" s="10"/>
    </row>
    <row r="25" spans="1:19">
      <c r="M25" s="49"/>
    </row>
    <row r="26" spans="1:19">
      <c r="M26" s="49"/>
    </row>
    <row r="27" spans="1:19">
      <c r="M27" s="49"/>
    </row>
    <row r="28" spans="1:19">
      <c r="M28" s="49"/>
    </row>
    <row r="29" spans="1:19">
      <c r="M29" s="49"/>
    </row>
    <row r="30" spans="1:19">
      <c r="M30" s="49"/>
    </row>
    <row r="31" spans="1:19">
      <c r="M31" s="49"/>
    </row>
    <row r="32" spans="1:19">
      <c r="M32" s="49"/>
    </row>
    <row r="33" spans="13:13">
      <c r="M33" s="49"/>
    </row>
    <row r="34" spans="13:13">
      <c r="M34" s="49"/>
    </row>
    <row r="35" spans="13:13">
      <c r="M35" s="49"/>
    </row>
    <row r="36" spans="13:13">
      <c r="M36" s="49"/>
    </row>
    <row r="37" spans="13:13">
      <c r="M37" s="49"/>
    </row>
    <row r="38" spans="13:13">
      <c r="M38" s="49"/>
    </row>
    <row r="39" spans="13:13">
      <c r="M39" s="49"/>
    </row>
    <row r="40" spans="13:13">
      <c r="M40" s="49"/>
    </row>
    <row r="41" spans="13:13">
      <c r="M41" s="49"/>
    </row>
    <row r="42" spans="13:13">
      <c r="M42" s="49"/>
    </row>
    <row r="43" spans="13:13">
      <c r="M43" s="49"/>
    </row>
    <row r="44" spans="13:13">
      <c r="M44" s="49"/>
    </row>
    <row r="45" spans="13:13">
      <c r="M45" s="49"/>
    </row>
    <row r="46" spans="13:13">
      <c r="M46" s="49"/>
    </row>
    <row r="47" spans="13:13">
      <c r="M47" s="49"/>
    </row>
    <row r="48" spans="13:13">
      <c r="M48" s="49"/>
    </row>
    <row r="49" spans="13:13">
      <c r="M49" s="49"/>
    </row>
    <row r="50" spans="13:13">
      <c r="M50" s="49"/>
    </row>
    <row r="51" spans="13:13">
      <c r="M51" s="49"/>
    </row>
    <row r="52" spans="13:13">
      <c r="M52" s="49"/>
    </row>
    <row r="53" spans="13:13">
      <c r="M53" s="49"/>
    </row>
    <row r="54" spans="13:13">
      <c r="M54" s="49"/>
    </row>
    <row r="55" spans="13:13">
      <c r="M55" s="49"/>
    </row>
    <row r="56" spans="13:13">
      <c r="M56" s="49"/>
    </row>
    <row r="57" spans="13:13">
      <c r="M57" s="49"/>
    </row>
    <row r="58" spans="13:13">
      <c r="M58" s="49"/>
    </row>
    <row r="59" spans="13:13">
      <c r="M59" s="49"/>
    </row>
    <row r="60" spans="13:13">
      <c r="M60" s="49"/>
    </row>
    <row r="61" spans="13:13">
      <c r="M61" s="49"/>
    </row>
    <row r="62" spans="13:13">
      <c r="M62" s="49"/>
    </row>
    <row r="63" spans="13:13">
      <c r="M63" s="49"/>
    </row>
    <row r="64" spans="13:13">
      <c r="M64" s="49"/>
    </row>
    <row r="65" spans="13:13">
      <c r="M65" s="49"/>
    </row>
    <row r="66" spans="13:13">
      <c r="M66" s="49"/>
    </row>
    <row r="67" spans="13:13">
      <c r="M67" s="49"/>
    </row>
    <row r="68" spans="13:13">
      <c r="M68" s="49"/>
    </row>
    <row r="69" spans="13:13">
      <c r="M69" s="49"/>
    </row>
    <row r="70" spans="13:13">
      <c r="M70" s="49"/>
    </row>
    <row r="71" spans="13:13">
      <c r="M71" s="49"/>
    </row>
    <row r="72" spans="13:13">
      <c r="M72" s="49"/>
    </row>
    <row r="73" spans="13:13">
      <c r="M73" s="49"/>
    </row>
    <row r="74" spans="13:13">
      <c r="M74" s="49"/>
    </row>
    <row r="75" spans="13:13">
      <c r="M75" s="49"/>
    </row>
    <row r="76" spans="13:13">
      <c r="M76" s="49"/>
    </row>
    <row r="77" spans="13:13">
      <c r="M77" s="49"/>
    </row>
    <row r="78" spans="13:13">
      <c r="M78" s="49"/>
    </row>
    <row r="79" spans="13:13">
      <c r="M79" s="49"/>
    </row>
    <row r="80" spans="13:13">
      <c r="M80" s="49"/>
    </row>
    <row r="81" spans="13:13">
      <c r="M81" s="49"/>
    </row>
    <row r="82" spans="13:13">
      <c r="M82" s="49"/>
    </row>
    <row r="83" spans="13:13">
      <c r="M83" s="49"/>
    </row>
    <row r="84" spans="13:13">
      <c r="M84" s="49"/>
    </row>
    <row r="85" spans="13:13">
      <c r="M85" s="49"/>
    </row>
    <row r="86" spans="13:13">
      <c r="M86" s="49"/>
    </row>
    <row r="87" spans="13:13">
      <c r="M87" s="49"/>
    </row>
    <row r="88" spans="13:13">
      <c r="M88" s="49"/>
    </row>
    <row r="89" spans="13:13">
      <c r="M89" s="49"/>
    </row>
    <row r="90" spans="13:13">
      <c r="M90" s="49"/>
    </row>
    <row r="91" spans="13:13">
      <c r="M91" s="49"/>
    </row>
    <row r="92" spans="13:13">
      <c r="M92" s="49"/>
    </row>
    <row r="93" spans="13:13">
      <c r="M93" s="49"/>
    </row>
    <row r="94" spans="13:13">
      <c r="M94" s="49"/>
    </row>
    <row r="95" spans="13:13">
      <c r="M95" s="49"/>
    </row>
    <row r="96" spans="13:13">
      <c r="M96" s="49"/>
    </row>
    <row r="97" spans="13:13">
      <c r="M97" s="49"/>
    </row>
    <row r="98" spans="13:13">
      <c r="M98" s="49"/>
    </row>
    <row r="99" spans="13:13">
      <c r="M99" s="49"/>
    </row>
    <row r="100" spans="13:13">
      <c r="M100" s="49"/>
    </row>
    <row r="101" spans="13:13">
      <c r="M101" s="49"/>
    </row>
    <row r="102" spans="13:13">
      <c r="M102" s="49"/>
    </row>
    <row r="103" spans="13:13">
      <c r="M103" s="49"/>
    </row>
    <row r="104" spans="13:13">
      <c r="M104" s="49"/>
    </row>
    <row r="105" spans="13:13">
      <c r="M105" s="49"/>
    </row>
    <row r="106" spans="13:13">
      <c r="M106" s="49"/>
    </row>
    <row r="107" spans="13:13">
      <c r="M107" s="49"/>
    </row>
    <row r="108" spans="13:13">
      <c r="M108" s="49"/>
    </row>
    <row r="109" spans="13:13">
      <c r="M109" s="49"/>
    </row>
    <row r="110" spans="13:13">
      <c r="M110" s="49"/>
    </row>
    <row r="111" spans="13:13">
      <c r="M111" s="49"/>
    </row>
    <row r="112" spans="13:13">
      <c r="M112" s="49"/>
    </row>
    <row r="113" spans="13:13">
      <c r="M113" s="49"/>
    </row>
    <row r="114" spans="13:13">
      <c r="M114" s="49"/>
    </row>
    <row r="115" spans="13:13">
      <c r="M115" s="4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K743"/>
  <sheetViews>
    <sheetView tabSelected="1" workbookViewId="0">
      <pane ySplit="1" topLeftCell="A475" activePane="bottomLeft" state="frozen"/>
      <selection pane="bottomLeft" activeCell="G497" sqref="G497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0" width="13" customWidth="1"/>
  </cols>
  <sheetData>
    <row r="1" spans="1:11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210</v>
      </c>
      <c r="I1" t="s">
        <v>209</v>
      </c>
      <c r="J1" t="s">
        <v>214</v>
      </c>
      <c r="K1" t="s">
        <v>79</v>
      </c>
    </row>
    <row r="2" spans="1:11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" spans="1:11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" spans="1:11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5" spans="1:11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" spans="1:11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" spans="1:11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" spans="1:11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" spans="1:11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0" spans="1:11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" spans="1:11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" spans="1:11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" spans="1:11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" spans="1:11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" spans="1:11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" spans="1:11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" spans="1:10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" spans="1:10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" spans="1:10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" spans="1:10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" spans="1:10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" spans="1:10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" spans="1:10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" spans="1:10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" spans="1:10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" spans="1:10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" spans="1:10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" spans="1:10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" spans="1:10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" spans="1:10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" spans="1:10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" spans="1:10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" spans="1:10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" spans="1:10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" spans="1:10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" spans="1:10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" spans="1:10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" spans="1:10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" spans="1:10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" spans="1:10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" spans="1:10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" spans="1:10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" spans="1:10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" spans="1:10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" spans="1:10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" spans="1:10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" spans="1:10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" spans="1:10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" spans="1:10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" spans="1:10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" spans="1:10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" spans="1:10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" spans="1:10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" spans="1:10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" spans="1:10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" spans="1:10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" spans="1:10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" spans="1:10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" spans="1:10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" spans="1:10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" spans="1:10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" spans="1:10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" spans="1:10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" spans="1:10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" spans="1:10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" spans="1:10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" spans="1:10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" spans="1:10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" spans="1:10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" spans="1:10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" spans="1:10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72" spans="1:10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" spans="1:10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" spans="1:10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5" spans="1:10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76" spans="1:10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7" spans="1:10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8" spans="1:10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9" spans="1:10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0" spans="1:10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1" spans="1:10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2" spans="1:10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3" spans="1:10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4" spans="1:10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5" spans="1:10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6" spans="1:10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7" spans="1:10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8" spans="1:10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9" spans="1:10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0" spans="1:10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1" spans="1:10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2" spans="1:10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3" spans="1:10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4" spans="1:10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5" spans="1:10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6" spans="1:10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7" spans="1:10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8" spans="1:10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9" spans="1:10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0" spans="1:10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1" spans="1:10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2" spans="1:10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3" spans="1:10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4" spans="1:10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5" spans="1:10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6" spans="1:10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7" spans="1:10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8" spans="1:10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9" spans="1:10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0" spans="1:10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1" spans="1:10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2" spans="1:10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3" spans="1:10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4" spans="1:10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5" spans="1:10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6" spans="1:10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7" spans="1:10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8" spans="1:10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9" spans="1:10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0" spans="1:10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1" spans="1:10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2" spans="1:10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3" spans="1:10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4" spans="1:10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5" spans="1:10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6" spans="1:10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7" spans="1:10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8" spans="1:10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9" spans="1:10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0" spans="1:10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1" spans="1:10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132" spans="1:10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3" spans="1:10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4" spans="1:10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5" spans="1:10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6" spans="1:10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7" spans="1:10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8" spans="1:10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9" spans="1:10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0" spans="1:10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1" spans="1:10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2" spans="1:10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3" spans="1:10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4" spans="1:10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5" spans="1:10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6" spans="1:10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7" spans="1:10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8" spans="1:10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9" spans="1:10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0" spans="1:10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1" spans="1:10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2" spans="1:10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3" spans="1:10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4" spans="1:10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5" spans="1:10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6" spans="1:10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7" spans="1:10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8" spans="1:10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9" spans="1:10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0" spans="1:10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1" spans="1:10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2" spans="1:10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3" spans="1:10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64" spans="1:10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5" spans="1:10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6" spans="1:10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7" spans="1:10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8" spans="1:10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9" spans="1:10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0" spans="1:10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1" spans="1:10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2" spans="1:10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3" spans="1:10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4" spans="1:10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5" spans="1:10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6" spans="1:10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7" spans="1:10">
      <c r="A177" t="s">
        <v>8</v>
      </c>
      <c r="B177" t="s">
        <v>32</v>
      </c>
      <c r="C177">
        <v>3</v>
      </c>
      <c r="D177">
        <v>1206</v>
      </c>
      <c r="E177">
        <v>0</v>
      </c>
      <c r="J1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8" spans="1:10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179" spans="1:10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0" spans="1:10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81" spans="1:10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2" spans="1:10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3" spans="1:10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4" spans="1:10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5" spans="1:10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6" spans="1:10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7" spans="1:10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8" spans="1:10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9" spans="1:10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0" spans="1:10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1" spans="1:10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2" spans="1:10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3" spans="1:10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4" spans="1:10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5" spans="1:10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6" spans="1:10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7" spans="1:10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8" spans="1:10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9" spans="1:10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0" spans="1:10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1" spans="1:10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2" spans="1:10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3" spans="1:10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4" spans="1:10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5" spans="1:10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6" spans="1:10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7" spans="1:10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8" spans="1:10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9" spans="1:10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0" spans="1:10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1" spans="1:10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2" spans="1:10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3" spans="1:10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4" spans="1:10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5" spans="1:10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16" spans="1:10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7" spans="1:10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18" spans="1:10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9" spans="1:10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0" spans="1:10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1" spans="1:10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2" spans="1:10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3" spans="1:10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4" spans="1:10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5" spans="1:10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6" spans="1:10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7" spans="1:10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8" spans="1:10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9" spans="1:10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0" spans="1:10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31" spans="1:10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2" spans="1:10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3" spans="1:10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4" spans="1:10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5" spans="1:10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6" spans="1:10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7" spans="1:10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8" spans="1:10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9" spans="1:10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0" spans="1:10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1" spans="1:10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2" spans="1:10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3" spans="1:10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4" spans="1:10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5" spans="1:10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46" spans="1:10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7" spans="1:10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8" spans="1:10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9" spans="1:10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0" spans="1:10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1" spans="1:10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2" spans="1:10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3" spans="1:10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4" spans="1:10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5" spans="1:10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6" spans="1:10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7" spans="1:11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8" spans="1:11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9" spans="1:11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0" spans="1:11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1" spans="1:11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2" spans="1:11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3" spans="1:11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4" spans="1:11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5" spans="1:11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6" spans="1:11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7" spans="1:11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8" spans="1:11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68" s="16">
        <v>0.33078703703703705</v>
      </c>
    </row>
    <row r="269" spans="1:11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69" s="16">
        <v>0.33269675925925929</v>
      </c>
    </row>
    <row r="270" spans="1:11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1" spans="1:11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2" spans="1:11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3" spans="1:11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4" spans="1:11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74" s="16">
        <v>0.34259259259259256</v>
      </c>
    </row>
    <row r="275" spans="1:11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6" spans="1:11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7" spans="1:11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78" spans="1:11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9" spans="1:11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0" spans="1:11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1" spans="1:11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81" s="16">
        <v>0.35532407407407413</v>
      </c>
    </row>
    <row r="282" spans="1:11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82" s="16">
        <v>0.35555555555555557</v>
      </c>
    </row>
    <row r="283" spans="1:11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4" spans="1:11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5" spans="1:11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6" spans="1:11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7" spans="1:11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8" spans="1:11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9" spans="1:10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0" spans="1:10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1" spans="1:10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2" spans="1:10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3" spans="1:10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4" spans="1:10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5" spans="1:10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6" spans="1:10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7" spans="1:10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8" spans="1:10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9" spans="1:10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0" spans="1:10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1" spans="1:10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2" spans="1:10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03" spans="1:10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4" spans="1:10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5" spans="1:10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6" spans="1:10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7" spans="1:10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8" spans="1:10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9" spans="1:10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0" spans="1:10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311" spans="1:10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2" spans="1:10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313" spans="1:10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4" spans="1:10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5" spans="1:10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6" spans="1:10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7" spans="1:10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8" spans="1:10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9" spans="1:10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0" spans="1:10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1" spans="1:10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2" spans="1:10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3" spans="1:10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4" spans="1:10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5" spans="1:10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6" spans="1:10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7" spans="1:10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8" spans="1:10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9" spans="1:10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30" spans="1:10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31" spans="1:10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2" spans="1:10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3" spans="1:10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4" spans="1:10">
      <c r="A334" t="s">
        <v>206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5" spans="1:10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6" spans="1:10">
      <c r="A336" t="s">
        <v>208</v>
      </c>
      <c r="B336" t="s">
        <v>9</v>
      </c>
      <c r="C336">
        <v>5</v>
      </c>
      <c r="D336">
        <v>1000</v>
      </c>
      <c r="E336">
        <v>0</v>
      </c>
      <c r="F336" t="s">
        <v>207</v>
      </c>
      <c r="G336">
        <v>5</v>
      </c>
      <c r="J3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7" spans="1:10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8" spans="1:10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9" spans="1:10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0" spans="1:10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1" spans="1:10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2" spans="1:10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3" spans="1:10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4" spans="1:10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5" spans="1:10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6" spans="1:10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7" spans="1:10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8" spans="1:10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9" spans="1:10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0" spans="1:10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1" spans="1:10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2" spans="1:10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3" spans="1:10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4" spans="1:10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5" spans="1:10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6" spans="1:10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7" spans="1:10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8" spans="1:10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9" spans="1:10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0" spans="1:10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1" spans="1:10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2" spans="1:10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3" spans="1:10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4" spans="1:10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5" spans="1:10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6" spans="1:10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7" spans="1:10">
      <c r="A367" t="s">
        <v>206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8" spans="1:10">
      <c r="A368" t="s">
        <v>206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9" spans="1:10">
      <c r="A369" t="s">
        <v>206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0" spans="1:10">
      <c r="A370" t="s">
        <v>206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1" spans="1:10">
      <c r="A371" t="s">
        <v>206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2" spans="1:10">
      <c r="A372" t="s">
        <v>206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3" spans="1:10">
      <c r="A373" t="s">
        <v>206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4" spans="1:10">
      <c r="A374" t="s">
        <v>206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5" spans="1:10">
      <c r="A375" t="s">
        <v>206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6" spans="1:10">
      <c r="A376" t="s">
        <v>206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7" spans="1:10">
      <c r="A377" t="s">
        <v>206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8" spans="1:10">
      <c r="A378" t="s">
        <v>206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9" spans="1:10">
      <c r="A379" t="s">
        <v>206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0" spans="1:10">
      <c r="A380" t="s">
        <v>206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1" spans="1:10">
      <c r="A381" t="s">
        <v>206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2" spans="1:10">
      <c r="A382" t="s">
        <v>206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3" spans="1:10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4" spans="1:10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5" spans="1:10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6" spans="1:10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7" spans="1:10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8" spans="1:10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9" spans="1:10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0" spans="1:10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1" spans="1:10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2" spans="1:10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3" spans="1:10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4" spans="1:10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5" spans="1:10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6" spans="1:10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7" spans="1:10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8" spans="1:10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9" spans="1:10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0" spans="1:10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1" spans="1:10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2" spans="1:10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3" spans="1:10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4" spans="1:10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5" spans="1:10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6" spans="1:10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7" spans="1:10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8" spans="1:10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9" spans="1:10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0" spans="1:10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1" spans="1:10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2" spans="1:10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3" spans="1:10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4" spans="1:10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5" spans="1:10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6" spans="1:10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7" spans="1:10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8" spans="1:10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9" spans="1:10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0" spans="1:10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1" spans="1:10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2" spans="1:10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3" spans="1:10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4" spans="1:10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5" spans="1:10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6" spans="1:10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7" spans="1:10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8" spans="1:10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9" spans="1:10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0" spans="1:10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1" spans="1:10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2" spans="1:10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3" spans="1:10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34" spans="1:10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5" spans="1:10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6" spans="1:10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7" spans="1:10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8" spans="1:10">
      <c r="A438" t="s">
        <v>213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9" spans="1:10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0" spans="1:10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441" spans="1:10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2" spans="1:10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443" spans="1:10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4" spans="1:10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5" spans="1:10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6" spans="1:10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7" spans="1:10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8" spans="1:10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9" spans="1:10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0" spans="1:10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1" spans="1:10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2" spans="1:10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3" spans="1:10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4" spans="1:10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5" spans="1:10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6" spans="1:10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7" spans="1:10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8" spans="1:10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9" spans="1:10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0" spans="1:10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1" spans="1:10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2" spans="1:10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3" spans="1:10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4" spans="1:10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65" spans="1:10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6" spans="1:10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7" spans="1:10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8" spans="1:10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9" spans="1:10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0" spans="1:10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1" spans="1:10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2" spans="1:10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3" spans="1:10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4" spans="1:10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5" spans="1:10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6" spans="1:10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7" spans="1:10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8" spans="1:10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9" spans="1:10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80" spans="1:10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1" spans="1:10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2" spans="1:10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3" spans="1:10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4" spans="1:10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5" spans="1:10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6" spans="1:10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7" spans="1:10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8" spans="1:10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9" spans="1:10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0" spans="1:10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1" spans="1:10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2" spans="1:10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3" spans="1:10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4" spans="1:10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5" spans="1:10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6" spans="1:10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7" spans="9:10">
      <c r="I497">
        <f>DropAnalityka[[#This Row],[Sell Drop]]+IF(DropAnalityka[[#This Row],[Drop]]="Scroll", 2000*DropAnalityka[[#This Row],[Quality/Quantity]],0)</f>
        <v>0</v>
      </c>
      <c r="J4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8" spans="9:10">
      <c r="I498">
        <f>DropAnalityka[[#This Row],[Sell Drop]]+IF(DropAnalityka[[#This Row],[Drop]]="Scroll", 2000*DropAnalityka[[#This Row],[Quality/Quantity]],0)</f>
        <v>0</v>
      </c>
      <c r="J4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9" spans="9:10">
      <c r="I499">
        <f>DropAnalityka[[#This Row],[Sell Drop]]+IF(DropAnalityka[[#This Row],[Drop]]="Scroll", 2000*DropAnalityka[[#This Row],[Quality/Quantity]],0)</f>
        <v>0</v>
      </c>
      <c r="J4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0" spans="9:10">
      <c r="I500">
        <f>DropAnalityka[[#This Row],[Sell Drop]]+IF(DropAnalityka[[#This Row],[Drop]]="Scroll", 2000*DropAnalityka[[#This Row],[Quality/Quantity]],0)</f>
        <v>0</v>
      </c>
      <c r="J5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1" spans="9:10">
      <c r="I501">
        <f>DropAnalityka[[#This Row],[Sell Drop]]+IF(DropAnalityka[[#This Row],[Drop]]="Scroll", 2000*DropAnalityka[[#This Row],[Quality/Quantity]],0)</f>
        <v>0</v>
      </c>
      <c r="J5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2" spans="9:10">
      <c r="I502">
        <f>DropAnalityka[[#This Row],[Sell Drop]]+IF(DropAnalityka[[#This Row],[Drop]]="Scroll", 2000*DropAnalityka[[#This Row],[Quality/Quantity]],0)</f>
        <v>0</v>
      </c>
      <c r="J5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3" spans="9:10">
      <c r="I503">
        <f>DropAnalityka[[#This Row],[Sell Drop]]+IF(DropAnalityka[[#This Row],[Drop]]="Scroll", 2000*DropAnalityka[[#This Row],[Quality/Quantity]],0)</f>
        <v>0</v>
      </c>
      <c r="J5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4" spans="9:10">
      <c r="I504">
        <f>DropAnalityka[[#This Row],[Sell Drop]]+IF(DropAnalityka[[#This Row],[Drop]]="Scroll", 2000*DropAnalityka[[#This Row],[Quality/Quantity]],0)</f>
        <v>0</v>
      </c>
      <c r="J5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5" spans="9:10">
      <c r="I505">
        <f>DropAnalityka[[#This Row],[Sell Drop]]+IF(DropAnalityka[[#This Row],[Drop]]="Scroll", 2000*DropAnalityka[[#This Row],[Quality/Quantity]],0)</f>
        <v>0</v>
      </c>
      <c r="J5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6" spans="9:10">
      <c r="I506">
        <f>DropAnalityka[[#This Row],[Sell Drop]]+IF(DropAnalityka[[#This Row],[Drop]]="Scroll", 2000*DropAnalityka[[#This Row],[Quality/Quantity]],0)</f>
        <v>0</v>
      </c>
      <c r="J5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7" spans="9:10">
      <c r="I507">
        <f>DropAnalityka[[#This Row],[Sell Drop]]+IF(DropAnalityka[[#This Row],[Drop]]="Scroll", 2000*DropAnalityka[[#This Row],[Quality/Quantity]],0)</f>
        <v>0</v>
      </c>
      <c r="J5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8" spans="9:10">
      <c r="I508">
        <f>DropAnalityka[[#This Row],[Sell Drop]]+IF(DropAnalityka[[#This Row],[Drop]]="Scroll", 2000*DropAnalityka[[#This Row],[Quality/Quantity]],0)</f>
        <v>0</v>
      </c>
      <c r="J5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9" spans="9:10">
      <c r="I509">
        <f>DropAnalityka[[#This Row],[Sell Drop]]+IF(DropAnalityka[[#This Row],[Drop]]="Scroll", 2000*DropAnalityka[[#This Row],[Quality/Quantity]],0)</f>
        <v>0</v>
      </c>
      <c r="J5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0" spans="9:10">
      <c r="I510">
        <f>DropAnalityka[[#This Row],[Sell Drop]]+IF(DropAnalityka[[#This Row],[Drop]]="Scroll", 2000*DropAnalityka[[#This Row],[Quality/Quantity]],0)</f>
        <v>0</v>
      </c>
      <c r="J5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1" spans="9:10">
      <c r="I511">
        <f>DropAnalityka[[#This Row],[Sell Drop]]+IF(DropAnalityka[[#This Row],[Drop]]="Scroll", 2000*DropAnalityka[[#This Row],[Quality/Quantity]],0)</f>
        <v>0</v>
      </c>
      <c r="J5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2" spans="9:10">
      <c r="I512">
        <f>DropAnalityka[[#This Row],[Sell Drop]]+IF(DropAnalityka[[#This Row],[Drop]]="Scroll", 2000*DropAnalityka[[#This Row],[Quality/Quantity]],0)</f>
        <v>0</v>
      </c>
      <c r="J5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3" spans="9:10">
      <c r="I513">
        <f>DropAnalityka[[#This Row],[Sell Drop]]+IF(DropAnalityka[[#This Row],[Drop]]="Scroll", 2000*DropAnalityka[[#This Row],[Quality/Quantity]],0)</f>
        <v>0</v>
      </c>
      <c r="J5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4" spans="9:10">
      <c r="I514">
        <f>DropAnalityka[[#This Row],[Sell Drop]]+IF(DropAnalityka[[#This Row],[Drop]]="Scroll", 2000*DropAnalityka[[#This Row],[Quality/Quantity]],0)</f>
        <v>0</v>
      </c>
      <c r="J5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5" spans="9:10">
      <c r="I515">
        <f>DropAnalityka[[#This Row],[Sell Drop]]+IF(DropAnalityka[[#This Row],[Drop]]="Scroll", 2000*DropAnalityka[[#This Row],[Quality/Quantity]],0)</f>
        <v>0</v>
      </c>
      <c r="J5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6" spans="9:10">
      <c r="I516">
        <f>DropAnalityka[[#This Row],[Sell Drop]]+IF(DropAnalityka[[#This Row],[Drop]]="Scroll", 2000*DropAnalityka[[#This Row],[Quality/Quantity]],0)</f>
        <v>0</v>
      </c>
      <c r="J5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7" spans="9:10">
      <c r="I517">
        <f>DropAnalityka[[#This Row],[Sell Drop]]+IF(DropAnalityka[[#This Row],[Drop]]="Scroll", 2000*DropAnalityka[[#This Row],[Quality/Quantity]],0)</f>
        <v>0</v>
      </c>
      <c r="J5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8" spans="9:10">
      <c r="I518">
        <f>DropAnalityka[[#This Row],[Sell Drop]]+IF(DropAnalityka[[#This Row],[Drop]]="Scroll", 2000*DropAnalityka[[#This Row],[Quality/Quantity]],0)</f>
        <v>0</v>
      </c>
      <c r="J5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9" spans="9:10">
      <c r="I519">
        <f>DropAnalityka[[#This Row],[Sell Drop]]+IF(DropAnalityka[[#This Row],[Drop]]="Scroll", 2000*DropAnalityka[[#This Row],[Quality/Quantity]],0)</f>
        <v>0</v>
      </c>
      <c r="J5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0" spans="9:10">
      <c r="I520">
        <f>DropAnalityka[[#This Row],[Sell Drop]]+IF(DropAnalityka[[#This Row],[Drop]]="Scroll", 2000*DropAnalityka[[#This Row],[Quality/Quantity]],0)</f>
        <v>0</v>
      </c>
      <c r="J5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1" spans="9:10">
      <c r="I521">
        <f>DropAnalityka[[#This Row],[Sell Drop]]+IF(DropAnalityka[[#This Row],[Drop]]="Scroll", 2000*DropAnalityka[[#This Row],[Quality/Quantity]],0)</f>
        <v>0</v>
      </c>
      <c r="J5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2" spans="9:10">
      <c r="I522">
        <f>DropAnalityka[[#This Row],[Sell Drop]]+IF(DropAnalityka[[#This Row],[Drop]]="Scroll", 2000*DropAnalityka[[#This Row],[Quality/Quantity]],0)</f>
        <v>0</v>
      </c>
      <c r="J5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3" spans="9:10">
      <c r="I523">
        <f>DropAnalityka[[#This Row],[Sell Drop]]+IF(DropAnalityka[[#This Row],[Drop]]="Scroll", 2000*DropAnalityka[[#This Row],[Quality/Quantity]],0)</f>
        <v>0</v>
      </c>
      <c r="J5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4" spans="9:10">
      <c r="I524">
        <f>DropAnalityka[[#This Row],[Sell Drop]]+IF(DropAnalityka[[#This Row],[Drop]]="Scroll", 2000*DropAnalityka[[#This Row],[Quality/Quantity]],0)</f>
        <v>0</v>
      </c>
      <c r="J5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5" spans="9:10">
      <c r="I525">
        <f>DropAnalityka[[#This Row],[Sell Drop]]+IF(DropAnalityka[[#This Row],[Drop]]="Scroll", 2000*DropAnalityka[[#This Row],[Quality/Quantity]],0)</f>
        <v>0</v>
      </c>
      <c r="J5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6" spans="9:10">
      <c r="I526">
        <f>DropAnalityka[[#This Row],[Sell Drop]]+IF(DropAnalityka[[#This Row],[Drop]]="Scroll", 2000*DropAnalityka[[#This Row],[Quality/Quantity]],0)</f>
        <v>0</v>
      </c>
      <c r="J5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7" spans="9:10">
      <c r="I527">
        <f>DropAnalityka[[#This Row],[Sell Drop]]+IF(DropAnalityka[[#This Row],[Drop]]="Scroll", 2000*DropAnalityka[[#This Row],[Quality/Quantity]],0)</f>
        <v>0</v>
      </c>
      <c r="J5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8" spans="9:10">
      <c r="I528">
        <f>DropAnalityka[[#This Row],[Sell Drop]]+IF(DropAnalityka[[#This Row],[Drop]]="Scroll", 2000*DropAnalityka[[#This Row],[Quality/Quantity]],0)</f>
        <v>0</v>
      </c>
      <c r="J5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9" spans="9:10">
      <c r="I529">
        <f>DropAnalityka[[#This Row],[Sell Drop]]+IF(DropAnalityka[[#This Row],[Drop]]="Scroll", 2000*DropAnalityka[[#This Row],[Quality/Quantity]],0)</f>
        <v>0</v>
      </c>
      <c r="J5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0" spans="9:10">
      <c r="I530">
        <f>DropAnalityka[[#This Row],[Sell Drop]]+IF(DropAnalityka[[#This Row],[Drop]]="Scroll", 2000*DropAnalityka[[#This Row],[Quality/Quantity]],0)</f>
        <v>0</v>
      </c>
      <c r="J5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1" spans="9:10">
      <c r="I531">
        <f>DropAnalityka[[#This Row],[Sell Drop]]+IF(DropAnalityka[[#This Row],[Drop]]="Scroll", 2000*DropAnalityka[[#This Row],[Quality/Quantity]],0)</f>
        <v>0</v>
      </c>
      <c r="J5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2" spans="9:10">
      <c r="I532">
        <f>DropAnalityka[[#This Row],[Sell Drop]]+IF(DropAnalityka[[#This Row],[Drop]]="Scroll", 2000*DropAnalityka[[#This Row],[Quality/Quantity]],0)</f>
        <v>0</v>
      </c>
      <c r="J5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3" spans="9:10">
      <c r="I533">
        <f>DropAnalityka[[#This Row],[Sell Drop]]+IF(DropAnalityka[[#This Row],[Drop]]="Scroll", 2000*DropAnalityka[[#This Row],[Quality/Quantity]],0)</f>
        <v>0</v>
      </c>
      <c r="J5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4" spans="9:10">
      <c r="I534">
        <f>DropAnalityka[[#This Row],[Sell Drop]]+IF(DropAnalityka[[#This Row],[Drop]]="Scroll", 2000*DropAnalityka[[#This Row],[Quality/Quantity]],0)</f>
        <v>0</v>
      </c>
      <c r="J5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5" spans="9:10">
      <c r="I535">
        <f>DropAnalityka[[#This Row],[Sell Drop]]+IF(DropAnalityka[[#This Row],[Drop]]="Scroll", 2000*DropAnalityka[[#This Row],[Quality/Quantity]],0)</f>
        <v>0</v>
      </c>
      <c r="J5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6" spans="9:10">
      <c r="I536">
        <f>DropAnalityka[[#This Row],[Sell Drop]]+IF(DropAnalityka[[#This Row],[Drop]]="Scroll", 2000*DropAnalityka[[#This Row],[Quality/Quantity]],0)</f>
        <v>0</v>
      </c>
      <c r="J5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7" spans="9:10">
      <c r="I537">
        <f>DropAnalityka[[#This Row],[Sell Drop]]+IF(DropAnalityka[[#This Row],[Drop]]="Scroll", 2000*DropAnalityka[[#This Row],[Quality/Quantity]],0)</f>
        <v>0</v>
      </c>
      <c r="J5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8" spans="9:10">
      <c r="I538">
        <f>DropAnalityka[[#This Row],[Sell Drop]]+IF(DropAnalityka[[#This Row],[Drop]]="Scroll", 2000*DropAnalityka[[#This Row],[Quality/Quantity]],0)</f>
        <v>0</v>
      </c>
      <c r="J5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9" spans="9:10">
      <c r="I539">
        <f>DropAnalityka[[#This Row],[Sell Drop]]+IF(DropAnalityka[[#This Row],[Drop]]="Scroll", 2000*DropAnalityka[[#This Row],[Quality/Quantity]],0)</f>
        <v>0</v>
      </c>
      <c r="J5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0" spans="9:10">
      <c r="I540">
        <f>DropAnalityka[[#This Row],[Sell Drop]]+IF(DropAnalityka[[#This Row],[Drop]]="Scroll", 2000*DropAnalityka[[#This Row],[Quality/Quantity]],0)</f>
        <v>0</v>
      </c>
      <c r="J5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1" spans="9:10">
      <c r="I541">
        <f>DropAnalityka[[#This Row],[Sell Drop]]+IF(DropAnalityka[[#This Row],[Drop]]="Scroll", 2000*DropAnalityka[[#This Row],[Quality/Quantity]],0)</f>
        <v>0</v>
      </c>
      <c r="J5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2" spans="9:10">
      <c r="I542">
        <f>DropAnalityka[[#This Row],[Sell Drop]]+IF(DropAnalityka[[#This Row],[Drop]]="Scroll", 2000*DropAnalityka[[#This Row],[Quality/Quantity]],0)</f>
        <v>0</v>
      </c>
      <c r="J5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3" spans="9:10">
      <c r="I543">
        <f>DropAnalityka[[#This Row],[Sell Drop]]+IF(DropAnalityka[[#This Row],[Drop]]="Scroll", 2000*DropAnalityka[[#This Row],[Quality/Quantity]],0)</f>
        <v>0</v>
      </c>
      <c r="J5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4" spans="9:10">
      <c r="I544">
        <f>DropAnalityka[[#This Row],[Sell Drop]]+IF(DropAnalityka[[#This Row],[Drop]]="Scroll", 2000*DropAnalityka[[#This Row],[Quality/Quantity]],0)</f>
        <v>0</v>
      </c>
      <c r="J5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5" spans="9:10">
      <c r="I545">
        <f>DropAnalityka[[#This Row],[Sell Drop]]+IF(DropAnalityka[[#This Row],[Drop]]="Scroll", 2000*DropAnalityka[[#This Row],[Quality/Quantity]],0)</f>
        <v>0</v>
      </c>
      <c r="J5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6" spans="9:10">
      <c r="I546">
        <f>DropAnalityka[[#This Row],[Sell Drop]]+IF(DropAnalityka[[#This Row],[Drop]]="Scroll", 2000*DropAnalityka[[#This Row],[Quality/Quantity]],0)</f>
        <v>0</v>
      </c>
      <c r="J5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7" spans="9:10">
      <c r="I547">
        <f>DropAnalityka[[#This Row],[Sell Drop]]+IF(DropAnalityka[[#This Row],[Drop]]="Scroll", 2000*DropAnalityka[[#This Row],[Quality/Quantity]],0)</f>
        <v>0</v>
      </c>
      <c r="J5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8" spans="9:10">
      <c r="I548">
        <f>DropAnalityka[[#This Row],[Sell Drop]]+IF(DropAnalityka[[#This Row],[Drop]]="Scroll", 2000*DropAnalityka[[#This Row],[Quality/Quantity]],0)</f>
        <v>0</v>
      </c>
      <c r="J5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9" spans="9:10">
      <c r="I549">
        <f>DropAnalityka[[#This Row],[Sell Drop]]+IF(DropAnalityka[[#This Row],[Drop]]="Scroll", 2000*DropAnalityka[[#This Row],[Quality/Quantity]],0)</f>
        <v>0</v>
      </c>
      <c r="J5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0" spans="9:10">
      <c r="I550">
        <f>DropAnalityka[[#This Row],[Sell Drop]]+IF(DropAnalityka[[#This Row],[Drop]]="Scroll", 2000*DropAnalityka[[#This Row],[Quality/Quantity]],0)</f>
        <v>0</v>
      </c>
      <c r="J5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1" spans="9:10">
      <c r="I551">
        <f>DropAnalityka[[#This Row],[Sell Drop]]+IF(DropAnalityka[[#This Row],[Drop]]="Scroll", 2000*DropAnalityka[[#This Row],[Quality/Quantity]],0)</f>
        <v>0</v>
      </c>
      <c r="J5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2" spans="9:10">
      <c r="I552">
        <f>DropAnalityka[[#This Row],[Sell Drop]]+IF(DropAnalityka[[#This Row],[Drop]]="Scroll", 2000*DropAnalityka[[#This Row],[Quality/Quantity]],0)</f>
        <v>0</v>
      </c>
      <c r="J5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3" spans="9:10">
      <c r="I553">
        <f>DropAnalityka[[#This Row],[Sell Drop]]+IF(DropAnalityka[[#This Row],[Drop]]="Scroll", 2000*DropAnalityka[[#This Row],[Quality/Quantity]],0)</f>
        <v>0</v>
      </c>
      <c r="J5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4" spans="9:10">
      <c r="I554">
        <f>DropAnalityka[[#This Row],[Sell Drop]]+IF(DropAnalityka[[#This Row],[Drop]]="Scroll", 2000*DropAnalityka[[#This Row],[Quality/Quantity]],0)</f>
        <v>0</v>
      </c>
      <c r="J5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5" spans="9:10">
      <c r="I555">
        <f>DropAnalityka[[#This Row],[Sell Drop]]+IF(DropAnalityka[[#This Row],[Drop]]="Scroll", 2000*DropAnalityka[[#This Row],[Quality/Quantity]],0)</f>
        <v>0</v>
      </c>
      <c r="J5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6" spans="9:10">
      <c r="I556">
        <f>DropAnalityka[[#This Row],[Sell Drop]]+IF(DropAnalityka[[#This Row],[Drop]]="Scroll", 2000*DropAnalityka[[#This Row],[Quality/Quantity]],0)</f>
        <v>0</v>
      </c>
      <c r="J5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7" spans="9:10">
      <c r="I557">
        <f>DropAnalityka[[#This Row],[Sell Drop]]+IF(DropAnalityka[[#This Row],[Drop]]="Scroll", 2000*DropAnalityka[[#This Row],[Quality/Quantity]],0)</f>
        <v>0</v>
      </c>
      <c r="J5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8" spans="9:10">
      <c r="I558">
        <f>DropAnalityka[[#This Row],[Sell Drop]]+IF(DropAnalityka[[#This Row],[Drop]]="Scroll", 2000*DropAnalityka[[#This Row],[Quality/Quantity]],0)</f>
        <v>0</v>
      </c>
      <c r="J5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9" spans="9:10">
      <c r="I559">
        <f>DropAnalityka[[#This Row],[Sell Drop]]+IF(DropAnalityka[[#This Row],[Drop]]="Scroll", 2000*DropAnalityka[[#This Row],[Quality/Quantity]],0)</f>
        <v>0</v>
      </c>
      <c r="J5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0" spans="9:10">
      <c r="I560">
        <f>DropAnalityka[[#This Row],[Sell Drop]]+IF(DropAnalityka[[#This Row],[Drop]]="Scroll", 2000*DropAnalityka[[#This Row],[Quality/Quantity]],0)</f>
        <v>0</v>
      </c>
      <c r="J5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1" spans="9:10">
      <c r="I561">
        <f>DropAnalityka[[#This Row],[Sell Drop]]+IF(DropAnalityka[[#This Row],[Drop]]="Scroll", 2000*DropAnalityka[[#This Row],[Quality/Quantity]],0)</f>
        <v>0</v>
      </c>
      <c r="J5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2" spans="9:10">
      <c r="I562">
        <f>DropAnalityka[[#This Row],[Sell Drop]]+IF(DropAnalityka[[#This Row],[Drop]]="Scroll", 2000*DropAnalityka[[#This Row],[Quality/Quantity]],0)</f>
        <v>0</v>
      </c>
      <c r="J5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3" spans="9:10">
      <c r="I563">
        <f>DropAnalityka[[#This Row],[Sell Drop]]+IF(DropAnalityka[[#This Row],[Drop]]="Scroll", 2000*DropAnalityka[[#This Row],[Quality/Quantity]],0)</f>
        <v>0</v>
      </c>
      <c r="J5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4" spans="9:10">
      <c r="I564">
        <f>DropAnalityka[[#This Row],[Sell Drop]]+IF(DropAnalityka[[#This Row],[Drop]]="Scroll", 2000*DropAnalityka[[#This Row],[Quality/Quantity]],0)</f>
        <v>0</v>
      </c>
      <c r="J5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5" spans="9:10">
      <c r="I565">
        <f>DropAnalityka[[#This Row],[Sell Drop]]+IF(DropAnalityka[[#This Row],[Drop]]="Scroll", 2000*DropAnalityka[[#This Row],[Quality/Quantity]],0)</f>
        <v>0</v>
      </c>
      <c r="J5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6" spans="9:10">
      <c r="I566">
        <f>DropAnalityka[[#This Row],[Sell Drop]]+IF(DropAnalityka[[#This Row],[Drop]]="Scroll", 2000*DropAnalityka[[#This Row],[Quality/Quantity]],0)</f>
        <v>0</v>
      </c>
      <c r="J5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7" spans="9:10">
      <c r="I567">
        <f>DropAnalityka[[#This Row],[Sell Drop]]+IF(DropAnalityka[[#This Row],[Drop]]="Scroll", 2000*DropAnalityka[[#This Row],[Quality/Quantity]],0)</f>
        <v>0</v>
      </c>
      <c r="J5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8" spans="9:10">
      <c r="I568">
        <f>DropAnalityka[[#This Row],[Sell Drop]]+IF(DropAnalityka[[#This Row],[Drop]]="Scroll", 2000*DropAnalityka[[#This Row],[Quality/Quantity]],0)</f>
        <v>0</v>
      </c>
      <c r="J5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9" spans="9:10">
      <c r="I569">
        <f>DropAnalityka[[#This Row],[Sell Drop]]+IF(DropAnalityka[[#This Row],[Drop]]="Scroll", 2000*DropAnalityka[[#This Row],[Quality/Quantity]],0)</f>
        <v>0</v>
      </c>
      <c r="J5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0" spans="9:10">
      <c r="I570">
        <f>DropAnalityka[[#This Row],[Sell Drop]]+IF(DropAnalityka[[#This Row],[Drop]]="Scroll", 2000*DropAnalityka[[#This Row],[Quality/Quantity]],0)</f>
        <v>0</v>
      </c>
      <c r="J5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1" spans="9:10">
      <c r="I571">
        <f>DropAnalityka[[#This Row],[Sell Drop]]+IF(DropAnalityka[[#This Row],[Drop]]="Scroll", 2000*DropAnalityka[[#This Row],[Quality/Quantity]],0)</f>
        <v>0</v>
      </c>
      <c r="J5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2" spans="9:10">
      <c r="I572">
        <f>DropAnalityka[[#This Row],[Sell Drop]]+IF(DropAnalityka[[#This Row],[Drop]]="Scroll", 2000*DropAnalityka[[#This Row],[Quality/Quantity]],0)</f>
        <v>0</v>
      </c>
      <c r="J5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3" spans="9:10">
      <c r="I573">
        <f>DropAnalityka[[#This Row],[Sell Drop]]+IF(DropAnalityka[[#This Row],[Drop]]="Scroll", 2000*DropAnalityka[[#This Row],[Quality/Quantity]],0)</f>
        <v>0</v>
      </c>
      <c r="J5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4" spans="9:10">
      <c r="I574">
        <f>DropAnalityka[[#This Row],[Sell Drop]]+IF(DropAnalityka[[#This Row],[Drop]]="Scroll", 2000*DropAnalityka[[#This Row],[Quality/Quantity]],0)</f>
        <v>0</v>
      </c>
      <c r="J5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5" spans="9:10">
      <c r="I575">
        <f>DropAnalityka[[#This Row],[Sell Drop]]+IF(DropAnalityka[[#This Row],[Drop]]="Scroll", 2000*DropAnalityka[[#This Row],[Quality/Quantity]],0)</f>
        <v>0</v>
      </c>
      <c r="J5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6" spans="9:10">
      <c r="I576">
        <f>DropAnalityka[[#This Row],[Sell Drop]]+IF(DropAnalityka[[#This Row],[Drop]]="Scroll", 2000*DropAnalityka[[#This Row],[Quality/Quantity]],0)</f>
        <v>0</v>
      </c>
      <c r="J5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7" spans="9:10">
      <c r="I577">
        <f>DropAnalityka[[#This Row],[Sell Drop]]+IF(DropAnalityka[[#This Row],[Drop]]="Scroll", 2000*DropAnalityka[[#This Row],[Quality/Quantity]],0)</f>
        <v>0</v>
      </c>
      <c r="J5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8" spans="9:10">
      <c r="I578">
        <f>DropAnalityka[[#This Row],[Sell Drop]]+IF(DropAnalityka[[#This Row],[Drop]]="Scroll", 2000*DropAnalityka[[#This Row],[Quality/Quantity]],0)</f>
        <v>0</v>
      </c>
      <c r="J5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9" spans="9:10">
      <c r="I579">
        <f>DropAnalityka[[#This Row],[Sell Drop]]+IF(DropAnalityka[[#This Row],[Drop]]="Scroll", 2000*DropAnalityka[[#This Row],[Quality/Quantity]],0)</f>
        <v>0</v>
      </c>
      <c r="J5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0" spans="9:10">
      <c r="I580">
        <f>DropAnalityka[[#This Row],[Sell Drop]]+IF(DropAnalityka[[#This Row],[Drop]]="Scroll", 2000*DropAnalityka[[#This Row],[Quality/Quantity]],0)</f>
        <v>0</v>
      </c>
      <c r="J5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1" spans="9:10">
      <c r="I581">
        <f>DropAnalityka[[#This Row],[Sell Drop]]+IF(DropAnalityka[[#This Row],[Drop]]="Scroll", 2000*DropAnalityka[[#This Row],[Quality/Quantity]],0)</f>
        <v>0</v>
      </c>
      <c r="J5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2" spans="9:10">
      <c r="I582">
        <f>DropAnalityka[[#This Row],[Sell Drop]]+IF(DropAnalityka[[#This Row],[Drop]]="Scroll", 2000*DropAnalityka[[#This Row],[Quality/Quantity]],0)</f>
        <v>0</v>
      </c>
      <c r="J5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3" spans="9:10">
      <c r="I583">
        <f>DropAnalityka[[#This Row],[Sell Drop]]+IF(DropAnalityka[[#This Row],[Drop]]="Scroll", 2000*DropAnalityka[[#This Row],[Quality/Quantity]],0)</f>
        <v>0</v>
      </c>
      <c r="J5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4" spans="9:10">
      <c r="I584">
        <f>DropAnalityka[[#This Row],[Sell Drop]]+IF(DropAnalityka[[#This Row],[Drop]]="Scroll", 2000*DropAnalityka[[#This Row],[Quality/Quantity]],0)</f>
        <v>0</v>
      </c>
      <c r="J5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5" spans="9:10">
      <c r="I585">
        <f>DropAnalityka[[#This Row],[Sell Drop]]+IF(DropAnalityka[[#This Row],[Drop]]="Scroll", 2000*DropAnalityka[[#This Row],[Quality/Quantity]],0)</f>
        <v>0</v>
      </c>
      <c r="J5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6" spans="9:10">
      <c r="I586">
        <f>DropAnalityka[[#This Row],[Sell Drop]]+IF(DropAnalityka[[#This Row],[Drop]]="Scroll", 2000*DropAnalityka[[#This Row],[Quality/Quantity]],0)</f>
        <v>0</v>
      </c>
      <c r="J5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7" spans="9:10">
      <c r="I587">
        <f>DropAnalityka[[#This Row],[Sell Drop]]+IF(DropAnalityka[[#This Row],[Drop]]="Scroll", 2000*DropAnalityka[[#This Row],[Quality/Quantity]],0)</f>
        <v>0</v>
      </c>
      <c r="J5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8" spans="9:10">
      <c r="I588">
        <f>DropAnalityka[[#This Row],[Sell Drop]]+IF(DropAnalityka[[#This Row],[Drop]]="Scroll", 2000*DropAnalityka[[#This Row],[Quality/Quantity]],0)</f>
        <v>0</v>
      </c>
      <c r="J5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9" spans="9:10">
      <c r="I589">
        <f>DropAnalityka[[#This Row],[Sell Drop]]+IF(DropAnalityka[[#This Row],[Drop]]="Scroll", 2000*DropAnalityka[[#This Row],[Quality/Quantity]],0)</f>
        <v>0</v>
      </c>
      <c r="J5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0" spans="9:10">
      <c r="I590">
        <f>DropAnalityka[[#This Row],[Sell Drop]]+IF(DropAnalityka[[#This Row],[Drop]]="Scroll", 2000*DropAnalityka[[#This Row],[Quality/Quantity]],0)</f>
        <v>0</v>
      </c>
      <c r="J5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1" spans="9:10">
      <c r="I591">
        <f>DropAnalityka[[#This Row],[Sell Drop]]+IF(DropAnalityka[[#This Row],[Drop]]="Scroll", 2000*DropAnalityka[[#This Row],[Quality/Quantity]],0)</f>
        <v>0</v>
      </c>
      <c r="J5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2" spans="9:10">
      <c r="I592">
        <f>DropAnalityka[[#This Row],[Sell Drop]]+IF(DropAnalityka[[#This Row],[Drop]]="Scroll", 2000*DropAnalityka[[#This Row],[Quality/Quantity]],0)</f>
        <v>0</v>
      </c>
      <c r="J5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3" spans="9:10">
      <c r="I593">
        <f>DropAnalityka[[#This Row],[Sell Drop]]+IF(DropAnalityka[[#This Row],[Drop]]="Scroll", 2000*DropAnalityka[[#This Row],[Quality/Quantity]],0)</f>
        <v>0</v>
      </c>
      <c r="J5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4" spans="9:10">
      <c r="I594">
        <f>DropAnalityka[[#This Row],[Sell Drop]]+IF(DropAnalityka[[#This Row],[Drop]]="Scroll", 2000*DropAnalityka[[#This Row],[Quality/Quantity]],0)</f>
        <v>0</v>
      </c>
      <c r="J5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5" spans="9:10">
      <c r="I595">
        <f>DropAnalityka[[#This Row],[Sell Drop]]+IF(DropAnalityka[[#This Row],[Drop]]="Scroll", 2000*DropAnalityka[[#This Row],[Quality/Quantity]],0)</f>
        <v>0</v>
      </c>
      <c r="J5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6" spans="9:10">
      <c r="I596">
        <f>DropAnalityka[[#This Row],[Sell Drop]]+IF(DropAnalityka[[#This Row],[Drop]]="Scroll", 2000*DropAnalityka[[#This Row],[Quality/Quantity]],0)</f>
        <v>0</v>
      </c>
      <c r="J5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7" spans="9:10">
      <c r="I597">
        <f>DropAnalityka[[#This Row],[Sell Drop]]+IF(DropAnalityka[[#This Row],[Drop]]="Scroll", 2000*DropAnalityka[[#This Row],[Quality/Quantity]],0)</f>
        <v>0</v>
      </c>
      <c r="J5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8" spans="9:10">
      <c r="I598">
        <f>DropAnalityka[[#This Row],[Sell Drop]]+IF(DropAnalityka[[#This Row],[Drop]]="Scroll", 2000*DropAnalityka[[#This Row],[Quality/Quantity]],0)</f>
        <v>0</v>
      </c>
      <c r="J5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9" spans="9:10">
      <c r="I599">
        <f>DropAnalityka[[#This Row],[Sell Drop]]+IF(DropAnalityka[[#This Row],[Drop]]="Scroll", 2000*DropAnalityka[[#This Row],[Quality/Quantity]],0)</f>
        <v>0</v>
      </c>
      <c r="J5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0" spans="9:10">
      <c r="I600">
        <f>DropAnalityka[[#This Row],[Sell Drop]]+IF(DropAnalityka[[#This Row],[Drop]]="Scroll", 2000*DropAnalityka[[#This Row],[Quality/Quantity]],0)</f>
        <v>0</v>
      </c>
      <c r="J6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1" spans="9:10">
      <c r="I601">
        <f>DropAnalityka[[#This Row],[Sell Drop]]+IF(DropAnalityka[[#This Row],[Drop]]="Scroll", 2000*DropAnalityka[[#This Row],[Quality/Quantity]],0)</f>
        <v>0</v>
      </c>
      <c r="J6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2" spans="9:10">
      <c r="I602">
        <f>DropAnalityka[[#This Row],[Sell Drop]]+IF(DropAnalityka[[#This Row],[Drop]]="Scroll", 2000*DropAnalityka[[#This Row],[Quality/Quantity]],0)</f>
        <v>0</v>
      </c>
      <c r="J6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3" spans="9:10">
      <c r="I603">
        <f>DropAnalityka[[#This Row],[Sell Drop]]+IF(DropAnalityka[[#This Row],[Drop]]="Scroll", 2000*DropAnalityka[[#This Row],[Quality/Quantity]],0)</f>
        <v>0</v>
      </c>
      <c r="J6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4" spans="9:10">
      <c r="I604">
        <f>DropAnalityka[[#This Row],[Sell Drop]]+IF(DropAnalityka[[#This Row],[Drop]]="Scroll", 2000*DropAnalityka[[#This Row],[Quality/Quantity]],0)</f>
        <v>0</v>
      </c>
      <c r="J6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5" spans="9:10">
      <c r="I605">
        <f>DropAnalityka[[#This Row],[Sell Drop]]+IF(DropAnalityka[[#This Row],[Drop]]="Scroll", 2000*DropAnalityka[[#This Row],[Quality/Quantity]],0)</f>
        <v>0</v>
      </c>
      <c r="J6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6" spans="9:10">
      <c r="I606">
        <f>DropAnalityka[[#This Row],[Sell Drop]]+IF(DropAnalityka[[#This Row],[Drop]]="Scroll", 2000*DropAnalityka[[#This Row],[Quality/Quantity]],0)</f>
        <v>0</v>
      </c>
      <c r="J6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7" spans="9:10">
      <c r="I607">
        <f>DropAnalityka[[#This Row],[Sell Drop]]+IF(DropAnalityka[[#This Row],[Drop]]="Scroll", 2000*DropAnalityka[[#This Row],[Quality/Quantity]],0)</f>
        <v>0</v>
      </c>
      <c r="J6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8" spans="9:10">
      <c r="I608">
        <f>DropAnalityka[[#This Row],[Sell Drop]]+IF(DropAnalityka[[#This Row],[Drop]]="Scroll", 2000*DropAnalityka[[#This Row],[Quality/Quantity]],0)</f>
        <v>0</v>
      </c>
      <c r="J6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9" spans="9:10">
      <c r="I609">
        <f>DropAnalityka[[#This Row],[Sell Drop]]+IF(DropAnalityka[[#This Row],[Drop]]="Scroll", 2000*DropAnalityka[[#This Row],[Quality/Quantity]],0)</f>
        <v>0</v>
      </c>
      <c r="J6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0" spans="9:10">
      <c r="I610">
        <f>DropAnalityka[[#This Row],[Sell Drop]]+IF(DropAnalityka[[#This Row],[Drop]]="Scroll", 2000*DropAnalityka[[#This Row],[Quality/Quantity]],0)</f>
        <v>0</v>
      </c>
      <c r="J6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1" spans="9:10">
      <c r="I611">
        <f>DropAnalityka[[#This Row],[Sell Drop]]+IF(DropAnalityka[[#This Row],[Drop]]="Scroll", 2000*DropAnalityka[[#This Row],[Quality/Quantity]],0)</f>
        <v>0</v>
      </c>
      <c r="J6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2" spans="9:10">
      <c r="I612">
        <f>DropAnalityka[[#This Row],[Sell Drop]]+IF(DropAnalityka[[#This Row],[Drop]]="Scroll", 2000*DropAnalityka[[#This Row],[Quality/Quantity]],0)</f>
        <v>0</v>
      </c>
      <c r="J6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3" spans="9:10">
      <c r="I613">
        <f>DropAnalityka[[#This Row],[Sell Drop]]+IF(DropAnalityka[[#This Row],[Drop]]="Scroll", 2000*DropAnalityka[[#This Row],[Quality/Quantity]],0)</f>
        <v>0</v>
      </c>
      <c r="J6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4" spans="9:10">
      <c r="I614">
        <f>DropAnalityka[[#This Row],[Sell Drop]]+IF(DropAnalityka[[#This Row],[Drop]]="Scroll", 2000*DropAnalityka[[#This Row],[Quality/Quantity]],0)</f>
        <v>0</v>
      </c>
      <c r="J6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5" spans="9:10">
      <c r="I615">
        <f>DropAnalityka[[#This Row],[Sell Drop]]+IF(DropAnalityka[[#This Row],[Drop]]="Scroll", 2000*DropAnalityka[[#This Row],[Quality/Quantity]],0)</f>
        <v>0</v>
      </c>
      <c r="J6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6" spans="9:10">
      <c r="I616">
        <f>DropAnalityka[[#This Row],[Sell Drop]]+IF(DropAnalityka[[#This Row],[Drop]]="Scroll", 2000*DropAnalityka[[#This Row],[Quality/Quantity]],0)</f>
        <v>0</v>
      </c>
      <c r="J6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7" spans="9:10">
      <c r="I617">
        <f>DropAnalityka[[#This Row],[Sell Drop]]+IF(DropAnalityka[[#This Row],[Drop]]="Scroll", 2000*DropAnalityka[[#This Row],[Quality/Quantity]],0)</f>
        <v>0</v>
      </c>
      <c r="J6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8" spans="9:10">
      <c r="I618">
        <f>DropAnalityka[[#This Row],[Sell Drop]]+IF(DropAnalityka[[#This Row],[Drop]]="Scroll", 2000*DropAnalityka[[#This Row],[Quality/Quantity]],0)</f>
        <v>0</v>
      </c>
      <c r="J6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9" spans="9:10">
      <c r="I619">
        <f>DropAnalityka[[#This Row],[Sell Drop]]+IF(DropAnalityka[[#This Row],[Drop]]="Scroll", 2000*DropAnalityka[[#This Row],[Quality/Quantity]],0)</f>
        <v>0</v>
      </c>
      <c r="J6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0" spans="9:10">
      <c r="I620">
        <f>DropAnalityka[[#This Row],[Sell Drop]]+IF(DropAnalityka[[#This Row],[Drop]]="Scroll", 2000*DropAnalityka[[#This Row],[Quality/Quantity]],0)</f>
        <v>0</v>
      </c>
      <c r="J6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1" spans="9:10">
      <c r="I621">
        <f>DropAnalityka[[#This Row],[Sell Drop]]+IF(DropAnalityka[[#This Row],[Drop]]="Scroll", 2000*DropAnalityka[[#This Row],[Quality/Quantity]],0)</f>
        <v>0</v>
      </c>
      <c r="J6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2" spans="9:10">
      <c r="I622">
        <f>DropAnalityka[[#This Row],[Sell Drop]]+IF(DropAnalityka[[#This Row],[Drop]]="Scroll", 2000*DropAnalityka[[#This Row],[Quality/Quantity]],0)</f>
        <v>0</v>
      </c>
      <c r="J6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3" spans="9:10">
      <c r="I623">
        <f>DropAnalityka[[#This Row],[Sell Drop]]+IF(DropAnalityka[[#This Row],[Drop]]="Scroll", 2000*DropAnalityka[[#This Row],[Quality/Quantity]],0)</f>
        <v>0</v>
      </c>
      <c r="J6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4" spans="9:10">
      <c r="I624">
        <f>DropAnalityka[[#This Row],[Sell Drop]]+IF(DropAnalityka[[#This Row],[Drop]]="Scroll", 2000*DropAnalityka[[#This Row],[Quality/Quantity]],0)</f>
        <v>0</v>
      </c>
      <c r="J6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5" spans="9:10">
      <c r="I625">
        <f>DropAnalityka[[#This Row],[Sell Drop]]+IF(DropAnalityka[[#This Row],[Drop]]="Scroll", 2000*DropAnalityka[[#This Row],[Quality/Quantity]],0)</f>
        <v>0</v>
      </c>
      <c r="J6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6" spans="9:10">
      <c r="I626">
        <f>DropAnalityka[[#This Row],[Sell Drop]]+IF(DropAnalityka[[#This Row],[Drop]]="Scroll", 2000*DropAnalityka[[#This Row],[Quality/Quantity]],0)</f>
        <v>0</v>
      </c>
      <c r="J6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7" spans="9:10">
      <c r="I627">
        <f>DropAnalityka[[#This Row],[Sell Drop]]+IF(DropAnalityka[[#This Row],[Drop]]="Scroll", 2000*DropAnalityka[[#This Row],[Quality/Quantity]],0)</f>
        <v>0</v>
      </c>
      <c r="J6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8" spans="9:10">
      <c r="I628">
        <f>DropAnalityka[[#This Row],[Sell Drop]]+IF(DropAnalityka[[#This Row],[Drop]]="Scroll", 2000*DropAnalityka[[#This Row],[Quality/Quantity]],0)</f>
        <v>0</v>
      </c>
      <c r="J6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9" spans="9:10">
      <c r="I629">
        <f>DropAnalityka[[#This Row],[Sell Drop]]+IF(DropAnalityka[[#This Row],[Drop]]="Scroll", 2000*DropAnalityka[[#This Row],[Quality/Quantity]],0)</f>
        <v>0</v>
      </c>
      <c r="J6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0" spans="9:10">
      <c r="I630">
        <f>DropAnalityka[[#This Row],[Sell Drop]]+IF(DropAnalityka[[#This Row],[Drop]]="Scroll", 2000*DropAnalityka[[#This Row],[Quality/Quantity]],0)</f>
        <v>0</v>
      </c>
      <c r="J6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1" spans="9:10">
      <c r="I631">
        <f>DropAnalityka[[#This Row],[Sell Drop]]+IF(DropAnalityka[[#This Row],[Drop]]="Scroll", 2000*DropAnalityka[[#This Row],[Quality/Quantity]],0)</f>
        <v>0</v>
      </c>
      <c r="J6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2" spans="9:10">
      <c r="I632">
        <f>DropAnalityka[[#This Row],[Sell Drop]]+IF(DropAnalityka[[#This Row],[Drop]]="Scroll", 2000*DropAnalityka[[#This Row],[Quality/Quantity]],0)</f>
        <v>0</v>
      </c>
      <c r="J6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3" spans="9:10">
      <c r="I633">
        <f>DropAnalityka[[#This Row],[Sell Drop]]+IF(DropAnalityka[[#This Row],[Drop]]="Scroll", 2000*DropAnalityka[[#This Row],[Quality/Quantity]],0)</f>
        <v>0</v>
      </c>
      <c r="J6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4" spans="9:10">
      <c r="I634">
        <f>DropAnalityka[[#This Row],[Sell Drop]]+IF(DropAnalityka[[#This Row],[Drop]]="Scroll", 2000*DropAnalityka[[#This Row],[Quality/Quantity]],0)</f>
        <v>0</v>
      </c>
      <c r="J6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5" spans="9:10">
      <c r="I635">
        <f>DropAnalityka[[#This Row],[Sell Drop]]+IF(DropAnalityka[[#This Row],[Drop]]="Scroll", 2000*DropAnalityka[[#This Row],[Quality/Quantity]],0)</f>
        <v>0</v>
      </c>
      <c r="J6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6" spans="9:10">
      <c r="I636">
        <f>DropAnalityka[[#This Row],[Sell Drop]]+IF(DropAnalityka[[#This Row],[Drop]]="Scroll", 2000*DropAnalityka[[#This Row],[Quality/Quantity]],0)</f>
        <v>0</v>
      </c>
      <c r="J6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7" spans="9:10">
      <c r="I637">
        <f>DropAnalityka[[#This Row],[Sell Drop]]+IF(DropAnalityka[[#This Row],[Drop]]="Scroll", 2000*DropAnalityka[[#This Row],[Quality/Quantity]],0)</f>
        <v>0</v>
      </c>
      <c r="J6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8" spans="9:10">
      <c r="I638">
        <f>DropAnalityka[[#This Row],[Sell Drop]]+IF(DropAnalityka[[#This Row],[Drop]]="Scroll", 2000*DropAnalityka[[#This Row],[Quality/Quantity]],0)</f>
        <v>0</v>
      </c>
      <c r="J6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9" spans="9:10">
      <c r="I639">
        <f>DropAnalityka[[#This Row],[Sell Drop]]+IF(DropAnalityka[[#This Row],[Drop]]="Scroll", 2000*DropAnalityka[[#This Row],[Quality/Quantity]],0)</f>
        <v>0</v>
      </c>
      <c r="J6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0" spans="9:10">
      <c r="I640">
        <f>DropAnalityka[[#This Row],[Sell Drop]]+IF(DropAnalityka[[#This Row],[Drop]]="Scroll", 2000*DropAnalityka[[#This Row],[Quality/Quantity]],0)</f>
        <v>0</v>
      </c>
      <c r="J6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1" spans="9:10">
      <c r="I641">
        <f>DropAnalityka[[#This Row],[Sell Drop]]+IF(DropAnalityka[[#This Row],[Drop]]="Scroll", 2000*DropAnalityka[[#This Row],[Quality/Quantity]],0)</f>
        <v>0</v>
      </c>
      <c r="J6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2" spans="9:10">
      <c r="I642">
        <f>DropAnalityka[[#This Row],[Sell Drop]]+IF(DropAnalityka[[#This Row],[Drop]]="Scroll", 2000*DropAnalityka[[#This Row],[Quality/Quantity]],0)</f>
        <v>0</v>
      </c>
      <c r="J6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3" spans="9:10">
      <c r="I643">
        <f>DropAnalityka[[#This Row],[Sell Drop]]+IF(DropAnalityka[[#This Row],[Drop]]="Scroll", 2000*DropAnalityka[[#This Row],[Quality/Quantity]],0)</f>
        <v>0</v>
      </c>
      <c r="J6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4" spans="9:10">
      <c r="I644">
        <f>DropAnalityka[[#This Row],[Sell Drop]]+IF(DropAnalityka[[#This Row],[Drop]]="Scroll", 2000*DropAnalityka[[#This Row],[Quality/Quantity]],0)</f>
        <v>0</v>
      </c>
      <c r="J6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5" spans="9:10">
      <c r="I645">
        <f>DropAnalityka[[#This Row],[Sell Drop]]+IF(DropAnalityka[[#This Row],[Drop]]="Scroll", 2000*DropAnalityka[[#This Row],[Quality/Quantity]],0)</f>
        <v>0</v>
      </c>
      <c r="J6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6" spans="9:10">
      <c r="I646">
        <f>DropAnalityka[[#This Row],[Sell Drop]]+IF(DropAnalityka[[#This Row],[Drop]]="Scroll", 2000*DropAnalityka[[#This Row],[Quality/Quantity]],0)</f>
        <v>0</v>
      </c>
      <c r="J6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7" spans="9:10">
      <c r="I647">
        <f>DropAnalityka[[#This Row],[Sell Drop]]+IF(DropAnalityka[[#This Row],[Drop]]="Scroll", 2000*DropAnalityka[[#This Row],[Quality/Quantity]],0)</f>
        <v>0</v>
      </c>
      <c r="J6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8" spans="9:10">
      <c r="I648">
        <f>DropAnalityka[[#This Row],[Sell Drop]]+IF(DropAnalityka[[#This Row],[Drop]]="Scroll", 2000*DropAnalityka[[#This Row],[Quality/Quantity]],0)</f>
        <v>0</v>
      </c>
      <c r="J6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9" spans="9:10">
      <c r="I649">
        <f>DropAnalityka[[#This Row],[Sell Drop]]+IF(DropAnalityka[[#This Row],[Drop]]="Scroll", 2000*DropAnalityka[[#This Row],[Quality/Quantity]],0)</f>
        <v>0</v>
      </c>
      <c r="J6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0" spans="9:10">
      <c r="I650">
        <f>DropAnalityka[[#This Row],[Sell Drop]]+IF(DropAnalityka[[#This Row],[Drop]]="Scroll", 2000*DropAnalityka[[#This Row],[Quality/Quantity]],0)</f>
        <v>0</v>
      </c>
      <c r="J6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1" spans="9:10">
      <c r="I651">
        <f>DropAnalityka[[#This Row],[Sell Drop]]+IF(DropAnalityka[[#This Row],[Drop]]="Scroll", 2000*DropAnalityka[[#This Row],[Quality/Quantity]],0)</f>
        <v>0</v>
      </c>
      <c r="J6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2" spans="9:10">
      <c r="I652">
        <f>DropAnalityka[[#This Row],[Sell Drop]]+IF(DropAnalityka[[#This Row],[Drop]]="Scroll", 2000*DropAnalityka[[#This Row],[Quality/Quantity]],0)</f>
        <v>0</v>
      </c>
      <c r="J6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3" spans="9:10">
      <c r="I653">
        <f>DropAnalityka[[#This Row],[Sell Drop]]+IF(DropAnalityka[[#This Row],[Drop]]="Scroll", 2000*DropAnalityka[[#This Row],[Quality/Quantity]],0)</f>
        <v>0</v>
      </c>
      <c r="J6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4" spans="9:10">
      <c r="I654">
        <f>DropAnalityka[[#This Row],[Sell Drop]]+IF(DropAnalityka[[#This Row],[Drop]]="Scroll", 2000*DropAnalityka[[#This Row],[Quality/Quantity]],0)</f>
        <v>0</v>
      </c>
      <c r="J6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5" spans="9:10">
      <c r="I655">
        <f>DropAnalityka[[#This Row],[Sell Drop]]+IF(DropAnalityka[[#This Row],[Drop]]="Scroll", 2000*DropAnalityka[[#This Row],[Quality/Quantity]],0)</f>
        <v>0</v>
      </c>
      <c r="J6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6" spans="9:10">
      <c r="I656">
        <f>DropAnalityka[[#This Row],[Sell Drop]]+IF(DropAnalityka[[#This Row],[Drop]]="Scroll", 2000*DropAnalityka[[#This Row],[Quality/Quantity]],0)</f>
        <v>0</v>
      </c>
      <c r="J6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7" spans="9:10">
      <c r="I657">
        <f>DropAnalityka[[#This Row],[Sell Drop]]+IF(DropAnalityka[[#This Row],[Drop]]="Scroll", 2000*DropAnalityka[[#This Row],[Quality/Quantity]],0)</f>
        <v>0</v>
      </c>
      <c r="J6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8" spans="9:10">
      <c r="I658">
        <f>DropAnalityka[[#This Row],[Sell Drop]]+IF(DropAnalityka[[#This Row],[Drop]]="Scroll", 2000*DropAnalityka[[#This Row],[Quality/Quantity]],0)</f>
        <v>0</v>
      </c>
      <c r="J6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9" spans="9:10">
      <c r="I659">
        <f>DropAnalityka[[#This Row],[Sell Drop]]+IF(DropAnalityka[[#This Row],[Drop]]="Scroll", 2000*DropAnalityka[[#This Row],[Quality/Quantity]],0)</f>
        <v>0</v>
      </c>
      <c r="J6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0" spans="9:10">
      <c r="I660">
        <f>DropAnalityka[[#This Row],[Sell Drop]]+IF(DropAnalityka[[#This Row],[Drop]]="Scroll", 2000*DropAnalityka[[#This Row],[Quality/Quantity]],0)</f>
        <v>0</v>
      </c>
      <c r="J6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1" spans="9:10">
      <c r="I661">
        <f>DropAnalityka[[#This Row],[Sell Drop]]+IF(DropAnalityka[[#This Row],[Drop]]="Scroll", 2000*DropAnalityka[[#This Row],[Quality/Quantity]],0)</f>
        <v>0</v>
      </c>
      <c r="J6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2" spans="9:10">
      <c r="I662">
        <f>DropAnalityka[[#This Row],[Sell Drop]]+IF(DropAnalityka[[#This Row],[Drop]]="Scroll", 2000*DropAnalityka[[#This Row],[Quality/Quantity]],0)</f>
        <v>0</v>
      </c>
      <c r="J6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3" spans="9:10">
      <c r="I663">
        <f>DropAnalityka[[#This Row],[Sell Drop]]+IF(DropAnalityka[[#This Row],[Drop]]="Scroll", 2000*DropAnalityka[[#This Row],[Quality/Quantity]],0)</f>
        <v>0</v>
      </c>
      <c r="J6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4" spans="9:10">
      <c r="I664">
        <f>DropAnalityka[[#This Row],[Sell Drop]]+IF(DropAnalityka[[#This Row],[Drop]]="Scroll", 2000*DropAnalityka[[#This Row],[Quality/Quantity]],0)</f>
        <v>0</v>
      </c>
      <c r="J6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5" spans="9:10">
      <c r="I665">
        <f>DropAnalityka[[#This Row],[Sell Drop]]+IF(DropAnalityka[[#This Row],[Drop]]="Scroll", 2000*DropAnalityka[[#This Row],[Quality/Quantity]],0)</f>
        <v>0</v>
      </c>
      <c r="J6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6" spans="9:10">
      <c r="I666">
        <f>DropAnalityka[[#This Row],[Sell Drop]]+IF(DropAnalityka[[#This Row],[Drop]]="Scroll", 2000*DropAnalityka[[#This Row],[Quality/Quantity]],0)</f>
        <v>0</v>
      </c>
      <c r="J6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7" spans="9:10">
      <c r="I667">
        <f>DropAnalityka[[#This Row],[Sell Drop]]+IF(DropAnalityka[[#This Row],[Drop]]="Scroll", 2000*DropAnalityka[[#This Row],[Quality/Quantity]],0)</f>
        <v>0</v>
      </c>
      <c r="J6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8" spans="9:10">
      <c r="I668">
        <f>DropAnalityka[[#This Row],[Sell Drop]]+IF(DropAnalityka[[#This Row],[Drop]]="Scroll", 2000*DropAnalityka[[#This Row],[Quality/Quantity]],0)</f>
        <v>0</v>
      </c>
      <c r="J6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9" spans="9:10">
      <c r="I669">
        <f>DropAnalityka[[#This Row],[Sell Drop]]+IF(DropAnalityka[[#This Row],[Drop]]="Scroll", 2000*DropAnalityka[[#This Row],[Quality/Quantity]],0)</f>
        <v>0</v>
      </c>
      <c r="J6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0" spans="9:10">
      <c r="I670">
        <f>DropAnalityka[[#This Row],[Sell Drop]]+IF(DropAnalityka[[#This Row],[Drop]]="Scroll", 2000*DropAnalityka[[#This Row],[Quality/Quantity]],0)</f>
        <v>0</v>
      </c>
      <c r="J6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1" spans="9:10">
      <c r="I671">
        <f>DropAnalityka[[#This Row],[Sell Drop]]+IF(DropAnalityka[[#This Row],[Drop]]="Scroll", 2000*DropAnalityka[[#This Row],[Quality/Quantity]],0)</f>
        <v>0</v>
      </c>
      <c r="J6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2" spans="9:10">
      <c r="I672">
        <f>DropAnalityka[[#This Row],[Sell Drop]]+IF(DropAnalityka[[#This Row],[Drop]]="Scroll", 2000*DropAnalityka[[#This Row],[Quality/Quantity]],0)</f>
        <v>0</v>
      </c>
      <c r="J6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3" spans="9:10">
      <c r="I673">
        <f>DropAnalityka[[#This Row],[Sell Drop]]+IF(DropAnalityka[[#This Row],[Drop]]="Scroll", 2000*DropAnalityka[[#This Row],[Quality/Quantity]],0)</f>
        <v>0</v>
      </c>
      <c r="J6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4" spans="9:10">
      <c r="I674">
        <f>DropAnalityka[[#This Row],[Sell Drop]]+IF(DropAnalityka[[#This Row],[Drop]]="Scroll", 2000*DropAnalityka[[#This Row],[Quality/Quantity]],0)</f>
        <v>0</v>
      </c>
      <c r="J6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5" spans="9:10">
      <c r="I675">
        <f>DropAnalityka[[#This Row],[Sell Drop]]+IF(DropAnalityka[[#This Row],[Drop]]="Scroll", 2000*DropAnalityka[[#This Row],[Quality/Quantity]],0)</f>
        <v>0</v>
      </c>
      <c r="J6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6" spans="9:10">
      <c r="I676">
        <f>DropAnalityka[[#This Row],[Sell Drop]]+IF(DropAnalityka[[#This Row],[Drop]]="Scroll", 2000*DropAnalityka[[#This Row],[Quality/Quantity]],0)</f>
        <v>0</v>
      </c>
      <c r="J6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7" spans="9:10">
      <c r="I677">
        <f>DropAnalityka[[#This Row],[Sell Drop]]+IF(DropAnalityka[[#This Row],[Drop]]="Scroll", 2000*DropAnalityka[[#This Row],[Quality/Quantity]],0)</f>
        <v>0</v>
      </c>
      <c r="J6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8" spans="9:10">
      <c r="I678">
        <f>DropAnalityka[[#This Row],[Sell Drop]]+IF(DropAnalityka[[#This Row],[Drop]]="Scroll", 2000*DropAnalityka[[#This Row],[Quality/Quantity]],0)</f>
        <v>0</v>
      </c>
      <c r="J6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9" spans="9:10">
      <c r="I679">
        <f>DropAnalityka[[#This Row],[Sell Drop]]+IF(DropAnalityka[[#This Row],[Drop]]="Scroll", 2000*DropAnalityka[[#This Row],[Quality/Quantity]],0)</f>
        <v>0</v>
      </c>
      <c r="J6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0" spans="9:10">
      <c r="I680">
        <f>DropAnalityka[[#This Row],[Sell Drop]]+IF(DropAnalityka[[#This Row],[Drop]]="Scroll", 2000*DropAnalityka[[#This Row],[Quality/Quantity]],0)</f>
        <v>0</v>
      </c>
      <c r="J6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1" spans="9:10">
      <c r="I681">
        <f>DropAnalityka[[#This Row],[Sell Drop]]+IF(DropAnalityka[[#This Row],[Drop]]="Scroll", 2000*DropAnalityka[[#This Row],[Quality/Quantity]],0)</f>
        <v>0</v>
      </c>
      <c r="J6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2" spans="9:10">
      <c r="I682">
        <f>DropAnalityka[[#This Row],[Sell Drop]]+IF(DropAnalityka[[#This Row],[Drop]]="Scroll", 2000*DropAnalityka[[#This Row],[Quality/Quantity]],0)</f>
        <v>0</v>
      </c>
      <c r="J6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3" spans="9:10">
      <c r="I683">
        <f>DropAnalityka[[#This Row],[Sell Drop]]+IF(DropAnalityka[[#This Row],[Drop]]="Scroll", 2000*DropAnalityka[[#This Row],[Quality/Quantity]],0)</f>
        <v>0</v>
      </c>
      <c r="J6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4" spans="9:10">
      <c r="I684">
        <f>DropAnalityka[[#This Row],[Sell Drop]]+IF(DropAnalityka[[#This Row],[Drop]]="Scroll", 2000*DropAnalityka[[#This Row],[Quality/Quantity]],0)</f>
        <v>0</v>
      </c>
      <c r="J6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5" spans="9:10">
      <c r="I685">
        <f>DropAnalityka[[#This Row],[Sell Drop]]+IF(DropAnalityka[[#This Row],[Drop]]="Scroll", 2000*DropAnalityka[[#This Row],[Quality/Quantity]],0)</f>
        <v>0</v>
      </c>
      <c r="J6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6" spans="9:10">
      <c r="I686">
        <f>DropAnalityka[[#This Row],[Sell Drop]]+IF(DropAnalityka[[#This Row],[Drop]]="Scroll", 2000*DropAnalityka[[#This Row],[Quality/Quantity]],0)</f>
        <v>0</v>
      </c>
      <c r="J6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7" spans="9:10">
      <c r="I687">
        <f>DropAnalityka[[#This Row],[Sell Drop]]+IF(DropAnalityka[[#This Row],[Drop]]="Scroll", 2000*DropAnalityka[[#This Row],[Quality/Quantity]],0)</f>
        <v>0</v>
      </c>
      <c r="J6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8" spans="9:10">
      <c r="I688">
        <f>DropAnalityka[[#This Row],[Sell Drop]]+IF(DropAnalityka[[#This Row],[Drop]]="Scroll", 2000*DropAnalityka[[#This Row],[Quality/Quantity]],0)</f>
        <v>0</v>
      </c>
      <c r="J6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9" spans="9:10">
      <c r="I689">
        <f>DropAnalityka[[#This Row],[Sell Drop]]+IF(DropAnalityka[[#This Row],[Drop]]="Scroll", 2000*DropAnalityka[[#This Row],[Quality/Quantity]],0)</f>
        <v>0</v>
      </c>
      <c r="J6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0" spans="9:10">
      <c r="I690">
        <f>DropAnalityka[[#This Row],[Sell Drop]]+IF(DropAnalityka[[#This Row],[Drop]]="Scroll", 2000*DropAnalityka[[#This Row],[Quality/Quantity]],0)</f>
        <v>0</v>
      </c>
      <c r="J6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1" spans="9:10">
      <c r="I691">
        <f>DropAnalityka[[#This Row],[Sell Drop]]+IF(DropAnalityka[[#This Row],[Drop]]="Scroll", 2000*DropAnalityka[[#This Row],[Quality/Quantity]],0)</f>
        <v>0</v>
      </c>
      <c r="J6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2" spans="9:10">
      <c r="I692">
        <f>DropAnalityka[[#This Row],[Sell Drop]]+IF(DropAnalityka[[#This Row],[Drop]]="Scroll", 2000*DropAnalityka[[#This Row],[Quality/Quantity]],0)</f>
        <v>0</v>
      </c>
      <c r="J6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3" spans="9:10">
      <c r="I693">
        <f>DropAnalityka[[#This Row],[Sell Drop]]+IF(DropAnalityka[[#This Row],[Drop]]="Scroll", 2000*DropAnalityka[[#This Row],[Quality/Quantity]],0)</f>
        <v>0</v>
      </c>
      <c r="J6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4" spans="9:10">
      <c r="I694">
        <f>DropAnalityka[[#This Row],[Sell Drop]]+IF(DropAnalityka[[#This Row],[Drop]]="Scroll", 2000*DropAnalityka[[#This Row],[Quality/Quantity]],0)</f>
        <v>0</v>
      </c>
      <c r="J6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5" spans="9:10">
      <c r="I695">
        <f>DropAnalityka[[#This Row],[Sell Drop]]+IF(DropAnalityka[[#This Row],[Drop]]="Scroll", 2000*DropAnalityka[[#This Row],[Quality/Quantity]],0)</f>
        <v>0</v>
      </c>
      <c r="J6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6" spans="9:10">
      <c r="I696">
        <f>DropAnalityka[[#This Row],[Sell Drop]]+IF(DropAnalityka[[#This Row],[Drop]]="Scroll", 2000*DropAnalityka[[#This Row],[Quality/Quantity]],0)</f>
        <v>0</v>
      </c>
      <c r="J6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7" spans="9:10">
      <c r="I697">
        <f>DropAnalityka[[#This Row],[Sell Drop]]+IF(DropAnalityka[[#This Row],[Drop]]="Scroll", 2000*DropAnalityka[[#This Row],[Quality/Quantity]],0)</f>
        <v>0</v>
      </c>
      <c r="J6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8" spans="9:10">
      <c r="I698">
        <f>DropAnalityka[[#This Row],[Sell Drop]]+IF(DropAnalityka[[#This Row],[Drop]]="Scroll", 2000*DropAnalityka[[#This Row],[Quality/Quantity]],0)</f>
        <v>0</v>
      </c>
      <c r="J6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9" spans="9:10">
      <c r="I699">
        <f>DropAnalityka[[#This Row],[Sell Drop]]+IF(DropAnalityka[[#This Row],[Drop]]="Scroll", 2000*DropAnalityka[[#This Row],[Quality/Quantity]],0)</f>
        <v>0</v>
      </c>
      <c r="J6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0" spans="9:10">
      <c r="I700">
        <f>DropAnalityka[[#This Row],[Sell Drop]]+IF(DropAnalityka[[#This Row],[Drop]]="Scroll", 2000*DropAnalityka[[#This Row],[Quality/Quantity]],0)</f>
        <v>0</v>
      </c>
      <c r="J7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1" spans="9:10">
      <c r="I701">
        <f>DropAnalityka[[#This Row],[Sell Drop]]+IF(DropAnalityka[[#This Row],[Drop]]="Scroll", 2000*DropAnalityka[[#This Row],[Quality/Quantity]],0)</f>
        <v>0</v>
      </c>
      <c r="J7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2" spans="9:10">
      <c r="I702">
        <f>DropAnalityka[[#This Row],[Sell Drop]]+IF(DropAnalityka[[#This Row],[Drop]]="Scroll", 2000*DropAnalityka[[#This Row],[Quality/Quantity]],0)</f>
        <v>0</v>
      </c>
      <c r="J7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3" spans="9:10">
      <c r="I703">
        <f>DropAnalityka[[#This Row],[Sell Drop]]+IF(DropAnalityka[[#This Row],[Drop]]="Scroll", 2000*DropAnalityka[[#This Row],[Quality/Quantity]],0)</f>
        <v>0</v>
      </c>
      <c r="J7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4" spans="9:10">
      <c r="I704">
        <f>DropAnalityka[[#This Row],[Sell Drop]]+IF(DropAnalityka[[#This Row],[Drop]]="Scroll", 2000*DropAnalityka[[#This Row],[Quality/Quantity]],0)</f>
        <v>0</v>
      </c>
      <c r="J7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5" spans="9:10">
      <c r="I705">
        <f>DropAnalityka[[#This Row],[Sell Drop]]+IF(DropAnalityka[[#This Row],[Drop]]="Scroll", 2000*DropAnalityka[[#This Row],[Quality/Quantity]],0)</f>
        <v>0</v>
      </c>
      <c r="J7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6" spans="9:10">
      <c r="I706">
        <f>DropAnalityka[[#This Row],[Sell Drop]]+IF(DropAnalityka[[#This Row],[Drop]]="Scroll", 2000*DropAnalityka[[#This Row],[Quality/Quantity]],0)</f>
        <v>0</v>
      </c>
      <c r="J7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7" spans="9:10">
      <c r="I707">
        <f>DropAnalityka[[#This Row],[Sell Drop]]+IF(DropAnalityka[[#This Row],[Drop]]="Scroll", 2000*DropAnalityka[[#This Row],[Quality/Quantity]],0)</f>
        <v>0</v>
      </c>
      <c r="J7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8" spans="9:10">
      <c r="I708">
        <f>DropAnalityka[[#This Row],[Sell Drop]]+IF(DropAnalityka[[#This Row],[Drop]]="Scroll", 2000*DropAnalityka[[#This Row],[Quality/Quantity]],0)</f>
        <v>0</v>
      </c>
      <c r="J7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9" spans="9:10">
      <c r="I709">
        <f>DropAnalityka[[#This Row],[Sell Drop]]+IF(DropAnalityka[[#This Row],[Drop]]="Scroll", 2000*DropAnalityka[[#This Row],[Quality/Quantity]],0)</f>
        <v>0</v>
      </c>
      <c r="J7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0" spans="9:10">
      <c r="I710">
        <f>DropAnalityka[[#This Row],[Sell Drop]]+IF(DropAnalityka[[#This Row],[Drop]]="Scroll", 2000*DropAnalityka[[#This Row],[Quality/Quantity]],0)</f>
        <v>0</v>
      </c>
      <c r="J7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1" spans="9:10">
      <c r="I711">
        <f>DropAnalityka[[#This Row],[Sell Drop]]+IF(DropAnalityka[[#This Row],[Drop]]="Scroll", 2000*DropAnalityka[[#This Row],[Quality/Quantity]],0)</f>
        <v>0</v>
      </c>
      <c r="J7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2" spans="9:10">
      <c r="I712">
        <f>DropAnalityka[[#This Row],[Sell Drop]]+IF(DropAnalityka[[#This Row],[Drop]]="Scroll", 2000*DropAnalityka[[#This Row],[Quality/Quantity]],0)</f>
        <v>0</v>
      </c>
      <c r="J7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3" spans="9:10">
      <c r="I713">
        <f>DropAnalityka[[#This Row],[Sell Drop]]+IF(DropAnalityka[[#This Row],[Drop]]="Scroll", 2000*DropAnalityka[[#This Row],[Quality/Quantity]],0)</f>
        <v>0</v>
      </c>
      <c r="J7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4" spans="9:10">
      <c r="I714">
        <f>DropAnalityka[[#This Row],[Sell Drop]]+IF(DropAnalityka[[#This Row],[Drop]]="Scroll", 2000*DropAnalityka[[#This Row],[Quality/Quantity]],0)</f>
        <v>0</v>
      </c>
      <c r="J7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5" spans="9:10">
      <c r="I715">
        <f>DropAnalityka[[#This Row],[Sell Drop]]+IF(DropAnalityka[[#This Row],[Drop]]="Scroll", 2000*DropAnalityka[[#This Row],[Quality/Quantity]],0)</f>
        <v>0</v>
      </c>
      <c r="J7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6" spans="9:10">
      <c r="I716">
        <f>DropAnalityka[[#This Row],[Sell Drop]]+IF(DropAnalityka[[#This Row],[Drop]]="Scroll", 2000*DropAnalityka[[#This Row],[Quality/Quantity]],0)</f>
        <v>0</v>
      </c>
      <c r="J7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7" spans="9:10">
      <c r="I717">
        <f>DropAnalityka[[#This Row],[Sell Drop]]+IF(DropAnalityka[[#This Row],[Drop]]="Scroll", 2000*DropAnalityka[[#This Row],[Quality/Quantity]],0)</f>
        <v>0</v>
      </c>
      <c r="J7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8" spans="9:10">
      <c r="I718">
        <f>DropAnalityka[[#This Row],[Sell Drop]]+IF(DropAnalityka[[#This Row],[Drop]]="Scroll", 2000*DropAnalityka[[#This Row],[Quality/Quantity]],0)</f>
        <v>0</v>
      </c>
      <c r="J7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9" spans="9:10">
      <c r="I719">
        <f>DropAnalityka[[#This Row],[Sell Drop]]+IF(DropAnalityka[[#This Row],[Drop]]="Scroll", 2000*DropAnalityka[[#This Row],[Quality/Quantity]],0)</f>
        <v>0</v>
      </c>
      <c r="J7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0" spans="9:10">
      <c r="I720">
        <f>DropAnalityka[[#This Row],[Sell Drop]]+IF(DropAnalityka[[#This Row],[Drop]]="Scroll", 2000*DropAnalityka[[#This Row],[Quality/Quantity]],0)</f>
        <v>0</v>
      </c>
      <c r="J7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1" spans="9:10">
      <c r="I721">
        <f>DropAnalityka[[#This Row],[Sell Drop]]+IF(DropAnalityka[[#This Row],[Drop]]="Scroll", 2000*DropAnalityka[[#This Row],[Quality/Quantity]],0)</f>
        <v>0</v>
      </c>
      <c r="J7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2" spans="9:10">
      <c r="I722">
        <f>DropAnalityka[[#This Row],[Sell Drop]]+IF(DropAnalityka[[#This Row],[Drop]]="Scroll", 2000*DropAnalityka[[#This Row],[Quality/Quantity]],0)</f>
        <v>0</v>
      </c>
      <c r="J7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3" spans="9:10">
      <c r="I723">
        <f>DropAnalityka[[#This Row],[Sell Drop]]+IF(DropAnalityka[[#This Row],[Drop]]="Scroll", 2000*DropAnalityka[[#This Row],[Quality/Quantity]],0)</f>
        <v>0</v>
      </c>
      <c r="J7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4" spans="9:10">
      <c r="I724">
        <f>DropAnalityka[[#This Row],[Sell Drop]]+IF(DropAnalityka[[#This Row],[Drop]]="Scroll", 2000*DropAnalityka[[#This Row],[Quality/Quantity]],0)</f>
        <v>0</v>
      </c>
      <c r="J7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5" spans="9:10">
      <c r="I725">
        <f>DropAnalityka[[#This Row],[Sell Drop]]+IF(DropAnalityka[[#This Row],[Drop]]="Scroll", 2000*DropAnalityka[[#This Row],[Quality/Quantity]],0)</f>
        <v>0</v>
      </c>
      <c r="J7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6" spans="9:10">
      <c r="I726">
        <f>DropAnalityka[[#This Row],[Sell Drop]]+IF(DropAnalityka[[#This Row],[Drop]]="Scroll", 2000*DropAnalityka[[#This Row],[Quality/Quantity]],0)</f>
        <v>0</v>
      </c>
      <c r="J7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7" spans="9:10">
      <c r="I727">
        <f>DropAnalityka[[#This Row],[Sell Drop]]+IF(DropAnalityka[[#This Row],[Drop]]="Scroll", 2000*DropAnalityka[[#This Row],[Quality/Quantity]],0)</f>
        <v>0</v>
      </c>
      <c r="J7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8" spans="9:10">
      <c r="I728">
        <f>DropAnalityka[[#This Row],[Sell Drop]]+IF(DropAnalityka[[#This Row],[Drop]]="Scroll", 2000*DropAnalityka[[#This Row],[Quality/Quantity]],0)</f>
        <v>0</v>
      </c>
      <c r="J7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9" spans="9:10">
      <c r="I729">
        <f>DropAnalityka[[#This Row],[Sell Drop]]+IF(DropAnalityka[[#This Row],[Drop]]="Scroll", 2000*DropAnalityka[[#This Row],[Quality/Quantity]],0)</f>
        <v>0</v>
      </c>
      <c r="J7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0" spans="9:10">
      <c r="I730">
        <f>DropAnalityka[[#This Row],[Sell Drop]]+IF(DropAnalityka[[#This Row],[Drop]]="Scroll", 2000*DropAnalityka[[#This Row],[Quality/Quantity]],0)</f>
        <v>0</v>
      </c>
      <c r="J7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1" spans="9:10">
      <c r="I731">
        <f>DropAnalityka[[#This Row],[Sell Drop]]+IF(DropAnalityka[[#This Row],[Drop]]="Scroll", 2000*DropAnalityka[[#This Row],[Quality/Quantity]],0)</f>
        <v>0</v>
      </c>
      <c r="J7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2" spans="9:10">
      <c r="I732">
        <f>DropAnalityka[[#This Row],[Sell Drop]]+IF(DropAnalityka[[#This Row],[Drop]]="Scroll", 2000*DropAnalityka[[#This Row],[Quality/Quantity]],0)</f>
        <v>0</v>
      </c>
      <c r="J7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3" spans="9:10">
      <c r="I733">
        <f>DropAnalityka[[#This Row],[Sell Drop]]+IF(DropAnalityka[[#This Row],[Drop]]="Scroll", 2000*DropAnalityka[[#This Row],[Quality/Quantity]],0)</f>
        <v>0</v>
      </c>
      <c r="J7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4" spans="9:10">
      <c r="I734">
        <f>DropAnalityka[[#This Row],[Sell Drop]]+IF(DropAnalityka[[#This Row],[Drop]]="Scroll", 2000*DropAnalityka[[#This Row],[Quality/Quantity]],0)</f>
        <v>0</v>
      </c>
      <c r="J7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5" spans="9:10">
      <c r="I735">
        <f>DropAnalityka[[#This Row],[Sell Drop]]+IF(DropAnalityka[[#This Row],[Drop]]="Scroll", 2000*DropAnalityka[[#This Row],[Quality/Quantity]],0)</f>
        <v>0</v>
      </c>
      <c r="J7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6" spans="9:10">
      <c r="I736">
        <f>DropAnalityka[[#This Row],[Sell Drop]]+IF(DropAnalityka[[#This Row],[Drop]]="Scroll", 2000*DropAnalityka[[#This Row],[Quality/Quantity]],0)</f>
        <v>0</v>
      </c>
      <c r="J7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7" spans="1:10">
      <c r="I737">
        <f>DropAnalityka[[#This Row],[Sell Drop]]+IF(DropAnalityka[[#This Row],[Drop]]="Scroll", 2000*DropAnalityka[[#This Row],[Quality/Quantity]],0)</f>
        <v>0</v>
      </c>
      <c r="J7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8" spans="1:10">
      <c r="I738">
        <f>DropAnalityka[[#This Row],[Sell Drop]]+IF(DropAnalityka[[#This Row],[Drop]]="Scroll", 2000*DropAnalityka[[#This Row],[Quality/Quantity]],0)</f>
        <v>0</v>
      </c>
      <c r="J7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9" spans="1:10">
      <c r="I739">
        <f>DropAnalityka[[#This Row],[Sell Drop]]+IF(DropAnalityka[[#This Row],[Drop]]="Scroll", 2000*DropAnalityka[[#This Row],[Quality/Quantity]],0)</f>
        <v>0</v>
      </c>
      <c r="J7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0" spans="1:10">
      <c r="I740">
        <f>DropAnalityka[[#This Row],[Sell Drop]]+IF(DropAnalityka[[#This Row],[Drop]]="Scroll", 2000*DropAnalityka[[#This Row],[Quality/Quantity]],0)</f>
        <v>0</v>
      </c>
      <c r="J7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1" spans="1:10">
      <c r="I741">
        <f>DropAnalityka[[#This Row],[Sell Drop]]+IF(DropAnalityka[[#This Row],[Drop]]="Scroll", 2000*DropAnalityka[[#This Row],[Quality/Quantity]],0)</f>
        <v>0</v>
      </c>
      <c r="J7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2" spans="1:10">
      <c r="I742">
        <f>DropAnalityka[[#This Row],[Sell Drop]]+IF(DropAnalityka[[#This Row],[Drop]]="Scroll", 2000*DropAnalityka[[#This Row],[Quality/Quantity]],0)</f>
        <v>0</v>
      </c>
      <c r="J7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3" spans="1:10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features'!$O$9</f>
        <v>313220.07276819204</v>
      </c>
      <c r="D3">
        <f>'EXP lvls'!O10/Summary!C3</f>
        <v>12.888829136399995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2082904.4973607038</v>
      </c>
      <c r="C10" s="1">
        <f t="shared" ref="C10:C17" si="1">($G10+$H10)/($O10-$N10)*M10</f>
        <v>1915206.8140417454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3028.7952488687779</v>
      </c>
      <c r="N10">
        <f>SUMIFS(LocFeatures[[#All],[Energy gain]],LocFeatures[[#All],[Location]],Summary!$I10,LocFeatures[[#All],[LVL]],Summary!$J10,LocFeatures[[#All],[Stage]],Summary!$K10)</f>
        <v>0.82692307692307687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3418370.4492668617</v>
      </c>
      <c r="C11" s="1">
        <f t="shared" si="1"/>
        <v>1571576.2258064512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3028.7952488687779</v>
      </c>
      <c r="N11">
        <f>SUMIFS(LocFeatures[[#All],[Energy gain]],LocFeatures[[#All],[Location]],Summary!$I11,LocFeatures[[#All],[LVL]],Summary!$J11,LocFeatures[[#All],[Stage]],Summary!$K11)</f>
        <v>0.82692307692307687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3134620.6310850438</v>
      </c>
      <c r="C12" s="1">
        <f t="shared" si="1"/>
        <v>1527031.5199240984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3028.7952488687779</v>
      </c>
      <c r="N12">
        <f>SUMIFS(LocFeatures[[#All],[Energy gain]],LocFeatures[[#All],[Location]],Summary!$I12,LocFeatures[[#All],[LVL]],Summary!$J12,LocFeatures[[#All],[Stage]],Summary!$K12)</f>
        <v>0.82692307692307687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3017046.4046920817</v>
      </c>
      <c r="C13" s="1">
        <f t="shared" si="1"/>
        <v>1527031.5199240984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3028.7952488687779</v>
      </c>
      <c r="N13">
        <f>SUMIFS(LocFeatures[[#All],[Energy gain]],LocFeatures[[#All],[Location]],Summary!$I13,LocFeatures[[#All],[LVL]],Summary!$J13,LocFeatures[[#All],[Stage]],Summary!$K13)</f>
        <v>0.82692307692307687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2644220.7506251559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2798.4320987654319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2169788.89016004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2798.4320987654319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2108288.4638034506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2798.4320987654319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2108288.4638034506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2798.4320987654319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2650234.1146437693</v>
      </c>
      <c r="C18" s="1">
        <f t="shared" ref="C18:C21" si="4">($G18+$H18)/($O18-$N18)*M18</f>
        <v>1693937.6962365594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3451.4926470588234</v>
      </c>
      <c r="N18">
        <f>SUMIFS(LocFeatures[[#All],[Energy gain]],LocFeatures[[#All],[Location]],Summary!$I18,LocFeatures[[#All],[LVL]],Summary!$J18,LocFeatures[[#All],[Stage]],Summary!$K18)</f>
        <v>0.91176470588235292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4349446.646553725</v>
      </c>
      <c r="C19" s="1">
        <f t="shared" si="4"/>
        <v>1390007.6962365592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3451.4926470588234</v>
      </c>
      <c r="N19">
        <f>SUMIFS(LocFeatures[[#All],[Energy gain]],LocFeatures[[#All],[Location]],Summary!$I19,LocFeatures[[#All],[LVL]],Summary!$J19,LocFeatures[[#All],[Stage]],Summary!$K19)</f>
        <v>0.91176470588235292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3988410.6753307036</v>
      </c>
      <c r="C20" s="1">
        <f t="shared" si="4"/>
        <v>1350609.3629032259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3451.4926470588234</v>
      </c>
      <c r="N20">
        <f>SUMIFS(LocFeatures[[#All],[Energy gain]],LocFeatures[[#All],[Location]],Summary!$I20,LocFeatures[[#All],[LVL]],Summary!$J20,LocFeatures[[#All],[Stage]],Summary!$K20)</f>
        <v>0.91176470588235292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3838812.2534230682</v>
      </c>
      <c r="C21" s="1">
        <f t="shared" si="4"/>
        <v>1350609.3629032259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3451.4926470588234</v>
      </c>
      <c r="N21">
        <f>SUMIFS(LocFeatures[[#All],[Energy gain]],LocFeatures[[#All],[Location]],Summary!$I21,LocFeatures[[#All],[LVL]],Summary!$J21,LocFeatures[[#All],[Stage]],Summary!$K21)</f>
        <v>0.91176470588235292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1524788.8328143456</v>
      </c>
      <c r="C22" s="1">
        <f t="shared" ref="C22" si="6">($G22+$H22)/($O22-$N22)*M22</f>
        <v>487296.05970149254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3451.4926470588234</v>
      </c>
      <c r="N22">
        <f>SUMIFS(LocFeatures[[#All],[Energy gain]],LocFeatures[[#All],[Location]],Summary!$I22,LocFeatures[[#All],[LVL]],Summary!$J22,LocFeatures[[#All],[Stage]],Summary!$K22)</f>
        <v>0.91176470588235292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2029527.7790670691</v>
      </c>
      <c r="C23" s="1">
        <f t="shared" ref="C23" si="9">($G23+$H23)/($O23-$N23)*M23</f>
        <v>648601.87096774194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3451.4926470588234</v>
      </c>
      <c r="N23">
        <f>SUMIFS(LocFeatures[[#All],[Energy gain]],LocFeatures[[#All],[Location]],Summary!$I23,LocFeatures[[#All],[LVL]],Summary!$J23,LocFeatures[[#All],[Stage]],Summary!$K23)</f>
        <v>0.91176470588235292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4265791.9702947326</v>
      </c>
      <c r="C24" s="1">
        <f t="shared" ref="C24:C26" si="11">($G24+$H24)/($O24-$N24)*M24</f>
        <v>1363273.1129032259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3451.4926470588234</v>
      </c>
      <c r="N24">
        <f>SUMIFS(LocFeatures[[#All],[Energy gain]],LocFeatures[[#All],[Location]],Summary!$I24,LocFeatures[[#All],[LVL]],Summary!$J24,LocFeatures[[#All],[Stage]],Summary!$K24)</f>
        <v>0.91176470588235292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1309941.8507462686</v>
      </c>
      <c r="C25" s="1">
        <f t="shared" si="11"/>
        <v>736444.31883137499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2695.1685393258426</v>
      </c>
      <c r="N25">
        <f>SUMIFS(LocFeatures[[#All],[Energy gain]],LocFeatures[[#All],[Location]],Summary!$I25,LocFeatures[[#All],[LVL]],Summary!$J25,LocFeatures[[#All],[Stage]],Summary!$K25)</f>
        <v>0.88764044943820219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1743561.6774193551</v>
      </c>
      <c r="C26" s="1">
        <f t="shared" si="11"/>
        <v>980223.7336993824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2695.1685393258426</v>
      </c>
      <c r="N26">
        <f>SUMIFS(LocFeatures[[#All],[Energy gain]],LocFeatures[[#All],[Location]],Summary!$I26,LocFeatures[[#All],[LVL]],Summary!$J26,LocFeatures[[#All],[Stage]],Summary!$K26)</f>
        <v>0.88764044943820219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3664730.032258065</v>
      </c>
      <c r="C27" s="1">
        <f t="shared" ref="C27:C29" si="13">($G27+$H27)/($O27-$N27)*M27</f>
        <v>2060297.2649279342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2695.1685393258426</v>
      </c>
      <c r="N27">
        <f>SUMIFS(LocFeatures[[#All],[Energy gain]],LocFeatures[[#All],[Location]],Summary!$I27,LocFeatures[[#All],[LVL]],Summary!$J27,LocFeatures[[#All],[Stage]],Summary!$K27)</f>
        <v>0.88764044943820219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760664.54842068709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2798.4320987654319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1012461.3968492121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2798.4320987654319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2128056.4579894971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2798.4320987654319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465546.89103525877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2798.4320987654319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706716.4201050261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2798.4320987654319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706716.4201050261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2798.4320987654319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933211.232304479</v>
      </c>
      <c r="C34" s="1">
        <f t="shared" si="19"/>
        <v>298238.12096774194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3451.4926470588234</v>
      </c>
      <c r="N34">
        <f>SUMIFS(LocFeatures[[#All],[Energy gain]],LocFeatures[[#All],[Location]],Summary!$I34,LocFeatures[[#All],[LVL]],Summary!$J34,LocFeatures[[#All],[Stage]],Summary!$K34)</f>
        <v>0.91176470588235292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708323.60176375031</v>
      </c>
      <c r="C35" s="1">
        <f t="shared" ref="C35:C40" si="23">($G35+$H35)/($O35-$N35)*M35</f>
        <v>452735.87096774194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3451.4926470588234</v>
      </c>
      <c r="N35">
        <f>SUMIFS(LocFeatures[[#All],[Energy gain]],LocFeatures[[#All],[Location]],Summary!$I35,LocFeatures[[#All],[LVL]],Summary!$J35,LocFeatures[[#All],[Stage]],Summary!$K35)</f>
        <v>0.91176470588235292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419492.60404330329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3709.0930232558139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636804.40595524374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3709.0930232558139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636804.40595524374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3709.0930232558139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1269445.3212678167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2798.4320987654319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1537411.4646786693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2798.4320987654319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selection activeCell="C28" sqref="C28"/>
    </sheetView>
  </sheetViews>
  <sheetFormatPr defaultRowHeight="14.25"/>
  <cols>
    <col min="3" max="3" width="12.25" bestFit="1" customWidth="1"/>
    <col min="4" max="4" width="12.37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185</v>
      </c>
      <c r="C2" t="s">
        <v>196</v>
      </c>
      <c r="D2" t="s">
        <v>202</v>
      </c>
      <c r="E2" t="s">
        <v>203</v>
      </c>
      <c r="F2" t="s">
        <v>204</v>
      </c>
    </row>
    <row r="3" spans="1:6">
      <c r="A3" t="s">
        <v>177</v>
      </c>
      <c r="B3" t="s">
        <v>185</v>
      </c>
      <c r="C3" t="s">
        <v>201</v>
      </c>
      <c r="D3" t="s">
        <v>199</v>
      </c>
      <c r="E3" t="s">
        <v>200</v>
      </c>
      <c r="F3" t="s">
        <v>204</v>
      </c>
    </row>
    <row r="4" spans="1:6">
      <c r="A4" t="s">
        <v>178</v>
      </c>
      <c r="B4" t="s">
        <v>185</v>
      </c>
      <c r="C4" t="s">
        <v>179</v>
      </c>
      <c r="D4" t="s">
        <v>191</v>
      </c>
      <c r="E4" t="s">
        <v>205</v>
      </c>
      <c r="F4" t="s">
        <v>204</v>
      </c>
    </row>
    <row r="5" spans="1:6">
      <c r="A5" t="s">
        <v>181</v>
      </c>
      <c r="B5" t="s">
        <v>180</v>
      </c>
      <c r="C5" t="s">
        <v>196</v>
      </c>
      <c r="D5" t="s">
        <v>198</v>
      </c>
      <c r="E5" t="s">
        <v>197</v>
      </c>
      <c r="F5" t="s">
        <v>204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2015-09-25T14:00:53Z</dcterms:modified>
</cp:coreProperties>
</file>